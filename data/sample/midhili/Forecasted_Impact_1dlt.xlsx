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IBF-Analysis\data\sample\midhili\"/>
    </mc:Choice>
  </mc:AlternateContent>
  <xr:revisionPtr revIDLastSave="0" documentId="13_ncr:1_{F6389C2E-E93A-49BD-AA35-8E1A0E8A35EF}" xr6:coauthVersionLast="47" xr6:coauthVersionMax="47" xr10:uidLastSave="{00000000-0000-0000-0000-000000000000}"/>
  <bookViews>
    <workbookView xWindow="-108" yWindow="-108" windowWidth="23256" windowHeight="12456" xr2:uid="{F777613E-AB6C-4744-9284-054562D026F2}"/>
  </bookViews>
  <sheets>
    <sheet name="Midhili" sheetId="3" r:id="rId1"/>
  </sheets>
  <definedNames>
    <definedName name="_xlnm._FilterDatabase" localSheetId="0" hidden="1">Midhili!$A$1:$AK$545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8" i="3" l="1"/>
  <c r="AJ12" i="3"/>
  <c r="AJ11" i="3"/>
  <c r="AJ9" i="3"/>
  <c r="AJ8" i="3"/>
  <c r="AJ7" i="3"/>
  <c r="AJ6" i="3"/>
  <c r="AJ5" i="3"/>
  <c r="AI12" i="3"/>
  <c r="AI11" i="3"/>
  <c r="AI9" i="3"/>
  <c r="AI7" i="3"/>
  <c r="AI6" i="3"/>
  <c r="AI5" i="3"/>
  <c r="AK5" i="3" l="1"/>
  <c r="F18" i="3" s="1"/>
  <c r="F113" i="3"/>
  <c r="F100" i="3"/>
  <c r="AK9" i="3"/>
  <c r="N421" i="3" s="1"/>
  <c r="AK7" i="3"/>
  <c r="AK6" i="3"/>
  <c r="H7" i="3" s="1"/>
  <c r="AK12" i="3"/>
  <c r="R367" i="3" s="1"/>
  <c r="AK11" i="3"/>
  <c r="AK8" i="3"/>
  <c r="L25" i="3" s="1"/>
  <c r="F371" i="3" l="1"/>
  <c r="F312" i="3"/>
  <c r="F79" i="3"/>
  <c r="F415" i="3"/>
  <c r="F149" i="3"/>
  <c r="F136" i="3"/>
  <c r="F81" i="3"/>
  <c r="F405" i="3"/>
  <c r="F112" i="3"/>
  <c r="F124" i="3"/>
  <c r="F257" i="3"/>
  <c r="F269" i="3"/>
  <c r="F416" i="3"/>
  <c r="F62" i="3"/>
  <c r="F401" i="3"/>
  <c r="F97" i="3"/>
  <c r="F192" i="3"/>
  <c r="F171" i="3"/>
  <c r="F125" i="3"/>
  <c r="F200" i="3"/>
  <c r="F362" i="3"/>
  <c r="F241" i="3"/>
  <c r="F402" i="3"/>
  <c r="F379" i="3"/>
  <c r="F256" i="3"/>
  <c r="F128" i="3"/>
  <c r="F71" i="3"/>
  <c r="F268" i="3"/>
  <c r="F358" i="3"/>
  <c r="F320" i="3"/>
  <c r="F3" i="3"/>
  <c r="F121" i="3"/>
  <c r="F230" i="3"/>
  <c r="F38" i="3"/>
  <c r="F58" i="3"/>
  <c r="F175" i="3"/>
  <c r="F408" i="3"/>
  <c r="F384" i="3"/>
  <c r="F178" i="3"/>
  <c r="F326" i="3"/>
  <c r="F244" i="3"/>
  <c r="F306" i="3"/>
  <c r="F281" i="3"/>
  <c r="F293" i="3"/>
  <c r="F280" i="3"/>
  <c r="F336" i="3"/>
  <c r="F13" i="3"/>
  <c r="F388" i="3"/>
  <c r="F301" i="3"/>
  <c r="F400" i="3"/>
  <c r="F404" i="3"/>
  <c r="F262" i="3"/>
  <c r="F412" i="3"/>
  <c r="F4" i="3"/>
  <c r="F213" i="3"/>
  <c r="F375" i="3"/>
  <c r="F34" i="3"/>
  <c r="F383" i="3"/>
  <c r="F211" i="3"/>
  <c r="F349" i="3"/>
  <c r="F22" i="3"/>
  <c r="F135" i="3"/>
  <c r="F6" i="3"/>
  <c r="F111" i="3"/>
  <c r="F69" i="3"/>
  <c r="F219" i="3"/>
  <c r="F259" i="3"/>
  <c r="F43" i="3"/>
  <c r="F266" i="3"/>
  <c r="F107" i="3"/>
  <c r="F202" i="3"/>
  <c r="F218" i="3"/>
  <c r="F360" i="3"/>
  <c r="F252" i="3"/>
  <c r="F413" i="3"/>
  <c r="F86" i="3"/>
  <c r="F183" i="3"/>
  <c r="F11" i="3"/>
  <c r="F105" i="3"/>
  <c r="F84" i="3"/>
  <c r="F323" i="3"/>
  <c r="F309" i="3"/>
  <c r="F146" i="3"/>
  <c r="L48" i="3"/>
  <c r="F345" i="3"/>
  <c r="F240" i="3"/>
  <c r="F290" i="3"/>
  <c r="F369" i="3"/>
  <c r="F131" i="3"/>
  <c r="F150" i="3"/>
  <c r="F137" i="3"/>
  <c r="F191" i="3"/>
  <c r="F284" i="3"/>
  <c r="F380" i="3"/>
  <c r="F201" i="3"/>
  <c r="F47" i="3"/>
  <c r="F195" i="3"/>
  <c r="F138" i="3"/>
  <c r="F391" i="3"/>
  <c r="F157" i="3"/>
  <c r="F332" i="3"/>
  <c r="F93" i="3"/>
  <c r="F273" i="3"/>
  <c r="F26" i="3"/>
  <c r="F321" i="3"/>
  <c r="F60" i="3"/>
  <c r="F386" i="3"/>
  <c r="F154" i="3"/>
  <c r="F355" i="3"/>
  <c r="F181" i="3"/>
  <c r="F410" i="3"/>
  <c r="F238" i="3"/>
  <c r="F51" i="3"/>
  <c r="F295" i="3"/>
  <c r="F116" i="3"/>
  <c r="F126" i="3"/>
  <c r="F344" i="3"/>
  <c r="F372" i="3"/>
  <c r="F313" i="3"/>
  <c r="F72" i="3"/>
  <c r="F254" i="3"/>
  <c r="F8" i="3"/>
  <c r="F302" i="3"/>
  <c r="F39" i="3"/>
  <c r="F366" i="3"/>
  <c r="F130" i="3"/>
  <c r="F339" i="3"/>
  <c r="F166" i="3"/>
  <c r="F396" i="3"/>
  <c r="F224" i="3"/>
  <c r="F36" i="3"/>
  <c r="F279" i="3"/>
  <c r="F98" i="3"/>
  <c r="F114" i="3"/>
  <c r="F148" i="3"/>
  <c r="F292" i="3"/>
  <c r="F17" i="3"/>
  <c r="F161" i="3"/>
  <c r="F305" i="3"/>
  <c r="F385" i="3"/>
  <c r="F153" i="3"/>
  <c r="F287" i="3"/>
  <c r="F44" i="3"/>
  <c r="F243" i="3"/>
  <c r="F393" i="3"/>
  <c r="F159" i="3"/>
  <c r="F322" i="3"/>
  <c r="F319" i="3"/>
  <c r="F414" i="3"/>
  <c r="F182" i="3"/>
  <c r="F350" i="3"/>
  <c r="F115" i="3"/>
  <c r="F291" i="3"/>
  <c r="F48" i="3"/>
  <c r="F234" i="3"/>
  <c r="F361" i="3"/>
  <c r="F285" i="3"/>
  <c r="F15" i="3"/>
  <c r="F347" i="3"/>
  <c r="F109" i="3"/>
  <c r="F325" i="3"/>
  <c r="F151" i="3"/>
  <c r="F382" i="3"/>
  <c r="F210" i="3"/>
  <c r="F21" i="3"/>
  <c r="F265" i="3"/>
  <c r="F83" i="3"/>
  <c r="F102" i="3"/>
  <c r="F160" i="3"/>
  <c r="F173" i="3"/>
  <c r="F270" i="3"/>
  <c r="F141" i="3"/>
  <c r="F278" i="3"/>
  <c r="F158" i="3"/>
  <c r="F333" i="3"/>
  <c r="F94" i="3"/>
  <c r="F274" i="3"/>
  <c r="F27" i="3"/>
  <c r="F264" i="3"/>
  <c r="F263" i="3"/>
  <c r="F342" i="3"/>
  <c r="F330" i="3"/>
  <c r="F91" i="3"/>
  <c r="F311" i="3"/>
  <c r="F133" i="3"/>
  <c r="F368" i="3"/>
  <c r="F194" i="3"/>
  <c r="F2" i="3"/>
  <c r="F251" i="3"/>
  <c r="F68" i="3"/>
  <c r="F90" i="3"/>
  <c r="F304" i="3"/>
  <c r="F29" i="3"/>
  <c r="F317" i="3"/>
  <c r="F363" i="3"/>
  <c r="F129" i="3"/>
  <c r="F23" i="3"/>
  <c r="F204" i="3"/>
  <c r="F374" i="3"/>
  <c r="F303" i="3"/>
  <c r="F392" i="3"/>
  <c r="F215" i="3"/>
  <c r="F28" i="3"/>
  <c r="F172" i="3"/>
  <c r="F316" i="3"/>
  <c r="F41" i="3"/>
  <c r="F185" i="3"/>
  <c r="F329" i="3"/>
  <c r="F346" i="3"/>
  <c r="F108" i="3"/>
  <c r="F248" i="3"/>
  <c r="F399" i="3"/>
  <c r="F187" i="3"/>
  <c r="F357" i="3"/>
  <c r="F120" i="3"/>
  <c r="F286" i="3"/>
  <c r="F261" i="3"/>
  <c r="F373" i="3"/>
  <c r="F140" i="3"/>
  <c r="F314" i="3"/>
  <c r="F73" i="3"/>
  <c r="F255" i="3"/>
  <c r="F9" i="3"/>
  <c r="F198" i="3"/>
  <c r="F206" i="3"/>
  <c r="F227" i="3"/>
  <c r="F226" i="3"/>
  <c r="F308" i="3"/>
  <c r="F67" i="3"/>
  <c r="F297" i="3"/>
  <c r="F118" i="3"/>
  <c r="F354" i="3"/>
  <c r="F180" i="3"/>
  <c r="F409" i="3"/>
  <c r="F237" i="3"/>
  <c r="F50" i="3"/>
  <c r="F78" i="3"/>
  <c r="F119" i="3"/>
  <c r="F122" i="3"/>
  <c r="F46" i="3"/>
  <c r="F103" i="3"/>
  <c r="F395" i="3"/>
  <c r="F223" i="3"/>
  <c r="F35" i="3"/>
  <c r="F66" i="3"/>
  <c r="F40" i="3"/>
  <c r="F53" i="3"/>
  <c r="F341" i="3"/>
  <c r="F229" i="3"/>
  <c r="F335" i="3"/>
  <c r="F356" i="3"/>
  <c r="F235" i="3"/>
  <c r="F169" i="3"/>
  <c r="F338" i="3"/>
  <c r="F52" i="3"/>
  <c r="F196" i="3"/>
  <c r="F340" i="3"/>
  <c r="F65" i="3"/>
  <c r="F209" i="3"/>
  <c r="F353" i="3"/>
  <c r="F307" i="3"/>
  <c r="F63" i="3"/>
  <c r="F212" i="3"/>
  <c r="F246" i="3"/>
  <c r="F143" i="3"/>
  <c r="F318" i="3"/>
  <c r="F75" i="3"/>
  <c r="F228" i="3"/>
  <c r="F222" i="3"/>
  <c r="F334" i="3"/>
  <c r="F95" i="3"/>
  <c r="F275" i="3"/>
  <c r="F31" i="3"/>
  <c r="F216" i="3"/>
  <c r="F387" i="3"/>
  <c r="F155" i="3"/>
  <c r="F127" i="3"/>
  <c r="F188" i="3"/>
  <c r="F14" i="3"/>
  <c r="F272" i="3"/>
  <c r="F25" i="3"/>
  <c r="F267" i="3"/>
  <c r="F85" i="3"/>
  <c r="F324" i="3"/>
  <c r="F147" i="3"/>
  <c r="F381" i="3"/>
  <c r="F207" i="3"/>
  <c r="F20" i="3"/>
  <c r="F54" i="3"/>
  <c r="F139" i="3"/>
  <c r="F16" i="3"/>
  <c r="F328" i="3"/>
  <c r="F197" i="3"/>
  <c r="F87" i="3"/>
  <c r="F167" i="3"/>
  <c r="F96" i="3"/>
  <c r="F242" i="3"/>
  <c r="F49" i="3"/>
  <c r="F176" i="3"/>
  <c r="F165" i="3"/>
  <c r="F64" i="3"/>
  <c r="F208" i="3"/>
  <c r="F352" i="3"/>
  <c r="F77" i="3"/>
  <c r="F221" i="3"/>
  <c r="F365" i="3"/>
  <c r="F288" i="3"/>
  <c r="F45" i="3"/>
  <c r="F190" i="3"/>
  <c r="F398" i="3"/>
  <c r="F104" i="3"/>
  <c r="F299" i="3"/>
  <c r="F57" i="3"/>
  <c r="F189" i="3"/>
  <c r="F203" i="3"/>
  <c r="F315" i="3"/>
  <c r="F74" i="3"/>
  <c r="F258" i="3"/>
  <c r="F10" i="3"/>
  <c r="F199" i="3"/>
  <c r="F370" i="3"/>
  <c r="F134" i="3"/>
  <c r="F106" i="3"/>
  <c r="F168" i="3"/>
  <c r="F394" i="3"/>
  <c r="F250" i="3"/>
  <c r="F7" i="3"/>
  <c r="F253" i="3"/>
  <c r="F70" i="3"/>
  <c r="F310" i="3"/>
  <c r="F132" i="3"/>
  <c r="F367" i="3"/>
  <c r="F193" i="3"/>
  <c r="F417" i="3"/>
  <c r="F42" i="3"/>
  <c r="F184" i="3"/>
  <c r="F327" i="3"/>
  <c r="F343" i="3"/>
  <c r="F247" i="3"/>
  <c r="F294" i="3"/>
  <c r="F406" i="3"/>
  <c r="F205" i="3"/>
  <c r="F283" i="3"/>
  <c r="F76" i="3"/>
  <c r="F220" i="3"/>
  <c r="F364" i="3"/>
  <c r="F89" i="3"/>
  <c r="F233" i="3"/>
  <c r="F377" i="3"/>
  <c r="F271" i="3"/>
  <c r="F24" i="3"/>
  <c r="F170" i="3"/>
  <c r="F378" i="3"/>
  <c r="F80" i="3"/>
  <c r="F277" i="3"/>
  <c r="F33" i="3"/>
  <c r="F145" i="3"/>
  <c r="F163" i="3"/>
  <c r="F298" i="3"/>
  <c r="F56" i="3"/>
  <c r="F236" i="3"/>
  <c r="F407" i="3"/>
  <c r="F177" i="3"/>
  <c r="F348" i="3"/>
  <c r="F110" i="3"/>
  <c r="F82" i="3"/>
  <c r="F144" i="3"/>
  <c r="F300" i="3"/>
  <c r="F231" i="3"/>
  <c r="F411" i="3"/>
  <c r="F239" i="3"/>
  <c r="F55" i="3"/>
  <c r="F296" i="3"/>
  <c r="F117" i="3"/>
  <c r="F351" i="3"/>
  <c r="F179" i="3"/>
  <c r="F174" i="3"/>
  <c r="F30" i="3"/>
  <c r="F289" i="3"/>
  <c r="F88" i="3"/>
  <c r="F232" i="3"/>
  <c r="F376" i="3"/>
  <c r="F101" i="3"/>
  <c r="F245" i="3"/>
  <c r="F389" i="3"/>
  <c r="F249" i="3"/>
  <c r="F403" i="3"/>
  <c r="F152" i="3"/>
  <c r="F359" i="3"/>
  <c r="F59" i="3"/>
  <c r="F260" i="3"/>
  <c r="F12" i="3"/>
  <c r="F19" i="3"/>
  <c r="F142" i="3"/>
  <c r="F276" i="3"/>
  <c r="F32" i="3"/>
  <c r="F217" i="3"/>
  <c r="F390" i="3"/>
  <c r="F156" i="3"/>
  <c r="F331" i="3"/>
  <c r="F92" i="3"/>
  <c r="F61" i="3"/>
  <c r="F123" i="3"/>
  <c r="F186" i="3"/>
  <c r="F214" i="3"/>
  <c r="F397" i="3"/>
  <c r="F225" i="3"/>
  <c r="F37" i="3"/>
  <c r="F282" i="3"/>
  <c r="F99" i="3"/>
  <c r="F337" i="3"/>
  <c r="F164" i="3"/>
  <c r="F162" i="3"/>
  <c r="F5" i="3"/>
  <c r="L23" i="3"/>
  <c r="N6" i="3"/>
  <c r="R343" i="3"/>
  <c r="L313" i="3"/>
  <c r="L97" i="3"/>
  <c r="L96" i="3"/>
  <c r="L250" i="3"/>
  <c r="N7" i="3"/>
  <c r="L241" i="3"/>
  <c r="L205" i="3"/>
  <c r="L190" i="3"/>
  <c r="L181" i="3"/>
  <c r="L180" i="3"/>
  <c r="L108" i="3"/>
  <c r="L107" i="3"/>
  <c r="N23" i="3"/>
  <c r="N8" i="3"/>
  <c r="N16" i="3"/>
  <c r="L312" i="3"/>
  <c r="L179" i="3"/>
  <c r="L13" i="3"/>
  <c r="L277" i="3"/>
  <c r="L178" i="3"/>
  <c r="L12" i="3"/>
  <c r="L262" i="3"/>
  <c r="L169" i="3"/>
  <c r="L11" i="3"/>
  <c r="L253" i="3"/>
  <c r="L133" i="3"/>
  <c r="N477" i="3"/>
  <c r="L252" i="3"/>
  <c r="L118" i="3"/>
  <c r="N378" i="3"/>
  <c r="N3" i="3"/>
  <c r="L251" i="3"/>
  <c r="L109" i="3"/>
  <c r="N330" i="3"/>
  <c r="H308" i="3"/>
  <c r="H388" i="3"/>
  <c r="H92" i="3"/>
  <c r="H6" i="3"/>
  <c r="H386" i="3"/>
  <c r="H292" i="3"/>
  <c r="H90" i="3"/>
  <c r="H384" i="3"/>
  <c r="H88" i="3"/>
  <c r="H287" i="3"/>
  <c r="H285" i="3"/>
  <c r="H361" i="3"/>
  <c r="H50" i="3"/>
  <c r="H221" i="3"/>
  <c r="H334" i="3"/>
  <c r="H43" i="3"/>
  <c r="H117" i="3"/>
  <c r="H22" i="3"/>
  <c r="H289" i="3"/>
  <c r="H365" i="3"/>
  <c r="H68" i="3"/>
  <c r="H363" i="3"/>
  <c r="H66" i="3"/>
  <c r="H264" i="3"/>
  <c r="H359" i="3"/>
  <c r="H45" i="3"/>
  <c r="H203" i="3"/>
  <c r="H412" i="3"/>
  <c r="H331" i="3"/>
  <c r="H26" i="3"/>
  <c r="H410" i="3"/>
  <c r="H314" i="3"/>
  <c r="H115" i="3"/>
  <c r="H24" i="3"/>
  <c r="H408" i="3"/>
  <c r="H312" i="3"/>
  <c r="H112" i="3"/>
  <c r="H390" i="3"/>
  <c r="H310" i="3"/>
  <c r="H93" i="3"/>
  <c r="H20" i="3"/>
  <c r="N323" i="3"/>
  <c r="N203" i="3"/>
  <c r="N171" i="3"/>
  <c r="N319" i="3"/>
  <c r="N507" i="3"/>
  <c r="N166" i="3"/>
  <c r="N326" i="3"/>
  <c r="N483" i="3"/>
  <c r="N161" i="3"/>
  <c r="N482" i="3"/>
  <c r="N158" i="3"/>
  <c r="N28" i="3"/>
  <c r="N480" i="3"/>
  <c r="N72" i="3"/>
  <c r="H413" i="3"/>
  <c r="H346" i="3"/>
  <c r="H268" i="3"/>
  <c r="H71" i="3"/>
  <c r="H5" i="3"/>
  <c r="H345" i="3"/>
  <c r="H266" i="3"/>
  <c r="H69" i="3"/>
  <c r="H4" i="3"/>
  <c r="H48" i="3"/>
  <c r="H406" i="3"/>
  <c r="H382" i="3"/>
  <c r="H329" i="3"/>
  <c r="H220" i="3"/>
  <c r="H85" i="3"/>
  <c r="H64" i="3"/>
  <c r="H18" i="3"/>
  <c r="H404" i="3"/>
  <c r="H355" i="3"/>
  <c r="H304" i="3"/>
  <c r="H108" i="3"/>
  <c r="H39" i="3"/>
  <c r="N545" i="3"/>
  <c r="N273" i="3"/>
  <c r="H378" i="3"/>
  <c r="H325" i="3"/>
  <c r="H279" i="3"/>
  <c r="H106" i="3"/>
  <c r="H60" i="3"/>
  <c r="H14" i="3"/>
  <c r="N543" i="3"/>
  <c r="N269" i="3"/>
  <c r="H376" i="3"/>
  <c r="H352" i="3"/>
  <c r="H302" i="3"/>
  <c r="H277" i="3"/>
  <c r="H104" i="3"/>
  <c r="H58" i="3"/>
  <c r="H12" i="3"/>
  <c r="L298" i="3"/>
  <c r="L154" i="3"/>
  <c r="N540" i="3"/>
  <c r="N127" i="3"/>
  <c r="H398" i="3"/>
  <c r="H350" i="3"/>
  <c r="H300" i="3"/>
  <c r="H211" i="3"/>
  <c r="H56" i="3"/>
  <c r="L289" i="3"/>
  <c r="N538" i="3"/>
  <c r="N261" i="3"/>
  <c r="H372" i="3"/>
  <c r="H320" i="3"/>
  <c r="H274" i="3"/>
  <c r="H100" i="3"/>
  <c r="H55" i="3"/>
  <c r="H9" i="3"/>
  <c r="L288" i="3"/>
  <c r="L144" i="3"/>
  <c r="N513" i="3"/>
  <c r="N220" i="3"/>
  <c r="H2" i="3"/>
  <c r="H394" i="3"/>
  <c r="H370" i="3"/>
  <c r="H348" i="3"/>
  <c r="H318" i="3"/>
  <c r="H295" i="3"/>
  <c r="H272" i="3"/>
  <c r="H207" i="3"/>
  <c r="H98" i="3"/>
  <c r="H74" i="3"/>
  <c r="H54" i="3"/>
  <c r="H30" i="3"/>
  <c r="H8" i="3"/>
  <c r="N33" i="3"/>
  <c r="L287" i="3"/>
  <c r="L215" i="3"/>
  <c r="L143" i="3"/>
  <c r="L59" i="3"/>
  <c r="N511" i="3"/>
  <c r="N390" i="3"/>
  <c r="N211" i="3"/>
  <c r="N83" i="3"/>
  <c r="H357" i="3"/>
  <c r="H306" i="3"/>
  <c r="H283" i="3"/>
  <c r="H110" i="3"/>
  <c r="H41" i="3"/>
  <c r="H380" i="3"/>
  <c r="H327" i="3"/>
  <c r="H281" i="3"/>
  <c r="H217" i="3"/>
  <c r="H83" i="3"/>
  <c r="H62" i="3"/>
  <c r="H16" i="3"/>
  <c r="N66" i="3"/>
  <c r="N449" i="3"/>
  <c r="N132" i="3"/>
  <c r="H402" i="3"/>
  <c r="H353" i="3"/>
  <c r="H303" i="3"/>
  <c r="H215" i="3"/>
  <c r="H81" i="3"/>
  <c r="H37" i="3"/>
  <c r="N64" i="3"/>
  <c r="N446" i="3"/>
  <c r="N130" i="3"/>
  <c r="H400" i="3"/>
  <c r="H324" i="3"/>
  <c r="H213" i="3"/>
  <c r="H80" i="3"/>
  <c r="H35" i="3"/>
  <c r="N60" i="3"/>
  <c r="L226" i="3"/>
  <c r="L71" i="3"/>
  <c r="N442" i="3"/>
  <c r="N264" i="3"/>
  <c r="H374" i="3"/>
  <c r="H322" i="3"/>
  <c r="H275" i="3"/>
  <c r="H102" i="3"/>
  <c r="H78" i="3"/>
  <c r="H33" i="3"/>
  <c r="H10" i="3"/>
  <c r="N58" i="3"/>
  <c r="L217" i="3"/>
  <c r="L145" i="3"/>
  <c r="L61" i="3"/>
  <c r="N435" i="3"/>
  <c r="N124" i="3"/>
  <c r="H396" i="3"/>
  <c r="H349" i="3"/>
  <c r="H298" i="3"/>
  <c r="H209" i="3"/>
  <c r="H76" i="3"/>
  <c r="H31" i="3"/>
  <c r="N36" i="3"/>
  <c r="L216" i="3"/>
  <c r="L60" i="3"/>
  <c r="N393" i="3"/>
  <c r="N88" i="3"/>
  <c r="H415" i="3"/>
  <c r="H392" i="3"/>
  <c r="H367" i="3"/>
  <c r="H347" i="3"/>
  <c r="H316" i="3"/>
  <c r="H294" i="3"/>
  <c r="H270" i="3"/>
  <c r="H205" i="3"/>
  <c r="H95" i="3"/>
  <c r="H72" i="3"/>
  <c r="H52" i="3"/>
  <c r="H28" i="3"/>
  <c r="N31" i="3"/>
  <c r="L286" i="3"/>
  <c r="L214" i="3"/>
  <c r="L142" i="3"/>
  <c r="L49" i="3"/>
  <c r="N510" i="3"/>
  <c r="N386" i="3"/>
  <c r="N207" i="3"/>
  <c r="N77" i="3"/>
  <c r="R262" i="3"/>
  <c r="L240" i="3"/>
  <c r="L47" i="3"/>
  <c r="L311" i="3"/>
  <c r="L203" i="3"/>
  <c r="L37" i="3"/>
  <c r="L310" i="3"/>
  <c r="L238" i="3"/>
  <c r="L202" i="3"/>
  <c r="L166" i="3"/>
  <c r="L130" i="3"/>
  <c r="L84" i="3"/>
  <c r="L36" i="3"/>
  <c r="R264" i="3"/>
  <c r="R260" i="3"/>
  <c r="L276" i="3"/>
  <c r="L204" i="3"/>
  <c r="L168" i="3"/>
  <c r="L95" i="3"/>
  <c r="L275" i="3"/>
  <c r="L167" i="3"/>
  <c r="L85" i="3"/>
  <c r="L274" i="3"/>
  <c r="L301" i="3"/>
  <c r="L265" i="3"/>
  <c r="L229" i="3"/>
  <c r="L193" i="3"/>
  <c r="L157" i="3"/>
  <c r="L121" i="3"/>
  <c r="L83" i="3"/>
  <c r="L35" i="3"/>
  <c r="R242" i="3"/>
  <c r="R266" i="3"/>
  <c r="R369" i="3"/>
  <c r="R283" i="3"/>
  <c r="R371" i="3"/>
  <c r="R339" i="3"/>
  <c r="R395" i="3"/>
  <c r="R287" i="3"/>
  <c r="R373" i="3"/>
  <c r="R230" i="3"/>
  <c r="R289" i="3"/>
  <c r="R375" i="3"/>
  <c r="R232" i="3"/>
  <c r="R291" i="3"/>
  <c r="R391" i="3"/>
  <c r="R235" i="3"/>
  <c r="R294" i="3"/>
  <c r="R393" i="3"/>
  <c r="R237" i="3"/>
  <c r="R240" i="3"/>
  <c r="R341" i="3"/>
  <c r="R397" i="3"/>
  <c r="R258" i="3"/>
  <c r="L132" i="3"/>
  <c r="L239" i="3"/>
  <c r="L131" i="3"/>
  <c r="R399" i="3"/>
  <c r="R348" i="3"/>
  <c r="L300" i="3"/>
  <c r="L264" i="3"/>
  <c r="L228" i="3"/>
  <c r="L192" i="3"/>
  <c r="L156" i="3"/>
  <c r="L120" i="3"/>
  <c r="L73" i="3"/>
  <c r="L417" i="3"/>
  <c r="L14" i="3"/>
  <c r="L26" i="3"/>
  <c r="L38" i="3"/>
  <c r="L50" i="3"/>
  <c r="L62" i="3"/>
  <c r="L74" i="3"/>
  <c r="L86" i="3"/>
  <c r="L98" i="3"/>
  <c r="L110" i="3"/>
  <c r="L122" i="3"/>
  <c r="L134" i="3"/>
  <c r="L146" i="3"/>
  <c r="L158" i="3"/>
  <c r="L170" i="3"/>
  <c r="L182" i="3"/>
  <c r="L194" i="3"/>
  <c r="L206" i="3"/>
  <c r="L218" i="3"/>
  <c r="L230" i="3"/>
  <c r="L242" i="3"/>
  <c r="L254" i="3"/>
  <c r="L266" i="3"/>
  <c r="L278" i="3"/>
  <c r="L290" i="3"/>
  <c r="L302" i="3"/>
  <c r="L314" i="3"/>
  <c r="L3" i="3"/>
  <c r="L15" i="3"/>
  <c r="L27" i="3"/>
  <c r="L39" i="3"/>
  <c r="L51" i="3"/>
  <c r="L63" i="3"/>
  <c r="L75" i="3"/>
  <c r="L87" i="3"/>
  <c r="L99" i="3"/>
  <c r="L111" i="3"/>
  <c r="L123" i="3"/>
  <c r="L135" i="3"/>
  <c r="L147" i="3"/>
  <c r="L159" i="3"/>
  <c r="L171" i="3"/>
  <c r="L183" i="3"/>
  <c r="L195" i="3"/>
  <c r="L207" i="3"/>
  <c r="L219" i="3"/>
  <c r="L231" i="3"/>
  <c r="L243" i="3"/>
  <c r="L255" i="3"/>
  <c r="L267" i="3"/>
  <c r="L279" i="3"/>
  <c r="L291" i="3"/>
  <c r="L303" i="3"/>
  <c r="L315" i="3"/>
  <c r="L20" i="3"/>
  <c r="L44" i="3"/>
  <c r="L68" i="3"/>
  <c r="L92" i="3"/>
  <c r="L116" i="3"/>
  <c r="L140" i="3"/>
  <c r="L164" i="3"/>
  <c r="L188" i="3"/>
  <c r="L212" i="3"/>
  <c r="L236" i="3"/>
  <c r="L260" i="3"/>
  <c r="L284" i="3"/>
  <c r="L296" i="3"/>
  <c r="L308" i="3"/>
  <c r="L309" i="3"/>
  <c r="L4" i="3"/>
  <c r="L16" i="3"/>
  <c r="L28" i="3"/>
  <c r="L40" i="3"/>
  <c r="L52" i="3"/>
  <c r="L64" i="3"/>
  <c r="L76" i="3"/>
  <c r="L88" i="3"/>
  <c r="L100" i="3"/>
  <c r="L112" i="3"/>
  <c r="L124" i="3"/>
  <c r="L136" i="3"/>
  <c r="L148" i="3"/>
  <c r="L160" i="3"/>
  <c r="L172" i="3"/>
  <c r="L184" i="3"/>
  <c r="L196" i="3"/>
  <c r="L208" i="3"/>
  <c r="L220" i="3"/>
  <c r="L232" i="3"/>
  <c r="L244" i="3"/>
  <c r="L256" i="3"/>
  <c r="L268" i="3"/>
  <c r="L280" i="3"/>
  <c r="L292" i="3"/>
  <c r="L304" i="3"/>
  <c r="L316" i="3"/>
  <c r="L5" i="3"/>
  <c r="L17" i="3"/>
  <c r="L29" i="3"/>
  <c r="L41" i="3"/>
  <c r="L53" i="3"/>
  <c r="L65" i="3"/>
  <c r="L77" i="3"/>
  <c r="L89" i="3"/>
  <c r="L101" i="3"/>
  <c r="L113" i="3"/>
  <c r="L125" i="3"/>
  <c r="L137" i="3"/>
  <c r="L149" i="3"/>
  <c r="L161" i="3"/>
  <c r="L173" i="3"/>
  <c r="L185" i="3"/>
  <c r="L209" i="3"/>
  <c r="L221" i="3"/>
  <c r="L233" i="3"/>
  <c r="L245" i="3"/>
  <c r="L257" i="3"/>
  <c r="L269" i="3"/>
  <c r="L281" i="3"/>
  <c r="L293" i="3"/>
  <c r="L305" i="3"/>
  <c r="L22" i="3"/>
  <c r="L58" i="3"/>
  <c r="L94" i="3"/>
  <c r="L197" i="3"/>
  <c r="L6" i="3"/>
  <c r="L18" i="3"/>
  <c r="L30" i="3"/>
  <c r="L42" i="3"/>
  <c r="L54" i="3"/>
  <c r="L66" i="3"/>
  <c r="L78" i="3"/>
  <c r="L90" i="3"/>
  <c r="L102" i="3"/>
  <c r="L114" i="3"/>
  <c r="L126" i="3"/>
  <c r="L138" i="3"/>
  <c r="L150" i="3"/>
  <c r="L162" i="3"/>
  <c r="L174" i="3"/>
  <c r="L186" i="3"/>
  <c r="L198" i="3"/>
  <c r="L210" i="3"/>
  <c r="L222" i="3"/>
  <c r="L234" i="3"/>
  <c r="L246" i="3"/>
  <c r="L258" i="3"/>
  <c r="L270" i="3"/>
  <c r="L282" i="3"/>
  <c r="L294" i="3"/>
  <c r="L306" i="3"/>
  <c r="L7" i="3"/>
  <c r="L19" i="3"/>
  <c r="L31" i="3"/>
  <c r="L43" i="3"/>
  <c r="L55" i="3"/>
  <c r="L67" i="3"/>
  <c r="L79" i="3"/>
  <c r="L91" i="3"/>
  <c r="L103" i="3"/>
  <c r="L115" i="3"/>
  <c r="L127" i="3"/>
  <c r="L139" i="3"/>
  <c r="L151" i="3"/>
  <c r="L163" i="3"/>
  <c r="L175" i="3"/>
  <c r="L187" i="3"/>
  <c r="L199" i="3"/>
  <c r="L211" i="3"/>
  <c r="L223" i="3"/>
  <c r="L235" i="3"/>
  <c r="L247" i="3"/>
  <c r="L259" i="3"/>
  <c r="L271" i="3"/>
  <c r="L283" i="3"/>
  <c r="L295" i="3"/>
  <c r="L307" i="3"/>
  <c r="L8" i="3"/>
  <c r="L32" i="3"/>
  <c r="L56" i="3"/>
  <c r="L80" i="3"/>
  <c r="L104" i="3"/>
  <c r="L128" i="3"/>
  <c r="L152" i="3"/>
  <c r="L176" i="3"/>
  <c r="L200" i="3"/>
  <c r="L224" i="3"/>
  <c r="L248" i="3"/>
  <c r="L272" i="3"/>
  <c r="L9" i="3"/>
  <c r="L21" i="3"/>
  <c r="L33" i="3"/>
  <c r="L45" i="3"/>
  <c r="L57" i="3"/>
  <c r="L69" i="3"/>
  <c r="L81" i="3"/>
  <c r="L93" i="3"/>
  <c r="L105" i="3"/>
  <c r="L117" i="3"/>
  <c r="L129" i="3"/>
  <c r="L141" i="3"/>
  <c r="L153" i="3"/>
  <c r="L165" i="3"/>
  <c r="L177" i="3"/>
  <c r="L189" i="3"/>
  <c r="L201" i="3"/>
  <c r="L213" i="3"/>
  <c r="L225" i="3"/>
  <c r="L237" i="3"/>
  <c r="L249" i="3"/>
  <c r="L261" i="3"/>
  <c r="L273" i="3"/>
  <c r="L285" i="3"/>
  <c r="L297" i="3"/>
  <c r="L10" i="3"/>
  <c r="L34" i="3"/>
  <c r="L46" i="3"/>
  <c r="L70" i="3"/>
  <c r="L82" i="3"/>
  <c r="L106" i="3"/>
  <c r="R346" i="3"/>
  <c r="L299" i="3"/>
  <c r="L263" i="3"/>
  <c r="L227" i="3"/>
  <c r="L191" i="3"/>
  <c r="L155" i="3"/>
  <c r="L119" i="3"/>
  <c r="L72" i="3"/>
  <c r="L24" i="3"/>
  <c r="N55" i="3"/>
  <c r="N26" i="3"/>
  <c r="N534" i="3"/>
  <c r="N505" i="3"/>
  <c r="N474" i="3"/>
  <c r="N430" i="3"/>
  <c r="N372" i="3"/>
  <c r="N311" i="3"/>
  <c r="N255" i="3"/>
  <c r="N201" i="3"/>
  <c r="N154" i="3"/>
  <c r="N122" i="3"/>
  <c r="N67" i="3"/>
  <c r="N24" i="3"/>
  <c r="N502" i="3"/>
  <c r="N427" i="3"/>
  <c r="N307" i="3"/>
  <c r="N195" i="3"/>
  <c r="N119" i="3"/>
  <c r="N50" i="3"/>
  <c r="N21" i="3"/>
  <c r="N529" i="3"/>
  <c r="N501" i="3"/>
  <c r="N468" i="3"/>
  <c r="N422" i="3"/>
  <c r="N359" i="3"/>
  <c r="N300" i="3"/>
  <c r="N248" i="3"/>
  <c r="N190" i="3"/>
  <c r="N149" i="3"/>
  <c r="N117" i="3"/>
  <c r="N57" i="3"/>
  <c r="N48" i="3"/>
  <c r="N19" i="3"/>
  <c r="N526" i="3"/>
  <c r="N499" i="3"/>
  <c r="N464" i="3"/>
  <c r="N417" i="3"/>
  <c r="N355" i="3"/>
  <c r="N295" i="3"/>
  <c r="N245" i="3"/>
  <c r="N187" i="3"/>
  <c r="N146" i="3"/>
  <c r="N114" i="3"/>
  <c r="N52" i="3"/>
  <c r="N291" i="3"/>
  <c r="N46" i="3"/>
  <c r="N17" i="3"/>
  <c r="N523" i="3"/>
  <c r="N497" i="3"/>
  <c r="N462" i="3"/>
  <c r="N413" i="3"/>
  <c r="N349" i="3"/>
  <c r="N240" i="3"/>
  <c r="N184" i="3"/>
  <c r="N143" i="3"/>
  <c r="N108" i="3"/>
  <c r="N47" i="3"/>
  <c r="N44" i="3"/>
  <c r="N14" i="3"/>
  <c r="N519" i="3"/>
  <c r="N494" i="3"/>
  <c r="N459" i="3"/>
  <c r="N409" i="3"/>
  <c r="N344" i="3"/>
  <c r="N286" i="3"/>
  <c r="N234" i="3"/>
  <c r="N182" i="3"/>
  <c r="N141" i="3"/>
  <c r="N104" i="3"/>
  <c r="N42" i="3"/>
  <c r="N53" i="3"/>
  <c r="N531" i="3"/>
  <c r="N471" i="3"/>
  <c r="N366" i="3"/>
  <c r="N252" i="3"/>
  <c r="N152" i="3"/>
  <c r="N62" i="3"/>
  <c r="N40" i="3"/>
  <c r="N12" i="3"/>
  <c r="N517" i="3"/>
  <c r="N491" i="3"/>
  <c r="N455" i="3"/>
  <c r="N404" i="3"/>
  <c r="N340" i="3"/>
  <c r="N281" i="3"/>
  <c r="N229" i="3"/>
  <c r="N177" i="3"/>
  <c r="N138" i="3"/>
  <c r="N99" i="3"/>
  <c r="N35" i="3"/>
  <c r="N68" i="3"/>
  <c r="N38" i="3"/>
  <c r="N10" i="3"/>
  <c r="N515" i="3"/>
  <c r="N486" i="3"/>
  <c r="N452" i="3"/>
  <c r="N399" i="3"/>
  <c r="N333" i="3"/>
  <c r="N277" i="3"/>
  <c r="N224" i="3"/>
  <c r="N174" i="3"/>
  <c r="N135" i="3"/>
  <c r="N93" i="3"/>
  <c r="N30" i="3"/>
  <c r="R365" i="3"/>
  <c r="R281" i="3"/>
  <c r="R256" i="3"/>
  <c r="R411" i="3"/>
  <c r="R387" i="3"/>
  <c r="R363" i="3"/>
  <c r="R307" i="3"/>
  <c r="R279" i="3"/>
  <c r="R254" i="3"/>
  <c r="R361" i="3"/>
  <c r="R413" i="3"/>
  <c r="R389" i="3"/>
  <c r="R310" i="3"/>
  <c r="R409" i="3"/>
  <c r="R385" i="3"/>
  <c r="R305" i="3"/>
  <c r="R276" i="3"/>
  <c r="R252" i="3"/>
  <c r="R407" i="3"/>
  <c r="R383" i="3"/>
  <c r="R359" i="3"/>
  <c r="R302" i="3"/>
  <c r="R274" i="3"/>
  <c r="R248" i="3"/>
  <c r="R405" i="3"/>
  <c r="R355" i="3"/>
  <c r="R300" i="3"/>
  <c r="R272" i="3"/>
  <c r="R246" i="3"/>
  <c r="R403" i="3"/>
  <c r="R379" i="3"/>
  <c r="R353" i="3"/>
  <c r="R298" i="3"/>
  <c r="R270" i="3"/>
  <c r="R244" i="3"/>
  <c r="R381" i="3"/>
  <c r="R401" i="3"/>
  <c r="R377" i="3"/>
  <c r="R350" i="3"/>
  <c r="R296" i="3"/>
  <c r="R268" i="3"/>
  <c r="N156" i="3"/>
  <c r="N163" i="3"/>
  <c r="N168" i="3"/>
  <c r="N172" i="3"/>
  <c r="N175" i="3"/>
  <c r="N179" i="3"/>
  <c r="N183" i="3"/>
  <c r="N186" i="3"/>
  <c r="N191" i="3"/>
  <c r="N197" i="3"/>
  <c r="N200" i="3"/>
  <c r="N202" i="3"/>
  <c r="N205" i="3"/>
  <c r="N209" i="3"/>
  <c r="N213" i="3"/>
  <c r="N218" i="3"/>
  <c r="N225" i="3"/>
  <c r="N231" i="3"/>
  <c r="N238" i="3"/>
  <c r="N243" i="3"/>
  <c r="N247" i="3"/>
  <c r="N251" i="3"/>
  <c r="N258" i="3"/>
  <c r="N262" i="3"/>
  <c r="N266" i="3"/>
  <c r="N270" i="3"/>
  <c r="N274" i="3"/>
  <c r="N279" i="3"/>
  <c r="N284" i="3"/>
  <c r="N288" i="3"/>
  <c r="N292" i="3"/>
  <c r="N296" i="3"/>
  <c r="L414" i="3"/>
  <c r="L416" i="3"/>
  <c r="R415" i="3"/>
  <c r="R417" i="3"/>
  <c r="R419" i="3"/>
  <c r="R421" i="3"/>
  <c r="R423" i="3"/>
  <c r="R425" i="3"/>
  <c r="R427" i="3"/>
  <c r="R429" i="3"/>
  <c r="R431" i="3"/>
  <c r="R433" i="3"/>
  <c r="R435" i="3"/>
  <c r="R437" i="3"/>
  <c r="R439" i="3"/>
  <c r="R441" i="3"/>
  <c r="R443" i="3"/>
  <c r="R445" i="3"/>
  <c r="R447" i="3"/>
  <c r="R449" i="3"/>
  <c r="R451" i="3"/>
  <c r="R454" i="3"/>
  <c r="R456" i="3"/>
  <c r="R458" i="3"/>
  <c r="R460" i="3"/>
  <c r="R462" i="3"/>
  <c r="R464" i="3"/>
  <c r="R466" i="3"/>
  <c r="R468" i="3"/>
  <c r="R470" i="3"/>
  <c r="R472" i="3"/>
  <c r="R474" i="3"/>
  <c r="R476" i="3"/>
  <c r="R478" i="3"/>
  <c r="R480" i="3"/>
  <c r="R482" i="3"/>
  <c r="R484" i="3"/>
  <c r="R486" i="3"/>
  <c r="R488" i="3"/>
  <c r="R490" i="3"/>
  <c r="R492" i="3"/>
  <c r="R494" i="3"/>
  <c r="R496" i="3"/>
  <c r="R498" i="3"/>
  <c r="R500" i="3"/>
  <c r="R502" i="3"/>
  <c r="R504" i="3"/>
  <c r="R506" i="3"/>
  <c r="R508" i="3"/>
  <c r="R510" i="3"/>
  <c r="R512" i="3"/>
  <c r="R514" i="3"/>
  <c r="R516" i="3"/>
  <c r="R518" i="3"/>
  <c r="R520" i="3"/>
  <c r="R522" i="3"/>
  <c r="R524" i="3"/>
  <c r="R526" i="3"/>
  <c r="R528" i="3"/>
  <c r="R530" i="3"/>
  <c r="R532" i="3"/>
  <c r="R534" i="3"/>
  <c r="R536" i="3"/>
  <c r="R538" i="3"/>
  <c r="R540" i="3"/>
  <c r="R542" i="3"/>
  <c r="R544" i="3"/>
  <c r="R3" i="3"/>
  <c r="R5" i="3"/>
  <c r="R7" i="3"/>
  <c r="R9" i="3"/>
  <c r="R11" i="3"/>
  <c r="R13" i="3"/>
  <c r="R15" i="3"/>
  <c r="R17" i="3"/>
  <c r="R19" i="3"/>
  <c r="R21" i="3"/>
  <c r="R23" i="3"/>
  <c r="R25" i="3"/>
  <c r="R28" i="3"/>
  <c r="R30" i="3"/>
  <c r="R32" i="3"/>
  <c r="R34" i="3"/>
  <c r="R36" i="3"/>
  <c r="R38" i="3"/>
  <c r="R40" i="3"/>
  <c r="R42" i="3"/>
  <c r="R44" i="3"/>
  <c r="R46" i="3"/>
  <c r="R48" i="3"/>
  <c r="R50" i="3"/>
  <c r="R52" i="3"/>
  <c r="R54" i="3"/>
  <c r="R56" i="3"/>
  <c r="R58" i="3"/>
  <c r="R60" i="3"/>
  <c r="R62" i="3"/>
  <c r="R64" i="3"/>
  <c r="R66" i="3"/>
  <c r="R68" i="3"/>
  <c r="R70" i="3"/>
  <c r="R72" i="3"/>
  <c r="R74" i="3"/>
  <c r="R76" i="3"/>
  <c r="R78" i="3"/>
  <c r="R80" i="3"/>
  <c r="R81" i="3"/>
  <c r="R83" i="3"/>
  <c r="R85" i="3"/>
  <c r="R87" i="3"/>
  <c r="R89" i="3"/>
  <c r="R91" i="3"/>
  <c r="R93" i="3"/>
  <c r="R95" i="3"/>
  <c r="R97" i="3"/>
  <c r="R99" i="3"/>
  <c r="R101" i="3"/>
  <c r="R103" i="3"/>
  <c r="R105" i="3"/>
  <c r="R107" i="3"/>
  <c r="R109" i="3"/>
  <c r="R111" i="3"/>
  <c r="R113" i="3"/>
  <c r="R115" i="3"/>
  <c r="R117" i="3"/>
  <c r="R119" i="3"/>
  <c r="R121" i="3"/>
  <c r="R123" i="3"/>
  <c r="R125" i="3"/>
  <c r="R127" i="3"/>
  <c r="R129" i="3"/>
  <c r="R151" i="3"/>
  <c r="R153" i="3"/>
  <c r="R155" i="3"/>
  <c r="R157" i="3"/>
  <c r="R159" i="3"/>
  <c r="R161" i="3"/>
  <c r="R163" i="3"/>
  <c r="R165" i="3"/>
  <c r="R167" i="3"/>
  <c r="R169" i="3"/>
  <c r="R172" i="3"/>
  <c r="R174" i="3"/>
  <c r="R176" i="3"/>
  <c r="R178" i="3"/>
  <c r="R180" i="3"/>
  <c r="R182" i="3"/>
  <c r="R184" i="3"/>
  <c r="R186" i="3"/>
  <c r="R188" i="3"/>
  <c r="R190" i="3"/>
  <c r="R193" i="3"/>
  <c r="R195" i="3"/>
  <c r="R199" i="3"/>
  <c r="R201" i="3"/>
  <c r="R203" i="3"/>
  <c r="R205" i="3"/>
  <c r="R209" i="3"/>
  <c r="R211" i="3"/>
  <c r="R213" i="3"/>
  <c r="R216" i="3"/>
  <c r="R218" i="3"/>
  <c r="R221" i="3"/>
  <c r="R223" i="3"/>
  <c r="R225" i="3"/>
  <c r="R227" i="3"/>
  <c r="R229" i="3"/>
  <c r="R231" i="3"/>
  <c r="R234" i="3"/>
  <c r="R236" i="3"/>
  <c r="R239" i="3"/>
  <c r="R241" i="3"/>
  <c r="R245" i="3"/>
  <c r="R247" i="3"/>
  <c r="R249" i="3"/>
  <c r="R251" i="3"/>
  <c r="R253" i="3"/>
  <c r="R257" i="3"/>
  <c r="R259" i="3"/>
  <c r="R263" i="3"/>
  <c r="R267" i="3"/>
  <c r="R269" i="3"/>
  <c r="R271" i="3"/>
  <c r="R275" i="3"/>
  <c r="N188" i="3"/>
  <c r="N212" i="3"/>
  <c r="N232" i="3"/>
  <c r="N242" i="3"/>
  <c r="N260" i="3"/>
  <c r="N268" i="3"/>
  <c r="N282" i="3"/>
  <c r="N302" i="3"/>
  <c r="N309" i="3"/>
  <c r="N320" i="3"/>
  <c r="N328" i="3"/>
  <c r="N338" i="3"/>
  <c r="N347" i="3"/>
  <c r="N364" i="3"/>
  <c r="N375" i="3"/>
  <c r="N396" i="3"/>
  <c r="N481" i="3"/>
  <c r="N500" i="3"/>
  <c r="N506" i="3"/>
  <c r="N514" i="3"/>
  <c r="N527" i="3"/>
  <c r="N536" i="3"/>
  <c r="R171" i="3"/>
  <c r="R197" i="3"/>
  <c r="R207" i="3"/>
  <c r="R233" i="3"/>
  <c r="R243" i="3"/>
  <c r="R255" i="3"/>
  <c r="R273" i="3"/>
  <c r="R292" i="3"/>
  <c r="R309" i="3"/>
  <c r="R317" i="3"/>
  <c r="R324" i="3"/>
  <c r="R331" i="3"/>
  <c r="R344" i="3"/>
  <c r="R357" i="3"/>
  <c r="R277" i="3"/>
  <c r="R280" i="3"/>
  <c r="R282" i="3"/>
  <c r="R284" i="3"/>
  <c r="R286" i="3"/>
  <c r="R288" i="3"/>
  <c r="R290" i="3"/>
  <c r="R293" i="3"/>
  <c r="R295" i="3"/>
  <c r="R299" i="3"/>
  <c r="R301" i="3"/>
  <c r="R303" i="3"/>
  <c r="R306" i="3"/>
  <c r="R308" i="3"/>
  <c r="R311" i="3"/>
  <c r="R312" i="3"/>
  <c r="R314" i="3"/>
  <c r="R315" i="3"/>
  <c r="R316" i="3"/>
  <c r="R318" i="3"/>
  <c r="R319" i="3"/>
  <c r="R321" i="3"/>
  <c r="R323" i="3"/>
  <c r="R325" i="3"/>
  <c r="R326" i="3"/>
  <c r="R327" i="3"/>
  <c r="R329" i="3"/>
  <c r="R330" i="3"/>
  <c r="R332" i="3"/>
  <c r="R333" i="3"/>
  <c r="R335" i="3"/>
  <c r="R336" i="3"/>
  <c r="R338" i="3"/>
  <c r="R340" i="3"/>
  <c r="R342" i="3"/>
  <c r="R345" i="3"/>
  <c r="R347" i="3"/>
  <c r="R349" i="3"/>
  <c r="R351" i="3"/>
  <c r="R354" i="3"/>
  <c r="R356" i="3"/>
  <c r="R358" i="3"/>
  <c r="R360" i="3"/>
  <c r="R362" i="3"/>
  <c r="R364" i="3"/>
  <c r="R366" i="3"/>
  <c r="R368" i="3"/>
  <c r="R370" i="3"/>
  <c r="R372" i="3"/>
  <c r="R374" i="3"/>
  <c r="R376" i="3"/>
  <c r="R378" i="3"/>
  <c r="R380" i="3"/>
  <c r="R382" i="3"/>
  <c r="R384" i="3"/>
  <c r="R386" i="3"/>
  <c r="R388" i="3"/>
  <c r="R390" i="3"/>
  <c r="R392" i="3"/>
  <c r="R394" i="3"/>
  <c r="R396" i="3"/>
  <c r="R398" i="3"/>
  <c r="R400" i="3"/>
  <c r="R402" i="3"/>
  <c r="R404" i="3"/>
  <c r="R406" i="3"/>
  <c r="R408" i="3"/>
  <c r="R410" i="3"/>
  <c r="R412" i="3"/>
  <c r="R414" i="3"/>
  <c r="N4" i="3"/>
  <c r="N5" i="3"/>
  <c r="N9" i="3"/>
  <c r="N11" i="3"/>
  <c r="N13" i="3"/>
  <c r="N15" i="3"/>
  <c r="N18" i="3"/>
  <c r="N20" i="3"/>
  <c r="N22" i="3"/>
  <c r="N25" i="3"/>
  <c r="N27" i="3"/>
  <c r="N29" i="3"/>
  <c r="N32" i="3"/>
  <c r="N34" i="3"/>
  <c r="N37" i="3"/>
  <c r="N39" i="3"/>
  <c r="N41" i="3"/>
  <c r="N43" i="3"/>
  <c r="N45" i="3"/>
  <c r="N49" i="3"/>
  <c r="N51" i="3"/>
  <c r="N54" i="3"/>
  <c r="N56" i="3"/>
  <c r="N59" i="3"/>
  <c r="N61" i="3"/>
  <c r="N63" i="3"/>
  <c r="N65" i="3"/>
  <c r="N69" i="3"/>
  <c r="N71" i="3"/>
  <c r="N73" i="3"/>
  <c r="N75" i="3"/>
  <c r="N79" i="3"/>
  <c r="N81" i="3"/>
  <c r="N85" i="3"/>
  <c r="N87" i="3"/>
  <c r="N89" i="3"/>
  <c r="N91" i="3"/>
  <c r="N94" i="3"/>
  <c r="N96" i="3"/>
  <c r="N98" i="3"/>
  <c r="N101" i="3"/>
  <c r="N103" i="3"/>
  <c r="N105" i="3"/>
  <c r="N107" i="3"/>
  <c r="N109" i="3"/>
  <c r="N111" i="3"/>
  <c r="N113" i="3"/>
  <c r="N115" i="3"/>
  <c r="N116" i="3"/>
  <c r="N118" i="3"/>
  <c r="N120" i="3"/>
  <c r="N121" i="3"/>
  <c r="N123" i="3"/>
  <c r="N125" i="3"/>
  <c r="N126" i="3"/>
  <c r="N128" i="3"/>
  <c r="N129" i="3"/>
  <c r="N131" i="3"/>
  <c r="N133" i="3"/>
  <c r="N134" i="3"/>
  <c r="N136" i="3"/>
  <c r="N137" i="3"/>
  <c r="N139" i="3"/>
  <c r="N140" i="3"/>
  <c r="N142" i="3"/>
  <c r="N144" i="3"/>
  <c r="N145" i="3"/>
  <c r="N147" i="3"/>
  <c r="N148" i="3"/>
  <c r="N150" i="3"/>
  <c r="N151" i="3"/>
  <c r="N153" i="3"/>
  <c r="N155" i="3"/>
  <c r="N157" i="3"/>
  <c r="N159" i="3"/>
  <c r="N160" i="3"/>
  <c r="N164" i="3"/>
  <c r="N165" i="3"/>
  <c r="N167" i="3"/>
  <c r="N169" i="3"/>
  <c r="N170" i="3"/>
  <c r="N173" i="3"/>
  <c r="N176" i="3"/>
  <c r="N178" i="3"/>
  <c r="N180" i="3"/>
  <c r="N185" i="3"/>
  <c r="N189" i="3"/>
  <c r="N192" i="3"/>
  <c r="N194" i="3"/>
  <c r="N196" i="3"/>
  <c r="N199" i="3"/>
  <c r="N204" i="3"/>
  <c r="N206" i="3"/>
  <c r="N208" i="3"/>
  <c r="N210" i="3"/>
  <c r="N214" i="3"/>
  <c r="N215" i="3"/>
  <c r="N217" i="3"/>
  <c r="N219" i="3"/>
  <c r="N221" i="3"/>
  <c r="N223" i="3"/>
  <c r="N226" i="3"/>
  <c r="N346" i="3"/>
  <c r="N350" i="3"/>
  <c r="N357" i="3"/>
  <c r="N361" i="3"/>
  <c r="N369" i="3"/>
  <c r="N371" i="3"/>
  <c r="N376" i="3"/>
  <c r="N380" i="3"/>
  <c r="N384" i="3"/>
  <c r="N391" i="3"/>
  <c r="N394" i="3"/>
  <c r="N400" i="3"/>
  <c r="N402" i="3"/>
  <c r="N406" i="3"/>
  <c r="N411" i="3"/>
  <c r="N414" i="3"/>
  <c r="N416" i="3"/>
  <c r="N162" i="3"/>
  <c r="N193" i="3"/>
  <c r="N198" i="3"/>
  <c r="N216" i="3"/>
  <c r="N227" i="3"/>
  <c r="N236" i="3"/>
  <c r="N256" i="3"/>
  <c r="N272" i="3"/>
  <c r="N289" i="3"/>
  <c r="N298" i="3"/>
  <c r="N305" i="3"/>
  <c r="N316" i="3"/>
  <c r="N324" i="3"/>
  <c r="N335" i="3"/>
  <c r="N342" i="3"/>
  <c r="N360" i="3"/>
  <c r="N367" i="3"/>
  <c r="N389" i="3"/>
  <c r="N466" i="3"/>
  <c r="N498" i="3"/>
  <c r="N503" i="3"/>
  <c r="N512" i="3"/>
  <c r="N516" i="3"/>
  <c r="N518" i="3"/>
  <c r="N521" i="3"/>
  <c r="N533" i="3"/>
  <c r="N539" i="3"/>
  <c r="R191" i="3"/>
  <c r="R202" i="3"/>
  <c r="R214" i="3"/>
  <c r="R228" i="3"/>
  <c r="R238" i="3"/>
  <c r="R250" i="3"/>
  <c r="R261" i="3"/>
  <c r="R278" i="3"/>
  <c r="R285" i="3"/>
  <c r="R304" i="3"/>
  <c r="R313" i="3"/>
  <c r="R322" i="3"/>
  <c r="R328" i="3"/>
  <c r="R337" i="3"/>
  <c r="R352" i="3"/>
  <c r="N228" i="3"/>
  <c r="N230" i="3"/>
  <c r="N233" i="3"/>
  <c r="N235" i="3"/>
  <c r="N237" i="3"/>
  <c r="N239" i="3"/>
  <c r="N241" i="3"/>
  <c r="N244" i="3"/>
  <c r="N246" i="3"/>
  <c r="N249" i="3"/>
  <c r="N253" i="3"/>
  <c r="N254" i="3"/>
  <c r="N257" i="3"/>
  <c r="N259" i="3"/>
  <c r="N263" i="3"/>
  <c r="N265" i="3"/>
  <c r="N267" i="3"/>
  <c r="N271" i="3"/>
  <c r="N275" i="3"/>
  <c r="N278" i="3"/>
  <c r="N280" i="3"/>
  <c r="N283" i="3"/>
  <c r="N285" i="3"/>
  <c r="N287" i="3"/>
  <c r="N290" i="3"/>
  <c r="N293" i="3"/>
  <c r="N294" i="3"/>
  <c r="N297" i="3"/>
  <c r="N299" i="3"/>
  <c r="N301" i="3"/>
  <c r="N303" i="3"/>
  <c r="N304" i="3"/>
  <c r="N306" i="3"/>
  <c r="N308" i="3"/>
  <c r="N310" i="3"/>
  <c r="N312" i="3"/>
  <c r="N314" i="3"/>
  <c r="N315" i="3"/>
  <c r="N317" i="3"/>
  <c r="N318" i="3"/>
  <c r="N321" i="3"/>
  <c r="N322" i="3"/>
  <c r="N325" i="3"/>
  <c r="N327" i="3"/>
  <c r="N329" i="3"/>
  <c r="N332" i="3"/>
  <c r="N334" i="3"/>
  <c r="N336" i="3"/>
  <c r="N337" i="3"/>
  <c r="N339" i="3"/>
  <c r="N341" i="3"/>
  <c r="N343" i="3"/>
  <c r="N353" i="3"/>
  <c r="N363" i="3"/>
  <c r="N373" i="3"/>
  <c r="N382" i="3"/>
  <c r="N388" i="3"/>
  <c r="N397" i="3"/>
  <c r="N408" i="3"/>
  <c r="N419" i="3"/>
  <c r="N181" i="3"/>
  <c r="N222" i="3"/>
  <c r="N250" i="3"/>
  <c r="N276" i="3"/>
  <c r="N313" i="3"/>
  <c r="N331" i="3"/>
  <c r="N351" i="3"/>
  <c r="N381" i="3"/>
  <c r="N488" i="3"/>
  <c r="N509" i="3"/>
  <c r="N524" i="3"/>
  <c r="N541" i="3"/>
  <c r="R219" i="3"/>
  <c r="R265" i="3"/>
  <c r="R297" i="3"/>
  <c r="R320" i="3"/>
  <c r="R334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5" i="3"/>
  <c r="H417" i="3"/>
  <c r="R416" i="3"/>
  <c r="R418" i="3"/>
  <c r="R420" i="3"/>
  <c r="R422" i="3"/>
  <c r="R424" i="3"/>
  <c r="R426" i="3"/>
  <c r="R428" i="3"/>
  <c r="R430" i="3"/>
  <c r="R432" i="3"/>
  <c r="R434" i="3"/>
  <c r="R436" i="3"/>
  <c r="R438" i="3"/>
  <c r="R440" i="3"/>
  <c r="R442" i="3"/>
  <c r="R444" i="3"/>
  <c r="R446" i="3"/>
  <c r="R448" i="3"/>
  <c r="R450" i="3"/>
  <c r="R452" i="3"/>
  <c r="R453" i="3"/>
  <c r="R455" i="3"/>
  <c r="R457" i="3"/>
  <c r="R459" i="3"/>
  <c r="R461" i="3"/>
  <c r="R463" i="3"/>
  <c r="R465" i="3"/>
  <c r="R467" i="3"/>
  <c r="R469" i="3"/>
  <c r="R471" i="3"/>
  <c r="R473" i="3"/>
  <c r="R475" i="3"/>
  <c r="R477" i="3"/>
  <c r="R479" i="3"/>
  <c r="R481" i="3"/>
  <c r="R483" i="3"/>
  <c r="R485" i="3"/>
  <c r="R487" i="3"/>
  <c r="R489" i="3"/>
  <c r="R491" i="3"/>
  <c r="R493" i="3"/>
  <c r="R495" i="3"/>
  <c r="R497" i="3"/>
  <c r="R499" i="3"/>
  <c r="R501" i="3"/>
  <c r="R503" i="3"/>
  <c r="R505" i="3"/>
  <c r="R507" i="3"/>
  <c r="R509" i="3"/>
  <c r="R511" i="3"/>
  <c r="R513" i="3"/>
  <c r="R515" i="3"/>
  <c r="R517" i="3"/>
  <c r="R519" i="3"/>
  <c r="R521" i="3"/>
  <c r="R523" i="3"/>
  <c r="R525" i="3"/>
  <c r="R527" i="3"/>
  <c r="R529" i="3"/>
  <c r="R531" i="3"/>
  <c r="R533" i="3"/>
  <c r="R535" i="3"/>
  <c r="R537" i="3"/>
  <c r="R539" i="3"/>
  <c r="R541" i="3"/>
  <c r="R543" i="3"/>
  <c r="R545" i="3"/>
  <c r="R4" i="3"/>
  <c r="R6" i="3"/>
  <c r="R8" i="3"/>
  <c r="R10" i="3"/>
  <c r="R12" i="3"/>
  <c r="R14" i="3"/>
  <c r="R16" i="3"/>
  <c r="R18" i="3"/>
  <c r="R20" i="3"/>
  <c r="R22" i="3"/>
  <c r="R24" i="3"/>
  <c r="R26" i="3"/>
  <c r="R27" i="3"/>
  <c r="R29" i="3"/>
  <c r="R31" i="3"/>
  <c r="R33" i="3"/>
  <c r="R35" i="3"/>
  <c r="R37" i="3"/>
  <c r="R39" i="3"/>
  <c r="R41" i="3"/>
  <c r="R43" i="3"/>
  <c r="R45" i="3"/>
  <c r="R47" i="3"/>
  <c r="R49" i="3"/>
  <c r="R51" i="3"/>
  <c r="R53" i="3"/>
  <c r="R55" i="3"/>
  <c r="R57" i="3"/>
  <c r="R59" i="3"/>
  <c r="R61" i="3"/>
  <c r="R63" i="3"/>
  <c r="R65" i="3"/>
  <c r="R67" i="3"/>
  <c r="R69" i="3"/>
  <c r="R71" i="3"/>
  <c r="R73" i="3"/>
  <c r="R75" i="3"/>
  <c r="R77" i="3"/>
  <c r="R79" i="3"/>
  <c r="R82" i="3"/>
  <c r="R84" i="3"/>
  <c r="R86" i="3"/>
  <c r="R88" i="3"/>
  <c r="R90" i="3"/>
  <c r="R92" i="3"/>
  <c r="R94" i="3"/>
  <c r="R96" i="3"/>
  <c r="R98" i="3"/>
  <c r="R100" i="3"/>
  <c r="R102" i="3"/>
  <c r="R104" i="3"/>
  <c r="R106" i="3"/>
  <c r="R108" i="3"/>
  <c r="R110" i="3"/>
  <c r="R112" i="3"/>
  <c r="R114" i="3"/>
  <c r="R116" i="3"/>
  <c r="R118" i="3"/>
  <c r="R120" i="3"/>
  <c r="R122" i="3"/>
  <c r="R124" i="3"/>
  <c r="R126" i="3"/>
  <c r="R128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2" i="3"/>
  <c r="R154" i="3"/>
  <c r="R156" i="3"/>
  <c r="R158" i="3"/>
  <c r="R160" i="3"/>
  <c r="R162" i="3"/>
  <c r="R164" i="3"/>
  <c r="R166" i="3"/>
  <c r="R168" i="3"/>
  <c r="R170" i="3"/>
  <c r="R173" i="3"/>
  <c r="R175" i="3"/>
  <c r="R177" i="3"/>
  <c r="R179" i="3"/>
  <c r="R181" i="3"/>
  <c r="R183" i="3"/>
  <c r="R185" i="3"/>
  <c r="R187" i="3"/>
  <c r="R189" i="3"/>
  <c r="R192" i="3"/>
  <c r="R194" i="3"/>
  <c r="R196" i="3"/>
  <c r="R198" i="3"/>
  <c r="R200" i="3"/>
  <c r="R204" i="3"/>
  <c r="R206" i="3"/>
  <c r="R208" i="3"/>
  <c r="R210" i="3"/>
  <c r="R212" i="3"/>
  <c r="R215" i="3"/>
  <c r="R217" i="3"/>
  <c r="R220" i="3"/>
  <c r="R222" i="3"/>
  <c r="R224" i="3"/>
  <c r="R226" i="3"/>
  <c r="N70" i="3"/>
  <c r="N74" i="3"/>
  <c r="N76" i="3"/>
  <c r="N78" i="3"/>
  <c r="N80" i="3"/>
  <c r="N82" i="3"/>
  <c r="N84" i="3"/>
  <c r="N86" i="3"/>
  <c r="N90" i="3"/>
  <c r="N92" i="3"/>
  <c r="N95" i="3"/>
  <c r="N97" i="3"/>
  <c r="N100" i="3"/>
  <c r="N102" i="3"/>
  <c r="N106" i="3"/>
  <c r="N110" i="3"/>
  <c r="N112" i="3"/>
  <c r="N345" i="3"/>
  <c r="N348" i="3"/>
  <c r="N352" i="3"/>
  <c r="N354" i="3"/>
  <c r="N356" i="3"/>
  <c r="N358" i="3"/>
  <c r="N362" i="3"/>
  <c r="N365" i="3"/>
  <c r="N368" i="3"/>
  <c r="N370" i="3"/>
  <c r="N374" i="3"/>
  <c r="N377" i="3"/>
  <c r="N379" i="3"/>
  <c r="N383" i="3"/>
  <c r="N385" i="3"/>
  <c r="N387" i="3"/>
  <c r="N392" i="3"/>
  <c r="N395" i="3"/>
  <c r="N398" i="3"/>
  <c r="N401" i="3"/>
  <c r="N403" i="3"/>
  <c r="N405" i="3"/>
  <c r="N407" i="3"/>
  <c r="N410" i="3"/>
  <c r="N412" i="3"/>
  <c r="N415" i="3"/>
  <c r="N418" i="3"/>
  <c r="N420" i="3"/>
  <c r="N423" i="3"/>
  <c r="N424" i="3"/>
  <c r="N425" i="3"/>
  <c r="N426" i="3"/>
  <c r="N428" i="3"/>
  <c r="N429" i="3"/>
  <c r="N431" i="3"/>
  <c r="N432" i="3"/>
  <c r="N433" i="3"/>
  <c r="N434" i="3"/>
  <c r="N436" i="3"/>
  <c r="N437" i="3"/>
  <c r="N438" i="3"/>
  <c r="N439" i="3"/>
  <c r="N440" i="3"/>
  <c r="N441" i="3"/>
  <c r="N443" i="3"/>
  <c r="N444" i="3"/>
  <c r="N445" i="3"/>
  <c r="N447" i="3"/>
  <c r="N448" i="3"/>
  <c r="N450" i="3"/>
  <c r="N451" i="3"/>
  <c r="N453" i="3"/>
  <c r="N454" i="3"/>
  <c r="N456" i="3"/>
  <c r="N457" i="3"/>
  <c r="N458" i="3"/>
  <c r="N460" i="3"/>
  <c r="N461" i="3"/>
  <c r="N463" i="3"/>
  <c r="N465" i="3"/>
  <c r="N467" i="3"/>
  <c r="N469" i="3"/>
  <c r="N470" i="3"/>
  <c r="N472" i="3"/>
  <c r="N473" i="3"/>
  <c r="N475" i="3"/>
  <c r="N476" i="3"/>
  <c r="N478" i="3"/>
  <c r="N479" i="3"/>
  <c r="N484" i="3"/>
  <c r="N485" i="3"/>
  <c r="N487" i="3"/>
  <c r="N489" i="3"/>
  <c r="N490" i="3"/>
  <c r="N492" i="3"/>
  <c r="N493" i="3"/>
  <c r="N495" i="3"/>
  <c r="N496" i="3"/>
  <c r="N504" i="3"/>
  <c r="N508" i="3"/>
  <c r="N520" i="3"/>
  <c r="N522" i="3"/>
  <c r="N525" i="3"/>
  <c r="N528" i="3"/>
  <c r="N530" i="3"/>
  <c r="N532" i="3"/>
  <c r="N535" i="3"/>
  <c r="N537" i="3"/>
  <c r="N542" i="3"/>
  <c r="N544" i="3"/>
  <c r="R2" i="3"/>
  <c r="N2" i="3"/>
  <c r="P110" i="3"/>
  <c r="P113" i="3"/>
  <c r="P117" i="3"/>
  <c r="P121" i="3"/>
  <c r="H297" i="3"/>
  <c r="H299" i="3"/>
  <c r="H301" i="3"/>
  <c r="H305" i="3"/>
  <c r="H307" i="3"/>
  <c r="H309" i="3"/>
  <c r="H311" i="3"/>
  <c r="H313" i="3"/>
  <c r="H315" i="3"/>
  <c r="H317" i="3"/>
  <c r="H319" i="3"/>
  <c r="H321" i="3"/>
  <c r="H323" i="3"/>
  <c r="H326" i="3"/>
  <c r="H328" i="3"/>
  <c r="H330" i="3"/>
  <c r="H332" i="3"/>
  <c r="P478" i="3"/>
  <c r="P480" i="3"/>
  <c r="P485" i="3"/>
  <c r="P489" i="3"/>
  <c r="P509" i="3"/>
  <c r="P516" i="3"/>
  <c r="P523" i="3"/>
  <c r="P526" i="3"/>
  <c r="P530" i="3"/>
  <c r="P265" i="3"/>
  <c r="P269" i="3"/>
  <c r="P275" i="3"/>
  <c r="P278" i="3"/>
  <c r="P282" i="3"/>
  <c r="P288" i="3"/>
  <c r="P291" i="3"/>
  <c r="P293" i="3"/>
  <c r="P295" i="3"/>
  <c r="P430" i="3"/>
  <c r="P434" i="3"/>
  <c r="P438" i="3"/>
  <c r="P446" i="3"/>
  <c r="P450" i="3"/>
  <c r="P454" i="3"/>
  <c r="P459" i="3"/>
  <c r="P464" i="3"/>
  <c r="P465" i="3"/>
  <c r="P470" i="3"/>
  <c r="P472" i="3"/>
  <c r="P476" i="3"/>
  <c r="P481" i="3"/>
  <c r="P486" i="3"/>
  <c r="P488" i="3"/>
  <c r="P499" i="3"/>
  <c r="P502" i="3"/>
  <c r="P505" i="3"/>
  <c r="P507" i="3"/>
  <c r="P512" i="3"/>
  <c r="P517" i="3"/>
  <c r="P521" i="3"/>
  <c r="P525" i="3"/>
  <c r="P529" i="3"/>
  <c r="P533" i="3"/>
  <c r="P537" i="3"/>
  <c r="P540" i="3"/>
  <c r="P545" i="3"/>
  <c r="P3" i="3"/>
  <c r="P7" i="3"/>
  <c r="P11" i="3"/>
  <c r="P15" i="3"/>
  <c r="P19" i="3"/>
  <c r="P23" i="3"/>
  <c r="P28" i="3"/>
  <c r="P32" i="3"/>
  <c r="P35" i="3"/>
  <c r="P38" i="3"/>
  <c r="P42" i="3"/>
  <c r="P46" i="3"/>
  <c r="P50" i="3"/>
  <c r="P54" i="3"/>
  <c r="P58" i="3"/>
  <c r="P62" i="3"/>
  <c r="P64" i="3"/>
  <c r="P67" i="3"/>
  <c r="P74" i="3"/>
  <c r="P78" i="3"/>
  <c r="P82" i="3"/>
  <c r="P88" i="3"/>
  <c r="P92" i="3"/>
  <c r="P96" i="3"/>
  <c r="P99" i="3"/>
  <c r="P104" i="3"/>
  <c r="P106" i="3"/>
  <c r="P125" i="3"/>
  <c r="P127" i="3"/>
  <c r="P131" i="3"/>
  <c r="P137" i="3"/>
  <c r="P140" i="3"/>
  <c r="P144" i="3"/>
  <c r="P148" i="3"/>
  <c r="P152" i="3"/>
  <c r="P156" i="3"/>
  <c r="P160" i="3"/>
  <c r="P164" i="3"/>
  <c r="P167" i="3"/>
  <c r="P171" i="3"/>
  <c r="P175" i="3"/>
  <c r="P180" i="3"/>
  <c r="P183" i="3"/>
  <c r="P186" i="3"/>
  <c r="P189" i="3"/>
  <c r="P192" i="3"/>
  <c r="P194" i="3"/>
  <c r="P196" i="3"/>
  <c r="P201" i="3"/>
  <c r="P205" i="3"/>
  <c r="P208" i="3"/>
  <c r="P211" i="3"/>
  <c r="P214" i="3"/>
  <c r="P217" i="3"/>
  <c r="P221" i="3"/>
  <c r="P226" i="3"/>
  <c r="P229" i="3"/>
  <c r="P233" i="3"/>
  <c r="P237" i="3"/>
  <c r="P241" i="3"/>
  <c r="P245" i="3"/>
  <c r="P249" i="3"/>
  <c r="P253" i="3"/>
  <c r="P257" i="3"/>
  <c r="P262" i="3"/>
  <c r="P266" i="3"/>
  <c r="P270" i="3"/>
  <c r="P274" i="3"/>
  <c r="P280" i="3"/>
  <c r="P284" i="3"/>
  <c r="P287" i="3"/>
  <c r="P292" i="3"/>
  <c r="P424" i="3"/>
  <c r="P427" i="3"/>
  <c r="P432" i="3"/>
  <c r="P223" i="3"/>
  <c r="P227" i="3"/>
  <c r="P232" i="3"/>
  <c r="P236" i="3"/>
  <c r="P240" i="3"/>
  <c r="P244" i="3"/>
  <c r="P247" i="3"/>
  <c r="P250" i="3"/>
  <c r="P255" i="3"/>
  <c r="P259" i="3"/>
  <c r="P264" i="3"/>
  <c r="P268" i="3"/>
  <c r="P271" i="3"/>
  <c r="P276" i="3"/>
  <c r="P279" i="3"/>
  <c r="P283" i="3"/>
  <c r="P286" i="3"/>
  <c r="P290" i="3"/>
  <c r="P426" i="3"/>
  <c r="P431" i="3"/>
  <c r="P436" i="3"/>
  <c r="P440" i="3"/>
  <c r="P444" i="3"/>
  <c r="P449" i="3"/>
  <c r="P455" i="3"/>
  <c r="P460" i="3"/>
  <c r="P466" i="3"/>
  <c r="P471" i="3"/>
  <c r="P475" i="3"/>
  <c r="P534" i="3"/>
  <c r="P538" i="3"/>
  <c r="P542" i="3"/>
  <c r="P544" i="3"/>
  <c r="P4" i="3"/>
  <c r="P9" i="3"/>
  <c r="P13" i="3"/>
  <c r="P17" i="3"/>
  <c r="P21" i="3"/>
  <c r="P26" i="3"/>
  <c r="P29" i="3"/>
  <c r="P33" i="3"/>
  <c r="P40" i="3"/>
  <c r="P43" i="3"/>
  <c r="P47" i="3"/>
  <c r="P51" i="3"/>
  <c r="P56" i="3"/>
  <c r="P60" i="3"/>
  <c r="P66" i="3"/>
  <c r="P70" i="3"/>
  <c r="P71" i="3"/>
  <c r="P75" i="3"/>
  <c r="P81" i="3"/>
  <c r="P85" i="3"/>
  <c r="P89" i="3"/>
  <c r="P93" i="3"/>
  <c r="P97" i="3"/>
  <c r="P101" i="3"/>
  <c r="P105" i="3"/>
  <c r="P109" i="3"/>
  <c r="P114" i="3"/>
  <c r="P118" i="3"/>
  <c r="P122" i="3"/>
  <c r="P124" i="3"/>
  <c r="P129" i="3"/>
  <c r="P133" i="3"/>
  <c r="P136" i="3"/>
  <c r="P138" i="3"/>
  <c r="P141" i="3"/>
  <c r="P145" i="3"/>
  <c r="P149" i="3"/>
  <c r="P153" i="3"/>
  <c r="P158" i="3"/>
  <c r="P162" i="3"/>
  <c r="P166" i="3"/>
  <c r="P170" i="3"/>
  <c r="P174" i="3"/>
  <c r="P178" i="3"/>
  <c r="P187" i="3"/>
  <c r="P195" i="3"/>
  <c r="P200" i="3"/>
  <c r="P202" i="3"/>
  <c r="P210" i="3"/>
  <c r="P218" i="3"/>
  <c r="P220" i="3"/>
  <c r="P224" i="3"/>
  <c r="P228" i="3"/>
  <c r="P231" i="3"/>
  <c r="P235" i="3"/>
  <c r="P239" i="3"/>
  <c r="P242" i="3"/>
  <c r="P246" i="3"/>
  <c r="P252" i="3"/>
  <c r="P254" i="3"/>
  <c r="P258" i="3"/>
  <c r="P261" i="3"/>
  <c r="P437" i="3"/>
  <c r="P441" i="3"/>
  <c r="P445" i="3"/>
  <c r="P452" i="3"/>
  <c r="P457" i="3"/>
  <c r="P462" i="3"/>
  <c r="P467" i="3"/>
  <c r="P494" i="3"/>
  <c r="P496" i="3"/>
  <c r="P498" i="3"/>
  <c r="P501" i="3"/>
  <c r="P504" i="3"/>
  <c r="P508" i="3"/>
  <c r="P511" i="3"/>
  <c r="P514" i="3"/>
  <c r="P518" i="3"/>
  <c r="P520" i="3"/>
  <c r="P527" i="3"/>
  <c r="P532" i="3"/>
  <c r="P536" i="3"/>
  <c r="P539" i="3"/>
  <c r="P543" i="3"/>
  <c r="P2" i="3"/>
  <c r="P6" i="3"/>
  <c r="P8" i="3"/>
  <c r="P12" i="3"/>
  <c r="P16" i="3"/>
  <c r="P20" i="3"/>
  <c r="P24" i="3"/>
  <c r="P27" i="3"/>
  <c r="P31" i="3"/>
  <c r="P36" i="3"/>
  <c r="P37" i="3"/>
  <c r="P41" i="3"/>
  <c r="P45" i="3"/>
  <c r="P49" i="3"/>
  <c r="P53" i="3"/>
  <c r="P57" i="3"/>
  <c r="P59" i="3"/>
  <c r="P65" i="3"/>
  <c r="P69" i="3"/>
  <c r="P73" i="3"/>
  <c r="P76" i="3"/>
  <c r="P80" i="3"/>
  <c r="P83" i="3"/>
  <c r="P87" i="3"/>
  <c r="P91" i="3"/>
  <c r="P95" i="3"/>
  <c r="P100" i="3"/>
  <c r="P103" i="3"/>
  <c r="P107" i="3"/>
  <c r="P111" i="3"/>
  <c r="P115" i="3"/>
  <c r="P119" i="3"/>
  <c r="P123" i="3"/>
  <c r="P128" i="3"/>
  <c r="P132" i="3"/>
  <c r="P135" i="3"/>
  <c r="P142" i="3"/>
  <c r="P146" i="3"/>
  <c r="P150" i="3"/>
  <c r="P154" i="3"/>
  <c r="P157" i="3"/>
  <c r="P161" i="3"/>
  <c r="P168" i="3"/>
  <c r="P172" i="3"/>
  <c r="P176" i="3"/>
  <c r="P179" i="3"/>
  <c r="P182" i="3"/>
  <c r="P185" i="3"/>
  <c r="P188" i="3"/>
  <c r="P191" i="3"/>
  <c r="P197" i="3"/>
  <c r="P199" i="3"/>
  <c r="P203" i="3"/>
  <c r="P206" i="3"/>
  <c r="P209" i="3"/>
  <c r="P213" i="3"/>
  <c r="P216" i="3"/>
  <c r="P222" i="3"/>
  <c r="P225" i="3"/>
  <c r="P230" i="3"/>
  <c r="P234" i="3"/>
  <c r="P238" i="3"/>
  <c r="P243" i="3"/>
  <c r="P248" i="3"/>
  <c r="P251" i="3"/>
  <c r="P256" i="3"/>
  <c r="P260" i="3"/>
  <c r="P263" i="3"/>
  <c r="P267" i="3"/>
  <c r="P343" i="3"/>
  <c r="P345" i="3"/>
  <c r="P347" i="3"/>
  <c r="P349" i="3"/>
  <c r="P351" i="3"/>
  <c r="P353" i="3"/>
  <c r="P355" i="3"/>
  <c r="P357" i="3"/>
  <c r="P359" i="3"/>
  <c r="P361" i="3"/>
  <c r="P363" i="3"/>
  <c r="P365" i="3"/>
  <c r="P367" i="3"/>
  <c r="P369" i="3"/>
  <c r="P371" i="3"/>
  <c r="P373" i="3"/>
  <c r="P375" i="3"/>
  <c r="P377" i="3"/>
  <c r="P379" i="3"/>
  <c r="P381" i="3"/>
  <c r="P383" i="3"/>
  <c r="P385" i="3"/>
  <c r="P387" i="3"/>
  <c r="P389" i="3"/>
  <c r="P391" i="3"/>
  <c r="P393" i="3"/>
  <c r="P395" i="3"/>
  <c r="P397" i="3"/>
  <c r="P399" i="3"/>
  <c r="P401" i="3"/>
  <c r="P403" i="3"/>
  <c r="P405" i="3"/>
  <c r="P407" i="3"/>
  <c r="P409" i="3"/>
  <c r="P411" i="3"/>
  <c r="P413" i="3"/>
  <c r="P415" i="3"/>
  <c r="P418" i="3"/>
  <c r="P419" i="3"/>
  <c r="P420" i="3"/>
  <c r="P422" i="3"/>
  <c r="P425" i="3"/>
  <c r="P435" i="3"/>
  <c r="P443" i="3"/>
  <c r="P451" i="3"/>
  <c r="P461" i="3"/>
  <c r="P474" i="3"/>
  <c r="P482" i="3"/>
  <c r="P490" i="3"/>
  <c r="P493" i="3"/>
  <c r="P497" i="3"/>
  <c r="P506" i="3"/>
  <c r="P5" i="3"/>
  <c r="P10" i="3"/>
  <c r="P22" i="3"/>
  <c r="P30" i="3"/>
  <c r="P44" i="3"/>
  <c r="P52" i="3"/>
  <c r="P63" i="3"/>
  <c r="P77" i="3"/>
  <c r="P84" i="3"/>
  <c r="P94" i="3"/>
  <c r="P108" i="3"/>
  <c r="P116" i="3"/>
  <c r="P130" i="3"/>
  <c r="P143" i="3"/>
  <c r="P151" i="3"/>
  <c r="P163" i="3"/>
  <c r="P173" i="3"/>
  <c r="P181" i="3"/>
  <c r="P193" i="3"/>
  <c r="P204" i="3"/>
  <c r="P215" i="3"/>
  <c r="P272" i="3"/>
  <c r="P273" i="3"/>
  <c r="P277" i="3"/>
  <c r="P281" i="3"/>
  <c r="P285" i="3"/>
  <c r="P289" i="3"/>
  <c r="P294" i="3"/>
  <c r="P428" i="3"/>
  <c r="P433" i="3"/>
  <c r="P442" i="3"/>
  <c r="P447" i="3"/>
  <c r="P453" i="3"/>
  <c r="P458" i="3"/>
  <c r="P463" i="3"/>
  <c r="P468" i="3"/>
  <c r="P473" i="3"/>
  <c r="P479" i="3"/>
  <c r="P483" i="3"/>
  <c r="P510" i="3"/>
  <c r="P515" i="3"/>
  <c r="P522" i="3"/>
  <c r="P528" i="3"/>
  <c r="P531" i="3"/>
  <c r="P535" i="3"/>
  <c r="P541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4" i="3"/>
  <c r="P346" i="3"/>
  <c r="P348" i="3"/>
  <c r="P350" i="3"/>
  <c r="P352" i="3"/>
  <c r="P354" i="3"/>
  <c r="P356" i="3"/>
  <c r="P358" i="3"/>
  <c r="P360" i="3"/>
  <c r="P362" i="3"/>
  <c r="P364" i="3"/>
  <c r="P366" i="3"/>
  <c r="P368" i="3"/>
  <c r="P370" i="3"/>
  <c r="P372" i="3"/>
  <c r="P374" i="3"/>
  <c r="P376" i="3"/>
  <c r="P378" i="3"/>
  <c r="P380" i="3"/>
  <c r="P382" i="3"/>
  <c r="P384" i="3"/>
  <c r="P386" i="3"/>
  <c r="P388" i="3"/>
  <c r="P390" i="3"/>
  <c r="P392" i="3"/>
  <c r="P394" i="3"/>
  <c r="P396" i="3"/>
  <c r="P398" i="3"/>
  <c r="P400" i="3"/>
  <c r="P402" i="3"/>
  <c r="P404" i="3"/>
  <c r="P406" i="3"/>
  <c r="P408" i="3"/>
  <c r="P410" i="3"/>
  <c r="P412" i="3"/>
  <c r="P414" i="3"/>
  <c r="P417" i="3"/>
  <c r="P421" i="3"/>
  <c r="P423" i="3"/>
  <c r="P429" i="3"/>
  <c r="P439" i="3"/>
  <c r="P448" i="3"/>
  <c r="P456" i="3"/>
  <c r="P469" i="3"/>
  <c r="P477" i="3"/>
  <c r="P487" i="3"/>
  <c r="P491" i="3"/>
  <c r="P495" i="3"/>
  <c r="P503" i="3"/>
  <c r="P513" i="3"/>
  <c r="P524" i="3"/>
  <c r="P14" i="3"/>
  <c r="P25" i="3"/>
  <c r="P34" i="3"/>
  <c r="P48" i="3"/>
  <c r="P61" i="3"/>
  <c r="P68" i="3"/>
  <c r="P79" i="3"/>
  <c r="P90" i="3"/>
  <c r="P98" i="3"/>
  <c r="P112" i="3"/>
  <c r="P126" i="3"/>
  <c r="P134" i="3"/>
  <c r="P147" i="3"/>
  <c r="P159" i="3"/>
  <c r="P165" i="3"/>
  <c r="P177" i="3"/>
  <c r="P190" i="3"/>
  <c r="P198" i="3"/>
  <c r="P212" i="3"/>
  <c r="P219" i="3"/>
  <c r="P416" i="3"/>
  <c r="P484" i="3"/>
  <c r="P492" i="3"/>
  <c r="P500" i="3"/>
  <c r="P519" i="3"/>
  <c r="P18" i="3"/>
  <c r="P39" i="3"/>
  <c r="P55" i="3"/>
  <c r="P72" i="3"/>
  <c r="P86" i="3"/>
  <c r="P102" i="3"/>
  <c r="P120" i="3"/>
  <c r="P139" i="3"/>
  <c r="P155" i="3"/>
  <c r="P169" i="3"/>
  <c r="P184" i="3"/>
  <c r="P207" i="3"/>
  <c r="J412" i="3"/>
  <c r="J414" i="3"/>
  <c r="J417" i="3"/>
  <c r="J420" i="3"/>
  <c r="J423" i="3"/>
  <c r="J426" i="3"/>
  <c r="J431" i="3"/>
  <c r="J436" i="3"/>
  <c r="J439" i="3"/>
  <c r="J444" i="3"/>
  <c r="J449" i="3"/>
  <c r="J451" i="3"/>
  <c r="J454" i="3"/>
  <c r="J456" i="3"/>
  <c r="J459" i="3"/>
  <c r="J461" i="3"/>
  <c r="J462" i="3"/>
  <c r="J465" i="3"/>
  <c r="J468" i="3"/>
  <c r="J471" i="3"/>
  <c r="J473" i="3"/>
  <c r="J475" i="3"/>
  <c r="J478" i="3"/>
  <c r="J480" i="3"/>
  <c r="J482" i="3"/>
  <c r="J413" i="3"/>
  <c r="J415" i="3"/>
  <c r="J418" i="3"/>
  <c r="J425" i="3"/>
  <c r="J428" i="3"/>
  <c r="J430" i="3"/>
  <c r="J433" i="3"/>
  <c r="J435" i="3"/>
  <c r="J437" i="3"/>
  <c r="J440" i="3"/>
  <c r="J443" i="3"/>
  <c r="J446" i="3"/>
  <c r="J448" i="3"/>
  <c r="J450" i="3"/>
  <c r="J453" i="3"/>
  <c r="J455" i="3"/>
  <c r="J458" i="3"/>
  <c r="J464" i="3"/>
  <c r="J467" i="3"/>
  <c r="J469" i="3"/>
  <c r="J472" i="3"/>
  <c r="J474" i="3"/>
  <c r="J476" i="3"/>
  <c r="J481" i="3"/>
  <c r="J484" i="3"/>
  <c r="J485" i="3"/>
  <c r="J486" i="3"/>
  <c r="J487" i="3"/>
  <c r="J489" i="3"/>
  <c r="J490" i="3"/>
  <c r="J491" i="3"/>
  <c r="J492" i="3"/>
  <c r="J493" i="3"/>
  <c r="J494" i="3"/>
  <c r="J495" i="3"/>
  <c r="J496" i="3"/>
  <c r="J497" i="3"/>
  <c r="J498" i="3"/>
  <c r="J500" i="3"/>
  <c r="J502" i="3"/>
  <c r="J504" i="3"/>
  <c r="J506" i="3"/>
  <c r="J509" i="3"/>
  <c r="J511" i="3"/>
  <c r="J514" i="3"/>
  <c r="J516" i="3"/>
  <c r="J520" i="3"/>
  <c r="J522" i="3"/>
  <c r="J524" i="3"/>
  <c r="J411" i="3"/>
  <c r="J416" i="3"/>
  <c r="J419" i="3"/>
  <c r="J421" i="3"/>
  <c r="J422" i="3"/>
  <c r="J424" i="3"/>
  <c r="J427" i="3"/>
  <c r="J429" i="3"/>
  <c r="J432" i="3"/>
  <c r="J434" i="3"/>
  <c r="J438" i="3"/>
  <c r="J441" i="3"/>
  <c r="J442" i="3"/>
  <c r="J445" i="3"/>
  <c r="J447" i="3"/>
  <c r="J452" i="3"/>
  <c r="J457" i="3"/>
  <c r="J460" i="3"/>
  <c r="J463" i="3"/>
  <c r="J466" i="3"/>
  <c r="J470" i="3"/>
  <c r="J477" i="3"/>
  <c r="J479" i="3"/>
  <c r="J483" i="3"/>
  <c r="J488" i="3"/>
  <c r="J499" i="3"/>
  <c r="J501" i="3"/>
  <c r="J503" i="3"/>
  <c r="J505" i="3"/>
  <c r="J507" i="3"/>
  <c r="J508" i="3"/>
  <c r="J510" i="3"/>
  <c r="J512" i="3"/>
  <c r="J513" i="3"/>
  <c r="J515" i="3"/>
  <c r="J517" i="3"/>
  <c r="J518" i="3"/>
  <c r="J519" i="3"/>
  <c r="J521" i="3"/>
  <c r="J523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409" i="3"/>
  <c r="J405" i="3"/>
  <c r="J401" i="3"/>
  <c r="J397" i="3"/>
  <c r="J393" i="3"/>
  <c r="J389" i="3"/>
  <c r="J384" i="3"/>
  <c r="J380" i="3"/>
  <c r="J375" i="3"/>
  <c r="J370" i="3"/>
  <c r="J365" i="3"/>
  <c r="J359" i="3"/>
  <c r="J355" i="3"/>
  <c r="J352" i="3"/>
  <c r="J348" i="3"/>
  <c r="J343" i="3"/>
  <c r="J338" i="3"/>
  <c r="J334" i="3"/>
  <c r="J329" i="3"/>
  <c r="J325" i="3"/>
  <c r="J320" i="3"/>
  <c r="J316" i="3"/>
  <c r="J311" i="3"/>
  <c r="J306" i="3"/>
  <c r="J301" i="3"/>
  <c r="J256" i="3"/>
  <c r="J251" i="3"/>
  <c r="J247" i="3"/>
  <c r="J242" i="3"/>
  <c r="J237" i="3"/>
  <c r="J233" i="3"/>
  <c r="J228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2" i="3"/>
  <c r="J410" i="3"/>
  <c r="J406" i="3"/>
  <c r="J402" i="3"/>
  <c r="J398" i="3"/>
  <c r="J394" i="3"/>
  <c r="J391" i="3"/>
  <c r="J386" i="3"/>
  <c r="J379" i="3"/>
  <c r="J374" i="3"/>
  <c r="J369" i="3"/>
  <c r="J364" i="3"/>
  <c r="J360" i="3"/>
  <c r="J353" i="3"/>
  <c r="J347" i="3"/>
  <c r="J341" i="3"/>
  <c r="J336" i="3"/>
  <c r="J331" i="3"/>
  <c r="J326" i="3"/>
  <c r="J322" i="3"/>
  <c r="J315" i="3"/>
  <c r="J310" i="3"/>
  <c r="J302" i="3"/>
  <c r="J298" i="3"/>
  <c r="J294" i="3"/>
  <c r="J289" i="3"/>
  <c r="J282" i="3"/>
  <c r="J278" i="3"/>
  <c r="J273" i="3"/>
  <c r="J269" i="3"/>
  <c r="J265" i="3"/>
  <c r="J261" i="3"/>
  <c r="J258" i="3"/>
  <c r="J254" i="3"/>
  <c r="J249" i="3"/>
  <c r="J245" i="3"/>
  <c r="J240" i="3"/>
  <c r="J232" i="3"/>
  <c r="J227" i="3"/>
  <c r="J144" i="3"/>
  <c r="J140" i="3"/>
  <c r="J136" i="3"/>
  <c r="J132" i="3"/>
  <c r="J126" i="3"/>
  <c r="J122" i="3"/>
  <c r="J119" i="3"/>
  <c r="J116" i="3"/>
  <c r="J109" i="3"/>
  <c r="J105" i="3"/>
  <c r="J102" i="3"/>
  <c r="J99" i="3"/>
  <c r="J95" i="3"/>
  <c r="J90" i="3"/>
  <c r="J79" i="3"/>
  <c r="J37" i="3"/>
  <c r="J407" i="3"/>
  <c r="J403" i="3"/>
  <c r="J399" i="3"/>
  <c r="J395" i="3"/>
  <c r="J392" i="3"/>
  <c r="J388" i="3"/>
  <c r="J383" i="3"/>
  <c r="J378" i="3"/>
  <c r="J371" i="3"/>
  <c r="J363" i="3"/>
  <c r="J358" i="3"/>
  <c r="J354" i="3"/>
  <c r="J350" i="3"/>
  <c r="J345" i="3"/>
  <c r="J340" i="3"/>
  <c r="J332" i="3"/>
  <c r="J327" i="3"/>
  <c r="J321" i="3"/>
  <c r="J317" i="3"/>
  <c r="J312" i="3"/>
  <c r="J307" i="3"/>
  <c r="J303" i="3"/>
  <c r="J297" i="3"/>
  <c r="J291" i="3"/>
  <c r="J285" i="3"/>
  <c r="J280" i="3"/>
  <c r="J275" i="3"/>
  <c r="J272" i="3"/>
  <c r="J268" i="3"/>
  <c r="J262" i="3"/>
  <c r="J253" i="3"/>
  <c r="J248" i="3"/>
  <c r="J244" i="3"/>
  <c r="J239" i="3"/>
  <c r="J236" i="3"/>
  <c r="J231" i="3"/>
  <c r="J226" i="3"/>
  <c r="J143" i="3"/>
  <c r="J139" i="3"/>
  <c r="J135" i="3"/>
  <c r="J129" i="3"/>
  <c r="J124" i="3"/>
  <c r="J118" i="3"/>
  <c r="J115" i="3"/>
  <c r="J112" i="3"/>
  <c r="J108" i="3"/>
  <c r="J104" i="3"/>
  <c r="J100" i="3"/>
  <c r="J96" i="3"/>
  <c r="J93" i="3"/>
  <c r="J89" i="3"/>
  <c r="J86" i="3"/>
  <c r="J82" i="3"/>
  <c r="J77" i="3"/>
  <c r="J74" i="3"/>
  <c r="J71" i="3"/>
  <c r="J67" i="3"/>
  <c r="J64" i="3"/>
  <c r="J63" i="3"/>
  <c r="J58" i="3"/>
  <c r="J54" i="3"/>
  <c r="J50" i="3"/>
  <c r="J47" i="3"/>
  <c r="J44" i="3"/>
  <c r="J41" i="3"/>
  <c r="J38" i="3"/>
  <c r="J33" i="3"/>
  <c r="J30" i="3"/>
  <c r="J26" i="3"/>
  <c r="J23" i="3"/>
  <c r="J20" i="3"/>
  <c r="J19" i="3"/>
  <c r="J15" i="3"/>
  <c r="J11" i="3"/>
  <c r="J8" i="3"/>
  <c r="J5" i="3"/>
  <c r="J390" i="3"/>
  <c r="J385" i="3"/>
  <c r="J381" i="3"/>
  <c r="J377" i="3"/>
  <c r="J373" i="3"/>
  <c r="J368" i="3"/>
  <c r="J366" i="3"/>
  <c r="J362" i="3"/>
  <c r="J357" i="3"/>
  <c r="J351" i="3"/>
  <c r="J346" i="3"/>
  <c r="J342" i="3"/>
  <c r="J337" i="3"/>
  <c r="J333" i="3"/>
  <c r="J328" i="3"/>
  <c r="J323" i="3"/>
  <c r="J318" i="3"/>
  <c r="J314" i="3"/>
  <c r="J309" i="3"/>
  <c r="J305" i="3"/>
  <c r="J300" i="3"/>
  <c r="J296" i="3"/>
  <c r="J293" i="3"/>
  <c r="J292" i="3"/>
  <c r="J288" i="3"/>
  <c r="J286" i="3"/>
  <c r="J283" i="3"/>
  <c r="J279" i="3"/>
  <c r="J276" i="3"/>
  <c r="J271" i="3"/>
  <c r="J267" i="3"/>
  <c r="J263" i="3"/>
  <c r="J260" i="3"/>
  <c r="J257" i="3"/>
  <c r="J252" i="3"/>
  <c r="J246" i="3"/>
  <c r="J243" i="3"/>
  <c r="J238" i="3"/>
  <c r="J235" i="3"/>
  <c r="J230" i="3"/>
  <c r="J146" i="3"/>
  <c r="J142" i="3"/>
  <c r="J138" i="3"/>
  <c r="J133" i="3"/>
  <c r="J130" i="3"/>
  <c r="J128" i="3"/>
  <c r="J125" i="3"/>
  <c r="J121" i="3"/>
  <c r="J117" i="3"/>
  <c r="J113" i="3"/>
  <c r="J110" i="3"/>
  <c r="J106" i="3"/>
  <c r="J103" i="3"/>
  <c r="J98" i="3"/>
  <c r="J94" i="3"/>
  <c r="J91" i="3"/>
  <c r="J87" i="3"/>
  <c r="J84" i="3"/>
  <c r="J81" i="3"/>
  <c r="J76" i="3"/>
  <c r="J73" i="3"/>
  <c r="J70" i="3"/>
  <c r="J68" i="3"/>
  <c r="J65" i="3"/>
  <c r="J61" i="3"/>
  <c r="J59" i="3"/>
  <c r="J56" i="3"/>
  <c r="J53" i="3"/>
  <c r="J51" i="3"/>
  <c r="J48" i="3"/>
  <c r="J45" i="3"/>
  <c r="J43" i="3"/>
  <c r="J40" i="3"/>
  <c r="J36" i="3"/>
  <c r="J35" i="3"/>
  <c r="J32" i="3"/>
  <c r="J29" i="3"/>
  <c r="J27" i="3"/>
  <c r="J24" i="3"/>
  <c r="J21" i="3"/>
  <c r="J18" i="3"/>
  <c r="J16" i="3"/>
  <c r="J12" i="3"/>
  <c r="J9" i="3"/>
  <c r="J7" i="3"/>
  <c r="J3" i="3"/>
  <c r="J408" i="3"/>
  <c r="J404" i="3"/>
  <c r="J400" i="3"/>
  <c r="J396" i="3"/>
  <c r="J387" i="3"/>
  <c r="J382" i="3"/>
  <c r="J376" i="3"/>
  <c r="J372" i="3"/>
  <c r="J367" i="3"/>
  <c r="J361" i="3"/>
  <c r="J356" i="3"/>
  <c r="J349" i="3"/>
  <c r="J344" i="3"/>
  <c r="J339" i="3"/>
  <c r="J335" i="3"/>
  <c r="J330" i="3"/>
  <c r="J324" i="3"/>
  <c r="J319" i="3"/>
  <c r="J313" i="3"/>
  <c r="J308" i="3"/>
  <c r="J304" i="3"/>
  <c r="J299" i="3"/>
  <c r="J295" i="3"/>
  <c r="J290" i="3"/>
  <c r="J287" i="3"/>
  <c r="J284" i="3"/>
  <c r="J281" i="3"/>
  <c r="J277" i="3"/>
  <c r="J274" i="3"/>
  <c r="J270" i="3"/>
  <c r="J266" i="3"/>
  <c r="J264" i="3"/>
  <c r="J259" i="3"/>
  <c r="J255" i="3"/>
  <c r="J250" i="3"/>
  <c r="J241" i="3"/>
  <c r="J234" i="3"/>
  <c r="J229" i="3"/>
  <c r="J145" i="3"/>
  <c r="J141" i="3"/>
  <c r="J137" i="3"/>
  <c r="J134" i="3"/>
  <c r="J131" i="3"/>
  <c r="J127" i="3"/>
  <c r="J123" i="3"/>
  <c r="J120" i="3"/>
  <c r="J114" i="3"/>
  <c r="J111" i="3"/>
  <c r="J107" i="3"/>
  <c r="J101" i="3"/>
  <c r="J97" i="3"/>
  <c r="J92" i="3"/>
  <c r="J88" i="3"/>
  <c r="J85" i="3"/>
  <c r="J83" i="3"/>
  <c r="J80" i="3"/>
  <c r="J78" i="3"/>
  <c r="J75" i="3"/>
  <c r="J72" i="3"/>
  <c r="J69" i="3"/>
  <c r="J66" i="3"/>
  <c r="J62" i="3"/>
  <c r="J60" i="3"/>
  <c r="J57" i="3"/>
  <c r="J55" i="3"/>
  <c r="J52" i="3"/>
  <c r="J49" i="3"/>
  <c r="J46" i="3"/>
  <c r="J42" i="3"/>
  <c r="J39" i="3"/>
  <c r="J34" i="3"/>
  <c r="J31" i="3"/>
  <c r="J28" i="3"/>
  <c r="J25" i="3"/>
  <c r="J22" i="3"/>
  <c r="J17" i="3"/>
  <c r="J14" i="3"/>
  <c r="J13" i="3"/>
  <c r="J10" i="3"/>
  <c r="J6" i="3"/>
  <c r="J4" i="3"/>
  <c r="H3" i="3"/>
  <c r="H11" i="3"/>
  <c r="H13" i="3"/>
  <c r="H15" i="3"/>
  <c r="H17" i="3"/>
  <c r="H19" i="3"/>
  <c r="H21" i="3"/>
  <c r="H23" i="3"/>
  <c r="H25" i="3"/>
  <c r="H27" i="3"/>
  <c r="H29" i="3"/>
  <c r="H32" i="3"/>
  <c r="H34" i="3"/>
  <c r="H36" i="3"/>
  <c r="H38" i="3"/>
  <c r="H40" i="3"/>
  <c r="H42" i="3"/>
  <c r="H44" i="3"/>
  <c r="H46" i="3"/>
  <c r="H47" i="3"/>
  <c r="H49" i="3"/>
  <c r="H51" i="3"/>
  <c r="H53" i="3"/>
  <c r="H57" i="3"/>
  <c r="H59" i="3"/>
  <c r="H61" i="3"/>
  <c r="H63" i="3"/>
  <c r="H65" i="3"/>
  <c r="H67" i="3"/>
  <c r="H70" i="3"/>
  <c r="H73" i="3"/>
  <c r="H75" i="3"/>
  <c r="H77" i="3"/>
  <c r="H79" i="3"/>
  <c r="H82" i="3"/>
  <c r="H84" i="3"/>
  <c r="H86" i="3"/>
  <c r="H87" i="3"/>
  <c r="H89" i="3"/>
  <c r="H91" i="3"/>
  <c r="H94" i="3"/>
  <c r="H96" i="3"/>
  <c r="H97" i="3"/>
  <c r="H99" i="3"/>
  <c r="H101" i="3"/>
  <c r="H103" i="3"/>
  <c r="H105" i="3"/>
  <c r="H107" i="3"/>
  <c r="H109" i="3"/>
  <c r="H111" i="3"/>
  <c r="H113" i="3"/>
  <c r="H114" i="3"/>
  <c r="H116" i="3"/>
  <c r="H276" i="3"/>
  <c r="H280" i="3"/>
  <c r="H286" i="3"/>
  <c r="H290" i="3"/>
  <c r="H296" i="3"/>
  <c r="H118" i="3"/>
  <c r="H120" i="3"/>
  <c r="H122" i="3"/>
  <c r="H124" i="3"/>
  <c r="H125" i="3"/>
  <c r="H127" i="3"/>
  <c r="H129" i="3"/>
  <c r="H131" i="3"/>
  <c r="H134" i="3"/>
  <c r="H136" i="3"/>
  <c r="H138" i="3"/>
  <c r="H140" i="3"/>
  <c r="H142" i="3"/>
  <c r="H143" i="3"/>
  <c r="H145" i="3"/>
  <c r="H146" i="3"/>
  <c r="H148" i="3"/>
  <c r="H149" i="3"/>
  <c r="H151" i="3"/>
  <c r="H153" i="3"/>
  <c r="H156" i="3"/>
  <c r="H157" i="3"/>
  <c r="H159" i="3"/>
  <c r="H161" i="3"/>
  <c r="H163" i="3"/>
  <c r="H165" i="3"/>
  <c r="H167" i="3"/>
  <c r="H169" i="3"/>
  <c r="H170" i="3"/>
  <c r="H171" i="3"/>
  <c r="H172" i="3"/>
  <c r="H173" i="3"/>
  <c r="H174" i="3"/>
  <c r="H186" i="3"/>
  <c r="H188" i="3"/>
  <c r="H190" i="3"/>
  <c r="H192" i="3"/>
  <c r="H193" i="3"/>
  <c r="H195" i="3"/>
  <c r="H198" i="3"/>
  <c r="H200" i="3"/>
  <c r="H202" i="3"/>
  <c r="H204" i="3"/>
  <c r="H206" i="3"/>
  <c r="H208" i="3"/>
  <c r="H210" i="3"/>
  <c r="H212" i="3"/>
  <c r="H214" i="3"/>
  <c r="H216" i="3"/>
  <c r="H218" i="3"/>
  <c r="H219" i="3"/>
  <c r="H222" i="3"/>
  <c r="H224" i="3"/>
  <c r="H225" i="3"/>
  <c r="H227" i="3"/>
  <c r="H229" i="3"/>
  <c r="H231" i="3"/>
  <c r="H233" i="3"/>
  <c r="H235" i="3"/>
  <c r="H236" i="3"/>
  <c r="H238" i="3"/>
  <c r="H240" i="3"/>
  <c r="H242" i="3"/>
  <c r="H244" i="3"/>
  <c r="H246" i="3"/>
  <c r="H247" i="3"/>
  <c r="H249" i="3"/>
  <c r="H251" i="3"/>
  <c r="H253" i="3"/>
  <c r="H255" i="3"/>
  <c r="H257" i="3"/>
  <c r="H259" i="3"/>
  <c r="H261" i="3"/>
  <c r="H263" i="3"/>
  <c r="H265" i="3"/>
  <c r="H267" i="3"/>
  <c r="H269" i="3"/>
  <c r="H271" i="3"/>
  <c r="H273" i="3"/>
  <c r="H278" i="3"/>
  <c r="H282" i="3"/>
  <c r="H284" i="3"/>
  <c r="H288" i="3"/>
  <c r="H291" i="3"/>
  <c r="H293" i="3"/>
  <c r="H333" i="3"/>
  <c r="H335" i="3"/>
  <c r="H336" i="3"/>
  <c r="H337" i="3"/>
  <c r="H338" i="3"/>
  <c r="H339" i="3"/>
  <c r="H340" i="3"/>
  <c r="H341" i="3"/>
  <c r="H342" i="3"/>
  <c r="H343" i="3"/>
  <c r="H344" i="3"/>
  <c r="H351" i="3"/>
  <c r="H354" i="3"/>
  <c r="H356" i="3"/>
  <c r="H358" i="3"/>
  <c r="H360" i="3"/>
  <c r="H362" i="3"/>
  <c r="H364" i="3"/>
  <c r="H366" i="3"/>
  <c r="H368" i="3"/>
  <c r="H369" i="3"/>
  <c r="H371" i="3"/>
  <c r="H373" i="3"/>
  <c r="H375" i="3"/>
  <c r="H377" i="3"/>
  <c r="H379" i="3"/>
  <c r="H381" i="3"/>
  <c r="H383" i="3"/>
  <c r="H385" i="3"/>
  <c r="H387" i="3"/>
  <c r="H389" i="3"/>
  <c r="H391" i="3"/>
  <c r="H393" i="3"/>
  <c r="H395" i="3"/>
  <c r="H397" i="3"/>
  <c r="H399" i="3"/>
  <c r="H401" i="3"/>
  <c r="H403" i="3"/>
  <c r="H405" i="3"/>
  <c r="H407" i="3"/>
  <c r="H409" i="3"/>
  <c r="H411" i="3"/>
  <c r="H414" i="3"/>
  <c r="H416" i="3"/>
  <c r="H119" i="3"/>
  <c r="H121" i="3"/>
  <c r="H123" i="3"/>
  <c r="H126" i="3"/>
  <c r="H128" i="3"/>
  <c r="H130" i="3"/>
  <c r="H132" i="3"/>
  <c r="H133" i="3"/>
  <c r="H135" i="3"/>
  <c r="H137" i="3"/>
  <c r="H139" i="3"/>
  <c r="H141" i="3"/>
  <c r="H144" i="3"/>
  <c r="H147" i="3"/>
  <c r="H150" i="3"/>
  <c r="H152" i="3"/>
  <c r="H154" i="3"/>
  <c r="H155" i="3"/>
  <c r="H158" i="3"/>
  <c r="H160" i="3"/>
  <c r="H162" i="3"/>
  <c r="H164" i="3"/>
  <c r="H166" i="3"/>
  <c r="H168" i="3"/>
  <c r="H175" i="3"/>
  <c r="H176" i="3"/>
  <c r="H177" i="3"/>
  <c r="H178" i="3"/>
  <c r="H179" i="3"/>
  <c r="H180" i="3"/>
  <c r="H181" i="3"/>
  <c r="H182" i="3"/>
  <c r="H183" i="3"/>
  <c r="H184" i="3"/>
  <c r="H185" i="3"/>
  <c r="H187" i="3"/>
  <c r="H189" i="3"/>
  <c r="H191" i="3"/>
  <c r="H194" i="3"/>
  <c r="H196" i="3"/>
  <c r="H197" i="3"/>
  <c r="H199" i="3"/>
  <c r="H201" i="3"/>
  <c r="H223" i="3"/>
  <c r="H226" i="3"/>
  <c r="H228" i="3"/>
  <c r="H230" i="3"/>
  <c r="H232" i="3"/>
  <c r="H234" i="3"/>
  <c r="H237" i="3"/>
  <c r="H239" i="3"/>
  <c r="H241" i="3"/>
  <c r="H243" i="3"/>
  <c r="H245" i="3"/>
  <c r="H248" i="3"/>
  <c r="H250" i="3"/>
  <c r="H252" i="3"/>
  <c r="H254" i="3"/>
  <c r="H256" i="3"/>
  <c r="H258" i="3"/>
  <c r="H260" i="3"/>
  <c r="H262" i="3"/>
  <c r="L2" i="3"/>
  <c r="F458" i="3"/>
  <c r="F497" i="3"/>
  <c r="F484" i="3"/>
  <c r="F506" i="3"/>
  <c r="F442" i="3"/>
  <c r="F544" i="3"/>
  <c r="F481" i="3"/>
  <c r="F452" i="3"/>
  <c r="F432" i="3"/>
  <c r="F471" i="3"/>
  <c r="F444" i="3"/>
  <c r="F486" i="3"/>
  <c r="F422" i="3"/>
  <c r="F485" i="3"/>
  <c r="F421" i="3"/>
  <c r="F515" i="3"/>
  <c r="F451" i="3"/>
  <c r="F540" i="3"/>
  <c r="F498" i="3"/>
  <c r="F434" i="3"/>
  <c r="F537" i="3"/>
  <c r="F473" i="3"/>
  <c r="F436" i="3"/>
  <c r="F488" i="3"/>
  <c r="F424" i="3"/>
  <c r="F527" i="3"/>
  <c r="F463" i="3"/>
  <c r="F428" i="3"/>
  <c r="F542" i="3"/>
  <c r="F478" i="3"/>
  <c r="F541" i="3"/>
  <c r="F477" i="3"/>
  <c r="F507" i="3"/>
  <c r="F443" i="3"/>
  <c r="F490" i="3"/>
  <c r="F426" i="3"/>
  <c r="F529" i="3"/>
  <c r="F465" i="3"/>
  <c r="F420" i="3"/>
  <c r="F480" i="3"/>
  <c r="F519" i="3"/>
  <c r="F455" i="3"/>
  <c r="F532" i="3"/>
  <c r="F534" i="3"/>
  <c r="F470" i="3"/>
  <c r="F533" i="3"/>
  <c r="F469" i="3"/>
  <c r="F499" i="3"/>
  <c r="F435" i="3"/>
  <c r="F516" i="3"/>
  <c r="AE378" i="3" l="1"/>
  <c r="AE26" i="3"/>
  <c r="AE24" i="3"/>
  <c r="AE104" i="3"/>
  <c r="AE58" i="3"/>
  <c r="AE120" i="3"/>
  <c r="AE48" i="3"/>
  <c r="AE12" i="3"/>
  <c r="AE208" i="3"/>
  <c r="AE143" i="3"/>
  <c r="AE8" i="3"/>
  <c r="AE64" i="3"/>
  <c r="AE108" i="3"/>
  <c r="V363" i="3"/>
  <c r="Y2" i="3"/>
  <c r="AE55" i="3"/>
  <c r="V232" i="3"/>
  <c r="AE229" i="3"/>
  <c r="AE141" i="3"/>
  <c r="V230" i="3"/>
  <c r="AE30" i="3"/>
  <c r="S288" i="3"/>
  <c r="AE234" i="3"/>
  <c r="AE68" i="3"/>
  <c r="AE33" i="3"/>
  <c r="S410" i="3"/>
  <c r="AE2" i="3"/>
  <c r="AE166" i="3"/>
  <c r="AE124" i="3"/>
  <c r="AE277" i="3"/>
  <c r="AE404" i="3"/>
  <c r="AE72" i="3"/>
  <c r="AE390" i="3"/>
  <c r="S84" i="3"/>
  <c r="S352" i="3"/>
  <c r="AE158" i="3"/>
  <c r="AE245" i="3"/>
  <c r="S293" i="3"/>
  <c r="S82" i="3"/>
  <c r="S4" i="3"/>
  <c r="S78" i="3"/>
  <c r="V367" i="3"/>
  <c r="V346" i="3"/>
  <c r="S374" i="3"/>
  <c r="S301" i="3"/>
  <c r="S413" i="3"/>
  <c r="AE182" i="3"/>
  <c r="AE349" i="3"/>
  <c r="AE154" i="3"/>
  <c r="V401" i="3"/>
  <c r="S263" i="3"/>
  <c r="AE177" i="3"/>
  <c r="V397" i="3"/>
  <c r="S214" i="3"/>
  <c r="V296" i="3"/>
  <c r="S103" i="3"/>
  <c r="S79" i="3"/>
  <c r="S27" i="3"/>
  <c r="AE372" i="3"/>
  <c r="AE16" i="3"/>
  <c r="AE93" i="3"/>
  <c r="V262" i="3"/>
  <c r="V237" i="3"/>
  <c r="S188" i="3"/>
  <c r="S159" i="3"/>
  <c r="AE138" i="3"/>
  <c r="S49" i="3"/>
  <c r="S25" i="3"/>
  <c r="V350" i="3"/>
  <c r="S322" i="3"/>
  <c r="S311" i="3"/>
  <c r="V260" i="3"/>
  <c r="AE119" i="3"/>
  <c r="S210" i="3"/>
  <c r="S208" i="3"/>
  <c r="S153" i="3"/>
  <c r="V411" i="3"/>
  <c r="S116" i="3"/>
  <c r="AE135" i="3"/>
  <c r="AE127" i="3"/>
  <c r="AE201" i="3"/>
  <c r="AE132" i="3"/>
  <c r="V405" i="3"/>
  <c r="S267" i="3"/>
  <c r="AE146" i="3"/>
  <c r="S412" i="3"/>
  <c r="S259" i="3"/>
  <c r="S257" i="3"/>
  <c r="AE255" i="3"/>
  <c r="V258" i="3"/>
  <c r="AE187" i="3"/>
  <c r="V256" i="3"/>
  <c r="AE184" i="3"/>
  <c r="V407" i="3"/>
  <c r="AE130" i="3"/>
  <c r="V403" i="3"/>
  <c r="AE122" i="3"/>
  <c r="S338" i="3"/>
  <c r="S65" i="3"/>
  <c r="S236" i="3"/>
  <c r="S315" i="3"/>
  <c r="S282" i="3"/>
  <c r="S231" i="3"/>
  <c r="S278" i="3"/>
  <c r="S70" i="3"/>
  <c r="S398" i="3"/>
  <c r="S13" i="3"/>
  <c r="S106" i="3"/>
  <c r="S334" i="3"/>
  <c r="S336" i="3"/>
  <c r="S111" i="3"/>
  <c r="S87" i="3"/>
  <c r="S61" i="3"/>
  <c r="S11" i="3"/>
  <c r="S110" i="3"/>
  <c r="S205" i="3"/>
  <c r="S221" i="3"/>
  <c r="S109" i="3"/>
  <c r="S59" i="3"/>
  <c r="S209" i="3"/>
  <c r="S326" i="3"/>
  <c r="S107" i="3"/>
  <c r="S206" i="3"/>
  <c r="S91" i="3"/>
  <c r="S253" i="3"/>
  <c r="V254" i="3"/>
  <c r="S198" i="3"/>
  <c r="S74" i="3"/>
  <c r="S356" i="3"/>
  <c r="S335" i="3"/>
  <c r="S219" i="3"/>
  <c r="S167" i="3"/>
  <c r="S86" i="3"/>
  <c r="S34" i="3"/>
  <c r="S69" i="3"/>
  <c r="S217" i="3"/>
  <c r="S75" i="3"/>
  <c r="S173" i="3"/>
  <c r="S170" i="3"/>
  <c r="S358" i="3"/>
  <c r="S222" i="3"/>
  <c r="S169" i="3"/>
  <c r="S354" i="3"/>
  <c r="S218" i="3"/>
  <c r="S193" i="3"/>
  <c r="S165" i="3"/>
  <c r="S32" i="3"/>
  <c r="V268" i="3"/>
  <c r="S249" i="3"/>
  <c r="S351" i="3"/>
  <c r="S238" i="3"/>
  <c r="S216" i="3"/>
  <c r="S163" i="3"/>
  <c r="S105" i="3"/>
  <c r="S29" i="3"/>
  <c r="V361" i="3"/>
  <c r="S9" i="3"/>
  <c r="V272" i="3"/>
  <c r="S144" i="3"/>
  <c r="S342" i="3"/>
  <c r="S284" i="3"/>
  <c r="S233" i="3"/>
  <c r="S186" i="3"/>
  <c r="S157" i="3"/>
  <c r="S306" i="3"/>
  <c r="S51" i="3"/>
  <c r="S121" i="3"/>
  <c r="S368" i="3"/>
  <c r="S280" i="3"/>
  <c r="S85" i="3"/>
  <c r="S316" i="3"/>
  <c r="S137" i="3"/>
  <c r="S364" i="3"/>
  <c r="S227" i="3"/>
  <c r="S204" i="3"/>
  <c r="S172" i="3"/>
  <c r="S151" i="3"/>
  <c r="S94" i="3"/>
  <c r="S92" i="3"/>
  <c r="S213" i="3"/>
  <c r="S320" i="3"/>
  <c r="S265" i="3"/>
  <c r="S101" i="3"/>
  <c r="S80" i="3"/>
  <c r="S156" i="3"/>
  <c r="S97" i="3"/>
  <c r="S331" i="3"/>
  <c r="S370" i="3"/>
  <c r="S362" i="3"/>
  <c r="S271" i="3"/>
  <c r="S247" i="3"/>
  <c r="S225" i="3"/>
  <c r="S202" i="3"/>
  <c r="S15" i="3"/>
  <c r="S22" i="3"/>
  <c r="S402" i="3"/>
  <c r="S325" i="3"/>
  <c r="S380" i="3"/>
  <c r="S192" i="3"/>
  <c r="S292" i="3"/>
  <c r="S212" i="3"/>
  <c r="S73" i="3"/>
  <c r="S251" i="3"/>
  <c r="S96" i="3"/>
  <c r="S394" i="3"/>
  <c r="S360" i="3"/>
  <c r="S337" i="3"/>
  <c r="S200" i="3"/>
  <c r="S148" i="3"/>
  <c r="S113" i="3"/>
  <c r="S89" i="3"/>
  <c r="S63" i="3"/>
  <c r="S347" i="3"/>
  <c r="S406" i="3"/>
  <c r="S215" i="3"/>
  <c r="S329" i="3"/>
  <c r="S384" i="3"/>
  <c r="V307" i="3"/>
  <c r="AE307" i="3"/>
  <c r="AE156" i="3"/>
  <c r="AE163" i="3"/>
  <c r="AE168" i="3"/>
  <c r="AE172" i="3"/>
  <c r="AE175" i="3"/>
  <c r="AE179" i="3"/>
  <c r="AE183" i="3"/>
  <c r="AE186" i="3"/>
  <c r="AE191" i="3"/>
  <c r="AE197" i="3"/>
  <c r="AE200" i="3"/>
  <c r="AE205" i="3"/>
  <c r="AE213" i="3"/>
  <c r="AE231" i="3"/>
  <c r="AE243" i="3"/>
  <c r="AE247" i="3"/>
  <c r="AE258" i="3"/>
  <c r="AE266" i="3"/>
  <c r="AE270" i="3"/>
  <c r="AE284" i="3"/>
  <c r="AE292" i="3"/>
  <c r="V415" i="3"/>
  <c r="V5" i="3"/>
  <c r="V13" i="3"/>
  <c r="V19" i="3"/>
  <c r="V25" i="3"/>
  <c r="V32" i="3"/>
  <c r="V34" i="3"/>
  <c r="V40" i="3"/>
  <c r="V46" i="3"/>
  <c r="V52" i="3"/>
  <c r="V58" i="3"/>
  <c r="V64" i="3"/>
  <c r="V68" i="3"/>
  <c r="V76" i="3"/>
  <c r="V80" i="3"/>
  <c r="V89" i="3"/>
  <c r="V93" i="3"/>
  <c r="V99" i="3"/>
  <c r="V105" i="3"/>
  <c r="V111" i="3"/>
  <c r="V117" i="3"/>
  <c r="V127" i="3"/>
  <c r="V153" i="3"/>
  <c r="V159" i="3"/>
  <c r="V165" i="3"/>
  <c r="V169" i="3"/>
  <c r="V178" i="3"/>
  <c r="V184" i="3"/>
  <c r="V190" i="3"/>
  <c r="V195" i="3"/>
  <c r="V205" i="3"/>
  <c r="V211" i="3"/>
  <c r="V223" i="3"/>
  <c r="V227" i="3"/>
  <c r="V234" i="3"/>
  <c r="V245" i="3"/>
  <c r="V251" i="3"/>
  <c r="V257" i="3"/>
  <c r="V263" i="3"/>
  <c r="V275" i="3"/>
  <c r="AE232" i="3"/>
  <c r="AE268" i="3"/>
  <c r="AE309" i="3"/>
  <c r="AE338" i="3"/>
  <c r="AE375" i="3"/>
  <c r="V197" i="3"/>
  <c r="V243" i="3"/>
  <c r="V273" i="3"/>
  <c r="V317" i="3"/>
  <c r="V344" i="3"/>
  <c r="V282" i="3"/>
  <c r="V288" i="3"/>
  <c r="V295" i="3"/>
  <c r="V303" i="3"/>
  <c r="V311" i="3"/>
  <c r="V315" i="3"/>
  <c r="V318" i="3"/>
  <c r="V325" i="3"/>
  <c r="V329" i="3"/>
  <c r="V335" i="3"/>
  <c r="V342" i="3"/>
  <c r="V347" i="3"/>
  <c r="V356" i="3"/>
  <c r="V362" i="3"/>
  <c r="V370" i="3"/>
  <c r="V202" i="3"/>
  <c r="V261" i="3"/>
  <c r="V313" i="3"/>
  <c r="V352" i="3"/>
  <c r="AE235" i="3"/>
  <c r="AE244" i="3"/>
  <c r="AE254" i="3"/>
  <c r="AE265" i="3"/>
  <c r="AE275" i="3"/>
  <c r="AE285" i="3"/>
  <c r="AE299" i="3"/>
  <c r="AE306" i="3"/>
  <c r="AE312" i="3"/>
  <c r="AE317" i="3"/>
  <c r="AE322" i="3"/>
  <c r="AE332" i="3"/>
  <c r="AE337" i="3"/>
  <c r="AE339" i="3"/>
  <c r="AE363" i="3"/>
  <c r="AE382" i="3"/>
  <c r="AE408" i="3"/>
  <c r="AE250" i="3"/>
  <c r="AE313" i="3"/>
  <c r="AE381" i="3"/>
  <c r="V297" i="3"/>
  <c r="AE417" i="3"/>
  <c r="V102" i="3"/>
  <c r="V108" i="3"/>
  <c r="V118" i="3"/>
  <c r="V122" i="3"/>
  <c r="V131" i="3"/>
  <c r="V135" i="3"/>
  <c r="V140" i="3"/>
  <c r="V144" i="3"/>
  <c r="V149" i="3"/>
  <c r="V156" i="3"/>
  <c r="V166" i="3"/>
  <c r="V177" i="3"/>
  <c r="V183" i="3"/>
  <c r="V192" i="3"/>
  <c r="V200" i="3"/>
  <c r="V210" i="3"/>
  <c r="V222" i="3"/>
  <c r="AE74" i="3"/>
  <c r="AE84" i="3"/>
  <c r="AE95" i="3"/>
  <c r="AE112" i="3"/>
  <c r="AE354" i="3"/>
  <c r="AE362" i="3"/>
  <c r="AE377" i="3"/>
  <c r="AE387" i="3"/>
  <c r="AE401" i="3"/>
  <c r="AE412" i="3"/>
  <c r="AE311" i="3"/>
  <c r="AE323" i="3"/>
  <c r="AB113" i="3"/>
  <c r="Y121" i="3"/>
  <c r="V376" i="3"/>
  <c r="V378" i="3"/>
  <c r="V380" i="3"/>
  <c r="V382" i="3"/>
  <c r="V384" i="3"/>
  <c r="V386" i="3"/>
  <c r="V388" i="3"/>
  <c r="V390" i="3"/>
  <c r="V392" i="3"/>
  <c r="V394" i="3"/>
  <c r="V396" i="3"/>
  <c r="V398" i="3"/>
  <c r="V400" i="3"/>
  <c r="V402" i="3"/>
  <c r="V404" i="3"/>
  <c r="V406" i="3"/>
  <c r="V408" i="3"/>
  <c r="V410" i="3"/>
  <c r="V412" i="3"/>
  <c r="V414" i="3"/>
  <c r="AE4" i="3"/>
  <c r="AE5" i="3"/>
  <c r="AE9" i="3"/>
  <c r="AE11" i="3"/>
  <c r="AE13" i="3"/>
  <c r="AE15" i="3"/>
  <c r="AE18" i="3"/>
  <c r="AE20" i="3"/>
  <c r="AE22" i="3"/>
  <c r="AE25" i="3"/>
  <c r="AE27" i="3"/>
  <c r="AE29" i="3"/>
  <c r="AE32" i="3"/>
  <c r="AE34" i="3"/>
  <c r="AE37" i="3"/>
  <c r="AE39" i="3"/>
  <c r="AE41" i="3"/>
  <c r="AE43" i="3"/>
  <c r="AE45" i="3"/>
  <c r="AE49" i="3"/>
  <c r="AE51" i="3"/>
  <c r="AE54" i="3"/>
  <c r="AE56" i="3"/>
  <c r="AE59" i="3"/>
  <c r="AE61" i="3"/>
  <c r="AE63" i="3"/>
  <c r="AE65" i="3"/>
  <c r="AE69" i="3"/>
  <c r="AE71" i="3"/>
  <c r="AE73" i="3"/>
  <c r="AE75" i="3"/>
  <c r="AE79" i="3"/>
  <c r="AE81" i="3"/>
  <c r="AE85" i="3"/>
  <c r="AE87" i="3"/>
  <c r="AE89" i="3"/>
  <c r="AE91" i="3"/>
  <c r="AE94" i="3"/>
  <c r="AE96" i="3"/>
  <c r="AE98" i="3"/>
  <c r="AE101" i="3"/>
  <c r="AE103" i="3"/>
  <c r="AE105" i="3"/>
  <c r="AE107" i="3"/>
  <c r="AE109" i="3"/>
  <c r="AE111" i="3"/>
  <c r="AE113" i="3"/>
  <c r="AE115" i="3"/>
  <c r="AE116" i="3"/>
  <c r="AE118" i="3"/>
  <c r="AE121" i="3"/>
  <c r="AE123" i="3"/>
  <c r="AE125" i="3"/>
  <c r="AE126" i="3"/>
  <c r="AE128" i="3"/>
  <c r="AE129" i="3"/>
  <c r="AE131" i="3"/>
  <c r="AE133" i="3"/>
  <c r="AE134" i="3"/>
  <c r="AE136" i="3"/>
  <c r="AE137" i="3"/>
  <c r="AE139" i="3"/>
  <c r="AE140" i="3"/>
  <c r="AE142" i="3"/>
  <c r="AE144" i="3"/>
  <c r="AE145" i="3"/>
  <c r="AE147" i="3"/>
  <c r="AE148" i="3"/>
  <c r="AE150" i="3"/>
  <c r="AE151" i="3"/>
  <c r="AE153" i="3"/>
  <c r="AE155" i="3"/>
  <c r="AE157" i="3"/>
  <c r="AE159" i="3"/>
  <c r="AE160" i="3"/>
  <c r="AE164" i="3"/>
  <c r="AE165" i="3"/>
  <c r="AE167" i="3"/>
  <c r="AE169" i="3"/>
  <c r="AE170" i="3"/>
  <c r="AE173" i="3"/>
  <c r="AE176" i="3"/>
  <c r="AE178" i="3"/>
  <c r="AE180" i="3"/>
  <c r="AE185" i="3"/>
  <c r="AE189" i="3"/>
  <c r="AE192" i="3"/>
  <c r="AE194" i="3"/>
  <c r="AE196" i="3"/>
  <c r="AE199" i="3"/>
  <c r="AE204" i="3"/>
  <c r="AE206" i="3"/>
  <c r="AE210" i="3"/>
  <c r="AE214" i="3"/>
  <c r="AE215" i="3"/>
  <c r="AE217" i="3"/>
  <c r="AE219" i="3"/>
  <c r="AE221" i="3"/>
  <c r="AE223" i="3"/>
  <c r="AE226" i="3"/>
  <c r="AE346" i="3"/>
  <c r="AE350" i="3"/>
  <c r="AE357" i="3"/>
  <c r="AE361" i="3"/>
  <c r="AE369" i="3"/>
  <c r="AE371" i="3"/>
  <c r="AE376" i="3"/>
  <c r="AE380" i="3"/>
  <c r="AE384" i="3"/>
  <c r="AE391" i="3"/>
  <c r="AE394" i="3"/>
  <c r="AE400" i="3"/>
  <c r="AE402" i="3"/>
  <c r="AE406" i="3"/>
  <c r="AE411" i="3"/>
  <c r="AE414" i="3"/>
  <c r="AE416" i="3"/>
  <c r="AE162" i="3"/>
  <c r="AE193" i="3"/>
  <c r="AE198" i="3"/>
  <c r="AE216" i="3"/>
  <c r="AE227" i="3"/>
  <c r="AE236" i="3"/>
  <c r="AE256" i="3"/>
  <c r="AE272" i="3"/>
  <c r="AE289" i="3"/>
  <c r="AE298" i="3"/>
  <c r="AE305" i="3"/>
  <c r="AE316" i="3"/>
  <c r="AE324" i="3"/>
  <c r="AE335" i="3"/>
  <c r="AE342" i="3"/>
  <c r="AE360" i="3"/>
  <c r="AE367" i="3"/>
  <c r="AE389" i="3"/>
  <c r="V191" i="3"/>
  <c r="V238" i="3"/>
  <c r="V285" i="3"/>
  <c r="V328" i="3"/>
  <c r="AE228" i="3"/>
  <c r="AE237" i="3"/>
  <c r="AE246" i="3"/>
  <c r="AE257" i="3"/>
  <c r="AE271" i="3"/>
  <c r="AE280" i="3"/>
  <c r="AE290" i="3"/>
  <c r="AE297" i="3"/>
  <c r="AE303" i="3"/>
  <c r="AE310" i="3"/>
  <c r="V128" i="3"/>
  <c r="V133" i="3"/>
  <c r="V138" i="3"/>
  <c r="V143" i="3"/>
  <c r="V147" i="3"/>
  <c r="V154" i="3"/>
  <c r="V162" i="3"/>
  <c r="V173" i="3"/>
  <c r="V179" i="3"/>
  <c r="V189" i="3"/>
  <c r="V198" i="3"/>
  <c r="V208" i="3"/>
  <c r="V220" i="3"/>
  <c r="AE70" i="3"/>
  <c r="AE82" i="3"/>
  <c r="AE90" i="3"/>
  <c r="AE100" i="3"/>
  <c r="AE345" i="3"/>
  <c r="AE356" i="3"/>
  <c r="AE368" i="3"/>
  <c r="AE379" i="3"/>
  <c r="AE392" i="3"/>
  <c r="AE405" i="3"/>
  <c r="AE326" i="3"/>
  <c r="AB110" i="3"/>
  <c r="V4" i="3"/>
  <c r="V6" i="3"/>
  <c r="V8" i="3"/>
  <c r="V10" i="3"/>
  <c r="V12" i="3"/>
  <c r="V14" i="3"/>
  <c r="V16" i="3"/>
  <c r="V18" i="3"/>
  <c r="V20" i="3"/>
  <c r="V22" i="3"/>
  <c r="V24" i="3"/>
  <c r="V26" i="3"/>
  <c r="V27" i="3"/>
  <c r="V29" i="3"/>
  <c r="V31" i="3"/>
  <c r="V33" i="3"/>
  <c r="V35" i="3"/>
  <c r="V37" i="3"/>
  <c r="V39" i="3"/>
  <c r="V41" i="3"/>
  <c r="V43" i="3"/>
  <c r="V45" i="3"/>
  <c r="V47" i="3"/>
  <c r="V49" i="3"/>
  <c r="V51" i="3"/>
  <c r="V53" i="3"/>
  <c r="V55" i="3"/>
  <c r="V57" i="3"/>
  <c r="V59" i="3"/>
  <c r="V61" i="3"/>
  <c r="V63" i="3"/>
  <c r="V65" i="3"/>
  <c r="V67" i="3"/>
  <c r="V69" i="3"/>
  <c r="V71" i="3"/>
  <c r="V73" i="3"/>
  <c r="V75" i="3"/>
  <c r="V77" i="3"/>
  <c r="V79" i="3"/>
  <c r="V82" i="3"/>
  <c r="V84" i="3"/>
  <c r="V86" i="3"/>
  <c r="V88" i="3"/>
  <c r="V90" i="3"/>
  <c r="V92" i="3"/>
  <c r="V94" i="3"/>
  <c r="V96" i="3"/>
  <c r="V98" i="3"/>
  <c r="V110" i="3"/>
  <c r="V124" i="3"/>
  <c r="V137" i="3"/>
  <c r="V148" i="3"/>
  <c r="V168" i="3"/>
  <c r="V187" i="3"/>
  <c r="V212" i="3"/>
  <c r="AE76" i="3"/>
  <c r="AE106" i="3"/>
  <c r="AE374" i="3"/>
  <c r="AE407" i="3"/>
  <c r="Y110" i="3"/>
  <c r="AB121" i="3"/>
  <c r="AE202" i="3"/>
  <c r="AE209" i="3"/>
  <c r="AE218" i="3"/>
  <c r="AE225" i="3"/>
  <c r="AE238" i="3"/>
  <c r="AE251" i="3"/>
  <c r="AE262" i="3"/>
  <c r="AE279" i="3"/>
  <c r="AE288" i="3"/>
  <c r="AE296" i="3"/>
  <c r="V417" i="3"/>
  <c r="V3" i="3"/>
  <c r="V9" i="3"/>
  <c r="V15" i="3"/>
  <c r="V21" i="3"/>
  <c r="V28" i="3"/>
  <c r="V36" i="3"/>
  <c r="V42" i="3"/>
  <c r="V48" i="3"/>
  <c r="V54" i="3"/>
  <c r="V62" i="3"/>
  <c r="V70" i="3"/>
  <c r="V74" i="3"/>
  <c r="V81" i="3"/>
  <c r="V85" i="3"/>
  <c r="V91" i="3"/>
  <c r="V97" i="3"/>
  <c r="V101" i="3"/>
  <c r="V109" i="3"/>
  <c r="V115" i="3"/>
  <c r="V121" i="3"/>
  <c r="V125" i="3"/>
  <c r="V129" i="3"/>
  <c r="V155" i="3"/>
  <c r="V163" i="3"/>
  <c r="V172" i="3"/>
  <c r="V176" i="3"/>
  <c r="V182" i="3"/>
  <c r="V188" i="3"/>
  <c r="V199" i="3"/>
  <c r="V203" i="3"/>
  <c r="V213" i="3"/>
  <c r="V218" i="3"/>
  <c r="V225" i="3"/>
  <c r="V231" i="3"/>
  <c r="V239" i="3"/>
  <c r="V247" i="3"/>
  <c r="V259" i="3"/>
  <c r="V269" i="3"/>
  <c r="AE188" i="3"/>
  <c r="AE242" i="3"/>
  <c r="AE282" i="3"/>
  <c r="AE320" i="3"/>
  <c r="AE364" i="3"/>
  <c r="AE396" i="3"/>
  <c r="V207" i="3"/>
  <c r="V292" i="3"/>
  <c r="V324" i="3"/>
  <c r="V357" i="3"/>
  <c r="V280" i="3"/>
  <c r="V284" i="3"/>
  <c r="V290" i="3"/>
  <c r="V299" i="3"/>
  <c r="V308" i="3"/>
  <c r="V314" i="3"/>
  <c r="V319" i="3"/>
  <c r="V321" i="3"/>
  <c r="V326" i="3"/>
  <c r="V330" i="3"/>
  <c r="V333" i="3"/>
  <c r="V338" i="3"/>
  <c r="V345" i="3"/>
  <c r="V351" i="3"/>
  <c r="V358" i="3"/>
  <c r="V360" i="3"/>
  <c r="V366" i="3"/>
  <c r="V372" i="3"/>
  <c r="V214" i="3"/>
  <c r="V250" i="3"/>
  <c r="V304" i="3"/>
  <c r="V337" i="3"/>
  <c r="AE230" i="3"/>
  <c r="AE239" i="3"/>
  <c r="AE249" i="3"/>
  <c r="AE259" i="3"/>
  <c r="AE267" i="3"/>
  <c r="AE283" i="3"/>
  <c r="AE293" i="3"/>
  <c r="AE301" i="3"/>
  <c r="AE308" i="3"/>
  <c r="AE315" i="3"/>
  <c r="AE321" i="3"/>
  <c r="AE327" i="3"/>
  <c r="AE334" i="3"/>
  <c r="AE343" i="3"/>
  <c r="AE373" i="3"/>
  <c r="AE397" i="3"/>
  <c r="AE181" i="3"/>
  <c r="AE276" i="3"/>
  <c r="AE351" i="3"/>
  <c r="V219" i="3"/>
  <c r="V320" i="3"/>
  <c r="V104" i="3"/>
  <c r="V112" i="3"/>
  <c r="V114" i="3"/>
  <c r="V120" i="3"/>
  <c r="V130" i="3"/>
  <c r="V134" i="3"/>
  <c r="V139" i="3"/>
  <c r="V142" i="3"/>
  <c r="V146" i="3"/>
  <c r="V152" i="3"/>
  <c r="V160" i="3"/>
  <c r="V170" i="3"/>
  <c r="V181" i="3"/>
  <c r="V194" i="3"/>
  <c r="V204" i="3"/>
  <c r="V217" i="3"/>
  <c r="V226" i="3"/>
  <c r="AE78" i="3"/>
  <c r="AE92" i="3"/>
  <c r="AE102" i="3"/>
  <c r="AE348" i="3"/>
  <c r="AE358" i="3"/>
  <c r="AE365" i="3"/>
  <c r="AE383" i="3"/>
  <c r="AE395" i="3"/>
  <c r="AE403" i="3"/>
  <c r="AE415" i="3"/>
  <c r="V305" i="3"/>
  <c r="AE319" i="3"/>
  <c r="AE330" i="3"/>
  <c r="AB117" i="3"/>
  <c r="AE274" i="3"/>
  <c r="V7" i="3"/>
  <c r="V11" i="3"/>
  <c r="V17" i="3"/>
  <c r="V23" i="3"/>
  <c r="V30" i="3"/>
  <c r="V38" i="3"/>
  <c r="V44" i="3"/>
  <c r="V50" i="3"/>
  <c r="V56" i="3"/>
  <c r="V60" i="3"/>
  <c r="V66" i="3"/>
  <c r="V72" i="3"/>
  <c r="V78" i="3"/>
  <c r="V83" i="3"/>
  <c r="V87" i="3"/>
  <c r="V95" i="3"/>
  <c r="V103" i="3"/>
  <c r="V107" i="3"/>
  <c r="V113" i="3"/>
  <c r="V119" i="3"/>
  <c r="V123" i="3"/>
  <c r="V151" i="3"/>
  <c r="V157" i="3"/>
  <c r="V161" i="3"/>
  <c r="V167" i="3"/>
  <c r="V174" i="3"/>
  <c r="V180" i="3"/>
  <c r="V186" i="3"/>
  <c r="V193" i="3"/>
  <c r="V201" i="3"/>
  <c r="V209" i="3"/>
  <c r="V216" i="3"/>
  <c r="V221" i="3"/>
  <c r="V229" i="3"/>
  <c r="V236" i="3"/>
  <c r="V241" i="3"/>
  <c r="V249" i="3"/>
  <c r="V253" i="3"/>
  <c r="V267" i="3"/>
  <c r="V271" i="3"/>
  <c r="AE212" i="3"/>
  <c r="AE260" i="3"/>
  <c r="AE302" i="3"/>
  <c r="AE328" i="3"/>
  <c r="AE347" i="3"/>
  <c r="V171" i="3"/>
  <c r="V233" i="3"/>
  <c r="V255" i="3"/>
  <c r="V309" i="3"/>
  <c r="V331" i="3"/>
  <c r="V277" i="3"/>
  <c r="V286" i="3"/>
  <c r="V293" i="3"/>
  <c r="V301" i="3"/>
  <c r="V306" i="3"/>
  <c r="V312" i="3"/>
  <c r="V316" i="3"/>
  <c r="V323" i="3"/>
  <c r="V327" i="3"/>
  <c r="V332" i="3"/>
  <c r="V336" i="3"/>
  <c r="V340" i="3"/>
  <c r="V349" i="3"/>
  <c r="V354" i="3"/>
  <c r="V364" i="3"/>
  <c r="V368" i="3"/>
  <c r="V374" i="3"/>
  <c r="V228" i="3"/>
  <c r="V278" i="3"/>
  <c r="V322" i="3"/>
  <c r="AE233" i="3"/>
  <c r="AE241" i="3"/>
  <c r="AE253" i="3"/>
  <c r="AE263" i="3"/>
  <c r="AE278" i="3"/>
  <c r="AE287" i="3"/>
  <c r="AE294" i="3"/>
  <c r="AE304" i="3"/>
  <c r="AE314" i="3"/>
  <c r="AE318" i="3"/>
  <c r="AE325" i="3"/>
  <c r="AE329" i="3"/>
  <c r="AE336" i="3"/>
  <c r="AE341" i="3"/>
  <c r="AE353" i="3"/>
  <c r="AE388" i="3"/>
  <c r="AE222" i="3"/>
  <c r="AE331" i="3"/>
  <c r="V265" i="3"/>
  <c r="V334" i="3"/>
  <c r="V416" i="3"/>
  <c r="V100" i="3"/>
  <c r="V106" i="3"/>
  <c r="V116" i="3"/>
  <c r="V126" i="3"/>
  <c r="V132" i="3"/>
  <c r="V136" i="3"/>
  <c r="V141" i="3"/>
  <c r="V145" i="3"/>
  <c r="V150" i="3"/>
  <c r="V158" i="3"/>
  <c r="V164" i="3"/>
  <c r="V175" i="3"/>
  <c r="V185" i="3"/>
  <c r="V196" i="3"/>
  <c r="V206" i="3"/>
  <c r="V215" i="3"/>
  <c r="V224" i="3"/>
  <c r="AE80" i="3"/>
  <c r="AE86" i="3"/>
  <c r="AE97" i="3"/>
  <c r="AE110" i="3"/>
  <c r="AE352" i="3"/>
  <c r="AE370" i="3"/>
  <c r="AE385" i="3"/>
  <c r="AE398" i="3"/>
  <c r="AE410" i="3"/>
  <c r="Y113" i="3"/>
  <c r="Y117" i="3"/>
  <c r="AE413" i="3"/>
  <c r="V413" i="3"/>
  <c r="S365" i="3"/>
  <c r="V365" i="3"/>
  <c r="S359" i="3"/>
  <c r="AE359" i="3"/>
  <c r="V359" i="3"/>
  <c r="S355" i="3"/>
  <c r="V355" i="3"/>
  <c r="AE355" i="3"/>
  <c r="S348" i="3"/>
  <c r="V348" i="3"/>
  <c r="S220" i="3"/>
  <c r="AE220" i="3"/>
  <c r="S211" i="3"/>
  <c r="AE211" i="3"/>
  <c r="S207" i="3"/>
  <c r="AE207" i="3"/>
  <c r="S203" i="3"/>
  <c r="AE203" i="3"/>
  <c r="S386" i="3"/>
  <c r="AE386" i="3"/>
  <c r="S353" i="3"/>
  <c r="V353" i="3"/>
  <c r="S310" i="3"/>
  <c r="V310" i="3"/>
  <c r="S302" i="3"/>
  <c r="V302" i="3"/>
  <c r="S298" i="3"/>
  <c r="V298" i="3"/>
  <c r="S294" i="3"/>
  <c r="V294" i="3"/>
  <c r="S289" i="3"/>
  <c r="V289" i="3"/>
  <c r="S50" i="3"/>
  <c r="AE50" i="3"/>
  <c r="AE300" i="3"/>
  <c r="V300" i="3"/>
  <c r="S283" i="3"/>
  <c r="V283" i="3"/>
  <c r="S279" i="3"/>
  <c r="V279" i="3"/>
  <c r="S117" i="3"/>
  <c r="AE117" i="3"/>
  <c r="S35" i="3"/>
  <c r="AE35" i="3"/>
  <c r="S7" i="3"/>
  <c r="AE7" i="3"/>
  <c r="S295" i="3"/>
  <c r="AE295" i="3"/>
  <c r="S287" i="3"/>
  <c r="V287" i="3"/>
  <c r="AE281" i="3"/>
  <c r="V281" i="3"/>
  <c r="S274" i="3"/>
  <c r="V274" i="3"/>
  <c r="S270" i="3"/>
  <c r="V270" i="3"/>
  <c r="S266" i="3"/>
  <c r="V266" i="3"/>
  <c r="S264" i="3"/>
  <c r="AE264" i="3"/>
  <c r="V264" i="3"/>
  <c r="S88" i="3"/>
  <c r="AE88" i="3"/>
  <c r="S83" i="3"/>
  <c r="AE83" i="3"/>
  <c r="S66" i="3"/>
  <c r="AE66" i="3"/>
  <c r="S62" i="3"/>
  <c r="AE62" i="3"/>
  <c r="S60" i="3"/>
  <c r="AE60" i="3"/>
  <c r="S52" i="3"/>
  <c r="AE52" i="3"/>
  <c r="S31" i="3"/>
  <c r="AE31" i="3"/>
  <c r="S28" i="3"/>
  <c r="AE28" i="3"/>
  <c r="S14" i="3"/>
  <c r="AE14" i="3"/>
  <c r="S10" i="3"/>
  <c r="AE10" i="3"/>
  <c r="S6" i="3"/>
  <c r="AE6" i="3"/>
  <c r="S3" i="3"/>
  <c r="AE3" i="3"/>
  <c r="S17" i="3"/>
  <c r="AE17" i="3"/>
  <c r="S19" i="3"/>
  <c r="AE19" i="3"/>
  <c r="S21" i="3"/>
  <c r="AE21" i="3"/>
  <c r="S23" i="3"/>
  <c r="AE23" i="3"/>
  <c r="S36" i="3"/>
  <c r="AE36" i="3"/>
  <c r="S38" i="3"/>
  <c r="AE38" i="3"/>
  <c r="S40" i="3"/>
  <c r="AE40" i="3"/>
  <c r="S42" i="3"/>
  <c r="AE42" i="3"/>
  <c r="S44" i="3"/>
  <c r="AE44" i="3"/>
  <c r="S46" i="3"/>
  <c r="AE46" i="3"/>
  <c r="S47" i="3"/>
  <c r="AE47" i="3"/>
  <c r="S53" i="3"/>
  <c r="AE53" i="3"/>
  <c r="S57" i="3"/>
  <c r="AE57" i="3"/>
  <c r="S67" i="3"/>
  <c r="AE67" i="3"/>
  <c r="S77" i="3"/>
  <c r="AE77" i="3"/>
  <c r="S99" i="3"/>
  <c r="AE99" i="3"/>
  <c r="S114" i="3"/>
  <c r="AE114" i="3"/>
  <c r="S276" i="3"/>
  <c r="V276" i="3"/>
  <c r="S286" i="3"/>
  <c r="AE286" i="3"/>
  <c r="S149" i="3"/>
  <c r="AE149" i="3"/>
  <c r="S161" i="3"/>
  <c r="AE161" i="3"/>
  <c r="S171" i="3"/>
  <c r="AE171" i="3"/>
  <c r="S174" i="3"/>
  <c r="AE174" i="3"/>
  <c r="S190" i="3"/>
  <c r="AE190" i="3"/>
  <c r="S195" i="3"/>
  <c r="AE195" i="3"/>
  <c r="S224" i="3"/>
  <c r="AE224" i="3"/>
  <c r="S235" i="3"/>
  <c r="V235" i="3"/>
  <c r="S240" i="3"/>
  <c r="V240" i="3"/>
  <c r="AE240" i="3"/>
  <c r="S242" i="3"/>
  <c r="V242" i="3"/>
  <c r="S244" i="3"/>
  <c r="V244" i="3"/>
  <c r="S246" i="3"/>
  <c r="V246" i="3"/>
  <c r="S261" i="3"/>
  <c r="AE261" i="3"/>
  <c r="S269" i="3"/>
  <c r="AE269" i="3"/>
  <c r="S273" i="3"/>
  <c r="AE273" i="3"/>
  <c r="S291" i="3"/>
  <c r="AE291" i="3"/>
  <c r="V291" i="3"/>
  <c r="S333" i="3"/>
  <c r="AE333" i="3"/>
  <c r="S339" i="3"/>
  <c r="V339" i="3"/>
  <c r="S340" i="3"/>
  <c r="AE340" i="3"/>
  <c r="S341" i="3"/>
  <c r="V341" i="3"/>
  <c r="S343" i="3"/>
  <c r="V343" i="3"/>
  <c r="S344" i="3"/>
  <c r="AE344" i="3"/>
  <c r="S366" i="3"/>
  <c r="AE366" i="3"/>
  <c r="S369" i="3"/>
  <c r="V369" i="3"/>
  <c r="S371" i="3"/>
  <c r="V371" i="3"/>
  <c r="S373" i="3"/>
  <c r="V373" i="3"/>
  <c r="S375" i="3"/>
  <c r="V375" i="3"/>
  <c r="S377" i="3"/>
  <c r="V377" i="3"/>
  <c r="S379" i="3"/>
  <c r="V379" i="3"/>
  <c r="S381" i="3"/>
  <c r="V381" i="3"/>
  <c r="S383" i="3"/>
  <c r="V383" i="3"/>
  <c r="S385" i="3"/>
  <c r="V385" i="3"/>
  <c r="S387" i="3"/>
  <c r="V387" i="3"/>
  <c r="S389" i="3"/>
  <c r="V389" i="3"/>
  <c r="S391" i="3"/>
  <c r="V391" i="3"/>
  <c r="S393" i="3"/>
  <c r="V393" i="3"/>
  <c r="AE393" i="3"/>
  <c r="S395" i="3"/>
  <c r="V395" i="3"/>
  <c r="V399" i="3"/>
  <c r="AE399" i="3"/>
  <c r="AE409" i="3"/>
  <c r="V409" i="3"/>
  <c r="S152" i="3"/>
  <c r="AE152" i="3"/>
  <c r="V248" i="3"/>
  <c r="AE248" i="3"/>
  <c r="AE252" i="3"/>
  <c r="V252" i="3"/>
  <c r="Y265" i="3"/>
  <c r="AB265" i="3"/>
  <c r="AB269" i="3"/>
  <c r="Y269" i="3"/>
  <c r="Y275" i="3"/>
  <c r="AB275" i="3"/>
  <c r="Y278" i="3"/>
  <c r="AB278" i="3"/>
  <c r="AB282" i="3"/>
  <c r="Y282" i="3"/>
  <c r="Y288" i="3"/>
  <c r="AB288" i="3"/>
  <c r="Y291" i="3"/>
  <c r="AB291" i="3"/>
  <c r="Y293" i="3"/>
  <c r="AB293" i="3"/>
  <c r="Y295" i="3"/>
  <c r="AB295" i="3"/>
  <c r="Y3" i="3"/>
  <c r="AB3" i="3"/>
  <c r="Y7" i="3"/>
  <c r="AB7" i="3"/>
  <c r="AB11" i="3"/>
  <c r="Y11" i="3"/>
  <c r="Y15" i="3"/>
  <c r="AB15" i="3"/>
  <c r="AB19" i="3"/>
  <c r="Y19" i="3"/>
  <c r="Y23" i="3"/>
  <c r="AB23" i="3"/>
  <c r="Y28" i="3"/>
  <c r="AB28" i="3"/>
  <c r="Y32" i="3"/>
  <c r="AB32" i="3"/>
  <c r="AB35" i="3"/>
  <c r="Y35" i="3"/>
  <c r="Y38" i="3"/>
  <c r="AB38" i="3"/>
  <c r="AB42" i="3"/>
  <c r="Y42" i="3"/>
  <c r="Y46" i="3"/>
  <c r="AB46" i="3"/>
  <c r="AB50" i="3"/>
  <c r="Y50" i="3"/>
  <c r="Y54" i="3"/>
  <c r="AB54" i="3"/>
  <c r="AB58" i="3"/>
  <c r="Y58" i="3"/>
  <c r="Y62" i="3"/>
  <c r="AB62" i="3"/>
  <c r="AB64" i="3"/>
  <c r="Y64" i="3"/>
  <c r="AB67" i="3"/>
  <c r="Y67" i="3"/>
  <c r="Y74" i="3"/>
  <c r="AB74" i="3"/>
  <c r="Y78" i="3"/>
  <c r="AB78" i="3"/>
  <c r="Y82" i="3"/>
  <c r="AB82" i="3"/>
  <c r="Y88" i="3"/>
  <c r="AB88" i="3"/>
  <c r="Y92" i="3"/>
  <c r="AB92" i="3"/>
  <c r="Y96" i="3"/>
  <c r="AB96" i="3"/>
  <c r="Y99" i="3"/>
  <c r="AB99" i="3"/>
  <c r="Y104" i="3"/>
  <c r="AB104" i="3"/>
  <c r="Y106" i="3"/>
  <c r="AB106" i="3"/>
  <c r="Y125" i="3"/>
  <c r="AB125" i="3"/>
  <c r="Y127" i="3"/>
  <c r="AB127" i="3"/>
  <c r="AB131" i="3"/>
  <c r="Y131" i="3"/>
  <c r="AB137" i="3"/>
  <c r="Y137" i="3"/>
  <c r="Y140" i="3"/>
  <c r="AB140" i="3"/>
  <c r="Y144" i="3"/>
  <c r="AB144" i="3"/>
  <c r="Y148" i="3"/>
  <c r="AB148" i="3"/>
  <c r="Y152" i="3"/>
  <c r="AB152" i="3"/>
  <c r="Y156" i="3"/>
  <c r="AB156" i="3"/>
  <c r="Y160" i="3"/>
  <c r="AB160" i="3"/>
  <c r="AB164" i="3"/>
  <c r="Y164" i="3"/>
  <c r="Y167" i="3"/>
  <c r="AB167" i="3"/>
  <c r="AB171" i="3"/>
  <c r="Y171" i="3"/>
  <c r="AB175" i="3"/>
  <c r="Y175" i="3"/>
  <c r="Y180" i="3"/>
  <c r="AB180" i="3"/>
  <c r="Y183" i="3"/>
  <c r="AB183" i="3"/>
  <c r="Y186" i="3"/>
  <c r="AB186" i="3"/>
  <c r="Y189" i="3"/>
  <c r="AB189" i="3"/>
  <c r="Y192" i="3"/>
  <c r="AB192" i="3"/>
  <c r="Y194" i="3"/>
  <c r="AB194" i="3"/>
  <c r="AB196" i="3"/>
  <c r="Y196" i="3"/>
  <c r="Y201" i="3"/>
  <c r="AB201" i="3"/>
  <c r="AB205" i="3"/>
  <c r="Y205" i="3"/>
  <c r="AB208" i="3"/>
  <c r="Y208" i="3"/>
  <c r="Y211" i="3"/>
  <c r="AB211" i="3"/>
  <c r="Y214" i="3"/>
  <c r="AB214" i="3"/>
  <c r="Y217" i="3"/>
  <c r="AB217" i="3"/>
  <c r="Y221" i="3"/>
  <c r="AB221" i="3"/>
  <c r="Y226" i="3"/>
  <c r="AB226" i="3"/>
  <c r="AB229" i="3"/>
  <c r="Y229" i="3"/>
  <c r="Y233" i="3"/>
  <c r="AB233" i="3"/>
  <c r="AB237" i="3"/>
  <c r="Y237" i="3"/>
  <c r="AB241" i="3"/>
  <c r="Y241" i="3"/>
  <c r="Y245" i="3"/>
  <c r="AB245" i="3"/>
  <c r="Y249" i="3"/>
  <c r="AB249" i="3"/>
  <c r="Y253" i="3"/>
  <c r="AB253" i="3"/>
  <c r="Y257" i="3"/>
  <c r="AB257" i="3"/>
  <c r="AB262" i="3"/>
  <c r="Y262" i="3"/>
  <c r="AB266" i="3"/>
  <c r="Y266" i="3"/>
  <c r="Y270" i="3"/>
  <c r="AB270" i="3"/>
  <c r="AB274" i="3"/>
  <c r="Y274" i="3"/>
  <c r="Y280" i="3"/>
  <c r="AB280" i="3"/>
  <c r="Y284" i="3"/>
  <c r="AB284" i="3"/>
  <c r="Y287" i="3"/>
  <c r="AB287" i="3"/>
  <c r="Y292" i="3"/>
  <c r="AB292" i="3"/>
  <c r="S397" i="3"/>
  <c r="S399" i="3"/>
  <c r="S401" i="3"/>
  <c r="S403" i="3"/>
  <c r="S405" i="3"/>
  <c r="S407" i="3"/>
  <c r="S409" i="3"/>
  <c r="S411" i="3"/>
  <c r="S414" i="3"/>
  <c r="S416" i="3"/>
  <c r="S119" i="3"/>
  <c r="S123" i="3"/>
  <c r="S126" i="3"/>
  <c r="S128" i="3"/>
  <c r="S130" i="3"/>
  <c r="S132" i="3"/>
  <c r="S133" i="3"/>
  <c r="S135" i="3"/>
  <c r="S139" i="3"/>
  <c r="S141" i="3"/>
  <c r="S147" i="3"/>
  <c r="S150" i="3"/>
  <c r="S154" i="3"/>
  <c r="S155" i="3"/>
  <c r="S158" i="3"/>
  <c r="AB223" i="3"/>
  <c r="Y223" i="3"/>
  <c r="AB227" i="3"/>
  <c r="Y227" i="3"/>
  <c r="AB232" i="3"/>
  <c r="Y232" i="3"/>
  <c r="Y236" i="3"/>
  <c r="AB236" i="3"/>
  <c r="Y240" i="3"/>
  <c r="AB240" i="3"/>
  <c r="Y244" i="3"/>
  <c r="AB244" i="3"/>
  <c r="AB247" i="3"/>
  <c r="Y247" i="3"/>
  <c r="Y250" i="3"/>
  <c r="AB250" i="3"/>
  <c r="Y255" i="3"/>
  <c r="AB255" i="3"/>
  <c r="Y259" i="3"/>
  <c r="AB259" i="3"/>
  <c r="Y264" i="3"/>
  <c r="AB264" i="3"/>
  <c r="Y268" i="3"/>
  <c r="AB268" i="3"/>
  <c r="AB271" i="3"/>
  <c r="Y271" i="3"/>
  <c r="AB276" i="3"/>
  <c r="Y276" i="3"/>
  <c r="Y279" i="3"/>
  <c r="AB279" i="3"/>
  <c r="AB283" i="3"/>
  <c r="Y283" i="3"/>
  <c r="Y286" i="3"/>
  <c r="AB286" i="3"/>
  <c r="AB290" i="3"/>
  <c r="Y290" i="3"/>
  <c r="Y4" i="3"/>
  <c r="AB4" i="3"/>
  <c r="AB9" i="3"/>
  <c r="Y9" i="3"/>
  <c r="Y13" i="3"/>
  <c r="AB13" i="3"/>
  <c r="Y17" i="3"/>
  <c r="AB17" i="3"/>
  <c r="AB21" i="3"/>
  <c r="Y21" i="3"/>
  <c r="Y26" i="3"/>
  <c r="AB26" i="3"/>
  <c r="AB29" i="3"/>
  <c r="Y29" i="3"/>
  <c r="Y33" i="3"/>
  <c r="AB33" i="3"/>
  <c r="Y40" i="3"/>
  <c r="AB40" i="3"/>
  <c r="AB43" i="3"/>
  <c r="Y43" i="3"/>
  <c r="Y47" i="3"/>
  <c r="AB47" i="3"/>
  <c r="Y51" i="3"/>
  <c r="AB51" i="3"/>
  <c r="AB56" i="3"/>
  <c r="Y56" i="3"/>
  <c r="Y60" i="3"/>
  <c r="AB60" i="3"/>
  <c r="Y66" i="3"/>
  <c r="AB66" i="3"/>
  <c r="Y70" i="3"/>
  <c r="AB70" i="3"/>
  <c r="Y71" i="3"/>
  <c r="AB71" i="3"/>
  <c r="Y75" i="3"/>
  <c r="AB75" i="3"/>
  <c r="AB81" i="3"/>
  <c r="Y81" i="3"/>
  <c r="Y85" i="3"/>
  <c r="AB85" i="3"/>
  <c r="Y89" i="3"/>
  <c r="AB89" i="3"/>
  <c r="AB93" i="3"/>
  <c r="Y93" i="3"/>
  <c r="Y97" i="3"/>
  <c r="AB97" i="3"/>
  <c r="Y101" i="3"/>
  <c r="AB101" i="3"/>
  <c r="Y105" i="3"/>
  <c r="AB105" i="3"/>
  <c r="Y109" i="3"/>
  <c r="AB109" i="3"/>
  <c r="AB114" i="3"/>
  <c r="Y114" i="3"/>
  <c r="AB118" i="3"/>
  <c r="Y118" i="3"/>
  <c r="AB122" i="3"/>
  <c r="Y122" i="3"/>
  <c r="Y124" i="3"/>
  <c r="AB124" i="3"/>
  <c r="Y129" i="3"/>
  <c r="AB129" i="3"/>
  <c r="Y133" i="3"/>
  <c r="AB133" i="3"/>
  <c r="Y136" i="3"/>
  <c r="AB136" i="3"/>
  <c r="AB138" i="3"/>
  <c r="Y138" i="3"/>
  <c r="AB141" i="3"/>
  <c r="Y141" i="3"/>
  <c r="AB145" i="3"/>
  <c r="Y145" i="3"/>
  <c r="AB149" i="3"/>
  <c r="Y149" i="3"/>
  <c r="AB153" i="3"/>
  <c r="Y153" i="3"/>
  <c r="AB158" i="3"/>
  <c r="Y158" i="3"/>
  <c r="AB162" i="3"/>
  <c r="Y162" i="3"/>
  <c r="AB166" i="3"/>
  <c r="Y166" i="3"/>
  <c r="AB170" i="3"/>
  <c r="Y170" i="3"/>
  <c r="AB174" i="3"/>
  <c r="Y174" i="3"/>
  <c r="AB178" i="3"/>
  <c r="Y178" i="3"/>
  <c r="Y187" i="3"/>
  <c r="AB187" i="3"/>
  <c r="AB195" i="3"/>
  <c r="Y195" i="3"/>
  <c r="AB200" i="3"/>
  <c r="Y200" i="3"/>
  <c r="AB202" i="3"/>
  <c r="Y202" i="3"/>
  <c r="Y210" i="3"/>
  <c r="AB210" i="3"/>
  <c r="AB218" i="3"/>
  <c r="Y218" i="3"/>
  <c r="AB220" i="3"/>
  <c r="Y220" i="3"/>
  <c r="Y224" i="3"/>
  <c r="AB224" i="3"/>
  <c r="AB228" i="3"/>
  <c r="Y228" i="3"/>
  <c r="Y231" i="3"/>
  <c r="AB231" i="3"/>
  <c r="AB235" i="3"/>
  <c r="Y235" i="3"/>
  <c r="AB239" i="3"/>
  <c r="Y239" i="3"/>
  <c r="AB242" i="3"/>
  <c r="Y242" i="3"/>
  <c r="AB246" i="3"/>
  <c r="Y246" i="3"/>
  <c r="Y252" i="3"/>
  <c r="AB252" i="3"/>
  <c r="Y254" i="3"/>
  <c r="AB254" i="3"/>
  <c r="AB258" i="3"/>
  <c r="Y258" i="3"/>
  <c r="AB261" i="3"/>
  <c r="Y261" i="3"/>
  <c r="Y6" i="3"/>
  <c r="AB6" i="3"/>
  <c r="Y8" i="3"/>
  <c r="AB8" i="3"/>
  <c r="Y12" i="3"/>
  <c r="AB12" i="3"/>
  <c r="Y16" i="3"/>
  <c r="AB16" i="3"/>
  <c r="Y20" i="3"/>
  <c r="AB20" i="3"/>
  <c r="Y24" i="3"/>
  <c r="AB24" i="3"/>
  <c r="AB27" i="3"/>
  <c r="Y27" i="3"/>
  <c r="AB31" i="3"/>
  <c r="Y31" i="3"/>
  <c r="AB36" i="3"/>
  <c r="Y36" i="3"/>
  <c r="AB37" i="3"/>
  <c r="Y37" i="3"/>
  <c r="AB41" i="3"/>
  <c r="Y41" i="3"/>
  <c r="AB45" i="3"/>
  <c r="Y45" i="3"/>
  <c r="Y49" i="3"/>
  <c r="AB49" i="3"/>
  <c r="Y53" i="3"/>
  <c r="AB53" i="3"/>
  <c r="Y57" i="3"/>
  <c r="AB57" i="3"/>
  <c r="Y59" i="3"/>
  <c r="AB59" i="3"/>
  <c r="Y65" i="3"/>
  <c r="AB65" i="3"/>
  <c r="Y69" i="3"/>
  <c r="AB69" i="3"/>
  <c r="Y73" i="3"/>
  <c r="AB73" i="3"/>
  <c r="AB76" i="3"/>
  <c r="Y76" i="3"/>
  <c r="Y80" i="3"/>
  <c r="AB80" i="3"/>
  <c r="Y83" i="3"/>
  <c r="AB83" i="3"/>
  <c r="AB87" i="3"/>
  <c r="Y87" i="3"/>
  <c r="AB91" i="3"/>
  <c r="Y91" i="3"/>
  <c r="AB95" i="3"/>
  <c r="Y95" i="3"/>
  <c r="Y100" i="3"/>
  <c r="AB100" i="3"/>
  <c r="Y103" i="3"/>
  <c r="AB103" i="3"/>
  <c r="Y107" i="3"/>
  <c r="AB107" i="3"/>
  <c r="Y111" i="3"/>
  <c r="AB111" i="3"/>
  <c r="AB115" i="3"/>
  <c r="Y115" i="3"/>
  <c r="Y119" i="3"/>
  <c r="AB119" i="3"/>
  <c r="Y123" i="3"/>
  <c r="AB123" i="3"/>
  <c r="Y128" i="3"/>
  <c r="AB128" i="3"/>
  <c r="Y132" i="3"/>
  <c r="AB132" i="3"/>
  <c r="Y135" i="3"/>
  <c r="AB135" i="3"/>
  <c r="AB142" i="3"/>
  <c r="Y142" i="3"/>
  <c r="AB146" i="3"/>
  <c r="Y146" i="3"/>
  <c r="AB150" i="3"/>
  <c r="Y150" i="3"/>
  <c r="AB154" i="3"/>
  <c r="Y154" i="3"/>
  <c r="Y157" i="3"/>
  <c r="AB157" i="3"/>
  <c r="Y161" i="3"/>
  <c r="AB161" i="3"/>
  <c r="AB168" i="3"/>
  <c r="Y168" i="3"/>
  <c r="AB172" i="3"/>
  <c r="Y172" i="3"/>
  <c r="AB176" i="3"/>
  <c r="Y176" i="3"/>
  <c r="Y179" i="3"/>
  <c r="AB179" i="3"/>
  <c r="AB182" i="3"/>
  <c r="Y182" i="3"/>
  <c r="Y185" i="3"/>
  <c r="AB185" i="3"/>
  <c r="Y188" i="3"/>
  <c r="AB188" i="3"/>
  <c r="AB191" i="3"/>
  <c r="Y191" i="3"/>
  <c r="AB197" i="3"/>
  <c r="Y197" i="3"/>
  <c r="AB199" i="3"/>
  <c r="Y199" i="3"/>
  <c r="AB203" i="3"/>
  <c r="Y203" i="3"/>
  <c r="AB206" i="3"/>
  <c r="Y206" i="3"/>
  <c r="Y209" i="3"/>
  <c r="AB209" i="3"/>
  <c r="Y213" i="3"/>
  <c r="AB213" i="3"/>
  <c r="AB216" i="3"/>
  <c r="Y216" i="3"/>
  <c r="AB222" i="3"/>
  <c r="Y222" i="3"/>
  <c r="Y225" i="3"/>
  <c r="AB225" i="3"/>
  <c r="AB230" i="3"/>
  <c r="Y230" i="3"/>
  <c r="Y234" i="3"/>
  <c r="AB234" i="3"/>
  <c r="AB238" i="3"/>
  <c r="Y238" i="3"/>
  <c r="AB243" i="3"/>
  <c r="Y243" i="3"/>
  <c r="AB248" i="3"/>
  <c r="Y248" i="3"/>
  <c r="AB251" i="3"/>
  <c r="Y251" i="3"/>
  <c r="Y256" i="3"/>
  <c r="AB256" i="3"/>
  <c r="AB260" i="3"/>
  <c r="Y260" i="3"/>
  <c r="AB263" i="3"/>
  <c r="Y263" i="3"/>
  <c r="AB267" i="3"/>
  <c r="Y267" i="3"/>
  <c r="Y343" i="3"/>
  <c r="AB343" i="3"/>
  <c r="AB345" i="3"/>
  <c r="Y345" i="3"/>
  <c r="Y347" i="3"/>
  <c r="AB347" i="3"/>
  <c r="Y349" i="3"/>
  <c r="AB349" i="3"/>
  <c r="Y351" i="3"/>
  <c r="AB351" i="3"/>
  <c r="Y353" i="3"/>
  <c r="AB353" i="3"/>
  <c r="Y355" i="3"/>
  <c r="AB355" i="3"/>
  <c r="AB357" i="3"/>
  <c r="Y357" i="3"/>
  <c r="Y359" i="3"/>
  <c r="AB359" i="3"/>
  <c r="Y361" i="3"/>
  <c r="AB361" i="3"/>
  <c r="Y363" i="3"/>
  <c r="AB363" i="3"/>
  <c r="AB365" i="3"/>
  <c r="Y365" i="3"/>
  <c r="AB367" i="3"/>
  <c r="Y367" i="3"/>
  <c r="AB369" i="3"/>
  <c r="Y369" i="3"/>
  <c r="Y371" i="3"/>
  <c r="AB371" i="3"/>
  <c r="Y373" i="3"/>
  <c r="AB373" i="3"/>
  <c r="AB375" i="3"/>
  <c r="Y375" i="3"/>
  <c r="AB377" i="3"/>
  <c r="Y377" i="3"/>
  <c r="Y379" i="3"/>
  <c r="AB379" i="3"/>
  <c r="AB381" i="3"/>
  <c r="Y381" i="3"/>
  <c r="AB383" i="3"/>
  <c r="Y383" i="3"/>
  <c r="AB385" i="3"/>
  <c r="Y385" i="3"/>
  <c r="AB387" i="3"/>
  <c r="Y387" i="3"/>
  <c r="AB389" i="3"/>
  <c r="Y389" i="3"/>
  <c r="AB391" i="3"/>
  <c r="Y391" i="3"/>
  <c r="Y393" i="3"/>
  <c r="AB393" i="3"/>
  <c r="Y395" i="3"/>
  <c r="AB395" i="3"/>
  <c r="Y397" i="3"/>
  <c r="AB397" i="3"/>
  <c r="Y399" i="3"/>
  <c r="AB399" i="3"/>
  <c r="AB401" i="3"/>
  <c r="Y401" i="3"/>
  <c r="Y403" i="3"/>
  <c r="AB403" i="3"/>
  <c r="Y405" i="3"/>
  <c r="AB405" i="3"/>
  <c r="AB407" i="3"/>
  <c r="Y407" i="3"/>
  <c r="Y409" i="3"/>
  <c r="AB409" i="3"/>
  <c r="AB411" i="3"/>
  <c r="Y411" i="3"/>
  <c r="Y413" i="3"/>
  <c r="AB413" i="3"/>
  <c r="Y415" i="3"/>
  <c r="AB415" i="3"/>
  <c r="Y5" i="3"/>
  <c r="AB5" i="3"/>
  <c r="AB10" i="3"/>
  <c r="Y10" i="3"/>
  <c r="AB22" i="3"/>
  <c r="Y22" i="3"/>
  <c r="AB30" i="3"/>
  <c r="Y30" i="3"/>
  <c r="Y44" i="3"/>
  <c r="AB44" i="3"/>
  <c r="Y52" i="3"/>
  <c r="AB52" i="3"/>
  <c r="AB63" i="3"/>
  <c r="Y63" i="3"/>
  <c r="AB77" i="3"/>
  <c r="Y77" i="3"/>
  <c r="Y84" i="3"/>
  <c r="AB84" i="3"/>
  <c r="Y94" i="3"/>
  <c r="AB94" i="3"/>
  <c r="AB108" i="3"/>
  <c r="Y108" i="3"/>
  <c r="Y116" i="3"/>
  <c r="AB116" i="3"/>
  <c r="AB130" i="3"/>
  <c r="Y130" i="3"/>
  <c r="AB143" i="3"/>
  <c r="Y143" i="3"/>
  <c r="Y151" i="3"/>
  <c r="AB151" i="3"/>
  <c r="Y163" i="3"/>
  <c r="AB163" i="3"/>
  <c r="AB173" i="3"/>
  <c r="Y173" i="3"/>
  <c r="Y181" i="3"/>
  <c r="AB181" i="3"/>
  <c r="AB193" i="3"/>
  <c r="Y193" i="3"/>
  <c r="Y204" i="3"/>
  <c r="AB204" i="3"/>
  <c r="AB215" i="3"/>
  <c r="Y215" i="3"/>
  <c r="Y272" i="3"/>
  <c r="AB272" i="3"/>
  <c r="Y273" i="3"/>
  <c r="AB273" i="3"/>
  <c r="AB277" i="3"/>
  <c r="Y277" i="3"/>
  <c r="AB281" i="3"/>
  <c r="Y281" i="3"/>
  <c r="Y285" i="3"/>
  <c r="AB285" i="3"/>
  <c r="AB289" i="3"/>
  <c r="Y289" i="3"/>
  <c r="AB294" i="3"/>
  <c r="Y294" i="3"/>
  <c r="AB296" i="3"/>
  <c r="Y296" i="3"/>
  <c r="Y297" i="3"/>
  <c r="AB297" i="3"/>
  <c r="AB298" i="3"/>
  <c r="Y298" i="3"/>
  <c r="Y299" i="3"/>
  <c r="AB299" i="3"/>
  <c r="Y300" i="3"/>
  <c r="AB300" i="3"/>
  <c r="AB301" i="3"/>
  <c r="Y301" i="3"/>
  <c r="AB302" i="3"/>
  <c r="Y302" i="3"/>
  <c r="Y303" i="3"/>
  <c r="AB303" i="3"/>
  <c r="AB304" i="3"/>
  <c r="Y304" i="3"/>
  <c r="Y305" i="3"/>
  <c r="AB305" i="3"/>
  <c r="AB306" i="3"/>
  <c r="Y306" i="3"/>
  <c r="AB307" i="3"/>
  <c r="Y307" i="3"/>
  <c r="Y308" i="3"/>
  <c r="AB308" i="3"/>
  <c r="Y309" i="3"/>
  <c r="AB309" i="3"/>
  <c r="Y310" i="3"/>
  <c r="AB310" i="3"/>
  <c r="AB311" i="3"/>
  <c r="Y311" i="3"/>
  <c r="Y312" i="3"/>
  <c r="AB312" i="3"/>
  <c r="AB313" i="3"/>
  <c r="Y313" i="3"/>
  <c r="Y314" i="3"/>
  <c r="AB314" i="3"/>
  <c r="AB315" i="3"/>
  <c r="Y315" i="3"/>
  <c r="Y316" i="3"/>
  <c r="AB316" i="3"/>
  <c r="Y317" i="3"/>
  <c r="AB317" i="3"/>
  <c r="Y318" i="3"/>
  <c r="AB318" i="3"/>
  <c r="Y319" i="3"/>
  <c r="AB319" i="3"/>
  <c r="AB320" i="3"/>
  <c r="Y320" i="3"/>
  <c r="AB321" i="3"/>
  <c r="Y321" i="3"/>
  <c r="AB322" i="3"/>
  <c r="Y322" i="3"/>
  <c r="Y323" i="3"/>
  <c r="AB323" i="3"/>
  <c r="Y324" i="3"/>
  <c r="AB324" i="3"/>
  <c r="AB325" i="3"/>
  <c r="Y325" i="3"/>
  <c r="Y326" i="3"/>
  <c r="AB326" i="3"/>
  <c r="Y327" i="3"/>
  <c r="AB327" i="3"/>
  <c r="AB328" i="3"/>
  <c r="Y328" i="3"/>
  <c r="Y329" i="3"/>
  <c r="AB329" i="3"/>
  <c r="AB330" i="3"/>
  <c r="Y330" i="3"/>
  <c r="Y331" i="3"/>
  <c r="AB331" i="3"/>
  <c r="Y332" i="3"/>
  <c r="AB332" i="3"/>
  <c r="Y333" i="3"/>
  <c r="AB333" i="3"/>
  <c r="AB334" i="3"/>
  <c r="Y334" i="3"/>
  <c r="AB335" i="3"/>
  <c r="Y335" i="3"/>
  <c r="AB336" i="3"/>
  <c r="Y336" i="3"/>
  <c r="AB337" i="3"/>
  <c r="Y337" i="3"/>
  <c r="AB338" i="3"/>
  <c r="Y338" i="3"/>
  <c r="AB339" i="3"/>
  <c r="Y339" i="3"/>
  <c r="AB340" i="3"/>
  <c r="Y340" i="3"/>
  <c r="Y341" i="3"/>
  <c r="AB341" i="3"/>
  <c r="AB342" i="3"/>
  <c r="Y342" i="3"/>
  <c r="Y344" i="3"/>
  <c r="AB344" i="3"/>
  <c r="Y346" i="3"/>
  <c r="AB346" i="3"/>
  <c r="Y348" i="3"/>
  <c r="AB348" i="3"/>
  <c r="AB350" i="3"/>
  <c r="Y350" i="3"/>
  <c r="Y352" i="3"/>
  <c r="AB352" i="3"/>
  <c r="AB354" i="3"/>
  <c r="Y354" i="3"/>
  <c r="Y356" i="3"/>
  <c r="AB356" i="3"/>
  <c r="Y358" i="3"/>
  <c r="AB358" i="3"/>
  <c r="Y360" i="3"/>
  <c r="AB360" i="3"/>
  <c r="Y362" i="3"/>
  <c r="AB362" i="3"/>
  <c r="AB364" i="3"/>
  <c r="Y364" i="3"/>
  <c r="AB366" i="3"/>
  <c r="Y366" i="3"/>
  <c r="Y368" i="3"/>
  <c r="AB368" i="3"/>
  <c r="Y370" i="3"/>
  <c r="AB370" i="3"/>
  <c r="Y372" i="3"/>
  <c r="AB372" i="3"/>
  <c r="AB374" i="3"/>
  <c r="Y374" i="3"/>
  <c r="Y376" i="3"/>
  <c r="AB376" i="3"/>
  <c r="Y378" i="3"/>
  <c r="AB378" i="3"/>
  <c r="Y380" i="3"/>
  <c r="AB380" i="3"/>
  <c r="Y382" i="3"/>
  <c r="AB382" i="3"/>
  <c r="Y384" i="3"/>
  <c r="AB384" i="3"/>
  <c r="Y386" i="3"/>
  <c r="AB386" i="3"/>
  <c r="Y388" i="3"/>
  <c r="AB388" i="3"/>
  <c r="Y390" i="3"/>
  <c r="AB390" i="3"/>
  <c r="Y392" i="3"/>
  <c r="AB392" i="3"/>
  <c r="AB394" i="3"/>
  <c r="Y394" i="3"/>
  <c r="Y396" i="3"/>
  <c r="AB396" i="3"/>
  <c r="Y398" i="3"/>
  <c r="AB398" i="3"/>
  <c r="AB400" i="3"/>
  <c r="Y400" i="3"/>
  <c r="AB402" i="3"/>
  <c r="Y402" i="3"/>
  <c r="Y404" i="3"/>
  <c r="AB404" i="3"/>
  <c r="AB406" i="3"/>
  <c r="Y406" i="3"/>
  <c r="Y408" i="3"/>
  <c r="AB408" i="3"/>
  <c r="Y410" i="3"/>
  <c r="AB410" i="3"/>
  <c r="Y412" i="3"/>
  <c r="AB412" i="3"/>
  <c r="AB414" i="3"/>
  <c r="Y414" i="3"/>
  <c r="Y417" i="3"/>
  <c r="AB417" i="3"/>
  <c r="AB14" i="3"/>
  <c r="Y14" i="3"/>
  <c r="Y25" i="3"/>
  <c r="AB25" i="3"/>
  <c r="AB34" i="3"/>
  <c r="Y34" i="3"/>
  <c r="Y48" i="3"/>
  <c r="AB48" i="3"/>
  <c r="Y61" i="3"/>
  <c r="AB61" i="3"/>
  <c r="Y68" i="3"/>
  <c r="AB68" i="3"/>
  <c r="AB79" i="3"/>
  <c r="Y79" i="3"/>
  <c r="AB90" i="3"/>
  <c r="Y90" i="3"/>
  <c r="AB98" i="3"/>
  <c r="Y98" i="3"/>
  <c r="Y112" i="3"/>
  <c r="AB112" i="3"/>
  <c r="AB126" i="3"/>
  <c r="Y126" i="3"/>
  <c r="Y134" i="3"/>
  <c r="AB134" i="3"/>
  <c r="AB147" i="3"/>
  <c r="Y147" i="3"/>
  <c r="Y159" i="3"/>
  <c r="AB159" i="3"/>
  <c r="Y165" i="3"/>
  <c r="AB165" i="3"/>
  <c r="AB177" i="3"/>
  <c r="Y177" i="3"/>
  <c r="Y190" i="3"/>
  <c r="AB190" i="3"/>
  <c r="AB198" i="3"/>
  <c r="Y198" i="3"/>
  <c r="AB212" i="3"/>
  <c r="Y212" i="3"/>
  <c r="Y219" i="3"/>
  <c r="AB219" i="3"/>
  <c r="Y416" i="3"/>
  <c r="AB416" i="3"/>
  <c r="AB18" i="3"/>
  <c r="Y18" i="3"/>
  <c r="Y39" i="3"/>
  <c r="AB39" i="3"/>
  <c r="Y55" i="3"/>
  <c r="AB55" i="3"/>
  <c r="AB72" i="3"/>
  <c r="Y72" i="3"/>
  <c r="AB86" i="3"/>
  <c r="Y86" i="3"/>
  <c r="AB102" i="3"/>
  <c r="Y102" i="3"/>
  <c r="Y120" i="3"/>
  <c r="AB120" i="3"/>
  <c r="Y139" i="3"/>
  <c r="AB139" i="3"/>
  <c r="AB155" i="3"/>
  <c r="Y155" i="3"/>
  <c r="Y169" i="3"/>
  <c r="AB169" i="3"/>
  <c r="Y184" i="3"/>
  <c r="AB184" i="3"/>
  <c r="AB207" i="3"/>
  <c r="Y207" i="3"/>
  <c r="S41" i="3"/>
  <c r="S30" i="3"/>
  <c r="S26" i="3"/>
  <c r="S8" i="3"/>
  <c r="S5" i="3"/>
  <c r="S390" i="3"/>
  <c r="S357" i="3"/>
  <c r="S346" i="3"/>
  <c r="S328" i="3"/>
  <c r="S323" i="3"/>
  <c r="S318" i="3"/>
  <c r="S314" i="3"/>
  <c r="S309" i="3"/>
  <c r="S305" i="3"/>
  <c r="S300" i="3"/>
  <c r="S98" i="3"/>
  <c r="S81" i="3"/>
  <c r="S76" i="3"/>
  <c r="S68" i="3"/>
  <c r="S56" i="3"/>
  <c r="S48" i="3"/>
  <c r="S45" i="3"/>
  <c r="S18" i="3"/>
  <c r="S16" i="3"/>
  <c r="S12" i="3"/>
  <c r="S408" i="3"/>
  <c r="S404" i="3"/>
  <c r="S400" i="3"/>
  <c r="S396" i="3"/>
  <c r="S382" i="3"/>
  <c r="S376" i="3"/>
  <c r="S372" i="3"/>
  <c r="S367" i="3"/>
  <c r="S361" i="3"/>
  <c r="S349" i="3"/>
  <c r="S330" i="3"/>
  <c r="S324" i="3"/>
  <c r="S319" i="3"/>
  <c r="S313" i="3"/>
  <c r="S308" i="3"/>
  <c r="S304" i="3"/>
  <c r="S299" i="3"/>
  <c r="S281" i="3"/>
  <c r="S277" i="3"/>
  <c r="S72" i="3"/>
  <c r="S55" i="3"/>
  <c r="S39" i="3"/>
  <c r="S37" i="3"/>
  <c r="S321" i="3"/>
  <c r="S312" i="3"/>
  <c r="S303" i="3"/>
  <c r="S275" i="3"/>
  <c r="S272" i="3"/>
  <c r="S93" i="3"/>
  <c r="S71" i="3"/>
  <c r="S64" i="3"/>
  <c r="S58" i="3"/>
  <c r="S54" i="3"/>
  <c r="S33" i="3"/>
  <c r="S20" i="3"/>
  <c r="S102" i="3"/>
  <c r="S95" i="3"/>
  <c r="S378" i="3"/>
  <c r="S363" i="3"/>
  <c r="S345" i="3"/>
  <c r="S327" i="3"/>
  <c r="S317" i="3"/>
  <c r="S307" i="3"/>
  <c r="S297" i="3"/>
  <c r="S285" i="3"/>
  <c r="S268" i="3"/>
  <c r="S115" i="3"/>
  <c r="S112" i="3"/>
  <c r="S108" i="3"/>
  <c r="S104" i="3"/>
  <c r="S100" i="3"/>
  <c r="S160" i="3"/>
  <c r="S162" i="3"/>
  <c r="S164" i="3"/>
  <c r="S166" i="3"/>
  <c r="S168" i="3"/>
  <c r="S175" i="3"/>
  <c r="S176" i="3"/>
  <c r="S177" i="3"/>
  <c r="S178" i="3"/>
  <c r="S179" i="3"/>
  <c r="S180" i="3"/>
  <c r="S181" i="3"/>
  <c r="S182" i="3"/>
  <c r="S183" i="3"/>
  <c r="S184" i="3"/>
  <c r="S185" i="3"/>
  <c r="S187" i="3"/>
  <c r="S189" i="3"/>
  <c r="S191" i="3"/>
  <c r="S194" i="3"/>
  <c r="S196" i="3"/>
  <c r="S197" i="3"/>
  <c r="S199" i="3"/>
  <c r="S201" i="3"/>
  <c r="S223" i="3"/>
  <c r="S226" i="3"/>
  <c r="S228" i="3"/>
  <c r="S230" i="3"/>
  <c r="S232" i="3"/>
  <c r="S234" i="3"/>
  <c r="S237" i="3"/>
  <c r="S239" i="3"/>
  <c r="S241" i="3"/>
  <c r="S243" i="3"/>
  <c r="S245" i="3"/>
  <c r="S248" i="3"/>
  <c r="S250" i="3"/>
  <c r="S252" i="3"/>
  <c r="S254" i="3"/>
  <c r="S256" i="3"/>
  <c r="S258" i="3"/>
  <c r="S260" i="3"/>
  <c r="S262" i="3"/>
  <c r="S90" i="3"/>
  <c r="S415" i="3"/>
  <c r="S392" i="3"/>
  <c r="S388" i="3"/>
  <c r="S350" i="3"/>
  <c r="S332" i="3"/>
  <c r="S417" i="3"/>
  <c r="S43" i="3"/>
  <c r="S24" i="3"/>
  <c r="S2" i="3"/>
  <c r="AB2" i="3"/>
  <c r="V2" i="3"/>
  <c r="S290" i="3"/>
  <c r="S296" i="3"/>
  <c r="S118" i="3"/>
  <c r="S120" i="3"/>
  <c r="S122" i="3"/>
  <c r="S124" i="3"/>
  <c r="S125" i="3"/>
  <c r="S127" i="3"/>
  <c r="S129" i="3"/>
  <c r="S131" i="3"/>
  <c r="S134" i="3"/>
  <c r="S136" i="3"/>
  <c r="S138" i="3"/>
  <c r="S140" i="3"/>
  <c r="S142" i="3"/>
  <c r="S143" i="3"/>
  <c r="S145" i="3"/>
  <c r="S146" i="3"/>
  <c r="S229" i="3"/>
  <c r="S255" i="3"/>
  <c r="F522" i="3"/>
  <c r="F467" i="3"/>
  <c r="F437" i="3"/>
  <c r="F438" i="3"/>
  <c r="F514" i="3"/>
  <c r="F459" i="3"/>
  <c r="F545" i="3"/>
  <c r="F520" i="3"/>
  <c r="F440" i="3"/>
  <c r="F453" i="3"/>
  <c r="F539" i="3"/>
  <c r="F510" i="3"/>
  <c r="F419" i="3"/>
  <c r="F518" i="3"/>
  <c r="F464" i="3"/>
  <c r="F430" i="3"/>
  <c r="F524" i="3"/>
  <c r="F474" i="3"/>
  <c r="F439" i="3"/>
  <c r="F461" i="3"/>
  <c r="F523" i="3"/>
  <c r="F492" i="3"/>
  <c r="F456" i="3"/>
  <c r="F500" i="3"/>
  <c r="F525" i="3"/>
  <c r="F468" i="3"/>
  <c r="F450" i="3"/>
  <c r="F445" i="3"/>
  <c r="F447" i="3"/>
  <c r="F521" i="3"/>
  <c r="F425" i="3"/>
  <c r="F457" i="3"/>
  <c r="F431" i="3"/>
  <c r="F530" i="3"/>
  <c r="F513" i="3"/>
  <c r="F493" i="3"/>
  <c r="F538" i="3"/>
  <c r="F472" i="3"/>
  <c r="F449" i="3"/>
  <c r="F483" i="3"/>
  <c r="F454" i="3"/>
  <c r="F509" i="3"/>
  <c r="F517" i="3"/>
  <c r="F504" i="3"/>
  <c r="F511" i="3"/>
  <c r="F466" i="3"/>
  <c r="F526" i="3"/>
  <c r="F505" i="3"/>
  <c r="F494" i="3"/>
  <c r="F491" i="3"/>
  <c r="F462" i="3"/>
  <c r="F536" i="3"/>
  <c r="F460" i="3"/>
  <c r="F495" i="3"/>
  <c r="F503" i="3"/>
  <c r="F418" i="3"/>
  <c r="F543" i="3"/>
  <c r="F508" i="3"/>
  <c r="F429" i="3"/>
  <c r="F482" i="3"/>
  <c r="F427" i="3"/>
  <c r="F531" i="3"/>
  <c r="F501" i="3"/>
  <c r="F502" i="3"/>
  <c r="F441" i="3"/>
  <c r="F423" i="3"/>
  <c r="F476" i="3"/>
  <c r="F487" i="3"/>
  <c r="F448" i="3"/>
  <c r="F512" i="3"/>
  <c r="F446" i="3"/>
  <c r="F489" i="3"/>
  <c r="F535" i="3"/>
  <c r="F496" i="3"/>
  <c r="F433" i="3"/>
  <c r="F479" i="3"/>
  <c r="F528" i="3"/>
  <c r="F475" i="3"/>
  <c r="H511" i="3" l="1"/>
  <c r="H446" i="3"/>
  <c r="H525" i="3"/>
  <c r="H530" i="3"/>
  <c r="H528" i="3"/>
  <c r="H513" i="3"/>
  <c r="H479" i="3"/>
  <c r="H456" i="3"/>
  <c r="H526" i="3"/>
  <c r="H468" i="3"/>
  <c r="H418" i="3"/>
  <c r="H425" i="3"/>
  <c r="H433" i="3"/>
  <c r="H458" i="3"/>
  <c r="H527" i="3"/>
  <c r="H423" i="3"/>
  <c r="H448" i="3"/>
  <c r="H544" i="3"/>
  <c r="H497" i="3"/>
  <c r="H438" i="3"/>
  <c r="H498" i="3"/>
  <c r="H496" i="3"/>
  <c r="H542" i="3"/>
  <c r="H512" i="3"/>
  <c r="H502" i="3"/>
  <c r="H540" i="3"/>
  <c r="H522" i="3"/>
  <c r="H537" i="3"/>
  <c r="H484" i="3"/>
  <c r="H535" i="3"/>
  <c r="H476" i="3"/>
  <c r="H506" i="3"/>
  <c r="H488" i="3"/>
  <c r="H501" i="3"/>
  <c r="H541" i="3"/>
  <c r="H499" i="3"/>
  <c r="H463" i="3"/>
  <c r="H457" i="3"/>
  <c r="H507" i="3"/>
  <c r="H424" i="3"/>
  <c r="H515" i="3"/>
  <c r="H450" i="3"/>
  <c r="H531" i="3"/>
  <c r="H487" i="3"/>
  <c r="H444" i="3"/>
  <c r="H467" i="3"/>
  <c r="H421" i="3"/>
  <c r="H534" i="3"/>
  <c r="H442" i="3"/>
  <c r="H473" i="3"/>
  <c r="H427" i="3"/>
  <c r="H478" i="3"/>
  <c r="H509" i="3"/>
  <c r="H533" i="3"/>
  <c r="H481" i="3"/>
  <c r="H470" i="3"/>
  <c r="H516" i="3"/>
  <c r="H436" i="3"/>
  <c r="H480" i="3"/>
  <c r="H435" i="3"/>
  <c r="H490" i="3"/>
  <c r="H486" i="3"/>
  <c r="H420" i="3"/>
  <c r="H432" i="3"/>
  <c r="H471" i="3"/>
  <c r="H437" i="3"/>
  <c r="H422" i="3"/>
  <c r="H451" i="3"/>
  <c r="H477" i="3"/>
  <c r="H452" i="3"/>
  <c r="H443" i="3"/>
  <c r="H469" i="3"/>
  <c r="H434" i="3"/>
  <c r="H529" i="3"/>
  <c r="H445" i="3"/>
  <c r="H426" i="3"/>
  <c r="H524" i="3"/>
  <c r="H514" i="3"/>
  <c r="H466" i="3"/>
  <c r="H532" i="3"/>
  <c r="H519" i="3"/>
  <c r="H483" i="3"/>
  <c r="H504" i="3"/>
  <c r="H543" i="3"/>
  <c r="H485" i="3"/>
  <c r="H428" i="3"/>
  <c r="H465" i="3"/>
  <c r="H517" i="3"/>
  <c r="H429" i="3"/>
  <c r="H441" i="3"/>
  <c r="H489" i="3"/>
  <c r="H492" i="3"/>
  <c r="H536" i="3"/>
  <c r="H462" i="3"/>
  <c r="H431" i="3"/>
  <c r="H482" i="3"/>
  <c r="H464" i="3"/>
  <c r="H419" i="3"/>
  <c r="H440" i="3"/>
  <c r="H508" i="3"/>
  <c r="H493" i="3"/>
  <c r="H460" i="3"/>
  <c r="H505" i="3"/>
  <c r="H491" i="3"/>
  <c r="H494" i="3"/>
  <c r="H459" i="3"/>
  <c r="H455" i="3"/>
  <c r="H495" i="3"/>
  <c r="H475" i="3"/>
  <c r="H520" i="3"/>
  <c r="L482" i="3"/>
  <c r="L543" i="3"/>
  <c r="L517" i="3"/>
  <c r="L471" i="3"/>
  <c r="L530" i="3"/>
  <c r="L536" i="3"/>
  <c r="L516" i="3"/>
  <c r="L432" i="3"/>
  <c r="L470" i="3"/>
  <c r="L475" i="3"/>
  <c r="L481" i="3"/>
  <c r="L435" i="3"/>
  <c r="H461" i="3"/>
  <c r="L461" i="3"/>
  <c r="L486" i="3"/>
  <c r="L445" i="3"/>
  <c r="L505" i="3"/>
  <c r="L540" i="3"/>
  <c r="H454" i="3"/>
  <c r="L454" i="3"/>
  <c r="L542" i="3"/>
  <c r="H430" i="3"/>
  <c r="L430" i="3"/>
  <c r="L509" i="3"/>
  <c r="H545" i="3"/>
  <c r="L545" i="3"/>
  <c r="L436" i="3"/>
  <c r="L483" i="3"/>
  <c r="H453" i="3"/>
  <c r="L453" i="3"/>
  <c r="H503" i="3"/>
  <c r="L503" i="3"/>
  <c r="L492" i="3"/>
  <c r="L426" i="3"/>
  <c r="H472" i="3"/>
  <c r="L472" i="3"/>
  <c r="L511" i="3"/>
  <c r="H523" i="3"/>
  <c r="L523" i="3"/>
  <c r="L508" i="3"/>
  <c r="L514" i="3"/>
  <c r="L465" i="3"/>
  <c r="L440" i="3"/>
  <c r="L457" i="3"/>
  <c r="L441" i="3"/>
  <c r="L479" i="3"/>
  <c r="L489" i="3"/>
  <c r="L418" i="3"/>
  <c r="L466" i="3"/>
  <c r="L448" i="3"/>
  <c r="L424" i="3"/>
  <c r="L419" i="3"/>
  <c r="L463" i="3"/>
  <c r="L458" i="3"/>
  <c r="L527" i="3"/>
  <c r="L459" i="3"/>
  <c r="L497" i="3"/>
  <c r="L512" i="3"/>
  <c r="H518" i="3"/>
  <c r="L518" i="3"/>
  <c r="H474" i="3"/>
  <c r="L474" i="3"/>
  <c r="H449" i="3"/>
  <c r="L449" i="3"/>
  <c r="L490" i="3"/>
  <c r="L507" i="3"/>
  <c r="L420" i="3"/>
  <c r="L460" i="3"/>
  <c r="L425" i="3"/>
  <c r="L520" i="3"/>
  <c r="L522" i="3"/>
  <c r="L469" i="3"/>
  <c r="L531" i="3"/>
  <c r="L422" i="3"/>
  <c r="L502" i="3"/>
  <c r="L519" i="3"/>
  <c r="L443" i="3"/>
  <c r="L433" i="3"/>
  <c r="L427" i="3"/>
  <c r="L431" i="3"/>
  <c r="L534" i="3"/>
  <c r="L473" i="3"/>
  <c r="H521" i="3"/>
  <c r="L521" i="3"/>
  <c r="L537" i="3"/>
  <c r="L468" i="3"/>
  <c r="L506" i="3"/>
  <c r="L525" i="3"/>
  <c r="L528" i="3"/>
  <c r="H447" i="3"/>
  <c r="L447" i="3"/>
  <c r="L533" i="3"/>
  <c r="L442" i="3"/>
  <c r="H439" i="3"/>
  <c r="L439" i="3"/>
  <c r="L444" i="3"/>
  <c r="L438" i="3"/>
  <c r="L495" i="3"/>
  <c r="L477" i="3"/>
  <c r="H539" i="3"/>
  <c r="L539" i="3"/>
  <c r="L421" i="3"/>
  <c r="L478" i="3"/>
  <c r="L515" i="3"/>
  <c r="L535" i="3"/>
  <c r="H538" i="3"/>
  <c r="L538" i="3"/>
  <c r="L450" i="3"/>
  <c r="L488" i="3"/>
  <c r="H500" i="3"/>
  <c r="L500" i="3"/>
  <c r="L504" i="3"/>
  <c r="L510" i="3"/>
  <c r="L484" i="3"/>
  <c r="L476" i="3"/>
  <c r="L494" i="3"/>
  <c r="L455" i="3"/>
  <c r="L462" i="3"/>
  <c r="L485" i="3"/>
  <c r="L467" i="3"/>
  <c r="L423" i="3"/>
  <c r="L487" i="3"/>
  <c r="L429" i="3"/>
  <c r="L464" i="3"/>
  <c r="L498" i="3"/>
  <c r="L456" i="3"/>
  <c r="L491" i="3"/>
  <c r="L532" i="3"/>
  <c r="L446" i="3"/>
  <c r="L434" i="3"/>
  <c r="L499" i="3"/>
  <c r="L529" i="3"/>
  <c r="L496" i="3"/>
  <c r="L501" i="3"/>
  <c r="L480" i="3"/>
  <c r="L526" i="3"/>
  <c r="L524" i="3"/>
  <c r="L493" i="3"/>
  <c r="L513" i="3"/>
  <c r="L451" i="3"/>
  <c r="L437" i="3"/>
  <c r="L428" i="3"/>
  <c r="L544" i="3"/>
  <c r="L452" i="3"/>
  <c r="L541" i="3"/>
  <c r="H510" i="3"/>
  <c r="S474" i="3" l="1"/>
  <c r="Y511" i="3"/>
  <c r="AB511" i="3"/>
  <c r="V511" i="3"/>
  <c r="AE511" i="3"/>
  <c r="AB446" i="3"/>
  <c r="AE446" i="3"/>
  <c r="Y446" i="3"/>
  <c r="V446" i="3"/>
  <c r="AE525" i="3"/>
  <c r="Y525" i="3"/>
  <c r="AB525" i="3"/>
  <c r="V525" i="3"/>
  <c r="AB530" i="3"/>
  <c r="AE530" i="3"/>
  <c r="V530" i="3"/>
  <c r="Y530" i="3"/>
  <c r="V528" i="3"/>
  <c r="Y528" i="3"/>
  <c r="AB528" i="3"/>
  <c r="AE528" i="3"/>
  <c r="AE513" i="3"/>
  <c r="AB513" i="3"/>
  <c r="V513" i="3"/>
  <c r="Y513" i="3"/>
  <c r="Y479" i="3"/>
  <c r="V479" i="3"/>
  <c r="AB479" i="3"/>
  <c r="AE479" i="3"/>
  <c r="Y456" i="3"/>
  <c r="AB456" i="3"/>
  <c r="AE456" i="3"/>
  <c r="V456" i="3"/>
  <c r="AE526" i="3"/>
  <c r="AB526" i="3"/>
  <c r="Y526" i="3"/>
  <c r="V526" i="3"/>
  <c r="AE468" i="3"/>
  <c r="Y468" i="3"/>
  <c r="V468" i="3"/>
  <c r="AB468" i="3"/>
  <c r="AB418" i="3"/>
  <c r="Y418" i="3"/>
  <c r="AE418" i="3"/>
  <c r="V418" i="3"/>
  <c r="AB425" i="3"/>
  <c r="Y425" i="3"/>
  <c r="AE425" i="3"/>
  <c r="V425" i="3"/>
  <c r="AE433" i="3"/>
  <c r="V433" i="3"/>
  <c r="Y433" i="3"/>
  <c r="AB433" i="3"/>
  <c r="V458" i="3"/>
  <c r="AB458" i="3"/>
  <c r="AE458" i="3"/>
  <c r="Y458" i="3"/>
  <c r="AE527" i="3"/>
  <c r="Y527" i="3"/>
  <c r="AB527" i="3"/>
  <c r="V527" i="3"/>
  <c r="AB423" i="3"/>
  <c r="Y423" i="3"/>
  <c r="V423" i="3"/>
  <c r="AE423" i="3"/>
  <c r="V448" i="3"/>
  <c r="AB448" i="3"/>
  <c r="Y448" i="3"/>
  <c r="AE448" i="3"/>
  <c r="AE544" i="3"/>
  <c r="V544" i="3"/>
  <c r="Y544" i="3"/>
  <c r="AB544" i="3"/>
  <c r="AE497" i="3"/>
  <c r="V497" i="3"/>
  <c r="AB497" i="3"/>
  <c r="Y497" i="3"/>
  <c r="V438" i="3"/>
  <c r="AE438" i="3"/>
  <c r="Y438" i="3"/>
  <c r="AB438" i="3"/>
  <c r="V498" i="3"/>
  <c r="AB498" i="3"/>
  <c r="Y498" i="3"/>
  <c r="AE498" i="3"/>
  <c r="AE496" i="3"/>
  <c r="V496" i="3"/>
  <c r="AB496" i="3"/>
  <c r="Y496" i="3"/>
  <c r="V542" i="3"/>
  <c r="AB542" i="3"/>
  <c r="Y542" i="3"/>
  <c r="AE542" i="3"/>
  <c r="Y512" i="3"/>
  <c r="AB512" i="3"/>
  <c r="AE512" i="3"/>
  <c r="V512" i="3"/>
  <c r="AB502" i="3"/>
  <c r="Y502" i="3"/>
  <c r="AE502" i="3"/>
  <c r="V502" i="3"/>
  <c r="AB540" i="3"/>
  <c r="Y540" i="3"/>
  <c r="AE540" i="3"/>
  <c r="V540" i="3"/>
  <c r="Y522" i="3"/>
  <c r="AE522" i="3"/>
  <c r="AB522" i="3"/>
  <c r="V522" i="3"/>
  <c r="AB537" i="3"/>
  <c r="AE537" i="3"/>
  <c r="Y537" i="3"/>
  <c r="V537" i="3"/>
  <c r="AB484" i="3"/>
  <c r="AE484" i="3"/>
  <c r="Y484" i="3"/>
  <c r="V484" i="3"/>
  <c r="AE535" i="3"/>
  <c r="V535" i="3"/>
  <c r="AB535" i="3"/>
  <c r="Y535" i="3"/>
  <c r="AE476" i="3"/>
  <c r="Y476" i="3"/>
  <c r="V476" i="3"/>
  <c r="AB476" i="3"/>
  <c r="Y506" i="3"/>
  <c r="AB506" i="3"/>
  <c r="V506" i="3"/>
  <c r="AE506" i="3"/>
  <c r="Y488" i="3"/>
  <c r="AE488" i="3"/>
  <c r="V488" i="3"/>
  <c r="AB488" i="3"/>
  <c r="V501" i="3"/>
  <c r="AB501" i="3"/>
  <c r="AE501" i="3"/>
  <c r="Y501" i="3"/>
  <c r="V541" i="3"/>
  <c r="AE541" i="3"/>
  <c r="AB541" i="3"/>
  <c r="Y541" i="3"/>
  <c r="V499" i="3"/>
  <c r="AB499" i="3"/>
  <c r="AE499" i="3"/>
  <c r="Y499" i="3"/>
  <c r="AE463" i="3"/>
  <c r="Y463" i="3"/>
  <c r="AB463" i="3"/>
  <c r="V463" i="3"/>
  <c r="V457" i="3"/>
  <c r="Y457" i="3"/>
  <c r="AB457" i="3"/>
  <c r="AE457" i="3"/>
  <c r="V507" i="3"/>
  <c r="AE507" i="3"/>
  <c r="Y507" i="3"/>
  <c r="AB507" i="3"/>
  <c r="V424" i="3"/>
  <c r="Y424" i="3"/>
  <c r="AE424" i="3"/>
  <c r="AB424" i="3"/>
  <c r="V515" i="3"/>
  <c r="AB515" i="3"/>
  <c r="Y515" i="3"/>
  <c r="AE515" i="3"/>
  <c r="V450" i="3"/>
  <c r="Y450" i="3"/>
  <c r="AE450" i="3"/>
  <c r="AB450" i="3"/>
  <c r="Y531" i="3"/>
  <c r="AE531" i="3"/>
  <c r="V531" i="3"/>
  <c r="AB531" i="3"/>
  <c r="Y487" i="3"/>
  <c r="AE487" i="3"/>
  <c r="AB487" i="3"/>
  <c r="V487" i="3"/>
  <c r="Y444" i="3"/>
  <c r="AB444" i="3"/>
  <c r="AE444" i="3"/>
  <c r="V444" i="3"/>
  <c r="V467" i="3"/>
  <c r="AE467" i="3"/>
  <c r="AB467" i="3"/>
  <c r="Y467" i="3"/>
  <c r="AB421" i="3"/>
  <c r="AE421" i="3"/>
  <c r="V421" i="3"/>
  <c r="Y421" i="3"/>
  <c r="V534" i="3"/>
  <c r="Y534" i="3"/>
  <c r="AE534" i="3"/>
  <c r="AB534" i="3"/>
  <c r="AE442" i="3"/>
  <c r="Y442" i="3"/>
  <c r="V442" i="3"/>
  <c r="AB442" i="3"/>
  <c r="AB473" i="3"/>
  <c r="V473" i="3"/>
  <c r="AE473" i="3"/>
  <c r="Y473" i="3"/>
  <c r="AE427" i="3"/>
  <c r="V427" i="3"/>
  <c r="Y427" i="3"/>
  <c r="AB427" i="3"/>
  <c r="V478" i="3"/>
  <c r="AB478" i="3"/>
  <c r="AE478" i="3"/>
  <c r="Y478" i="3"/>
  <c r="V509" i="3"/>
  <c r="AE509" i="3"/>
  <c r="Y509" i="3"/>
  <c r="AB509" i="3"/>
  <c r="Y533" i="3"/>
  <c r="AE533" i="3"/>
  <c r="AB533" i="3"/>
  <c r="V533" i="3"/>
  <c r="V481" i="3"/>
  <c r="AB481" i="3"/>
  <c r="Y481" i="3"/>
  <c r="AE481" i="3"/>
  <c r="V470" i="3"/>
  <c r="AB470" i="3"/>
  <c r="Y470" i="3"/>
  <c r="AE470" i="3"/>
  <c r="Y516" i="3"/>
  <c r="AB516" i="3"/>
  <c r="V516" i="3"/>
  <c r="AE516" i="3"/>
  <c r="Y436" i="3"/>
  <c r="AE436" i="3"/>
  <c r="V436" i="3"/>
  <c r="AB436" i="3"/>
  <c r="Y480" i="3"/>
  <c r="AB480" i="3"/>
  <c r="V480" i="3"/>
  <c r="AE480" i="3"/>
  <c r="V435" i="3"/>
  <c r="Y435" i="3"/>
  <c r="AB435" i="3"/>
  <c r="AE435" i="3"/>
  <c r="AE490" i="3"/>
  <c r="AB490" i="3"/>
  <c r="Y490" i="3"/>
  <c r="V490" i="3"/>
  <c r="AE486" i="3"/>
  <c r="V486" i="3"/>
  <c r="Y486" i="3"/>
  <c r="AB486" i="3"/>
  <c r="V420" i="3"/>
  <c r="AB420" i="3"/>
  <c r="AE420" i="3"/>
  <c r="Y420" i="3"/>
  <c r="Y432" i="3"/>
  <c r="AE432" i="3"/>
  <c r="AB432" i="3"/>
  <c r="V432" i="3"/>
  <c r="V471" i="3"/>
  <c r="AB471" i="3"/>
  <c r="AE471" i="3"/>
  <c r="Y471" i="3"/>
  <c r="AE437" i="3"/>
  <c r="Y437" i="3"/>
  <c r="V437" i="3"/>
  <c r="AB437" i="3"/>
  <c r="V422" i="3"/>
  <c r="AB422" i="3"/>
  <c r="Y422" i="3"/>
  <c r="AE422" i="3"/>
  <c r="V451" i="3"/>
  <c r="AE451" i="3"/>
  <c r="Y451" i="3"/>
  <c r="AB451" i="3"/>
  <c r="Y477" i="3"/>
  <c r="V477" i="3"/>
  <c r="AB477" i="3"/>
  <c r="AE477" i="3"/>
  <c r="Y452" i="3"/>
  <c r="AE452" i="3"/>
  <c r="AB452" i="3"/>
  <c r="V452" i="3"/>
  <c r="AE443" i="3"/>
  <c r="V443" i="3"/>
  <c r="AB443" i="3"/>
  <c r="Y443" i="3"/>
  <c r="V469" i="3"/>
  <c r="AB469" i="3"/>
  <c r="Y469" i="3"/>
  <c r="AE469" i="3"/>
  <c r="Y434" i="3"/>
  <c r="AE434" i="3"/>
  <c r="V434" i="3"/>
  <c r="AB434" i="3"/>
  <c r="V529" i="3"/>
  <c r="AB529" i="3"/>
  <c r="AE529" i="3"/>
  <c r="Y529" i="3"/>
  <c r="AE445" i="3"/>
  <c r="AB445" i="3"/>
  <c r="V445" i="3"/>
  <c r="Y445" i="3"/>
  <c r="Y426" i="3"/>
  <c r="AB426" i="3"/>
  <c r="V426" i="3"/>
  <c r="AE426" i="3"/>
  <c r="AB524" i="3"/>
  <c r="V524" i="3"/>
  <c r="AE524" i="3"/>
  <c r="Y524" i="3"/>
  <c r="V514" i="3"/>
  <c r="AB514" i="3"/>
  <c r="AE514" i="3"/>
  <c r="Y514" i="3"/>
  <c r="AB466" i="3"/>
  <c r="V466" i="3"/>
  <c r="Y466" i="3"/>
  <c r="AE466" i="3"/>
  <c r="AB532" i="3"/>
  <c r="Y532" i="3"/>
  <c r="V532" i="3"/>
  <c r="AE532" i="3"/>
  <c r="V519" i="3"/>
  <c r="AE519" i="3"/>
  <c r="Y519" i="3"/>
  <c r="AB519" i="3"/>
  <c r="AE483" i="3"/>
  <c r="Y483" i="3"/>
  <c r="V483" i="3"/>
  <c r="AB483" i="3"/>
  <c r="Y504" i="3"/>
  <c r="AE504" i="3"/>
  <c r="V504" i="3"/>
  <c r="AB504" i="3"/>
  <c r="Y543" i="3"/>
  <c r="AB543" i="3"/>
  <c r="AE543" i="3"/>
  <c r="V543" i="3"/>
  <c r="Y485" i="3"/>
  <c r="AE485" i="3"/>
  <c r="V485" i="3"/>
  <c r="AB485" i="3"/>
  <c r="Y428" i="3"/>
  <c r="AB428" i="3"/>
  <c r="AE428" i="3"/>
  <c r="V428" i="3"/>
  <c r="AB465" i="3"/>
  <c r="Y465" i="3"/>
  <c r="V465" i="3"/>
  <c r="AE465" i="3"/>
  <c r="Y517" i="3"/>
  <c r="AB517" i="3"/>
  <c r="AE517" i="3"/>
  <c r="V517" i="3"/>
  <c r="Y429" i="3"/>
  <c r="AE429" i="3"/>
  <c r="AB429" i="3"/>
  <c r="V429" i="3"/>
  <c r="AB441" i="3"/>
  <c r="AE441" i="3"/>
  <c r="V441" i="3"/>
  <c r="Y441" i="3"/>
  <c r="AE489" i="3"/>
  <c r="AB489" i="3"/>
  <c r="Y489" i="3"/>
  <c r="V489" i="3"/>
  <c r="V492" i="3"/>
  <c r="AB492" i="3"/>
  <c r="Y492" i="3"/>
  <c r="AE492" i="3"/>
  <c r="AE536" i="3"/>
  <c r="AB536" i="3"/>
  <c r="V536" i="3"/>
  <c r="Y536" i="3"/>
  <c r="Y462" i="3"/>
  <c r="AE462" i="3"/>
  <c r="V462" i="3"/>
  <c r="AB462" i="3"/>
  <c r="V431" i="3"/>
  <c r="Y431" i="3"/>
  <c r="AB431" i="3"/>
  <c r="AE431" i="3"/>
  <c r="Y482" i="3"/>
  <c r="AB482" i="3"/>
  <c r="V482" i="3"/>
  <c r="AE482" i="3"/>
  <c r="Y464" i="3"/>
  <c r="AE464" i="3"/>
  <c r="AB464" i="3"/>
  <c r="V464" i="3"/>
  <c r="V419" i="3"/>
  <c r="Y419" i="3"/>
  <c r="AE419" i="3"/>
  <c r="AB419" i="3"/>
  <c r="Y440" i="3"/>
  <c r="V440" i="3"/>
  <c r="AE440" i="3"/>
  <c r="AB440" i="3"/>
  <c r="AE508" i="3"/>
  <c r="AB508" i="3"/>
  <c r="V508" i="3"/>
  <c r="Y508" i="3"/>
  <c r="AB493" i="3"/>
  <c r="V493" i="3"/>
  <c r="AE493" i="3"/>
  <c r="Y493" i="3"/>
  <c r="V460" i="3"/>
  <c r="AB460" i="3"/>
  <c r="AE460" i="3"/>
  <c r="Y460" i="3"/>
  <c r="V505" i="3"/>
  <c r="Y505" i="3"/>
  <c r="AB505" i="3"/>
  <c r="AE505" i="3"/>
  <c r="AB491" i="3"/>
  <c r="V491" i="3"/>
  <c r="Y491" i="3"/>
  <c r="AE491" i="3"/>
  <c r="AB494" i="3"/>
  <c r="Y494" i="3"/>
  <c r="V494" i="3"/>
  <c r="AE494" i="3"/>
  <c r="V459" i="3"/>
  <c r="AE459" i="3"/>
  <c r="Y459" i="3"/>
  <c r="AB459" i="3"/>
  <c r="AE455" i="3"/>
  <c r="V455" i="3"/>
  <c r="AB455" i="3"/>
  <c r="Y455" i="3"/>
  <c r="AB495" i="3"/>
  <c r="V495" i="3"/>
  <c r="AE495" i="3"/>
  <c r="Y495" i="3"/>
  <c r="V475" i="3"/>
  <c r="AB475" i="3"/>
  <c r="Y475" i="3"/>
  <c r="AE475" i="3"/>
  <c r="AE520" i="3"/>
  <c r="Y520" i="3"/>
  <c r="AB520" i="3"/>
  <c r="V520" i="3"/>
  <c r="AE461" i="3"/>
  <c r="AB461" i="3"/>
  <c r="Y461" i="3"/>
  <c r="V461" i="3"/>
  <c r="AE454" i="3"/>
  <c r="AB454" i="3"/>
  <c r="Y454" i="3"/>
  <c r="V454" i="3"/>
  <c r="AB430" i="3"/>
  <c r="AE430" i="3"/>
  <c r="V430" i="3"/>
  <c r="Y430" i="3"/>
  <c r="AE545" i="3"/>
  <c r="V545" i="3"/>
  <c r="Y545" i="3"/>
  <c r="AB545" i="3"/>
  <c r="V453" i="3"/>
  <c r="AB453" i="3"/>
  <c r="Y453" i="3"/>
  <c r="AE453" i="3"/>
  <c r="AE503" i="3"/>
  <c r="Y503" i="3"/>
  <c r="V503" i="3"/>
  <c r="AB503" i="3"/>
  <c r="AB472" i="3"/>
  <c r="AE472" i="3"/>
  <c r="Y472" i="3"/>
  <c r="V472" i="3"/>
  <c r="AE523" i="3"/>
  <c r="Y523" i="3"/>
  <c r="AB523" i="3"/>
  <c r="V523" i="3"/>
  <c r="Y518" i="3"/>
  <c r="V518" i="3"/>
  <c r="AB518" i="3"/>
  <c r="AE518" i="3"/>
  <c r="AE474" i="3"/>
  <c r="Y474" i="3"/>
  <c r="V474" i="3"/>
  <c r="AB474" i="3"/>
  <c r="AB449" i="3"/>
  <c r="Y449" i="3"/>
  <c r="AE449" i="3"/>
  <c r="V449" i="3"/>
  <c r="S521" i="3"/>
  <c r="AE521" i="3"/>
  <c r="V521" i="3"/>
  <c r="Y521" i="3"/>
  <c r="AB521" i="3"/>
  <c r="AB447" i="3"/>
  <c r="Y447" i="3"/>
  <c r="V447" i="3"/>
  <c r="AE447" i="3"/>
  <c r="V439" i="3"/>
  <c r="Y439" i="3"/>
  <c r="AE439" i="3"/>
  <c r="AB439" i="3"/>
  <c r="AE539" i="3"/>
  <c r="Y539" i="3"/>
  <c r="AB539" i="3"/>
  <c r="V539" i="3"/>
  <c r="AB538" i="3"/>
  <c r="AE538" i="3"/>
  <c r="V538" i="3"/>
  <c r="Y538" i="3"/>
  <c r="AE500" i="3"/>
  <c r="V500" i="3"/>
  <c r="Y500" i="3"/>
  <c r="AB500" i="3"/>
  <c r="Y510" i="3"/>
  <c r="AE510" i="3"/>
  <c r="AB510" i="3"/>
  <c r="V510" i="3"/>
  <c r="S486" i="3"/>
  <c r="S432" i="3"/>
  <c r="S449" i="3"/>
  <c r="S542" i="3"/>
  <c r="S540" i="3"/>
  <c r="S481" i="3"/>
  <c r="S470" i="3"/>
  <c r="S516" i="3"/>
  <c r="S435" i="3"/>
  <c r="S471" i="3"/>
  <c r="S543" i="3"/>
  <c r="S517" i="3"/>
  <c r="S536" i="3"/>
  <c r="S482" i="3"/>
  <c r="S523" i="3"/>
  <c r="S447" i="3"/>
  <c r="S439" i="3"/>
  <c r="S539" i="3"/>
  <c r="S538" i="3"/>
  <c r="S510" i="3"/>
  <c r="S511" i="3"/>
  <c r="S446" i="3"/>
  <c r="S525" i="3"/>
  <c r="S530" i="3"/>
  <c r="S528" i="3"/>
  <c r="S513" i="3"/>
  <c r="S479" i="3"/>
  <c r="S456" i="3"/>
  <c r="S526" i="3"/>
  <c r="S468" i="3"/>
  <c r="S418" i="3"/>
  <c r="S425" i="3"/>
  <c r="S433" i="3"/>
  <c r="S458" i="3"/>
  <c r="S527" i="3"/>
  <c r="S423" i="3"/>
  <c r="S448" i="3"/>
  <c r="S544" i="3"/>
  <c r="S497" i="3"/>
  <c r="S438" i="3"/>
  <c r="S498" i="3"/>
  <c r="S496" i="3"/>
  <c r="S512" i="3"/>
  <c r="S502" i="3"/>
  <c r="S522" i="3"/>
  <c r="S537" i="3"/>
  <c r="S484" i="3"/>
  <c r="S535" i="3"/>
  <c r="S476" i="3"/>
  <c r="S506" i="3"/>
  <c r="S488" i="3"/>
  <c r="S501" i="3"/>
  <c r="S541" i="3"/>
  <c r="S499" i="3"/>
  <c r="S463" i="3"/>
  <c r="S457" i="3"/>
  <c r="S507" i="3"/>
  <c r="S424" i="3"/>
  <c r="S515" i="3"/>
  <c r="S450" i="3"/>
  <c r="S531" i="3"/>
  <c r="S487" i="3"/>
  <c r="S444" i="3"/>
  <c r="S467" i="3"/>
  <c r="S421" i="3"/>
  <c r="S534" i="3"/>
  <c r="S442" i="3"/>
  <c r="S473" i="3"/>
  <c r="S427" i="3"/>
  <c r="S478" i="3"/>
  <c r="S509" i="3"/>
  <c r="S533" i="3"/>
  <c r="S436" i="3"/>
  <c r="S480" i="3"/>
  <c r="S490" i="3"/>
  <c r="S420" i="3"/>
  <c r="S518" i="3"/>
  <c r="S500" i="3"/>
  <c r="S437" i="3"/>
  <c r="S422" i="3"/>
  <c r="S451" i="3"/>
  <c r="S477" i="3"/>
  <c r="S452" i="3"/>
  <c r="S443" i="3"/>
  <c r="S469" i="3"/>
  <c r="S434" i="3"/>
  <c r="S529" i="3"/>
  <c r="S445" i="3"/>
  <c r="S426" i="3"/>
  <c r="S524" i="3"/>
  <c r="S514" i="3"/>
  <c r="S466" i="3"/>
  <c r="S532" i="3"/>
  <c r="S519" i="3"/>
  <c r="S483" i="3"/>
  <c r="S504" i="3"/>
  <c r="S485" i="3"/>
  <c r="S428" i="3"/>
  <c r="S465" i="3"/>
  <c r="S429" i="3"/>
  <c r="S441" i="3"/>
  <c r="S489" i="3"/>
  <c r="S492" i="3"/>
  <c r="S462" i="3"/>
  <c r="S431" i="3"/>
  <c r="S464" i="3"/>
  <c r="S419" i="3"/>
  <c r="S440" i="3"/>
  <c r="S508" i="3"/>
  <c r="S493" i="3"/>
  <c r="S460" i="3"/>
  <c r="S505" i="3"/>
  <c r="S491" i="3"/>
  <c r="S494" i="3"/>
  <c r="S459" i="3"/>
  <c r="S455" i="3"/>
  <c r="S495" i="3"/>
  <c r="S475" i="3"/>
  <c r="S520" i="3"/>
  <c r="S461" i="3"/>
  <c r="S454" i="3"/>
  <c r="S430" i="3"/>
  <c r="S545" i="3"/>
  <c r="S453" i="3"/>
  <c r="S503" i="3"/>
  <c r="S472" i="3"/>
  <c r="AJ13" i="3" l="1"/>
  <c r="AI13" i="3"/>
  <c r="AJ16" i="3"/>
  <c r="AI16" i="3"/>
  <c r="AK16" i="3" l="1"/>
  <c r="AF80" i="3" s="1"/>
  <c r="AK13" i="3"/>
  <c r="W409" i="3" s="1"/>
  <c r="AF17" i="3" l="1"/>
  <c r="AG17" i="3" s="1"/>
  <c r="AF10" i="3"/>
  <c r="AF418" i="3"/>
  <c r="AF194" i="3"/>
  <c r="AF468" i="3"/>
  <c r="AF416" i="3"/>
  <c r="AF4" i="3"/>
  <c r="AG4" i="3" s="1"/>
  <c r="AF254" i="3"/>
  <c r="AF338" i="3"/>
  <c r="AF11" i="3"/>
  <c r="AG11" i="3" s="1"/>
  <c r="AF282" i="3"/>
  <c r="AF251" i="3"/>
  <c r="AG251" i="3" s="1"/>
  <c r="AF506" i="3"/>
  <c r="AF387" i="3"/>
  <c r="AF172" i="3"/>
  <c r="AF414" i="3"/>
  <c r="AF400" i="3"/>
  <c r="AF309" i="3"/>
  <c r="AG309" i="3" s="1"/>
  <c r="AF192" i="3"/>
  <c r="AF177" i="3"/>
  <c r="AF230" i="3"/>
  <c r="AF38" i="3"/>
  <c r="AF104" i="3"/>
  <c r="AF487" i="3"/>
  <c r="AF21" i="3"/>
  <c r="AF108" i="3"/>
  <c r="AG108" i="3" s="1"/>
  <c r="W358" i="3"/>
  <c r="W146" i="3"/>
  <c r="W394" i="3"/>
  <c r="W314" i="3"/>
  <c r="W304" i="3"/>
  <c r="W228" i="3"/>
  <c r="W290" i="3"/>
  <c r="X290" i="3" s="1"/>
  <c r="W329" i="3"/>
  <c r="W249" i="3"/>
  <c r="W472" i="3"/>
  <c r="W315" i="3"/>
  <c r="W81" i="3"/>
  <c r="X81" i="3" s="1"/>
  <c r="W203" i="3"/>
  <c r="W221" i="3"/>
  <c r="W98" i="3"/>
  <c r="W323" i="3"/>
  <c r="W169" i="3"/>
  <c r="W4" i="3"/>
  <c r="X4" i="3" s="1"/>
  <c r="W212" i="3"/>
  <c r="W84" i="3"/>
  <c r="W20" i="3"/>
  <c r="X20" i="3" s="1"/>
  <c r="W130" i="3"/>
  <c r="X130" i="3" s="1"/>
  <c r="W402" i="3"/>
  <c r="W301" i="3"/>
  <c r="W320" i="3"/>
  <c r="W333" i="3"/>
  <c r="W328" i="3"/>
  <c r="W347" i="3"/>
  <c r="W231" i="3"/>
  <c r="X231" i="3" s="1"/>
  <c r="W259" i="3"/>
  <c r="W364" i="3"/>
  <c r="W188" i="3"/>
  <c r="W225" i="3"/>
  <c r="W267" i="3"/>
  <c r="X267" i="3" s="1"/>
  <c r="W28" i="3"/>
  <c r="X28" i="3" s="1"/>
  <c r="W453" i="3"/>
  <c r="W295" i="3"/>
  <c r="W36" i="3"/>
  <c r="X36" i="3" s="1"/>
  <c r="W155" i="3"/>
  <c r="W186" i="3"/>
  <c r="W92" i="3"/>
  <c r="W312" i="3"/>
  <c r="W93" i="3"/>
  <c r="W56" i="3"/>
  <c r="W317" i="3"/>
  <c r="X317" i="3" s="1"/>
  <c r="W293" i="3"/>
  <c r="W86" i="3"/>
  <c r="W224" i="3"/>
  <c r="W23" i="3"/>
  <c r="X23" i="3" s="1"/>
  <c r="W79" i="3"/>
  <c r="W178" i="3"/>
  <c r="W331" i="3"/>
  <c r="W29" i="3"/>
  <c r="X29" i="3" s="1"/>
  <c r="W185" i="3"/>
  <c r="W11" i="3"/>
  <c r="X11" i="3" s="1"/>
  <c r="W71" i="3"/>
  <c r="W159" i="3"/>
  <c r="W233" i="3"/>
  <c r="X233" i="3" s="1"/>
  <c r="W18" i="3"/>
  <c r="X18" i="3" s="1"/>
  <c r="W219" i="3"/>
  <c r="X219" i="3" s="1"/>
  <c r="W368" i="3"/>
  <c r="W117" i="3"/>
  <c r="W113" i="3"/>
  <c r="X113" i="3" s="1"/>
  <c r="W10" i="3"/>
  <c r="X10" i="3" s="1"/>
  <c r="W250" i="3"/>
  <c r="W327" i="3"/>
  <c r="W14" i="3"/>
  <c r="X14" i="3" s="1"/>
  <c r="W376" i="3"/>
  <c r="AF361" i="3"/>
  <c r="AF241" i="3"/>
  <c r="AG241" i="3" s="1"/>
  <c r="AF183" i="3"/>
  <c r="AF350" i="3"/>
  <c r="AF233" i="3"/>
  <c r="AF175" i="3"/>
  <c r="AG175" i="3" s="1"/>
  <c r="W161" i="3"/>
  <c r="W35" i="3"/>
  <c r="X35" i="3" s="1"/>
  <c r="W153" i="3"/>
  <c r="W236" i="3"/>
  <c r="W357" i="3"/>
  <c r="W112" i="3"/>
  <c r="X112" i="3" s="1"/>
  <c r="W99" i="3"/>
  <c r="AF486" i="3"/>
  <c r="AF147" i="3"/>
  <c r="AF168" i="3"/>
  <c r="AF444" i="3"/>
  <c r="AF435" i="3"/>
  <c r="AF144" i="3"/>
  <c r="AF156" i="3"/>
  <c r="W95" i="3"/>
  <c r="W24" i="3"/>
  <c r="X24" i="3" s="1"/>
  <c r="W80" i="3"/>
  <c r="W209" i="3"/>
  <c r="W109" i="3"/>
  <c r="W238" i="3"/>
  <c r="W252" i="3"/>
  <c r="AF346" i="3"/>
  <c r="AF141" i="3"/>
  <c r="AG141" i="3" s="1"/>
  <c r="AF171" i="3"/>
  <c r="AF139" i="3"/>
  <c r="AF394" i="3"/>
  <c r="AF237" i="3"/>
  <c r="AF83" i="3"/>
  <c r="AF264" i="3"/>
  <c r="AF473" i="3"/>
  <c r="AF207" i="3"/>
  <c r="AF389" i="3"/>
  <c r="AF114" i="3"/>
  <c r="AG114" i="3" s="1"/>
  <c r="AF352" i="3"/>
  <c r="AF6" i="3"/>
  <c r="AG6" i="3" s="1"/>
  <c r="AF200" i="3"/>
  <c r="AF127" i="3"/>
  <c r="AF143" i="3"/>
  <c r="AF337" i="3"/>
  <c r="AF311" i="3"/>
  <c r="AF29" i="3"/>
  <c r="AF111" i="3"/>
  <c r="AF287" i="3"/>
  <c r="AG287" i="3" s="1"/>
  <c r="AF86" i="3"/>
  <c r="AF23" i="3"/>
  <c r="AF149" i="3"/>
  <c r="AF513" i="3"/>
  <c r="AF425" i="3"/>
  <c r="AF544" i="3"/>
  <c r="AF420" i="3"/>
  <c r="AF496" i="3"/>
  <c r="AF537" i="3"/>
  <c r="AF193" i="3"/>
  <c r="AF100" i="3"/>
  <c r="AF397" i="3"/>
  <c r="AF388" i="3"/>
  <c r="AF199" i="3"/>
  <c r="AF357" i="3"/>
  <c r="AF376" i="3"/>
  <c r="AF501" i="3"/>
  <c r="AF424" i="3"/>
  <c r="AF467" i="3"/>
  <c r="AF478" i="3"/>
  <c r="AF313" i="3"/>
  <c r="AF314" i="3"/>
  <c r="AF185" i="3"/>
  <c r="AF380" i="3"/>
  <c r="AF7" i="3"/>
  <c r="AF355" i="3"/>
  <c r="AF258" i="3"/>
  <c r="AF184" i="3"/>
  <c r="AF49" i="3"/>
  <c r="AF329" i="3"/>
  <c r="AF511" i="3"/>
  <c r="AF219" i="3"/>
  <c r="AF406" i="3"/>
  <c r="AF533" i="3"/>
  <c r="AF179" i="3"/>
  <c r="AF52" i="3"/>
  <c r="AG52" i="3" s="1"/>
  <c r="AF443" i="3"/>
  <c r="AF410" i="3"/>
  <c r="AF36" i="3"/>
  <c r="AF213" i="3"/>
  <c r="AF146" i="3"/>
  <c r="AF130" i="3"/>
  <c r="AG130" i="3" s="1"/>
  <c r="AF382" i="3"/>
  <c r="AF247" i="3"/>
  <c r="AF37" i="3"/>
  <c r="AG37" i="3" s="1"/>
  <c r="AF113" i="3"/>
  <c r="AG113" i="3" s="1"/>
  <c r="AF304" i="3"/>
  <c r="AF110" i="3"/>
  <c r="AF40" i="3"/>
  <c r="AF174" i="3"/>
  <c r="AF180" i="3"/>
  <c r="AF215" i="3"/>
  <c r="AF402" i="3"/>
  <c r="AF359" i="3"/>
  <c r="AF47" i="3"/>
  <c r="AF243" i="3"/>
  <c r="AF255" i="3"/>
  <c r="AF158" i="3"/>
  <c r="AF266" i="3"/>
  <c r="AF41" i="3"/>
  <c r="AF118" i="3"/>
  <c r="AF398" i="3"/>
  <c r="AF88" i="3"/>
  <c r="AG88" i="3" s="1"/>
  <c r="AF46" i="3"/>
  <c r="AF433" i="3"/>
  <c r="AF217" i="3"/>
  <c r="AF422" i="3"/>
  <c r="AF484" i="3"/>
  <c r="AF198" i="3"/>
  <c r="AF407" i="3"/>
  <c r="AF421" i="3"/>
  <c r="AF67" i="3"/>
  <c r="AF135" i="3"/>
  <c r="AF417" i="3"/>
  <c r="AF284" i="3"/>
  <c r="AF121" i="3"/>
  <c r="AF300" i="3"/>
  <c r="AG300" i="3" s="1"/>
  <c r="AF66" i="3"/>
  <c r="AF479" i="3"/>
  <c r="AF204" i="3"/>
  <c r="AF451" i="3"/>
  <c r="AF542" i="3"/>
  <c r="AF541" i="3"/>
  <c r="AF515" i="3"/>
  <c r="AF365" i="3"/>
  <c r="AF386" i="3"/>
  <c r="AF8" i="3"/>
  <c r="AF270" i="3"/>
  <c r="AF154" i="3"/>
  <c r="AF245" i="3"/>
  <c r="AF232" i="3"/>
  <c r="AG232" i="3" s="1"/>
  <c r="AF59" i="3"/>
  <c r="AF126" i="3"/>
  <c r="AF341" i="3"/>
  <c r="AF295" i="3"/>
  <c r="AF446" i="3"/>
  <c r="AF456" i="3"/>
  <c r="AF206" i="3"/>
  <c r="AF481" i="3"/>
  <c r="AF512" i="3"/>
  <c r="AF535" i="3"/>
  <c r="AF216" i="3"/>
  <c r="AF161" i="3"/>
  <c r="AF33" i="3"/>
  <c r="AF190" i="3"/>
  <c r="AF292" i="3"/>
  <c r="AF182" i="3"/>
  <c r="AF307" i="3"/>
  <c r="AF186" i="3"/>
  <c r="AF375" i="3"/>
  <c r="AF65" i="3"/>
  <c r="AF131" i="3"/>
  <c r="AF222" i="3"/>
  <c r="AF220" i="3"/>
  <c r="AF14" i="3"/>
  <c r="AF57" i="3"/>
  <c r="AF189" i="3"/>
  <c r="AF458" i="3"/>
  <c r="AF221" i="3"/>
  <c r="AF469" i="3"/>
  <c r="AF384" i="3"/>
  <c r="AF411" i="3"/>
  <c r="AF499" i="3"/>
  <c r="AF450" i="3"/>
  <c r="AF534" i="3"/>
  <c r="AG534" i="3" s="1"/>
  <c r="AF274" i="3"/>
  <c r="AF30" i="3"/>
  <c r="AF390" i="3"/>
  <c r="AF68" i="3"/>
  <c r="AG68" i="3" s="1"/>
  <c r="AF201" i="3"/>
  <c r="AF163" i="3"/>
  <c r="AF197" i="3"/>
  <c r="AF235" i="3"/>
  <c r="AF71" i="3"/>
  <c r="AF134" i="3"/>
  <c r="AF353" i="3"/>
  <c r="AF203" i="3"/>
  <c r="AF3" i="3"/>
  <c r="AF525" i="3"/>
  <c r="AF526" i="3"/>
  <c r="AF527" i="3"/>
  <c r="AF223" i="3"/>
  <c r="AF497" i="3"/>
  <c r="AF502" i="3"/>
  <c r="AF476" i="3"/>
  <c r="AF463" i="3"/>
  <c r="AF531" i="3"/>
  <c r="AF442" i="3"/>
  <c r="AF522" i="3"/>
  <c r="AF528" i="3"/>
  <c r="AF50" i="3"/>
  <c r="AF362" i="3"/>
  <c r="AF28" i="3"/>
  <c r="AG28" i="3" s="1"/>
  <c r="AF325" i="3"/>
  <c r="AF507" i="3"/>
  <c r="AF226" i="3"/>
  <c r="AF31" i="3"/>
  <c r="AG31" i="3" s="1"/>
  <c r="AF103" i="3"/>
  <c r="AF84" i="3"/>
  <c r="AF72" i="3"/>
  <c r="AF62" i="3"/>
  <c r="AF427" i="3"/>
  <c r="AF540" i="3"/>
  <c r="AF448" i="3"/>
  <c r="AF286" i="3"/>
  <c r="AF98" i="3"/>
  <c r="AF231" i="3"/>
  <c r="AF122" i="3"/>
  <c r="AF457" i="3"/>
  <c r="AF391" i="3"/>
  <c r="AF214" i="3"/>
  <c r="AF530" i="3"/>
  <c r="AF91" i="3"/>
  <c r="AF205" i="3"/>
  <c r="AF277" i="3"/>
  <c r="AF281" i="3"/>
  <c r="AF278" i="3"/>
  <c r="AF498" i="3"/>
  <c r="AF423" i="3"/>
  <c r="AF385" i="3"/>
  <c r="AF87" i="3"/>
  <c r="AF322" i="3"/>
  <c r="AF372" i="3"/>
  <c r="AF35" i="3"/>
  <c r="AF347" i="3"/>
  <c r="AF305" i="3"/>
  <c r="AF371" i="3"/>
  <c r="AF210" i="3"/>
  <c r="AF99" i="3"/>
  <c r="AF97" i="3"/>
  <c r="AF79" i="3"/>
  <c r="AF306" i="3"/>
  <c r="AF12" i="3"/>
  <c r="AF58" i="3"/>
  <c r="AF319" i="3"/>
  <c r="AF162" i="3"/>
  <c r="AF438" i="3"/>
  <c r="AF208" i="3"/>
  <c r="AG208" i="3" s="1"/>
  <c r="AF53" i="3"/>
  <c r="AF25" i="3"/>
  <c r="AF275" i="3"/>
  <c r="AF24" i="3"/>
  <c r="AF64" i="3"/>
  <c r="AF301" i="3"/>
  <c r="AG301" i="3" s="1"/>
  <c r="AF488" i="3"/>
  <c r="AF369" i="3"/>
  <c r="AF196" i="3"/>
  <c r="AF44" i="3"/>
  <c r="AF331" i="3"/>
  <c r="AF20" i="3"/>
  <c r="AF244" i="3"/>
  <c r="AF191" i="3"/>
  <c r="AF93" i="3"/>
  <c r="W151" i="3"/>
  <c r="W172" i="3"/>
  <c r="W406" i="3"/>
  <c r="W105" i="3"/>
  <c r="W319" i="3"/>
  <c r="W38" i="3"/>
  <c r="X38" i="3" s="1"/>
  <c r="W207" i="3"/>
  <c r="W26" i="3"/>
  <c r="X26" i="3" s="1"/>
  <c r="W125" i="3"/>
  <c r="X125" i="3" s="1"/>
  <c r="W68" i="3"/>
  <c r="W83" i="3"/>
  <c r="W137" i="3"/>
  <c r="X137" i="3" s="1"/>
  <c r="W390" i="3"/>
  <c r="W276" i="3"/>
  <c r="W349" i="3"/>
  <c r="W42" i="3"/>
  <c r="W85" i="3"/>
  <c r="W8" i="3"/>
  <c r="X8" i="3" s="1"/>
  <c r="W49" i="3"/>
  <c r="W175" i="3"/>
  <c r="W160" i="3"/>
  <c r="W110" i="3"/>
  <c r="W384" i="3"/>
  <c r="W300" i="3"/>
  <c r="W336" i="3"/>
  <c r="W104" i="3"/>
  <c r="W70" i="3"/>
  <c r="W60" i="3"/>
  <c r="W33" i="3"/>
  <c r="X33" i="3" s="1"/>
  <c r="W191" i="3"/>
  <c r="W206" i="3"/>
  <c r="W148" i="3"/>
  <c r="W145" i="3"/>
  <c r="X145" i="3" s="1"/>
  <c r="W139" i="3"/>
  <c r="W94" i="3"/>
  <c r="W370" i="3"/>
  <c r="W302" i="3"/>
  <c r="W316" i="3"/>
  <c r="W278" i="3"/>
  <c r="W48" i="3"/>
  <c r="X48" i="3" s="1"/>
  <c r="W217" i="3"/>
  <c r="W16" i="3"/>
  <c r="X16" i="3" s="1"/>
  <c r="W248" i="3"/>
  <c r="W132" i="3"/>
  <c r="X132" i="3" s="1"/>
  <c r="W72" i="3"/>
  <c r="W121" i="3"/>
  <c r="X121" i="3" s="1"/>
  <c r="W6" i="3"/>
  <c r="X6" i="3" s="1"/>
  <c r="W344" i="3"/>
  <c r="X344" i="3" s="1"/>
  <c r="W141" i="3"/>
  <c r="X141" i="3" s="1"/>
  <c r="W306" i="3"/>
  <c r="W15" i="3"/>
  <c r="X15" i="3" s="1"/>
  <c r="W269" i="3"/>
  <c r="W67" i="3"/>
  <c r="W202" i="3"/>
  <c r="W189" i="3"/>
  <c r="W412" i="3"/>
  <c r="W539" i="3"/>
  <c r="X539" i="3" s="1"/>
  <c r="W253" i="3"/>
  <c r="W351" i="3"/>
  <c r="W73" i="3"/>
  <c r="W210" i="3"/>
  <c r="W52" i="3"/>
  <c r="W324" i="3"/>
  <c r="W157" i="3"/>
  <c r="W162" i="3"/>
  <c r="W201" i="3"/>
  <c r="W133" i="3"/>
  <c r="X133" i="3" s="1"/>
  <c r="W311" i="3"/>
  <c r="W408" i="3"/>
  <c r="W439" i="3"/>
  <c r="W123" i="3"/>
  <c r="W229" i="3"/>
  <c r="W59" i="3"/>
  <c r="X59" i="3" s="1"/>
  <c r="W156" i="3"/>
  <c r="W32" i="3"/>
  <c r="X32" i="3" s="1"/>
  <c r="W204" i="3"/>
  <c r="W213" i="3"/>
  <c r="W107" i="3"/>
  <c r="X107" i="3" s="1"/>
  <c r="W181" i="3"/>
  <c r="W214" i="3"/>
  <c r="W199" i="3"/>
  <c r="W119" i="3"/>
  <c r="W51" i="3"/>
  <c r="W220" i="3"/>
  <c r="X220" i="3" s="1"/>
  <c r="W360" i="3"/>
  <c r="W168" i="3"/>
  <c r="W74" i="3"/>
  <c r="W398" i="3"/>
  <c r="W149" i="3"/>
  <c r="X149" i="3" s="1"/>
  <c r="W271" i="3"/>
  <c r="W372" i="3"/>
  <c r="W82" i="3"/>
  <c r="W378" i="3"/>
  <c r="W64" i="3"/>
  <c r="W299" i="3"/>
  <c r="W174" i="3"/>
  <c r="W309" i="3"/>
  <c r="X309" i="3" s="1"/>
  <c r="W9" i="3"/>
  <c r="X9" i="3" s="1"/>
  <c r="W17" i="3"/>
  <c r="X17" i="3" s="1"/>
  <c r="W417" i="3"/>
  <c r="W96" i="3"/>
  <c r="W106" i="3"/>
  <c r="W50" i="3"/>
  <c r="W101" i="3"/>
  <c r="W208" i="3"/>
  <c r="W243" i="3"/>
  <c r="W126" i="3"/>
  <c r="W286" i="3"/>
  <c r="W198" i="3"/>
  <c r="W239" i="3"/>
  <c r="W61" i="3"/>
  <c r="W356" i="3"/>
  <c r="W128" i="3"/>
  <c r="X128" i="3" s="1"/>
  <c r="W200" i="3"/>
  <c r="W416" i="3"/>
  <c r="W241" i="3"/>
  <c r="W44" i="3"/>
  <c r="X44" i="3" s="1"/>
  <c r="W338" i="3"/>
  <c r="W91" i="3"/>
  <c r="W69" i="3"/>
  <c r="W173" i="3"/>
  <c r="W183" i="3"/>
  <c r="W275" i="3"/>
  <c r="W40" i="3"/>
  <c r="X40" i="3" s="1"/>
  <c r="W265" i="3"/>
  <c r="X265" i="3" s="1"/>
  <c r="W247" i="3"/>
  <c r="W277" i="3"/>
  <c r="W226" i="3"/>
  <c r="X226" i="3" s="1"/>
  <c r="W337" i="3"/>
  <c r="W218" i="3"/>
  <c r="W167" i="3"/>
  <c r="W55" i="3"/>
  <c r="W352" i="3"/>
  <c r="W335" i="3"/>
  <c r="W288" i="3"/>
  <c r="X288" i="3" s="1"/>
  <c r="W197" i="3"/>
  <c r="W404" i="3"/>
  <c r="W177" i="3"/>
  <c r="W447" i="3"/>
  <c r="W374" i="3"/>
  <c r="W30" i="3"/>
  <c r="X30" i="3" s="1"/>
  <c r="W326" i="3"/>
  <c r="W62" i="3"/>
  <c r="W154" i="3"/>
  <c r="W251" i="3"/>
  <c r="W255" i="3"/>
  <c r="W521" i="3"/>
  <c r="W354" i="3"/>
  <c r="W216" i="3"/>
  <c r="W7" i="3"/>
  <c r="X7" i="3" s="1"/>
  <c r="W308" i="3"/>
  <c r="W54" i="3"/>
  <c r="W53" i="3"/>
  <c r="W143" i="3"/>
  <c r="X143" i="3" s="1"/>
  <c r="W140" i="3"/>
  <c r="W227" i="3"/>
  <c r="W19" i="3"/>
  <c r="X19" i="3" s="1"/>
  <c r="W170" i="3"/>
  <c r="W182" i="3"/>
  <c r="W171" i="3"/>
  <c r="W103" i="3"/>
  <c r="W152" i="3"/>
  <c r="X152" i="3" s="1"/>
  <c r="W366" i="3"/>
  <c r="W176" i="3"/>
  <c r="W87" i="3"/>
  <c r="W43" i="3"/>
  <c r="X43" i="3" s="1"/>
  <c r="W179" i="3"/>
  <c r="W321" i="3"/>
  <c r="W90" i="3"/>
  <c r="X90" i="3" s="1"/>
  <c r="W257" i="3"/>
  <c r="W392" i="3"/>
  <c r="W135" i="3"/>
  <c r="X135" i="3" s="1"/>
  <c r="W449" i="3"/>
  <c r="W340" i="3"/>
  <c r="W193" i="3"/>
  <c r="W305" i="3"/>
  <c r="W284" i="3"/>
  <c r="X284" i="3" s="1"/>
  <c r="W21" i="3"/>
  <c r="X21" i="3" s="1"/>
  <c r="W47" i="3"/>
  <c r="X47" i="3" s="1"/>
  <c r="W285" i="3"/>
  <c r="X285" i="3" s="1"/>
  <c r="W122" i="3"/>
  <c r="W205" i="3"/>
  <c r="W5" i="3"/>
  <c r="X5" i="3" s="1"/>
  <c r="W142" i="3"/>
  <c r="X142" i="3" s="1"/>
  <c r="W129" i="3"/>
  <c r="X129" i="3" s="1"/>
  <c r="W158" i="3"/>
  <c r="W78" i="3"/>
  <c r="W134" i="3"/>
  <c r="W345" i="3"/>
  <c r="W163" i="3"/>
  <c r="W187" i="3"/>
  <c r="W37" i="3"/>
  <c r="X37" i="3" s="1"/>
  <c r="W147" i="3"/>
  <c r="W280" i="3"/>
  <c r="W75" i="3"/>
  <c r="W223" i="3"/>
  <c r="W386" i="3"/>
  <c r="W118" i="3"/>
  <c r="W523" i="3"/>
  <c r="W332" i="3"/>
  <c r="W180" i="3"/>
  <c r="W194" i="3"/>
  <c r="W292" i="3"/>
  <c r="W3" i="3"/>
  <c r="X3" i="3" s="1"/>
  <c r="W41" i="3"/>
  <c r="X41" i="3" s="1"/>
  <c r="W414" i="3"/>
  <c r="W313" i="3"/>
  <c r="W190" i="3"/>
  <c r="W307" i="3"/>
  <c r="W114" i="3"/>
  <c r="X114" i="3" s="1"/>
  <c r="W322" i="3"/>
  <c r="W100" i="3"/>
  <c r="W66" i="3"/>
  <c r="W120" i="3"/>
  <c r="X120" i="3" s="1"/>
  <c r="W330" i="3"/>
  <c r="W115" i="3"/>
  <c r="W124" i="3"/>
  <c r="W31" i="3"/>
  <c r="X31" i="3" s="1"/>
  <c r="W138" i="3"/>
  <c r="X138" i="3" s="1"/>
  <c r="W325" i="3"/>
  <c r="W63" i="3"/>
  <c r="W195" i="3"/>
  <c r="W382" i="3"/>
  <c r="W215" i="3"/>
  <c r="W346" i="3"/>
  <c r="W297" i="3"/>
  <c r="W102" i="3"/>
  <c r="W108" i="3"/>
  <c r="X108" i="3" s="1"/>
  <c r="W361" i="3"/>
  <c r="W289" i="3"/>
  <c r="W131" i="3"/>
  <c r="W266" i="3"/>
  <c r="X266" i="3" s="1"/>
  <c r="W334" i="3"/>
  <c r="W116" i="3"/>
  <c r="W397" i="3"/>
  <c r="W405" i="3"/>
  <c r="W136" i="3"/>
  <c r="X136" i="3" s="1"/>
  <c r="W150" i="3"/>
  <c r="X150" i="3" s="1"/>
  <c r="W164" i="3"/>
  <c r="W196" i="3"/>
  <c r="W144" i="3"/>
  <c r="X144" i="3" s="1"/>
  <c r="W254" i="3"/>
  <c r="W262" i="3"/>
  <c r="W166" i="3"/>
  <c r="W363" i="3"/>
  <c r="W350" i="3"/>
  <c r="W272" i="3"/>
  <c r="W268" i="3"/>
  <c r="X268" i="3" s="1"/>
  <c r="W192" i="3"/>
  <c r="W413" i="3"/>
  <c r="W359" i="3"/>
  <c r="W348" i="3"/>
  <c r="W222" i="3"/>
  <c r="W353" i="3"/>
  <c r="W294" i="3"/>
  <c r="W97" i="3"/>
  <c r="W279" i="3"/>
  <c r="W12" i="3"/>
  <c r="X12" i="3" s="1"/>
  <c r="W287" i="3"/>
  <c r="X287" i="3" s="1"/>
  <c r="W274" i="3"/>
  <c r="W264" i="3"/>
  <c r="W367" i="3"/>
  <c r="W22" i="3"/>
  <c r="X22" i="3" s="1"/>
  <c r="W296" i="3"/>
  <c r="W235" i="3"/>
  <c r="W240" i="3"/>
  <c r="W27" i="3"/>
  <c r="X27" i="3" s="1"/>
  <c r="W242" i="3"/>
  <c r="W403" i="3"/>
  <c r="W411" i="3"/>
  <c r="W244" i="3"/>
  <c r="W246" i="3"/>
  <c r="W380" i="3"/>
  <c r="W388" i="3"/>
  <c r="W237" i="3"/>
  <c r="W258" i="3"/>
  <c r="W396" i="3"/>
  <c r="W407" i="3"/>
  <c r="W400" i="3"/>
  <c r="W291" i="3"/>
  <c r="W230" i="3"/>
  <c r="W256" i="3"/>
  <c r="W410" i="3"/>
  <c r="W401" i="3"/>
  <c r="W339" i="3"/>
  <c r="W39" i="3"/>
  <c r="X39" i="3" s="1"/>
  <c r="W341" i="3"/>
  <c r="W232" i="3"/>
  <c r="X232" i="3" s="1"/>
  <c r="W343" i="3"/>
  <c r="W260" i="3"/>
  <c r="W45" i="3"/>
  <c r="X45" i="3" s="1"/>
  <c r="W57" i="3"/>
  <c r="W369" i="3"/>
  <c r="W371" i="3"/>
  <c r="W373" i="3"/>
  <c r="W375" i="3"/>
  <c r="W377" i="3"/>
  <c r="W379" i="3"/>
  <c r="W381" i="3"/>
  <c r="W383" i="3"/>
  <c r="W385" i="3"/>
  <c r="W415" i="3"/>
  <c r="W13" i="3"/>
  <c r="X13" i="3" s="1"/>
  <c r="W25" i="3"/>
  <c r="X25" i="3" s="1"/>
  <c r="W34" i="3"/>
  <c r="X34" i="3" s="1"/>
  <c r="W46" i="3"/>
  <c r="W58" i="3"/>
  <c r="W76" i="3"/>
  <c r="W89" i="3"/>
  <c r="W111" i="3"/>
  <c r="W127" i="3"/>
  <c r="W165" i="3"/>
  <c r="W184" i="3"/>
  <c r="W211" i="3"/>
  <c r="W234" i="3"/>
  <c r="W245" i="3"/>
  <c r="W263" i="3"/>
  <c r="W387" i="3"/>
  <c r="W389" i="3"/>
  <c r="W273" i="3"/>
  <c r="W282" i="3"/>
  <c r="W303" i="3"/>
  <c r="W318" i="3"/>
  <c r="X318" i="3" s="1"/>
  <c r="W342" i="3"/>
  <c r="W362" i="3"/>
  <c r="W261" i="3"/>
  <c r="W391" i="3"/>
  <c r="W393" i="3"/>
  <c r="W65" i="3"/>
  <c r="W395" i="3"/>
  <c r="W399" i="3"/>
  <c r="W77" i="3"/>
  <c r="W88" i="3"/>
  <c r="X88" i="3" s="1"/>
  <c r="W365" i="3"/>
  <c r="W355" i="3"/>
  <c r="W310" i="3"/>
  <c r="X310" i="3" s="1"/>
  <c r="W298" i="3"/>
  <c r="W283" i="3"/>
  <c r="W510" i="3"/>
  <c r="W281" i="3"/>
  <c r="W270" i="3"/>
  <c r="W511" i="3"/>
  <c r="W446" i="3"/>
  <c r="W525" i="3"/>
  <c r="W530" i="3"/>
  <c r="W528" i="3"/>
  <c r="W513" i="3"/>
  <c r="W479" i="3"/>
  <c r="W456" i="3"/>
  <c r="W526" i="3"/>
  <c r="W468" i="3"/>
  <c r="W418" i="3"/>
  <c r="W425" i="3"/>
  <c r="W433" i="3"/>
  <c r="W458" i="3"/>
  <c r="W527" i="3"/>
  <c r="W423" i="3"/>
  <c r="W448" i="3"/>
  <c r="W544" i="3"/>
  <c r="W509" i="3"/>
  <c r="W481" i="3"/>
  <c r="W516" i="3"/>
  <c r="W436" i="3"/>
  <c r="W480" i="3"/>
  <c r="W435" i="3"/>
  <c r="W420" i="3"/>
  <c r="W471" i="3"/>
  <c r="W497" i="3"/>
  <c r="W438" i="3"/>
  <c r="W498" i="3"/>
  <c r="W496" i="3"/>
  <c r="W542" i="3"/>
  <c r="W512" i="3"/>
  <c r="W502" i="3"/>
  <c r="W540" i="3"/>
  <c r="W522" i="3"/>
  <c r="W537" i="3"/>
  <c r="W484" i="3"/>
  <c r="W535" i="3"/>
  <c r="W476" i="3"/>
  <c r="W506" i="3"/>
  <c r="W488" i="3"/>
  <c r="W501" i="3"/>
  <c r="W541" i="3"/>
  <c r="W499" i="3"/>
  <c r="W463" i="3"/>
  <c r="W457" i="3"/>
  <c r="W507" i="3"/>
  <c r="W424" i="3"/>
  <c r="W515" i="3"/>
  <c r="W450" i="3"/>
  <c r="W531" i="3"/>
  <c r="W487" i="3"/>
  <c r="W444" i="3"/>
  <c r="W467" i="3"/>
  <c r="W421" i="3"/>
  <c r="W534" i="3"/>
  <c r="X534" i="3" s="1"/>
  <c r="W442" i="3"/>
  <c r="W473" i="3"/>
  <c r="W427" i="3"/>
  <c r="W478" i="3"/>
  <c r="W533" i="3"/>
  <c r="W470" i="3"/>
  <c r="W490" i="3"/>
  <c r="W486" i="3"/>
  <c r="W432" i="3"/>
  <c r="W437" i="3"/>
  <c r="W422" i="3"/>
  <c r="W451" i="3"/>
  <c r="W477" i="3"/>
  <c r="W452" i="3"/>
  <c r="W443" i="3"/>
  <c r="W469" i="3"/>
  <c r="W434" i="3"/>
  <c r="W529" i="3"/>
  <c r="W445" i="3"/>
  <c r="W426" i="3"/>
  <c r="W524" i="3"/>
  <c r="W514" i="3"/>
  <c r="W466" i="3"/>
  <c r="W532" i="3"/>
  <c r="W519" i="3"/>
  <c r="W483" i="3"/>
  <c r="W504" i="3"/>
  <c r="W543" i="3"/>
  <c r="W485" i="3"/>
  <c r="W428" i="3"/>
  <c r="W465" i="3"/>
  <c r="W517" i="3"/>
  <c r="W429" i="3"/>
  <c r="W441" i="3"/>
  <c r="W494" i="3"/>
  <c r="W459" i="3"/>
  <c r="W495" i="3"/>
  <c r="W475" i="3"/>
  <c r="W461" i="3"/>
  <c r="W430" i="3"/>
  <c r="W545" i="3"/>
  <c r="W503" i="3"/>
  <c r="W518" i="3"/>
  <c r="W474" i="3"/>
  <c r="W538" i="3"/>
  <c r="X538" i="3" s="1"/>
  <c r="W500" i="3"/>
  <c r="W489" i="3"/>
  <c r="W492" i="3"/>
  <c r="W536" i="3"/>
  <c r="W462" i="3"/>
  <c r="W431" i="3"/>
  <c r="W482" i="3"/>
  <c r="W464" i="3"/>
  <c r="W419" i="3"/>
  <c r="W440" i="3"/>
  <c r="W508" i="3"/>
  <c r="W493" i="3"/>
  <c r="W460" i="3"/>
  <c r="W505" i="3"/>
  <c r="W491" i="3"/>
  <c r="W455" i="3"/>
  <c r="W520" i="3"/>
  <c r="W454" i="3"/>
  <c r="AF26" i="3"/>
  <c r="AF48" i="3"/>
  <c r="AF16" i="3"/>
  <c r="AG16" i="3" s="1"/>
  <c r="AF404" i="3"/>
  <c r="AF242" i="3"/>
  <c r="AF396" i="3"/>
  <c r="AF349" i="3"/>
  <c r="AF55" i="3"/>
  <c r="AF124" i="3"/>
  <c r="AF138" i="3"/>
  <c r="AF229" i="3"/>
  <c r="AF119" i="3"/>
  <c r="AF239" i="3"/>
  <c r="AF293" i="3"/>
  <c r="AF321" i="3"/>
  <c r="AF181" i="3"/>
  <c r="AF132" i="3"/>
  <c r="AF166" i="3"/>
  <c r="AF187" i="3"/>
  <c r="AF234" i="3"/>
  <c r="AF378" i="3"/>
  <c r="AF92" i="3"/>
  <c r="AF358" i="3"/>
  <c r="AF403" i="3"/>
  <c r="AF151" i="3"/>
  <c r="AF157" i="3"/>
  <c r="AF164" i="3"/>
  <c r="AF167" i="3"/>
  <c r="AF176" i="3"/>
  <c r="AF236" i="3"/>
  <c r="AF289" i="3"/>
  <c r="AF335" i="3"/>
  <c r="AF367" i="3"/>
  <c r="AF285" i="3"/>
  <c r="AF228" i="3"/>
  <c r="AF257" i="3"/>
  <c r="AF280" i="3"/>
  <c r="AF310" i="3"/>
  <c r="AG310" i="3" s="1"/>
  <c r="AF312" i="3"/>
  <c r="AG312" i="3" s="1"/>
  <c r="AF332" i="3"/>
  <c r="AF363" i="3"/>
  <c r="AF250" i="3"/>
  <c r="AF70" i="3"/>
  <c r="AF345" i="3"/>
  <c r="AG345" i="3" s="1"/>
  <c r="AF379" i="3"/>
  <c r="AF405" i="3"/>
  <c r="AF381" i="3"/>
  <c r="AF74" i="3"/>
  <c r="AF112" i="3"/>
  <c r="AG112" i="3" s="1"/>
  <c r="AF377" i="3"/>
  <c r="AF412" i="3"/>
  <c r="AF323" i="3"/>
  <c r="AF5" i="3"/>
  <c r="AF13" i="3"/>
  <c r="AG13" i="3" s="1"/>
  <c r="AF18" i="3"/>
  <c r="AG18" i="3" s="1"/>
  <c r="AF27" i="3"/>
  <c r="AF32" i="3"/>
  <c r="AG32" i="3" s="1"/>
  <c r="AF39" i="3"/>
  <c r="AF43" i="3"/>
  <c r="AF51" i="3"/>
  <c r="AF56" i="3"/>
  <c r="AF61" i="3"/>
  <c r="AF69" i="3"/>
  <c r="AF75" i="3"/>
  <c r="AG75" i="3" s="1"/>
  <c r="AF374" i="3"/>
  <c r="AF209" i="3"/>
  <c r="AF238" i="3"/>
  <c r="AF279" i="3"/>
  <c r="AF85" i="3"/>
  <c r="AF89" i="3"/>
  <c r="AF96" i="3"/>
  <c r="AF105" i="3"/>
  <c r="AF109" i="3"/>
  <c r="AF115" i="3"/>
  <c r="AF120" i="3"/>
  <c r="AF123" i="3"/>
  <c r="AF128" i="3"/>
  <c r="AF133" i="3"/>
  <c r="AF136" i="3"/>
  <c r="AG136" i="3" s="1"/>
  <c r="AF140" i="3"/>
  <c r="AF188" i="3"/>
  <c r="AG188" i="3" s="1"/>
  <c r="AF364" i="3"/>
  <c r="AF145" i="3"/>
  <c r="AF150" i="3"/>
  <c r="AF153" i="3"/>
  <c r="AF159" i="3"/>
  <c r="AF165" i="3"/>
  <c r="AF169" i="3"/>
  <c r="AF173" i="3"/>
  <c r="AF178" i="3"/>
  <c r="AF249" i="3"/>
  <c r="AF267" i="3"/>
  <c r="AF315" i="3"/>
  <c r="AF334" i="3"/>
  <c r="AF373" i="3"/>
  <c r="AF351" i="3"/>
  <c r="AF256" i="3"/>
  <c r="AF298" i="3"/>
  <c r="AF324" i="3"/>
  <c r="AF360" i="3"/>
  <c r="AF271" i="3"/>
  <c r="AF78" i="3"/>
  <c r="AF348" i="3"/>
  <c r="AF395" i="3"/>
  <c r="AF290" i="3"/>
  <c r="AG290" i="3" s="1"/>
  <c r="AF330" i="3"/>
  <c r="AF303" i="3"/>
  <c r="AF90" i="3"/>
  <c r="AG90" i="3" s="1"/>
  <c r="AF356" i="3"/>
  <c r="AF392" i="3"/>
  <c r="AF326" i="3"/>
  <c r="AF106" i="3"/>
  <c r="AF218" i="3"/>
  <c r="AF262" i="3"/>
  <c r="AF296" i="3"/>
  <c r="AF320" i="3"/>
  <c r="AF259" i="3"/>
  <c r="AF283" i="3"/>
  <c r="AF308" i="3"/>
  <c r="AF327" i="3"/>
  <c r="AF343" i="3"/>
  <c r="AG343" i="3" s="1"/>
  <c r="AF276" i="3"/>
  <c r="AF102" i="3"/>
  <c r="AF260" i="3"/>
  <c r="AF328" i="3"/>
  <c r="AF383" i="3"/>
  <c r="AF415" i="3"/>
  <c r="AF212" i="3"/>
  <c r="AF302" i="3"/>
  <c r="AF253" i="3"/>
  <c r="AF263" i="3"/>
  <c r="AF294" i="3"/>
  <c r="AF318" i="3"/>
  <c r="AG318" i="3" s="1"/>
  <c r="AF336" i="3"/>
  <c r="AF370" i="3"/>
  <c r="AF413" i="3"/>
  <c r="AF470" i="3"/>
  <c r="AF516" i="3"/>
  <c r="AF436" i="3"/>
  <c r="AF480" i="3"/>
  <c r="AF490" i="3"/>
  <c r="AF211" i="3"/>
  <c r="AF117" i="3"/>
  <c r="AG117" i="3" s="1"/>
  <c r="AF432" i="3"/>
  <c r="AF60" i="3"/>
  <c r="AF471" i="3"/>
  <c r="AF437" i="3"/>
  <c r="AF19" i="3"/>
  <c r="AG19" i="3" s="1"/>
  <c r="AF42" i="3"/>
  <c r="AF77" i="3"/>
  <c r="AF195" i="3"/>
  <c r="AF477" i="3"/>
  <c r="AF452" i="3"/>
  <c r="AF224" i="3"/>
  <c r="AF240" i="3"/>
  <c r="AF261" i="3"/>
  <c r="AF434" i="3"/>
  <c r="AF269" i="3"/>
  <c r="AG269" i="3" s="1"/>
  <c r="AF273" i="3"/>
  <c r="AF529" i="3"/>
  <c r="AF445" i="3"/>
  <c r="AF291" i="3"/>
  <c r="AF333" i="3"/>
  <c r="AF426" i="3"/>
  <c r="AF340" i="3"/>
  <c r="AF524" i="3"/>
  <c r="AF344" i="3"/>
  <c r="AG344" i="3" s="1"/>
  <c r="AF514" i="3"/>
  <c r="AF366" i="3"/>
  <c r="AF466" i="3"/>
  <c r="AF393" i="3"/>
  <c r="AF532" i="3"/>
  <c r="AF399" i="3"/>
  <c r="AF519" i="3"/>
  <c r="AF483" i="3"/>
  <c r="AF409" i="3"/>
  <c r="AF504" i="3"/>
  <c r="AF152" i="3"/>
  <c r="AF543" i="3"/>
  <c r="AF248" i="3"/>
  <c r="AF485" i="3"/>
  <c r="AF252" i="3"/>
  <c r="AF428" i="3"/>
  <c r="AF268" i="3"/>
  <c r="AF265" i="3"/>
  <c r="AF465" i="3"/>
  <c r="AF517" i="3"/>
  <c r="AF299" i="3"/>
  <c r="AF429" i="3"/>
  <c r="AF317" i="3"/>
  <c r="AG317" i="3" s="1"/>
  <c r="AF441" i="3"/>
  <c r="AF339" i="3"/>
  <c r="AG339" i="3" s="1"/>
  <c r="AF489" i="3"/>
  <c r="AF408" i="3"/>
  <c r="AF95" i="3"/>
  <c r="AF455" i="3"/>
  <c r="AF354" i="3"/>
  <c r="AF495" i="3"/>
  <c r="AF401" i="3"/>
  <c r="AF520" i="3"/>
  <c r="AF461" i="3"/>
  <c r="AF9" i="3"/>
  <c r="AF15" i="3"/>
  <c r="AF22" i="3"/>
  <c r="AF503" i="3"/>
  <c r="AF34" i="3"/>
  <c r="AG34" i="3" s="1"/>
  <c r="AF523" i="3"/>
  <c r="AF45" i="3"/>
  <c r="AF518" i="3"/>
  <c r="AF54" i="3"/>
  <c r="AF449" i="3"/>
  <c r="AF521" i="3"/>
  <c r="AF447" i="3"/>
  <c r="AF439" i="3"/>
  <c r="AF539" i="3"/>
  <c r="AF63" i="3"/>
  <c r="AF73" i="3"/>
  <c r="AF81" i="3"/>
  <c r="AG81" i="3" s="1"/>
  <c r="AF94" i="3"/>
  <c r="AF492" i="3"/>
  <c r="AF536" i="3"/>
  <c r="AF101" i="3"/>
  <c r="AF462" i="3"/>
  <c r="AF107" i="3"/>
  <c r="AG107" i="3" s="1"/>
  <c r="AF116" i="3"/>
  <c r="AF431" i="3"/>
  <c r="AF125" i="3"/>
  <c r="AF482" i="3"/>
  <c r="AF464" i="3"/>
  <c r="AF129" i="3"/>
  <c r="AF137" i="3"/>
  <c r="AG137" i="3" s="1"/>
  <c r="AF419" i="3"/>
  <c r="AF142" i="3"/>
  <c r="AG142" i="3" s="1"/>
  <c r="AF440" i="3"/>
  <c r="AF508" i="3"/>
  <c r="AF148" i="3"/>
  <c r="AF155" i="3"/>
  <c r="AF493" i="3"/>
  <c r="AF160" i="3"/>
  <c r="AF460" i="3"/>
  <c r="AF170" i="3"/>
  <c r="AF505" i="3"/>
  <c r="AF227" i="3"/>
  <c r="AF491" i="3"/>
  <c r="AF494" i="3"/>
  <c r="AF459" i="3"/>
  <c r="AF272" i="3"/>
  <c r="AF475" i="3"/>
  <c r="AF316" i="3"/>
  <c r="AF454" i="3"/>
  <c r="AF342" i="3"/>
  <c r="AG342" i="3" s="1"/>
  <c r="AF430" i="3"/>
  <c r="AF545" i="3"/>
  <c r="AF246" i="3"/>
  <c r="AF453" i="3"/>
  <c r="AF472" i="3"/>
  <c r="AF297" i="3"/>
  <c r="AF82" i="3"/>
  <c r="AF474" i="3"/>
  <c r="AF368" i="3"/>
  <c r="AF76" i="3"/>
  <c r="AF202" i="3"/>
  <c r="AF225" i="3"/>
  <c r="AG225" i="3" s="1"/>
  <c r="AF288" i="3"/>
  <c r="AG288" i="3" s="1"/>
  <c r="AF538" i="3"/>
  <c r="AF500" i="3"/>
  <c r="AF510" i="3"/>
  <c r="AF509" i="3"/>
  <c r="AF2" i="3"/>
  <c r="AG2" i="3" s="1"/>
  <c r="W2" i="3"/>
  <c r="X2" i="3" s="1"/>
  <c r="T517" i="3" l="1"/>
  <c r="U517" i="3" s="1"/>
  <c r="T510" i="3"/>
  <c r="U510" i="3" s="1"/>
  <c r="T507" i="3"/>
  <c r="U507" i="3" s="1"/>
  <c r="T495" i="3"/>
  <c r="U495" i="3" s="1"/>
  <c r="T422" i="3"/>
  <c r="U422" i="3" s="1"/>
  <c r="T482" i="3"/>
  <c r="U482" i="3" s="1"/>
  <c r="T497" i="3"/>
  <c r="U497" i="3" s="1"/>
  <c r="T538" i="3"/>
  <c r="U538" i="3" s="1"/>
  <c r="T486" i="3"/>
  <c r="U486" i="3" s="1"/>
  <c r="T480" i="3"/>
  <c r="U480" i="3" s="1"/>
  <c r="T423" i="3"/>
  <c r="U423" i="3" s="1"/>
  <c r="T435" i="3"/>
  <c r="U435" i="3" s="1"/>
  <c r="T442" i="3"/>
  <c r="U442" i="3" s="1"/>
  <c r="T446" i="3"/>
  <c r="U446" i="3" s="1"/>
  <c r="T511" i="3"/>
  <c r="U511" i="3" s="1"/>
  <c r="T535" i="3"/>
  <c r="U535" i="3" s="1"/>
  <c r="T481" i="3"/>
  <c r="U481" i="3" s="1"/>
  <c r="T478" i="3"/>
  <c r="U478" i="3" s="1"/>
  <c r="T475" i="3"/>
  <c r="U475" i="3" s="1"/>
  <c r="T430" i="3"/>
  <c r="U430" i="3" s="1"/>
  <c r="T489" i="3"/>
  <c r="U489" i="3" s="1"/>
  <c r="T488" i="3"/>
  <c r="U488" i="3" s="1"/>
  <c r="T544" i="3"/>
  <c r="U544" i="3" s="1"/>
  <c r="T494" i="3"/>
  <c r="U494" i="3" s="1"/>
  <c r="T492" i="3"/>
  <c r="U492" i="3" s="1"/>
  <c r="T536" i="3"/>
  <c r="U536" i="3" s="1"/>
  <c r="T521" i="3"/>
  <c r="U521" i="3" s="1"/>
  <c r="T508" i="3"/>
  <c r="U508" i="3" s="1"/>
  <c r="T448" i="3"/>
  <c r="U448" i="3" s="1"/>
  <c r="T432" i="3"/>
  <c r="U432" i="3" s="1"/>
  <c r="T476" i="3"/>
  <c r="U476" i="3" s="1"/>
  <c r="T454" i="3"/>
  <c r="U454" i="3" s="1"/>
  <c r="T512" i="3"/>
  <c r="U512" i="3" s="1"/>
  <c r="AJ10" i="3"/>
  <c r="T527" i="3"/>
  <c r="U527" i="3" s="1"/>
  <c r="T445" i="3"/>
  <c r="U445" i="3" s="1"/>
  <c r="T493" i="3"/>
  <c r="U493" i="3" s="1"/>
  <c r="T490" i="3"/>
  <c r="U490" i="3" s="1"/>
  <c r="T487" i="3"/>
  <c r="U487" i="3" s="1"/>
  <c r="T427" i="3"/>
  <c r="U427" i="3" s="1"/>
  <c r="T439" i="3"/>
  <c r="U439" i="3" s="1"/>
  <c r="T431" i="3"/>
  <c r="U431" i="3" s="1"/>
  <c r="T541" i="3"/>
  <c r="U541" i="3" s="1"/>
  <c r="T524" i="3"/>
  <c r="U524" i="3" s="1"/>
  <c r="T460" i="3"/>
  <c r="U460" i="3" s="1"/>
  <c r="T519" i="3"/>
  <c r="U519" i="3" s="1"/>
  <c r="T457" i="3"/>
  <c r="U457" i="3" s="1"/>
  <c r="T438" i="3" l="1"/>
  <c r="U438" i="3" s="1"/>
  <c r="T506" i="3"/>
  <c r="U506" i="3" s="1"/>
  <c r="T421" i="3"/>
  <c r="U421" i="3" s="1"/>
  <c r="T509" i="3"/>
  <c r="U509" i="3" s="1"/>
  <c r="T426" i="3"/>
  <c r="U426" i="3" s="1"/>
  <c r="T515" i="3"/>
  <c r="U515" i="3" s="1"/>
  <c r="T436" i="3"/>
  <c r="U436" i="3" s="1"/>
  <c r="T452" i="3"/>
  <c r="U452" i="3" s="1"/>
  <c r="T443" i="3"/>
  <c r="U443" i="3" s="1"/>
  <c r="T514" i="3"/>
  <c r="U514" i="3" s="1"/>
  <c r="T444" i="3"/>
  <c r="U444" i="3" s="1"/>
  <c r="T485" i="3"/>
  <c r="U485" i="3" s="1"/>
  <c r="T424" i="3"/>
  <c r="U424" i="3" s="1"/>
  <c r="T496" i="3"/>
  <c r="U496" i="3" s="1"/>
  <c r="T455" i="3"/>
  <c r="U455" i="3" s="1"/>
  <c r="T499" i="3"/>
  <c r="U499" i="3" s="1"/>
  <c r="T518" i="3"/>
  <c r="U518" i="3" s="1"/>
  <c r="T433" i="3"/>
  <c r="U433" i="3" s="1"/>
  <c r="T531" i="3"/>
  <c r="U531" i="3" s="1"/>
  <c r="T543" i="3"/>
  <c r="U543" i="3" s="1"/>
  <c r="T451" i="3"/>
  <c r="U451" i="3" s="1"/>
  <c r="T498" i="3"/>
  <c r="U498" i="3" s="1"/>
  <c r="T537" i="3"/>
  <c r="U537" i="3" s="1"/>
  <c r="T528" i="3"/>
  <c r="U528" i="3" s="1"/>
  <c r="T503" i="3"/>
  <c r="U503" i="3" s="1"/>
  <c r="T473" i="3"/>
  <c r="U473" i="3" s="1"/>
  <c r="T472" i="3"/>
  <c r="U472" i="3" s="1"/>
  <c r="T520" i="3"/>
  <c r="U520" i="3" s="1"/>
  <c r="T461" i="3"/>
  <c r="U461" i="3" s="1"/>
  <c r="T467" i="3"/>
  <c r="U467" i="3" s="1"/>
  <c r="T523" i="3"/>
  <c r="U523" i="3" s="1"/>
  <c r="T466" i="3"/>
  <c r="U466" i="3" s="1"/>
  <c r="T450" i="3"/>
  <c r="U450" i="3" s="1"/>
  <c r="T529" i="3"/>
  <c r="U529" i="3" s="1"/>
  <c r="T534" i="3"/>
  <c r="U534" i="3" s="1"/>
  <c r="T456" i="3"/>
  <c r="U456" i="3" s="1"/>
  <c r="T429" i="3"/>
  <c r="U429" i="3" s="1"/>
  <c r="T545" i="3"/>
  <c r="U545" i="3" s="1"/>
  <c r="T502" i="3"/>
  <c r="U502" i="3" s="1"/>
  <c r="T458" i="3"/>
  <c r="U458" i="3" s="1"/>
  <c r="T501" i="3"/>
  <c r="U501" i="3" s="1"/>
  <c r="T464" i="3"/>
  <c r="U464" i="3" s="1"/>
  <c r="T462" i="3"/>
  <c r="U462" i="3" s="1"/>
  <c r="T540" i="3"/>
  <c r="U540" i="3" s="1"/>
  <c r="T440" i="3"/>
  <c r="U440" i="3" s="1"/>
  <c r="T425" i="3"/>
  <c r="U425" i="3" s="1"/>
  <c r="AI10" i="3"/>
  <c r="AI15" i="3"/>
  <c r="T474" i="3"/>
  <c r="U474" i="3" s="1"/>
  <c r="T468" i="3"/>
  <c r="U468" i="3" s="1"/>
  <c r="T526" i="3"/>
  <c r="U526" i="3" s="1"/>
  <c r="T419" i="3"/>
  <c r="U419" i="3" s="1"/>
  <c r="T471" i="3"/>
  <c r="U471" i="3" s="1"/>
  <c r="T532" i="3"/>
  <c r="U532" i="3" s="1"/>
  <c r="T516" i="3"/>
  <c r="U516" i="3" s="1"/>
  <c r="T525" i="3"/>
  <c r="U525" i="3" s="1"/>
  <c r="T539" i="3"/>
  <c r="U539" i="3" s="1"/>
  <c r="T469" i="3"/>
  <c r="U469" i="3" s="1"/>
  <c r="T434" i="3"/>
  <c r="U434" i="3" s="1"/>
  <c r="T470" i="3"/>
  <c r="U470" i="3" s="1"/>
  <c r="T477" i="3"/>
  <c r="U477" i="3" s="1"/>
  <c r="T459" i="3"/>
  <c r="U459" i="3" s="1"/>
  <c r="T484" i="3"/>
  <c r="U484" i="3" s="1"/>
  <c r="T449" i="3"/>
  <c r="U449" i="3" s="1"/>
  <c r="T441" i="3"/>
  <c r="U441" i="3" s="1"/>
  <c r="AJ15" i="3"/>
  <c r="AI14" i="3"/>
  <c r="T530" i="3"/>
  <c r="U530" i="3" s="1"/>
  <c r="T447" i="3"/>
  <c r="U447" i="3" s="1"/>
  <c r="T453" i="3"/>
  <c r="U453" i="3" s="1"/>
  <c r="AJ14" i="3"/>
  <c r="T418" i="3"/>
  <c r="U418" i="3" s="1"/>
  <c r="T500" i="3"/>
  <c r="U500" i="3" s="1"/>
  <c r="T533" i="3"/>
  <c r="U533" i="3" s="1"/>
  <c r="T479" i="3"/>
  <c r="U479" i="3" s="1"/>
  <c r="T420" i="3"/>
  <c r="U420" i="3" s="1"/>
  <c r="T483" i="3"/>
  <c r="U483" i="3" s="1"/>
  <c r="T504" i="3"/>
  <c r="U504" i="3" s="1"/>
  <c r="T491" i="3"/>
  <c r="U491" i="3" s="1"/>
  <c r="T428" i="3"/>
  <c r="U428" i="3" s="1"/>
  <c r="T437" i="3"/>
  <c r="U437" i="3" s="1"/>
  <c r="T505" i="3"/>
  <c r="U505" i="3" s="1"/>
  <c r="T542" i="3"/>
  <c r="U542" i="3" s="1"/>
  <c r="T463" i="3"/>
  <c r="U463" i="3" s="1"/>
  <c r="T513" i="3"/>
  <c r="U513" i="3" s="1"/>
  <c r="T465" i="3"/>
  <c r="U465" i="3" s="1"/>
  <c r="T522" i="3"/>
  <c r="U522" i="3" s="1"/>
  <c r="AK10" i="3" l="1"/>
  <c r="AK15" i="3"/>
  <c r="AC434" i="3" s="1"/>
  <c r="AD434" i="3" s="1"/>
  <c r="AK14" i="3"/>
  <c r="Z454" i="3" s="1"/>
  <c r="AA454" i="3" s="1"/>
  <c r="Z15" i="3" l="1"/>
  <c r="AA15" i="3" s="1"/>
  <c r="Z185" i="3"/>
  <c r="AA185" i="3" s="1"/>
  <c r="Z450" i="3"/>
  <c r="AA450" i="3" s="1"/>
  <c r="Z80" i="3"/>
  <c r="AA80" i="3" s="1"/>
  <c r="AC408" i="3"/>
  <c r="AD408" i="3" s="1"/>
  <c r="AC406" i="3"/>
  <c r="AD406" i="3" s="1"/>
  <c r="AC300" i="3"/>
  <c r="AD300" i="3" s="1"/>
  <c r="AC299" i="3"/>
  <c r="AD299" i="3" s="1"/>
  <c r="AC403" i="3"/>
  <c r="AD403" i="3" s="1"/>
  <c r="AC401" i="3"/>
  <c r="AD401" i="3" s="1"/>
  <c r="AC356" i="3"/>
  <c r="AD356" i="3" s="1"/>
  <c r="AC351" i="3"/>
  <c r="AD351" i="3" s="1"/>
  <c r="Z278" i="3"/>
  <c r="AA278" i="3" s="1"/>
  <c r="AC349" i="3"/>
  <c r="AD349" i="3" s="1"/>
  <c r="Z37" i="3"/>
  <c r="AA37" i="3" s="1"/>
  <c r="AC347" i="3"/>
  <c r="AD347" i="3" s="1"/>
  <c r="Z385" i="3"/>
  <c r="AA385" i="3" s="1"/>
  <c r="Z507" i="3"/>
  <c r="AA507" i="3" s="1"/>
  <c r="Z275" i="3"/>
  <c r="AA275" i="3" s="1"/>
  <c r="AC338" i="3"/>
  <c r="AD338" i="3" s="1"/>
  <c r="AC163" i="3"/>
  <c r="AD163" i="3" s="1"/>
  <c r="AC251" i="3"/>
  <c r="AD251" i="3" s="1"/>
  <c r="Z537" i="3"/>
  <c r="AA537" i="3" s="1"/>
  <c r="Z179" i="3"/>
  <c r="AA179" i="3" s="1"/>
  <c r="AC358" i="3"/>
  <c r="AD358" i="3" s="1"/>
  <c r="AC353" i="3"/>
  <c r="AD353" i="3" s="1"/>
  <c r="AC354" i="3"/>
  <c r="AD354" i="3" s="1"/>
  <c r="Z194" i="3"/>
  <c r="AA194" i="3" s="1"/>
  <c r="AC352" i="3"/>
  <c r="AD352" i="3" s="1"/>
  <c r="Z192" i="3"/>
  <c r="AA192" i="3" s="1"/>
  <c r="Z36" i="3"/>
  <c r="AA36" i="3" s="1"/>
  <c r="AC506" i="3"/>
  <c r="AD506" i="3" s="1"/>
  <c r="Z383" i="3"/>
  <c r="AA383" i="3" s="1"/>
  <c r="AC165" i="3"/>
  <c r="AD165" i="3" s="1"/>
  <c r="AC497" i="3"/>
  <c r="AD497" i="3" s="1"/>
  <c r="Z189" i="3"/>
  <c r="AA189" i="3" s="1"/>
  <c r="AC34" i="3"/>
  <c r="AD34" i="3" s="1"/>
  <c r="AC443" i="3"/>
  <c r="AD443" i="3" s="1"/>
  <c r="Z186" i="3"/>
  <c r="AA186" i="3" s="1"/>
  <c r="Z486" i="3"/>
  <c r="AA486" i="3" s="1"/>
  <c r="AC25" i="3"/>
  <c r="AD25" i="3" s="1"/>
  <c r="AC312" i="3"/>
  <c r="AD312" i="3" s="1"/>
  <c r="AC435" i="3"/>
  <c r="AD435" i="3" s="1"/>
  <c r="AC150" i="3"/>
  <c r="AD150" i="3" s="1"/>
  <c r="Z430" i="3"/>
  <c r="AA430" i="3" s="1"/>
  <c r="AC294" i="3"/>
  <c r="AD294" i="3" s="1"/>
  <c r="Z41" i="3"/>
  <c r="AA41" i="3" s="1"/>
  <c r="AC289" i="3"/>
  <c r="AD289" i="3" s="1"/>
  <c r="Z512" i="3"/>
  <c r="AA512" i="3" s="1"/>
  <c r="AC277" i="3"/>
  <c r="AD277" i="3" s="1"/>
  <c r="Z135" i="3"/>
  <c r="AA135" i="3" s="1"/>
  <c r="AC273" i="3"/>
  <c r="AD273" i="3" s="1"/>
  <c r="Z132" i="3"/>
  <c r="AA132" i="3" s="1"/>
  <c r="AC321" i="3"/>
  <c r="AD321" i="3" s="1"/>
  <c r="AC185" i="3"/>
  <c r="AD185" i="3" s="1"/>
  <c r="Z505" i="3"/>
  <c r="AA505" i="3" s="1"/>
  <c r="AC320" i="3"/>
  <c r="AD320" i="3" s="1"/>
  <c r="AC182" i="3"/>
  <c r="AD182" i="3" s="1"/>
  <c r="Z128" i="3"/>
  <c r="AA128" i="3" s="1"/>
  <c r="AC313" i="3"/>
  <c r="AD313" i="3" s="1"/>
  <c r="AC154" i="3"/>
  <c r="AD154" i="3" s="1"/>
  <c r="Z375" i="3"/>
  <c r="AA375" i="3" s="1"/>
  <c r="Z83" i="3"/>
  <c r="AA83" i="3" s="1"/>
  <c r="AC410" i="3"/>
  <c r="AD410" i="3" s="1"/>
  <c r="AC301" i="3"/>
  <c r="AD301" i="3" s="1"/>
  <c r="AC405" i="3"/>
  <c r="AD405" i="3" s="1"/>
  <c r="AC149" i="3"/>
  <c r="AD149" i="3" s="1"/>
  <c r="Z182" i="3"/>
  <c r="AA182" i="3" s="1"/>
  <c r="Z269" i="3"/>
  <c r="AA269" i="3" s="1"/>
  <c r="Z523" i="3"/>
  <c r="AA523" i="3" s="1"/>
  <c r="Z87" i="3"/>
  <c r="AA87" i="3" s="1"/>
  <c r="Z11" i="3"/>
  <c r="AA11" i="3" s="1"/>
  <c r="Z459" i="3"/>
  <c r="AA459" i="3" s="1"/>
  <c r="AC350" i="3"/>
  <c r="AD350" i="3" s="1"/>
  <c r="AC285" i="3"/>
  <c r="AD285" i="3" s="1"/>
  <c r="AC357" i="3"/>
  <c r="AD357" i="3" s="1"/>
  <c r="AC470" i="3"/>
  <c r="AD470" i="3" s="1"/>
  <c r="Z7" i="3"/>
  <c r="AA7" i="3" s="1"/>
  <c r="AC190" i="3"/>
  <c r="AD190" i="3" s="1"/>
  <c r="AC348" i="3"/>
  <c r="AD348" i="3" s="1"/>
  <c r="AC281" i="3"/>
  <c r="AD281" i="3" s="1"/>
  <c r="AC355" i="3"/>
  <c r="AD355" i="3" s="1"/>
  <c r="AC283" i="3"/>
  <c r="AD283" i="3" s="1"/>
  <c r="AC395" i="3"/>
  <c r="AD395" i="3" s="1"/>
  <c r="AC402" i="3"/>
  <c r="AD402" i="3" s="1"/>
  <c r="AC298" i="3"/>
  <c r="AD298" i="3" s="1"/>
  <c r="AC399" i="3"/>
  <c r="AD399" i="3" s="1"/>
  <c r="AC465" i="3"/>
  <c r="AD465" i="3" s="1"/>
  <c r="AC398" i="3"/>
  <c r="AD398" i="3" s="1"/>
  <c r="AC297" i="3"/>
  <c r="AD297" i="3" s="1"/>
  <c r="AC397" i="3"/>
  <c r="AD397" i="3" s="1"/>
  <c r="AC464" i="3"/>
  <c r="AD464" i="3" s="1"/>
  <c r="AC396" i="3"/>
  <c r="AD396" i="3" s="1"/>
  <c r="AC296" i="3"/>
  <c r="AD296" i="3" s="1"/>
  <c r="AC197" i="3"/>
  <c r="AD197" i="3" s="1"/>
  <c r="AC500" i="3"/>
  <c r="AD500" i="3" s="1"/>
  <c r="AC382" i="3"/>
  <c r="AD382" i="3" s="1"/>
  <c r="AC323" i="3"/>
  <c r="AD323" i="3" s="1"/>
  <c r="AC510" i="3"/>
  <c r="AD510" i="3" s="1"/>
  <c r="AC10" i="3"/>
  <c r="AD10" i="3" s="1"/>
  <c r="AC381" i="3"/>
  <c r="AD381" i="3" s="1"/>
  <c r="AC191" i="3"/>
  <c r="AD191" i="3" s="1"/>
  <c r="AC511" i="3"/>
  <c r="AD511" i="3" s="1"/>
  <c r="AC337" i="3"/>
  <c r="AD337" i="3" s="1"/>
  <c r="AC151" i="3"/>
  <c r="AD151" i="3" s="1"/>
  <c r="AC248" i="3"/>
  <c r="AD248" i="3" s="1"/>
  <c r="AC72" i="3"/>
  <c r="AD72" i="3" s="1"/>
  <c r="AC325" i="3"/>
  <c r="AD325" i="3" s="1"/>
  <c r="AC30" i="3"/>
  <c r="AD30" i="3" s="1"/>
  <c r="AC199" i="3"/>
  <c r="AD199" i="3" s="1"/>
  <c r="AC18" i="3"/>
  <c r="AD18" i="3" s="1"/>
  <c r="AC324" i="3"/>
  <c r="AD324" i="3" s="1"/>
  <c r="AC22" i="3"/>
  <c r="AD22" i="3" s="1"/>
  <c r="AC279" i="3"/>
  <c r="AD279" i="3" s="1"/>
  <c r="AC492" i="3"/>
  <c r="AD492" i="3" s="1"/>
  <c r="AC380" i="3"/>
  <c r="AD380" i="3" s="1"/>
  <c r="AC322" i="3"/>
  <c r="AD322" i="3" s="1"/>
  <c r="AC483" i="3"/>
  <c r="AD483" i="3" s="1"/>
  <c r="AC5" i="3"/>
  <c r="AD5" i="3" s="1"/>
  <c r="AC379" i="3"/>
  <c r="AD379" i="3" s="1"/>
  <c r="AC188" i="3"/>
  <c r="AD188" i="3" s="1"/>
  <c r="AC446" i="3"/>
  <c r="AD446" i="3" s="1"/>
  <c r="Z24" i="3"/>
  <c r="AA24" i="3" s="1"/>
  <c r="Z282" i="3"/>
  <c r="AA282" i="3" s="1"/>
  <c r="Z69" i="3"/>
  <c r="AA69" i="3" s="1"/>
  <c r="Z464" i="3"/>
  <c r="AA464" i="3" s="1"/>
  <c r="Z488" i="3"/>
  <c r="AA488" i="3" s="1"/>
  <c r="Z517" i="3"/>
  <c r="AA517" i="3" s="1"/>
  <c r="Z540" i="3"/>
  <c r="AA540" i="3" s="1"/>
  <c r="Z188" i="3"/>
  <c r="AA188" i="3" s="1"/>
  <c r="Z180" i="3"/>
  <c r="AA180" i="3" s="1"/>
  <c r="Z196" i="3"/>
  <c r="AA196" i="3" s="1"/>
  <c r="Z377" i="3"/>
  <c r="AA377" i="3" s="1"/>
  <c r="Z530" i="3"/>
  <c r="AA530" i="3" s="1"/>
  <c r="Z73" i="3"/>
  <c r="AA73" i="3" s="1"/>
  <c r="Z119" i="3"/>
  <c r="AA119" i="3" s="1"/>
  <c r="Z545" i="3"/>
  <c r="AA545" i="3" s="1"/>
  <c r="Z379" i="3"/>
  <c r="AA379" i="3" s="1"/>
  <c r="Z27" i="3"/>
  <c r="AA27" i="3" s="1"/>
  <c r="Z438" i="3"/>
  <c r="AA438" i="3" s="1"/>
  <c r="Z499" i="3"/>
  <c r="AA499" i="3" s="1"/>
  <c r="Z172" i="3"/>
  <c r="AA172" i="3" s="1"/>
  <c r="Z183" i="3"/>
  <c r="AA183" i="3" s="1"/>
  <c r="Z8" i="3"/>
  <c r="AA8" i="3" s="1"/>
  <c r="Z53" i="3"/>
  <c r="AA53" i="3" s="1"/>
  <c r="Z100" i="3"/>
  <c r="AA100" i="3" s="1"/>
  <c r="Z525" i="3"/>
  <c r="AA525" i="3" s="1"/>
  <c r="Z28" i="3"/>
  <c r="AA28" i="3" s="1"/>
  <c r="Z543" i="3"/>
  <c r="AA543" i="3" s="1"/>
  <c r="Z526" i="3"/>
  <c r="AA526" i="3" s="1"/>
  <c r="Z45" i="3"/>
  <c r="AA45" i="3" s="1"/>
  <c r="Z434" i="3"/>
  <c r="AA434" i="3" s="1"/>
  <c r="Z91" i="3"/>
  <c r="AA91" i="3" s="1"/>
  <c r="Z115" i="3"/>
  <c r="AA115" i="3" s="1"/>
  <c r="Z142" i="3"/>
  <c r="AA142" i="3" s="1"/>
  <c r="Z168" i="3"/>
  <c r="AA168" i="3" s="1"/>
  <c r="Z19" i="3"/>
  <c r="AA19" i="3" s="1"/>
  <c r="Z389" i="3"/>
  <c r="AA389" i="3" s="1"/>
  <c r="Z6" i="3"/>
  <c r="AA6" i="3" s="1"/>
  <c r="Z49" i="3"/>
  <c r="AA49" i="3" s="1"/>
  <c r="Z465" i="3"/>
  <c r="AA465" i="3" s="1"/>
  <c r="Z521" i="3"/>
  <c r="AA521" i="3" s="1"/>
  <c r="Z23" i="3"/>
  <c r="AA23" i="3" s="1"/>
  <c r="Z201" i="3"/>
  <c r="AA201" i="3" s="1"/>
  <c r="Z485" i="3"/>
  <c r="AA485" i="3" s="1"/>
  <c r="Z288" i="3"/>
  <c r="AA288" i="3" s="1"/>
  <c r="Z95" i="3"/>
  <c r="AA95" i="3" s="1"/>
  <c r="Z146" i="3"/>
  <c r="AA146" i="3" s="1"/>
  <c r="Z191" i="3"/>
  <c r="AA191" i="3" s="1"/>
  <c r="Z391" i="3"/>
  <c r="AA391" i="3" s="1"/>
  <c r="Z265" i="3"/>
  <c r="AA265" i="3" s="1"/>
  <c r="Z446" i="3"/>
  <c r="AA446" i="3" s="1"/>
  <c r="Z123" i="3"/>
  <c r="AA123" i="3" s="1"/>
  <c r="Z3" i="3"/>
  <c r="AA3" i="3" s="1"/>
  <c r="Z489" i="3"/>
  <c r="AA489" i="3" s="1"/>
  <c r="Z31" i="3"/>
  <c r="AA31" i="3" s="1"/>
  <c r="Z291" i="3"/>
  <c r="AA291" i="3" s="1"/>
  <c r="Z76" i="3"/>
  <c r="AA76" i="3" s="1"/>
  <c r="Z470" i="3"/>
  <c r="AA470" i="3" s="1"/>
  <c r="Z502" i="3"/>
  <c r="AA502" i="3" s="1"/>
  <c r="Z150" i="3"/>
  <c r="AA150" i="3" s="1"/>
  <c r="Z176" i="3"/>
  <c r="AA176" i="3" s="1"/>
  <c r="Z197" i="3"/>
  <c r="AA197" i="3" s="1"/>
  <c r="Z381" i="3"/>
  <c r="AA381" i="3" s="1"/>
  <c r="Z205" i="3"/>
  <c r="AA205" i="3" s="1"/>
  <c r="Z175" i="3"/>
  <c r="AA175" i="3" s="1"/>
  <c r="Z161" i="3"/>
  <c r="AA161" i="3" s="1"/>
  <c r="Z111" i="3"/>
  <c r="AA111" i="3" s="1"/>
  <c r="Z65" i="3"/>
  <c r="AA65" i="3" s="1"/>
  <c r="Z20" i="3"/>
  <c r="AA20" i="3" s="1"/>
  <c r="Z171" i="3"/>
  <c r="AA171" i="3" s="1"/>
  <c r="Z295" i="3"/>
  <c r="AA295" i="3" s="1"/>
  <c r="AC14" i="3"/>
  <c r="AD14" i="3" s="1"/>
  <c r="AC336" i="3"/>
  <c r="AD336" i="3" s="1"/>
  <c r="AC143" i="3"/>
  <c r="AD143" i="3" s="1"/>
  <c r="AC377" i="3"/>
  <c r="AD377" i="3" s="1"/>
  <c r="AC146" i="3"/>
  <c r="AD146" i="3" s="1"/>
  <c r="Z373" i="3"/>
  <c r="AA373" i="3" s="1"/>
  <c r="Z16" i="3"/>
  <c r="AA16" i="3" s="1"/>
  <c r="AC495" i="3"/>
  <c r="AD495" i="3" s="1"/>
  <c r="AC376" i="3"/>
  <c r="AD376" i="3" s="1"/>
  <c r="AC335" i="3"/>
  <c r="AD335" i="3" s="1"/>
  <c r="AC310" i="3"/>
  <c r="AD310" i="3" s="1"/>
  <c r="AC473" i="3"/>
  <c r="AD473" i="3" s="1"/>
  <c r="AC130" i="3"/>
  <c r="AD130" i="3" s="1"/>
  <c r="AC422" i="3"/>
  <c r="AD422" i="3" s="1"/>
  <c r="AC375" i="3"/>
  <c r="AD375" i="3" s="1"/>
  <c r="AC238" i="3"/>
  <c r="AD238" i="3" s="1"/>
  <c r="AC142" i="3"/>
  <c r="AD142" i="3" s="1"/>
  <c r="AC438" i="3"/>
  <c r="AD438" i="3" s="1"/>
  <c r="Z533" i="3"/>
  <c r="AA533" i="3" s="1"/>
  <c r="AC311" i="3"/>
  <c r="AD311" i="3" s="1"/>
  <c r="AC309" i="3"/>
  <c r="AD309" i="3" s="1"/>
  <c r="AC373" i="3"/>
  <c r="AD373" i="3" s="1"/>
  <c r="AC135" i="3"/>
  <c r="AD135" i="3" s="1"/>
  <c r="AC261" i="3"/>
  <c r="AD261" i="3" s="1"/>
  <c r="AC276" i="3"/>
  <c r="AD276" i="3" s="1"/>
  <c r="AC327" i="3"/>
  <c r="AD327" i="3" s="1"/>
  <c r="AC157" i="3"/>
  <c r="AD157" i="3" s="1"/>
  <c r="AC203" i="3"/>
  <c r="AD203" i="3" s="1"/>
  <c r="AC256" i="3"/>
  <c r="AD256" i="3" s="1"/>
  <c r="AC359" i="3"/>
  <c r="AD359" i="3" s="1"/>
  <c r="AC383" i="3"/>
  <c r="AD383" i="3" s="1"/>
  <c r="AC407" i="3"/>
  <c r="AD407" i="3" s="1"/>
  <c r="AC451" i="3"/>
  <c r="AD451" i="3" s="1"/>
  <c r="AC44" i="3"/>
  <c r="AD44" i="3" s="1"/>
  <c r="AC173" i="3"/>
  <c r="AD173" i="3" s="1"/>
  <c r="AC428" i="3"/>
  <c r="AD428" i="3" s="1"/>
  <c r="AC515" i="3"/>
  <c r="AD515" i="3" s="1"/>
  <c r="AC302" i="3"/>
  <c r="AD302" i="3" s="1"/>
  <c r="AC314" i="3"/>
  <c r="AD314" i="3" s="1"/>
  <c r="AC326" i="3"/>
  <c r="AD326" i="3" s="1"/>
  <c r="AC339" i="3"/>
  <c r="AD339" i="3" s="1"/>
  <c r="AC360" i="3"/>
  <c r="AD360" i="3" s="1"/>
  <c r="AC384" i="3"/>
  <c r="AD384" i="3" s="1"/>
  <c r="AC412" i="3"/>
  <c r="AD412" i="3" s="1"/>
  <c r="AC48" i="3"/>
  <c r="AD48" i="3" s="1"/>
  <c r="AC102" i="3"/>
  <c r="AD102" i="3" s="1"/>
  <c r="AC264" i="3"/>
  <c r="AD264" i="3" s="1"/>
  <c r="AC63" i="3"/>
  <c r="AD63" i="3" s="1"/>
  <c r="AC304" i="3"/>
  <c r="AD304" i="3" s="1"/>
  <c r="AC341" i="3"/>
  <c r="AD341" i="3" s="1"/>
  <c r="AC388" i="3"/>
  <c r="AD388" i="3" s="1"/>
  <c r="AC68" i="3"/>
  <c r="AD68" i="3" s="1"/>
  <c r="AC295" i="3"/>
  <c r="AD295" i="3" s="1"/>
  <c r="AC119" i="3"/>
  <c r="AD119" i="3" s="1"/>
  <c r="AC172" i="3"/>
  <c r="AD172" i="3" s="1"/>
  <c r="AC267" i="3"/>
  <c r="AD267" i="3" s="1"/>
  <c r="AC389" i="3"/>
  <c r="AD389" i="3" s="1"/>
  <c r="AC482" i="3"/>
  <c r="AD482" i="3" s="1"/>
  <c r="AC204" i="3"/>
  <c r="AD204" i="3" s="1"/>
  <c r="AC531" i="3"/>
  <c r="AD531" i="3" s="1"/>
  <c r="AC317" i="3"/>
  <c r="AD317" i="3" s="1"/>
  <c r="AC342" i="3"/>
  <c r="AD342" i="3" s="1"/>
  <c r="AC390" i="3"/>
  <c r="AD390" i="3" s="1"/>
  <c r="AC112" i="3"/>
  <c r="AD112" i="3" s="1"/>
  <c r="AC141" i="3"/>
  <c r="AD141" i="3" s="1"/>
  <c r="AC123" i="3"/>
  <c r="AD123" i="3" s="1"/>
  <c r="AC222" i="3"/>
  <c r="AD222" i="3" s="1"/>
  <c r="AC367" i="3"/>
  <c r="AD367" i="3" s="1"/>
  <c r="AC415" i="3"/>
  <c r="AD415" i="3" s="1"/>
  <c r="AC84" i="3"/>
  <c r="AD84" i="3" s="1"/>
  <c r="AC453" i="3"/>
  <c r="AD453" i="3" s="1"/>
  <c r="AC306" i="3"/>
  <c r="AD306" i="3" s="1"/>
  <c r="AC331" i="3"/>
  <c r="AD331" i="3" s="1"/>
  <c r="AC368" i="3"/>
  <c r="AD368" i="3" s="1"/>
  <c r="AC439" i="3"/>
  <c r="AD439" i="3" s="1"/>
  <c r="AC293" i="3"/>
  <c r="AD293" i="3" s="1"/>
  <c r="AC450" i="3"/>
  <c r="AD450" i="3" s="1"/>
  <c r="AC472" i="3"/>
  <c r="AD472" i="3" s="1"/>
  <c r="AC161" i="3"/>
  <c r="AD161" i="3" s="1"/>
  <c r="AC209" i="3"/>
  <c r="AD209" i="3" s="1"/>
  <c r="AC260" i="3"/>
  <c r="AD260" i="3" s="1"/>
  <c r="AC361" i="3"/>
  <c r="AD361" i="3" s="1"/>
  <c r="AC385" i="3"/>
  <c r="AD385" i="3" s="1"/>
  <c r="AC409" i="3"/>
  <c r="AD409" i="3" s="1"/>
  <c r="AC461" i="3"/>
  <c r="AD461" i="3" s="1"/>
  <c r="AC52" i="3"/>
  <c r="AD52" i="3" s="1"/>
  <c r="AC181" i="3"/>
  <c r="AD181" i="3" s="1"/>
  <c r="AC433" i="3"/>
  <c r="AD433" i="3" s="1"/>
  <c r="AC522" i="3"/>
  <c r="AD522" i="3" s="1"/>
  <c r="AC303" i="3"/>
  <c r="AD303" i="3" s="1"/>
  <c r="AC315" i="3"/>
  <c r="AD315" i="3" s="1"/>
  <c r="AC328" i="3"/>
  <c r="AD328" i="3" s="1"/>
  <c r="AC340" i="3"/>
  <c r="AD340" i="3" s="1"/>
  <c r="AC362" i="3"/>
  <c r="AD362" i="3" s="1"/>
  <c r="AC386" i="3"/>
  <c r="AD386" i="3" s="1"/>
  <c r="AC417" i="3"/>
  <c r="AD417" i="3" s="1"/>
  <c r="AC61" i="3"/>
  <c r="AD61" i="3" s="1"/>
  <c r="AC454" i="3"/>
  <c r="AD454" i="3" s="1"/>
  <c r="AC476" i="3"/>
  <c r="AD476" i="3" s="1"/>
  <c r="AC168" i="3"/>
  <c r="AD168" i="3" s="1"/>
  <c r="AC213" i="3"/>
  <c r="AD213" i="3" s="1"/>
  <c r="AC263" i="3"/>
  <c r="AD263" i="3" s="1"/>
  <c r="AC363" i="3"/>
  <c r="AD363" i="3" s="1"/>
  <c r="AC387" i="3"/>
  <c r="AD387" i="3" s="1"/>
  <c r="AC411" i="3"/>
  <c r="AD411" i="3" s="1"/>
  <c r="AC474" i="3"/>
  <c r="AD474" i="3" s="1"/>
  <c r="AC193" i="3"/>
  <c r="AD193" i="3" s="1"/>
  <c r="AC442" i="3"/>
  <c r="AD442" i="3" s="1"/>
  <c r="AC528" i="3"/>
  <c r="AD528" i="3" s="1"/>
  <c r="AC316" i="3"/>
  <c r="AD316" i="3" s="1"/>
  <c r="AC329" i="3"/>
  <c r="AD329" i="3" s="1"/>
  <c r="AC364" i="3"/>
  <c r="AD364" i="3" s="1"/>
  <c r="AC423" i="3"/>
  <c r="AD423" i="3" s="1"/>
  <c r="AC145" i="3"/>
  <c r="AD145" i="3" s="1"/>
  <c r="AC216" i="3"/>
  <c r="AD216" i="3" s="1"/>
  <c r="AC365" i="3"/>
  <c r="AD365" i="3" s="1"/>
  <c r="AC413" i="3"/>
  <c r="AD413" i="3" s="1"/>
  <c r="AC77" i="3"/>
  <c r="AD77" i="3" s="1"/>
  <c r="AC447" i="3"/>
  <c r="AD447" i="3" s="1"/>
  <c r="AC305" i="3"/>
  <c r="AD305" i="3" s="1"/>
  <c r="AC330" i="3"/>
  <c r="AD330" i="3" s="1"/>
  <c r="AC366" i="3"/>
  <c r="AD366" i="3" s="1"/>
  <c r="AC429" i="3"/>
  <c r="AD429" i="3" s="1"/>
  <c r="AC524" i="3"/>
  <c r="AD524" i="3" s="1"/>
  <c r="AC176" i="3"/>
  <c r="AD176" i="3" s="1"/>
  <c r="AC343" i="3"/>
  <c r="AD343" i="3" s="1"/>
  <c r="AC391" i="3"/>
  <c r="AD391" i="3" s="1"/>
  <c r="AC490" i="3"/>
  <c r="AD490" i="3" s="1"/>
  <c r="AC215" i="3"/>
  <c r="AD215" i="3" s="1"/>
  <c r="AC535" i="3"/>
  <c r="AD535" i="3" s="1"/>
  <c r="AC318" i="3"/>
  <c r="AD318" i="3" s="1"/>
  <c r="AC344" i="3"/>
  <c r="AD344" i="3" s="1"/>
  <c r="AC392" i="3"/>
  <c r="AD392" i="3" s="1"/>
  <c r="AC134" i="3"/>
  <c r="AD134" i="3" s="1"/>
  <c r="AC430" i="3"/>
  <c r="AD430" i="3" s="1"/>
  <c r="AC459" i="3"/>
  <c r="AD459" i="3" s="1"/>
  <c r="AC128" i="3"/>
  <c r="AD128" i="3" s="1"/>
  <c r="AC179" i="3"/>
  <c r="AD179" i="3" s="1"/>
  <c r="AC225" i="3"/>
  <c r="AD225" i="3" s="1"/>
  <c r="AC345" i="3"/>
  <c r="AD345" i="3" s="1"/>
  <c r="AC369" i="3"/>
  <c r="AD369" i="3" s="1"/>
  <c r="AC393" i="3"/>
  <c r="AD393" i="3" s="1"/>
  <c r="AC418" i="3"/>
  <c r="AD418" i="3" s="1"/>
  <c r="AC493" i="3"/>
  <c r="AD493" i="3" s="1"/>
  <c r="AC94" i="3"/>
  <c r="AD94" i="3" s="1"/>
  <c r="AC272" i="3"/>
  <c r="AD272" i="3" s="1"/>
  <c r="AC458" i="3"/>
  <c r="AD458" i="3" s="1"/>
  <c r="AC541" i="3"/>
  <c r="AD541" i="3" s="1"/>
  <c r="AC307" i="3"/>
  <c r="AD307" i="3" s="1"/>
  <c r="AC319" i="3"/>
  <c r="AD319" i="3" s="1"/>
  <c r="AC332" i="3"/>
  <c r="AD332" i="3" s="1"/>
  <c r="AC346" i="3"/>
  <c r="AD346" i="3" s="1"/>
  <c r="AC370" i="3"/>
  <c r="AD370" i="3" s="1"/>
  <c r="AC394" i="3"/>
  <c r="AD394" i="3" s="1"/>
  <c r="AC448" i="3"/>
  <c r="AD448" i="3" s="1"/>
  <c r="AC159" i="3"/>
  <c r="AD159" i="3" s="1"/>
  <c r="Z481" i="3"/>
  <c r="AA481" i="3" s="1"/>
  <c r="Z516" i="3"/>
  <c r="AA516" i="3" s="1"/>
  <c r="AC378" i="3"/>
  <c r="AD378" i="3" s="1"/>
  <c r="AC479" i="3"/>
  <c r="AD479" i="3" s="1"/>
  <c r="AC425" i="3"/>
  <c r="AD425" i="3" s="1"/>
  <c r="AC243" i="3"/>
  <c r="AD243" i="3" s="1"/>
  <c r="AC271" i="3"/>
  <c r="AD271" i="3" s="1"/>
  <c r="Z157" i="3"/>
  <c r="AA157" i="3" s="1"/>
  <c r="Z107" i="3"/>
  <c r="AA107" i="3" s="1"/>
  <c r="Z59" i="3"/>
  <c r="AA59" i="3" s="1"/>
  <c r="Z393" i="3"/>
  <c r="AA393" i="3" s="1"/>
  <c r="Z199" i="3"/>
  <c r="AA199" i="3" s="1"/>
  <c r="Z154" i="3"/>
  <c r="AA154" i="3" s="1"/>
  <c r="Z476" i="3"/>
  <c r="AA476" i="3" s="1"/>
  <c r="Z293" i="3"/>
  <c r="AA293" i="3" s="1"/>
  <c r="Z509" i="3"/>
  <c r="AA509" i="3" s="1"/>
  <c r="AC477" i="3"/>
  <c r="AD477" i="3" s="1"/>
  <c r="AC374" i="3"/>
  <c r="AD374" i="3" s="1"/>
  <c r="AC334" i="3"/>
  <c r="AD334" i="3" s="1"/>
  <c r="AC468" i="3"/>
  <c r="AD468" i="3" s="1"/>
  <c r="AC116" i="3"/>
  <c r="AD116" i="3" s="1"/>
  <c r="AC420" i="3"/>
  <c r="AD420" i="3" s="1"/>
  <c r="AC234" i="3"/>
  <c r="AD234" i="3" s="1"/>
  <c r="Z387" i="3"/>
  <c r="AA387" i="3" s="1"/>
  <c r="Z32" i="3"/>
  <c r="AA32" i="3" s="1"/>
  <c r="Z529" i="3"/>
  <c r="AA529" i="3" s="1"/>
  <c r="Z103" i="3"/>
  <c r="AA103" i="3" s="1"/>
  <c r="Z57" i="3"/>
  <c r="AA57" i="3" s="1"/>
  <c r="Z12" i="3"/>
  <c r="AA12" i="3" s="1"/>
  <c r="AC456" i="3"/>
  <c r="AD456" i="3" s="1"/>
  <c r="AC372" i="3"/>
  <c r="AD372" i="3" s="1"/>
  <c r="AC333" i="3"/>
  <c r="AD333" i="3" s="1"/>
  <c r="AC308" i="3"/>
  <c r="AD308" i="3" s="1"/>
  <c r="AC463" i="3"/>
  <c r="AD463" i="3" s="1"/>
  <c r="AC108" i="3"/>
  <c r="AD108" i="3" s="1"/>
  <c r="AC419" i="3"/>
  <c r="AD419" i="3" s="1"/>
  <c r="AC371" i="3"/>
  <c r="AD371" i="3" s="1"/>
  <c r="AC230" i="3"/>
  <c r="AD230" i="3" s="1"/>
  <c r="AC132" i="3"/>
  <c r="AD132" i="3" s="1"/>
  <c r="AC268" i="3"/>
  <c r="AD268" i="3" s="1"/>
  <c r="AC120" i="3"/>
  <c r="AD120" i="3" s="1"/>
  <c r="AC155" i="3"/>
  <c r="AD155" i="3" s="1"/>
  <c r="AC86" i="3"/>
  <c r="AD86" i="3" s="1"/>
  <c r="AC55" i="3"/>
  <c r="AD55" i="3" s="1"/>
  <c r="AC39" i="3"/>
  <c r="AD39" i="3" s="1"/>
  <c r="AC519" i="3"/>
  <c r="AD519" i="3" s="1"/>
  <c r="AC484" i="3"/>
  <c r="AD484" i="3" s="1"/>
  <c r="AC416" i="3"/>
  <c r="AD416" i="3" s="1"/>
  <c r="AC219" i="3"/>
  <c r="AD219" i="3" s="1"/>
  <c r="AC212" i="3"/>
  <c r="AD212" i="3" s="1"/>
  <c r="AC198" i="3"/>
  <c r="AD198" i="3" s="1"/>
  <c r="AC177" i="3"/>
  <c r="AD177" i="3" s="1"/>
  <c r="AC147" i="3"/>
  <c r="AD147" i="3" s="1"/>
  <c r="AC126" i="3"/>
  <c r="AD126" i="3" s="1"/>
  <c r="AC169" i="3"/>
  <c r="AD169" i="3" s="1"/>
  <c r="AC98" i="3"/>
  <c r="AD98" i="3" s="1"/>
  <c r="AC90" i="3"/>
  <c r="AD90" i="3" s="1"/>
  <c r="AC122" i="3"/>
  <c r="AD122" i="3" s="1"/>
  <c r="AC184" i="3"/>
  <c r="AD184" i="3" s="1"/>
  <c r="AC223" i="3"/>
  <c r="AD223" i="3" s="1"/>
  <c r="AC110" i="3"/>
  <c r="AD110" i="3" s="1"/>
  <c r="AC252" i="3"/>
  <c r="AD252" i="3" s="1"/>
  <c r="AC113" i="3"/>
  <c r="AD113" i="3" s="1"/>
  <c r="AC117" i="3"/>
  <c r="AD117" i="3" s="1"/>
  <c r="AC227" i="3"/>
  <c r="AD227" i="3" s="1"/>
  <c r="AC121" i="3"/>
  <c r="AD121" i="3" s="1"/>
  <c r="AC508" i="3"/>
  <c r="AD508" i="3" s="1"/>
  <c r="AC478" i="3"/>
  <c r="AD478" i="3" s="1"/>
  <c r="AC232" i="3"/>
  <c r="AD232" i="3" s="1"/>
  <c r="AC480" i="3"/>
  <c r="AD480" i="3" s="1"/>
  <c r="AC124" i="3"/>
  <c r="AD124" i="3" s="1"/>
  <c r="AC254" i="3"/>
  <c r="AD254" i="3" s="1"/>
  <c r="AC485" i="3"/>
  <c r="AD485" i="3" s="1"/>
  <c r="AC489" i="3"/>
  <c r="AD489" i="3" s="1"/>
  <c r="AC236" i="3"/>
  <c r="AD236" i="3" s="1"/>
  <c r="AC509" i="3"/>
  <c r="AD509" i="3" s="1"/>
  <c r="AC129" i="3"/>
  <c r="AD129" i="3" s="1"/>
  <c r="AC516" i="3"/>
  <c r="AD516" i="3" s="1"/>
  <c r="AC240" i="3"/>
  <c r="AD240" i="3" s="1"/>
  <c r="AC523" i="3"/>
  <c r="AD523" i="3" s="1"/>
  <c r="AC258" i="3"/>
  <c r="AD258" i="3" s="1"/>
  <c r="AC526" i="3"/>
  <c r="AD526" i="3" s="1"/>
  <c r="AC244" i="3"/>
  <c r="AD244" i="3" s="1"/>
  <c r="AC530" i="3"/>
  <c r="AD530" i="3" s="1"/>
  <c r="AC247" i="3"/>
  <c r="AD247" i="3" s="1"/>
  <c r="AC133" i="3"/>
  <c r="AD133" i="3" s="1"/>
  <c r="AC265" i="3"/>
  <c r="AD265" i="3" s="1"/>
  <c r="AC269" i="3"/>
  <c r="AD269" i="3" s="1"/>
  <c r="AC491" i="3"/>
  <c r="AD491" i="3" s="1"/>
  <c r="AC250" i="3"/>
  <c r="AD250" i="3" s="1"/>
  <c r="AC275" i="3"/>
  <c r="AD275" i="3" s="1"/>
  <c r="AC136" i="3"/>
  <c r="AD136" i="3" s="1"/>
  <c r="AC278" i="3"/>
  <c r="AD278" i="3" s="1"/>
  <c r="AC282" i="3"/>
  <c r="AD282" i="3" s="1"/>
  <c r="AC255" i="3"/>
  <c r="AD255" i="3" s="1"/>
  <c r="AC138" i="3"/>
  <c r="AD138" i="3" s="1"/>
  <c r="AC288" i="3"/>
  <c r="AD288" i="3" s="1"/>
  <c r="AC259" i="3"/>
  <c r="AD259" i="3" s="1"/>
  <c r="AC291" i="3"/>
  <c r="AD291" i="3" s="1"/>
  <c r="AC437" i="3"/>
  <c r="AD437" i="3" s="1"/>
  <c r="AC286" i="3"/>
  <c r="AD286" i="3" s="1"/>
  <c r="AC481" i="3"/>
  <c r="AD481" i="3" s="1"/>
  <c r="AC486" i="3"/>
  <c r="AD486" i="3" s="1"/>
  <c r="AC290" i="3"/>
  <c r="AD290" i="3" s="1"/>
  <c r="AC153" i="3"/>
  <c r="AD153" i="3" s="1"/>
  <c r="AC488" i="3"/>
  <c r="AD488" i="3" s="1"/>
  <c r="AC426" i="3"/>
  <c r="AD426" i="3" s="1"/>
  <c r="AC499" i="3"/>
  <c r="AD499" i="3" s="1"/>
  <c r="AC502" i="3"/>
  <c r="AD502" i="3" s="1"/>
  <c r="AC441" i="3"/>
  <c r="AD441" i="3" s="1"/>
  <c r="AC431" i="3"/>
  <c r="AD431" i="3" s="1"/>
  <c r="AC505" i="3"/>
  <c r="AD505" i="3" s="1"/>
  <c r="AC507" i="3"/>
  <c r="AD507" i="3" s="1"/>
  <c r="AC158" i="3"/>
  <c r="AD158" i="3" s="1"/>
  <c r="AC436" i="3"/>
  <c r="AD436" i="3" s="1"/>
  <c r="AC512" i="3"/>
  <c r="AD512" i="3" s="1"/>
  <c r="AC503" i="3"/>
  <c r="AD503" i="3" s="1"/>
  <c r="AC517" i="3"/>
  <c r="AD517" i="3" s="1"/>
  <c r="AC521" i="3"/>
  <c r="AD521" i="3" s="1"/>
  <c r="AC162" i="3"/>
  <c r="AD162" i="3" s="1"/>
  <c r="AC440" i="3"/>
  <c r="AD440" i="3" s="1"/>
  <c r="AC525" i="3"/>
  <c r="AD525" i="3" s="1"/>
  <c r="AC529" i="3"/>
  <c r="AD529" i="3" s="1"/>
  <c r="AC514" i="3"/>
  <c r="AD514" i="3" s="1"/>
  <c r="AC444" i="3"/>
  <c r="AD444" i="3" s="1"/>
  <c r="AC533" i="3"/>
  <c r="AD533" i="3" s="1"/>
  <c r="AC449" i="3"/>
  <c r="AD449" i="3" s="1"/>
  <c r="AC537" i="3"/>
  <c r="AD537" i="3" s="1"/>
  <c r="AC540" i="3"/>
  <c r="AD540" i="3" s="1"/>
  <c r="AC166" i="3"/>
  <c r="AD166" i="3" s="1"/>
  <c r="AC455" i="3"/>
  <c r="AD455" i="3" s="1"/>
  <c r="AC545" i="3"/>
  <c r="AD545" i="3" s="1"/>
  <c r="AC445" i="3"/>
  <c r="AD445" i="3" s="1"/>
  <c r="AC3" i="3"/>
  <c r="AD3" i="3" s="1"/>
  <c r="AC460" i="3"/>
  <c r="AD460" i="3" s="1"/>
  <c r="AC7" i="3"/>
  <c r="AD7" i="3" s="1"/>
  <c r="AC11" i="3"/>
  <c r="AD11" i="3" s="1"/>
  <c r="AC170" i="3"/>
  <c r="AD170" i="3" s="1"/>
  <c r="AC466" i="3"/>
  <c r="AD466" i="3" s="1"/>
  <c r="AC15" i="3"/>
  <c r="AD15" i="3" s="1"/>
  <c r="AC19" i="3"/>
  <c r="AD19" i="3" s="1"/>
  <c r="AC452" i="3"/>
  <c r="AD452" i="3" s="1"/>
  <c r="AC471" i="3"/>
  <c r="AD471" i="3" s="1"/>
  <c r="AC23" i="3"/>
  <c r="AD23" i="3" s="1"/>
  <c r="AC174" i="3"/>
  <c r="AD174" i="3" s="1"/>
  <c r="AC28" i="3"/>
  <c r="AD28" i="3" s="1"/>
  <c r="AC475" i="3"/>
  <c r="AD475" i="3" s="1"/>
  <c r="AC32" i="3"/>
  <c r="AD32" i="3" s="1"/>
  <c r="AC35" i="3"/>
  <c r="AD35" i="3" s="1"/>
  <c r="AC487" i="3"/>
  <c r="AD487" i="3" s="1"/>
  <c r="AC432" i="3"/>
  <c r="AD432" i="3" s="1"/>
  <c r="AC139" i="3"/>
  <c r="AD139" i="3" s="1"/>
  <c r="AC207" i="3"/>
  <c r="AD207" i="3" s="1"/>
  <c r="AC527" i="3"/>
  <c r="AD527" i="3" s="1"/>
  <c r="AC532" i="3"/>
  <c r="AD532" i="3" s="1"/>
  <c r="AC536" i="3"/>
  <c r="AD536" i="3" s="1"/>
  <c r="AC539" i="3"/>
  <c r="AD539" i="3" s="1"/>
  <c r="AC543" i="3"/>
  <c r="AD543" i="3" s="1"/>
  <c r="AC6" i="3"/>
  <c r="AD6" i="3" s="1"/>
  <c r="AC8" i="3"/>
  <c r="AD8" i="3" s="1"/>
  <c r="AC12" i="3"/>
  <c r="AD12" i="3" s="1"/>
  <c r="AC16" i="3"/>
  <c r="AD16" i="3" s="1"/>
  <c r="AC20" i="3"/>
  <c r="AD20" i="3" s="1"/>
  <c r="AC24" i="3"/>
  <c r="AD24" i="3" s="1"/>
  <c r="AC27" i="3"/>
  <c r="AD27" i="3" s="1"/>
  <c r="AC31" i="3"/>
  <c r="AD31" i="3" s="1"/>
  <c r="AC36" i="3"/>
  <c r="AD36" i="3" s="1"/>
  <c r="AC37" i="3"/>
  <c r="AD37" i="3" s="1"/>
  <c r="AC41" i="3"/>
  <c r="AD41" i="3" s="1"/>
  <c r="AC45" i="3"/>
  <c r="AD45" i="3" s="1"/>
  <c r="AC49" i="3"/>
  <c r="AD49" i="3" s="1"/>
  <c r="AC53" i="3"/>
  <c r="AD53" i="3" s="1"/>
  <c r="AC57" i="3"/>
  <c r="AD57" i="3" s="1"/>
  <c r="AC59" i="3"/>
  <c r="AD59" i="3" s="1"/>
  <c r="AC65" i="3"/>
  <c r="AD65" i="3" s="1"/>
  <c r="AC69" i="3"/>
  <c r="AD69" i="3" s="1"/>
  <c r="AC73" i="3"/>
  <c r="AD73" i="3" s="1"/>
  <c r="AC76" i="3"/>
  <c r="AD76" i="3" s="1"/>
  <c r="AC80" i="3"/>
  <c r="AD80" i="3" s="1"/>
  <c r="AC83" i="3"/>
  <c r="AD83" i="3" s="1"/>
  <c r="AC87" i="3"/>
  <c r="AD87" i="3" s="1"/>
  <c r="AC91" i="3"/>
  <c r="AD91" i="3" s="1"/>
  <c r="AC95" i="3"/>
  <c r="AD95" i="3" s="1"/>
  <c r="AC100" i="3"/>
  <c r="AD100" i="3" s="1"/>
  <c r="AC103" i="3"/>
  <c r="AD103" i="3" s="1"/>
  <c r="AC107" i="3"/>
  <c r="AD107" i="3" s="1"/>
  <c r="AC111" i="3"/>
  <c r="AD111" i="3" s="1"/>
  <c r="AC115" i="3"/>
  <c r="AD115" i="3" s="1"/>
  <c r="Z35" i="3"/>
  <c r="AA35" i="3" s="1"/>
  <c r="Z203" i="3"/>
  <c r="AA203" i="3" s="1"/>
  <c r="Z61" i="3"/>
  <c r="AA61" i="3" s="1"/>
  <c r="Z206" i="3"/>
  <c r="AA206" i="3" s="1"/>
  <c r="Z209" i="3"/>
  <c r="AA209" i="3" s="1"/>
  <c r="Z38" i="3"/>
  <c r="AA38" i="3" s="1"/>
  <c r="Z213" i="3"/>
  <c r="AA213" i="3" s="1"/>
  <c r="Z42" i="3"/>
  <c r="AA42" i="3" s="1"/>
  <c r="Z46" i="3"/>
  <c r="AA46" i="3" s="1"/>
  <c r="Z216" i="3"/>
  <c r="AA216" i="3" s="1"/>
  <c r="Z50" i="3"/>
  <c r="AA50" i="3" s="1"/>
  <c r="Z222" i="3"/>
  <c r="AA222" i="3" s="1"/>
  <c r="Z225" i="3"/>
  <c r="AA225" i="3" s="1"/>
  <c r="Z54" i="3"/>
  <c r="AA54" i="3" s="1"/>
  <c r="Z58" i="3"/>
  <c r="AA58" i="3" s="1"/>
  <c r="Z230" i="3"/>
  <c r="AA230" i="3" s="1"/>
  <c r="Z234" i="3"/>
  <c r="AA234" i="3" s="1"/>
  <c r="Z62" i="3"/>
  <c r="AA62" i="3" s="1"/>
  <c r="Z64" i="3"/>
  <c r="AA64" i="3" s="1"/>
  <c r="Z238" i="3"/>
  <c r="AA238" i="3" s="1"/>
  <c r="Z67" i="3"/>
  <c r="AA67" i="3" s="1"/>
  <c r="Z243" i="3"/>
  <c r="AA243" i="3" s="1"/>
  <c r="Z74" i="3"/>
  <c r="AA74" i="3" s="1"/>
  <c r="Z248" i="3"/>
  <c r="AA248" i="3" s="1"/>
  <c r="Z78" i="3"/>
  <c r="AA78" i="3" s="1"/>
  <c r="Z251" i="3"/>
  <c r="AA251" i="3" s="1"/>
  <c r="Z256" i="3"/>
  <c r="AA256" i="3" s="1"/>
  <c r="Z82" i="3"/>
  <c r="AA82" i="3" s="1"/>
  <c r="Z88" i="3"/>
  <c r="AA88" i="3" s="1"/>
  <c r="Z260" i="3"/>
  <c r="AA260" i="3" s="1"/>
  <c r="Z92" i="3"/>
  <c r="AA92" i="3" s="1"/>
  <c r="Z263" i="3"/>
  <c r="AA263" i="3" s="1"/>
  <c r="Z96" i="3"/>
  <c r="AA96" i="3" s="1"/>
  <c r="Z267" i="3"/>
  <c r="AA267" i="3" s="1"/>
  <c r="Z343" i="3"/>
  <c r="AA343" i="3" s="1"/>
  <c r="Z99" i="3"/>
  <c r="AA99" i="3" s="1"/>
  <c r="Z104" i="3"/>
  <c r="AA104" i="3" s="1"/>
  <c r="Z345" i="3"/>
  <c r="AA345" i="3" s="1"/>
  <c r="Z347" i="3"/>
  <c r="AA347" i="3" s="1"/>
  <c r="Z106" i="3"/>
  <c r="AA106" i="3" s="1"/>
  <c r="Z349" i="3"/>
  <c r="AA349" i="3" s="1"/>
  <c r="Z125" i="3"/>
  <c r="AA125" i="3" s="1"/>
  <c r="Z351" i="3"/>
  <c r="AA351" i="3" s="1"/>
  <c r="Z127" i="3"/>
  <c r="AA127" i="3" s="1"/>
  <c r="Z353" i="3"/>
  <c r="AA353" i="3" s="1"/>
  <c r="Z131" i="3"/>
  <c r="AA131" i="3" s="1"/>
  <c r="Z355" i="3"/>
  <c r="AA355" i="3" s="1"/>
  <c r="Z137" i="3"/>
  <c r="AA137" i="3" s="1"/>
  <c r="Z140" i="3"/>
  <c r="AA140" i="3" s="1"/>
  <c r="Z357" i="3"/>
  <c r="AA357" i="3" s="1"/>
  <c r="Z359" i="3"/>
  <c r="AA359" i="3" s="1"/>
  <c r="Z144" i="3"/>
  <c r="AA144" i="3" s="1"/>
  <c r="Z361" i="3"/>
  <c r="AA361" i="3" s="1"/>
  <c r="Z148" i="3"/>
  <c r="AA148" i="3" s="1"/>
  <c r="Z363" i="3"/>
  <c r="AA363" i="3" s="1"/>
  <c r="Z152" i="3"/>
  <c r="AA152" i="3" s="1"/>
  <c r="Z156" i="3"/>
  <c r="AA156" i="3" s="1"/>
  <c r="Z365" i="3"/>
  <c r="AA365" i="3" s="1"/>
  <c r="Z160" i="3"/>
  <c r="AA160" i="3" s="1"/>
  <c r="Z367" i="3"/>
  <c r="AA367" i="3" s="1"/>
  <c r="Z164" i="3"/>
  <c r="AA164" i="3" s="1"/>
  <c r="Z369" i="3"/>
  <c r="AA369" i="3" s="1"/>
  <c r="Z371" i="3"/>
  <c r="AA371" i="3" s="1"/>
  <c r="Z167" i="3"/>
  <c r="AA167" i="3" s="1"/>
  <c r="Z395" i="3"/>
  <c r="AA395" i="3" s="1"/>
  <c r="Z208" i="3"/>
  <c r="AA208" i="3" s="1"/>
  <c r="Z397" i="3"/>
  <c r="AA397" i="3" s="1"/>
  <c r="Z211" i="3"/>
  <c r="AA211" i="3" s="1"/>
  <c r="Z399" i="3"/>
  <c r="AA399" i="3" s="1"/>
  <c r="Z214" i="3"/>
  <c r="AA214" i="3" s="1"/>
  <c r="Z217" i="3"/>
  <c r="AA217" i="3" s="1"/>
  <c r="Z401" i="3"/>
  <c r="AA401" i="3" s="1"/>
  <c r="Z403" i="3"/>
  <c r="AA403" i="3" s="1"/>
  <c r="Z221" i="3"/>
  <c r="AA221" i="3" s="1"/>
  <c r="Z405" i="3"/>
  <c r="AA405" i="3" s="1"/>
  <c r="Z229" i="3"/>
  <c r="AA229" i="3" s="1"/>
  <c r="Z233" i="3"/>
  <c r="AA233" i="3" s="1"/>
  <c r="Z407" i="3"/>
  <c r="AA407" i="3" s="1"/>
  <c r="Z409" i="3"/>
  <c r="AA409" i="3" s="1"/>
  <c r="Z237" i="3"/>
  <c r="AA237" i="3" s="1"/>
  <c r="Z241" i="3"/>
  <c r="AA241" i="3" s="1"/>
  <c r="Z411" i="3"/>
  <c r="AA411" i="3" s="1"/>
  <c r="Z413" i="3"/>
  <c r="AA413" i="3" s="1"/>
  <c r="Z245" i="3"/>
  <c r="AA245" i="3" s="1"/>
  <c r="Z415" i="3"/>
  <c r="AA415" i="3" s="1"/>
  <c r="Z249" i="3"/>
  <c r="AA249" i="3" s="1"/>
  <c r="Z253" i="3"/>
  <c r="AA253" i="3" s="1"/>
  <c r="Z418" i="3"/>
  <c r="AA418" i="3" s="1"/>
  <c r="Z419" i="3"/>
  <c r="AA419" i="3" s="1"/>
  <c r="Z257" i="3"/>
  <c r="AA257" i="3" s="1"/>
  <c r="Z420" i="3"/>
  <c r="AA420" i="3" s="1"/>
  <c r="Z262" i="3"/>
  <c r="AA262" i="3" s="1"/>
  <c r="Z266" i="3"/>
  <c r="AA266" i="3" s="1"/>
  <c r="Z422" i="3"/>
  <c r="AA422" i="3" s="1"/>
  <c r="Z425" i="3"/>
  <c r="AA425" i="3" s="1"/>
  <c r="Z270" i="3"/>
  <c r="AA270" i="3" s="1"/>
  <c r="Z274" i="3"/>
  <c r="AA274" i="3" s="1"/>
  <c r="Z435" i="3"/>
  <c r="AA435" i="3" s="1"/>
  <c r="Z280" i="3"/>
  <c r="AA280" i="3" s="1"/>
  <c r="Z443" i="3"/>
  <c r="AA443" i="3" s="1"/>
  <c r="Z451" i="3"/>
  <c r="AA451" i="3" s="1"/>
  <c r="Z284" i="3"/>
  <c r="AA284" i="3" s="1"/>
  <c r="Z461" i="3"/>
  <c r="AA461" i="3" s="1"/>
  <c r="Z287" i="3"/>
  <c r="AA287" i="3" s="1"/>
  <c r="Z474" i="3"/>
  <c r="AA474" i="3" s="1"/>
  <c r="Z292" i="3"/>
  <c r="AA292" i="3" s="1"/>
  <c r="Z482" i="3"/>
  <c r="AA482" i="3" s="1"/>
  <c r="Z424" i="3"/>
  <c r="AA424" i="3" s="1"/>
  <c r="Z490" i="3"/>
  <c r="AA490" i="3" s="1"/>
  <c r="Z427" i="3"/>
  <c r="AA427" i="3" s="1"/>
  <c r="Z432" i="3"/>
  <c r="AA432" i="3" s="1"/>
  <c r="Z493" i="3"/>
  <c r="AA493" i="3" s="1"/>
  <c r="Z223" i="3"/>
  <c r="AA223" i="3" s="1"/>
  <c r="Z497" i="3"/>
  <c r="AA497" i="3" s="1"/>
  <c r="Z506" i="3"/>
  <c r="AA506" i="3" s="1"/>
  <c r="Z227" i="3"/>
  <c r="AA227" i="3" s="1"/>
  <c r="Z5" i="3"/>
  <c r="AA5" i="3" s="1"/>
  <c r="Z232" i="3"/>
  <c r="AA232" i="3" s="1"/>
  <c r="Z236" i="3"/>
  <c r="AA236" i="3" s="1"/>
  <c r="Z10" i="3"/>
  <c r="AA10" i="3" s="1"/>
  <c r="Z240" i="3"/>
  <c r="AA240" i="3" s="1"/>
  <c r="Z22" i="3"/>
  <c r="AA22" i="3" s="1"/>
  <c r="Z244" i="3"/>
  <c r="AA244" i="3" s="1"/>
  <c r="Z30" i="3"/>
  <c r="AA30" i="3" s="1"/>
  <c r="Z44" i="3"/>
  <c r="AA44" i="3" s="1"/>
  <c r="Z247" i="3"/>
  <c r="AA247" i="3" s="1"/>
  <c r="Z52" i="3"/>
  <c r="AA52" i="3" s="1"/>
  <c r="Z250" i="3"/>
  <c r="AA250" i="3" s="1"/>
  <c r="Z255" i="3"/>
  <c r="AA255" i="3" s="1"/>
  <c r="Z63" i="3"/>
  <c r="AA63" i="3" s="1"/>
  <c r="Z259" i="3"/>
  <c r="AA259" i="3" s="1"/>
  <c r="Z77" i="3"/>
  <c r="AA77" i="3" s="1"/>
  <c r="Z84" i="3"/>
  <c r="AA84" i="3" s="1"/>
  <c r="Z264" i="3"/>
  <c r="AA264" i="3" s="1"/>
  <c r="Z94" i="3"/>
  <c r="AA94" i="3" s="1"/>
  <c r="Z268" i="3"/>
  <c r="AA268" i="3" s="1"/>
  <c r="Z271" i="3"/>
  <c r="AA271" i="3" s="1"/>
  <c r="Z108" i="3"/>
  <c r="AA108" i="3" s="1"/>
  <c r="Z116" i="3"/>
  <c r="AA116" i="3" s="1"/>
  <c r="Z276" i="3"/>
  <c r="AA276" i="3" s="1"/>
  <c r="Z279" i="3"/>
  <c r="AA279" i="3" s="1"/>
  <c r="Z130" i="3"/>
  <c r="AA130" i="3" s="1"/>
  <c r="Z283" i="3"/>
  <c r="AA283" i="3" s="1"/>
  <c r="Z143" i="3"/>
  <c r="AA143" i="3" s="1"/>
  <c r="Z151" i="3"/>
  <c r="AA151" i="3" s="1"/>
  <c r="Z286" i="3"/>
  <c r="AA286" i="3" s="1"/>
  <c r="Z163" i="3"/>
  <c r="AA163" i="3" s="1"/>
  <c r="Z290" i="3"/>
  <c r="AA290" i="3" s="1"/>
  <c r="AC518" i="3"/>
  <c r="AD518" i="3" s="1"/>
  <c r="AC178" i="3"/>
  <c r="AD178" i="3" s="1"/>
  <c r="AC38" i="3"/>
  <c r="AD38" i="3" s="1"/>
  <c r="AC42" i="3"/>
  <c r="AD42" i="3" s="1"/>
  <c r="AC534" i="3"/>
  <c r="AD534" i="3" s="1"/>
  <c r="AC538" i="3"/>
  <c r="AD538" i="3" s="1"/>
  <c r="AC46" i="3"/>
  <c r="AD46" i="3" s="1"/>
  <c r="AC50" i="3"/>
  <c r="AD50" i="3" s="1"/>
  <c r="AC414" i="3"/>
  <c r="AD414" i="3" s="1"/>
  <c r="AC457" i="3"/>
  <c r="AD457" i="3" s="1"/>
  <c r="AC54" i="3"/>
  <c r="AD54" i="3" s="1"/>
  <c r="AC58" i="3"/>
  <c r="AD58" i="3" s="1"/>
  <c r="AC542" i="3"/>
  <c r="AD542" i="3" s="1"/>
  <c r="AC187" i="3"/>
  <c r="AD187" i="3" s="1"/>
  <c r="AC62" i="3"/>
  <c r="AD62" i="3" s="1"/>
  <c r="AC64" i="3"/>
  <c r="AD64" i="3" s="1"/>
  <c r="AC544" i="3"/>
  <c r="AD544" i="3" s="1"/>
  <c r="AC67" i="3"/>
  <c r="AD67" i="3" s="1"/>
  <c r="AC195" i="3"/>
  <c r="AD195" i="3" s="1"/>
  <c r="AC4" i="3"/>
  <c r="AD4" i="3" s="1"/>
  <c r="AC74" i="3"/>
  <c r="AD74" i="3" s="1"/>
  <c r="AC9" i="3"/>
  <c r="AD9" i="3" s="1"/>
  <c r="AC78" i="3"/>
  <c r="AD78" i="3" s="1"/>
  <c r="AC462" i="3"/>
  <c r="AD462" i="3" s="1"/>
  <c r="AC82" i="3"/>
  <c r="AD82" i="3" s="1"/>
  <c r="AC200" i="3"/>
  <c r="AD200" i="3" s="1"/>
  <c r="AC88" i="3"/>
  <c r="AD88" i="3" s="1"/>
  <c r="AC13" i="3"/>
  <c r="AD13" i="3" s="1"/>
  <c r="AC92" i="3"/>
  <c r="AD92" i="3" s="1"/>
  <c r="AC469" i="3"/>
  <c r="AD469" i="3" s="1"/>
  <c r="AC96" i="3"/>
  <c r="AD96" i="3" s="1"/>
  <c r="AC17" i="3"/>
  <c r="AD17" i="3" s="1"/>
  <c r="AC99" i="3"/>
  <c r="AD99" i="3" s="1"/>
  <c r="AC21" i="3"/>
  <c r="AD21" i="3" s="1"/>
  <c r="AC104" i="3"/>
  <c r="AD104" i="3" s="1"/>
  <c r="AC202" i="3"/>
  <c r="AD202" i="3" s="1"/>
  <c r="AC106" i="3"/>
  <c r="AD106" i="3" s="1"/>
  <c r="AC467" i="3"/>
  <c r="AD467" i="3" s="1"/>
  <c r="AC125" i="3"/>
  <c r="AD125" i="3" s="1"/>
  <c r="AC26" i="3"/>
  <c r="AD26" i="3" s="1"/>
  <c r="AC127" i="3"/>
  <c r="AD127" i="3" s="1"/>
  <c r="AC131" i="3"/>
  <c r="AD131" i="3" s="1"/>
  <c r="AC29" i="3"/>
  <c r="AD29" i="3" s="1"/>
  <c r="AC137" i="3"/>
  <c r="AD137" i="3" s="1"/>
  <c r="AC520" i="3"/>
  <c r="AD520" i="3" s="1"/>
  <c r="AC210" i="3"/>
  <c r="AD210" i="3" s="1"/>
  <c r="AC140" i="3"/>
  <c r="AD140" i="3" s="1"/>
  <c r="AC33" i="3"/>
  <c r="AD33" i="3" s="1"/>
  <c r="AC144" i="3"/>
  <c r="AD144" i="3" s="1"/>
  <c r="AC218" i="3"/>
  <c r="AD218" i="3" s="1"/>
  <c r="AC148" i="3"/>
  <c r="AD148" i="3" s="1"/>
  <c r="AC40" i="3"/>
  <c r="AD40" i="3" s="1"/>
  <c r="AC152" i="3"/>
  <c r="AD152" i="3" s="1"/>
  <c r="AC43" i="3"/>
  <c r="AD43" i="3" s="1"/>
  <c r="AC156" i="3"/>
  <c r="AD156" i="3" s="1"/>
  <c r="AC494" i="3"/>
  <c r="AD494" i="3" s="1"/>
  <c r="AC160" i="3"/>
  <c r="AD160" i="3" s="1"/>
  <c r="AC164" i="3"/>
  <c r="AD164" i="3" s="1"/>
  <c r="AC220" i="3"/>
  <c r="AD220" i="3" s="1"/>
  <c r="AC47" i="3"/>
  <c r="AD47" i="3" s="1"/>
  <c r="AC167" i="3"/>
  <c r="AD167" i="3" s="1"/>
  <c r="AC171" i="3"/>
  <c r="AD171" i="3" s="1"/>
  <c r="AC421" i="3"/>
  <c r="AD421" i="3" s="1"/>
  <c r="AC175" i="3"/>
  <c r="AD175" i="3" s="1"/>
  <c r="AC51" i="3"/>
  <c r="AD51" i="3" s="1"/>
  <c r="AC56" i="3"/>
  <c r="AD56" i="3" s="1"/>
  <c r="AC180" i="3"/>
  <c r="AD180" i="3" s="1"/>
  <c r="AC496" i="3"/>
  <c r="AD496" i="3" s="1"/>
  <c r="AC183" i="3"/>
  <c r="AD183" i="3" s="1"/>
  <c r="AC224" i="3"/>
  <c r="AD224" i="3" s="1"/>
  <c r="AC186" i="3"/>
  <c r="AD186" i="3" s="1"/>
  <c r="AC60" i="3"/>
  <c r="AD60" i="3" s="1"/>
  <c r="AC189" i="3"/>
  <c r="AD189" i="3" s="1"/>
  <c r="AC228" i="3"/>
  <c r="AD228" i="3" s="1"/>
  <c r="AC192" i="3"/>
  <c r="AD192" i="3" s="1"/>
  <c r="AC66" i="3"/>
  <c r="AD66" i="3" s="1"/>
  <c r="AC194" i="3"/>
  <c r="AD194" i="3" s="1"/>
  <c r="AC196" i="3"/>
  <c r="AD196" i="3" s="1"/>
  <c r="AC400" i="3"/>
  <c r="AD400" i="3" s="1"/>
  <c r="AC70" i="3"/>
  <c r="AD70" i="3" s="1"/>
  <c r="AC201" i="3"/>
  <c r="AD201" i="3" s="1"/>
  <c r="AC205" i="3"/>
  <c r="AD205" i="3" s="1"/>
  <c r="AC498" i="3"/>
  <c r="AD498" i="3" s="1"/>
  <c r="AC208" i="3"/>
  <c r="AD208" i="3" s="1"/>
  <c r="AC71" i="3"/>
  <c r="AD71" i="3" s="1"/>
  <c r="AC231" i="3"/>
  <c r="AD231" i="3" s="1"/>
  <c r="AC211" i="3"/>
  <c r="AD211" i="3" s="1"/>
  <c r="AC75" i="3"/>
  <c r="AD75" i="3" s="1"/>
  <c r="AC214" i="3"/>
  <c r="AD214" i="3" s="1"/>
  <c r="AC81" i="3"/>
  <c r="AD81" i="3" s="1"/>
  <c r="AC217" i="3"/>
  <c r="AD217" i="3" s="1"/>
  <c r="AC235" i="3"/>
  <c r="AD235" i="3" s="1"/>
  <c r="AC221" i="3"/>
  <c r="AD221" i="3" s="1"/>
  <c r="AC79" i="3"/>
  <c r="AD79" i="3" s="1"/>
  <c r="AC226" i="3"/>
  <c r="AD226" i="3" s="1"/>
  <c r="AC229" i="3"/>
  <c r="AD229" i="3" s="1"/>
  <c r="AC513" i="3"/>
  <c r="AD513" i="3" s="1"/>
  <c r="AC85" i="3"/>
  <c r="AD85" i="3" s="1"/>
  <c r="AC233" i="3"/>
  <c r="AD233" i="3" s="1"/>
  <c r="AC237" i="3"/>
  <c r="AD237" i="3" s="1"/>
  <c r="AC206" i="3"/>
  <c r="AD206" i="3" s="1"/>
  <c r="AC241" i="3"/>
  <c r="AD241" i="3" s="1"/>
  <c r="AC89" i="3"/>
  <c r="AD89" i="3" s="1"/>
  <c r="AC93" i="3"/>
  <c r="AD93" i="3" s="1"/>
  <c r="AC245" i="3"/>
  <c r="AD245" i="3" s="1"/>
  <c r="AC239" i="3"/>
  <c r="AD239" i="3" s="1"/>
  <c r="AC249" i="3"/>
  <c r="AD249" i="3" s="1"/>
  <c r="AC501" i="3"/>
  <c r="AD501" i="3" s="1"/>
  <c r="AC253" i="3"/>
  <c r="AD253" i="3" s="1"/>
  <c r="AC97" i="3"/>
  <c r="AD97" i="3" s="1"/>
  <c r="AC257" i="3"/>
  <c r="AD257" i="3" s="1"/>
  <c r="AC262" i="3"/>
  <c r="AD262" i="3" s="1"/>
  <c r="AC242" i="3"/>
  <c r="AD242" i="3" s="1"/>
  <c r="AC266" i="3"/>
  <c r="AD266" i="3" s="1"/>
  <c r="AC101" i="3"/>
  <c r="AD101" i="3" s="1"/>
  <c r="AC404" i="3"/>
  <c r="AD404" i="3" s="1"/>
  <c r="AC270" i="3"/>
  <c r="AD270" i="3" s="1"/>
  <c r="AC274" i="3"/>
  <c r="AD274" i="3" s="1"/>
  <c r="AC105" i="3"/>
  <c r="AD105" i="3" s="1"/>
  <c r="AC246" i="3"/>
  <c r="AD246" i="3" s="1"/>
  <c r="AC280" i="3"/>
  <c r="AD280" i="3" s="1"/>
  <c r="AC109" i="3"/>
  <c r="AD109" i="3" s="1"/>
  <c r="AC284" i="3"/>
  <c r="AD284" i="3" s="1"/>
  <c r="AC114" i="3"/>
  <c r="AD114" i="3" s="1"/>
  <c r="AC287" i="3"/>
  <c r="AD287" i="3" s="1"/>
  <c r="AC504" i="3"/>
  <c r="AD504" i="3" s="1"/>
  <c r="AC292" i="3"/>
  <c r="AD292" i="3" s="1"/>
  <c r="AC424" i="3"/>
  <c r="AD424" i="3" s="1"/>
  <c r="AC118" i="3"/>
  <c r="AD118" i="3" s="1"/>
  <c r="AC427" i="3"/>
  <c r="AD427" i="3" s="1"/>
  <c r="Z426" i="3"/>
  <c r="AA426" i="3" s="1"/>
  <c r="Z173" i="3"/>
  <c r="AA173" i="3" s="1"/>
  <c r="Z181" i="3"/>
  <c r="AA181" i="3" s="1"/>
  <c r="Z431" i="3"/>
  <c r="AA431" i="3" s="1"/>
  <c r="Z436" i="3"/>
  <c r="AA436" i="3" s="1"/>
  <c r="Z193" i="3"/>
  <c r="AA193" i="3" s="1"/>
  <c r="Z204" i="3"/>
  <c r="AA204" i="3" s="1"/>
  <c r="Z440" i="3"/>
  <c r="AA440" i="3" s="1"/>
  <c r="Z444" i="3"/>
  <c r="AA444" i="3" s="1"/>
  <c r="Z215" i="3"/>
  <c r="AA215" i="3" s="1"/>
  <c r="Z272" i="3"/>
  <c r="AA272" i="3" s="1"/>
  <c r="Z449" i="3"/>
  <c r="AA449" i="3" s="1"/>
  <c r="Z273" i="3"/>
  <c r="AA273" i="3" s="1"/>
  <c r="Z455" i="3"/>
  <c r="AA455" i="3" s="1"/>
  <c r="Z460" i="3"/>
  <c r="AA460" i="3" s="1"/>
  <c r="Z277" i="3"/>
  <c r="AA277" i="3" s="1"/>
  <c r="Z466" i="3"/>
  <c r="AA466" i="3" s="1"/>
  <c r="Z281" i="3"/>
  <c r="AA281" i="3" s="1"/>
  <c r="Z285" i="3"/>
  <c r="AA285" i="3" s="1"/>
  <c r="Z471" i="3"/>
  <c r="AA471" i="3" s="1"/>
  <c r="Z475" i="3"/>
  <c r="AA475" i="3" s="1"/>
  <c r="Z289" i="3"/>
  <c r="AA289" i="3" s="1"/>
  <c r="Z534" i="3"/>
  <c r="AA534" i="3" s="1"/>
  <c r="Z294" i="3"/>
  <c r="AA294" i="3" s="1"/>
  <c r="Z538" i="3"/>
  <c r="AA538" i="3" s="1"/>
  <c r="Z428" i="3"/>
  <c r="AA428" i="3" s="1"/>
  <c r="Z433" i="3"/>
  <c r="AA433" i="3" s="1"/>
  <c r="Z542" i="3"/>
  <c r="AA542" i="3" s="1"/>
  <c r="Z442" i="3"/>
  <c r="AA442" i="3" s="1"/>
  <c r="Z544" i="3"/>
  <c r="AA544" i="3" s="1"/>
  <c r="Z447" i="3"/>
  <c r="AA447" i="3" s="1"/>
  <c r="Z4" i="3"/>
  <c r="AA4" i="3" s="1"/>
  <c r="Z9" i="3"/>
  <c r="AA9" i="3" s="1"/>
  <c r="Z453" i="3"/>
  <c r="AA453" i="3" s="1"/>
  <c r="Z458" i="3"/>
  <c r="AA458" i="3" s="1"/>
  <c r="Z13" i="3"/>
  <c r="AA13" i="3" s="1"/>
  <c r="Z463" i="3"/>
  <c r="AA463" i="3" s="1"/>
  <c r="Z17" i="3"/>
  <c r="AA17" i="3" s="1"/>
  <c r="Z21" i="3"/>
  <c r="AA21" i="3" s="1"/>
  <c r="Z468" i="3"/>
  <c r="AA468" i="3" s="1"/>
  <c r="Z473" i="3"/>
  <c r="AA473" i="3" s="1"/>
  <c r="Z26" i="3"/>
  <c r="AA26" i="3" s="1"/>
  <c r="Z479" i="3"/>
  <c r="AA479" i="3" s="1"/>
  <c r="Z29" i="3"/>
  <c r="AA29" i="3" s="1"/>
  <c r="Z483" i="3"/>
  <c r="AA483" i="3" s="1"/>
  <c r="Z33" i="3"/>
  <c r="AA33" i="3" s="1"/>
  <c r="Z40" i="3"/>
  <c r="AA40" i="3" s="1"/>
  <c r="Z510" i="3"/>
  <c r="AA510" i="3" s="1"/>
  <c r="Z43" i="3"/>
  <c r="AA43" i="3" s="1"/>
  <c r="Z515" i="3"/>
  <c r="AA515" i="3" s="1"/>
  <c r="Z522" i="3"/>
  <c r="AA522" i="3" s="1"/>
  <c r="Z47" i="3"/>
  <c r="AA47" i="3" s="1"/>
  <c r="Z51" i="3"/>
  <c r="AA51" i="3" s="1"/>
  <c r="Z528" i="3"/>
  <c r="AA528" i="3" s="1"/>
  <c r="Z56" i="3"/>
  <c r="AA56" i="3" s="1"/>
  <c r="Z531" i="3"/>
  <c r="AA531" i="3" s="1"/>
  <c r="Z60" i="3"/>
  <c r="AA60" i="3" s="1"/>
  <c r="Z535" i="3"/>
  <c r="AA535" i="3" s="1"/>
  <c r="Z541" i="3"/>
  <c r="AA541" i="3" s="1"/>
  <c r="Z66" i="3"/>
  <c r="AA66" i="3" s="1"/>
  <c r="Z70" i="3"/>
  <c r="AA70" i="3" s="1"/>
  <c r="Z296" i="3"/>
  <c r="AA296" i="3" s="1"/>
  <c r="Z297" i="3"/>
  <c r="AA297" i="3" s="1"/>
  <c r="Z71" i="3"/>
  <c r="AA71" i="3" s="1"/>
  <c r="Z75" i="3"/>
  <c r="AA75" i="3" s="1"/>
  <c r="Z298" i="3"/>
  <c r="AA298" i="3" s="1"/>
  <c r="Z299" i="3"/>
  <c r="AA299" i="3" s="1"/>
  <c r="Z81" i="3"/>
  <c r="AA81" i="3" s="1"/>
  <c r="Z300" i="3"/>
  <c r="AA300" i="3" s="1"/>
  <c r="Z85" i="3"/>
  <c r="AA85" i="3" s="1"/>
  <c r="Z93" i="3"/>
  <c r="AA93" i="3" s="1"/>
  <c r="Z301" i="3"/>
  <c r="AA301" i="3" s="1"/>
  <c r="Z97" i="3"/>
  <c r="AA97" i="3" s="1"/>
  <c r="Z302" i="3"/>
  <c r="AA302" i="3" s="1"/>
  <c r="Z303" i="3"/>
  <c r="AA303" i="3" s="1"/>
  <c r="Z101" i="3"/>
  <c r="AA101" i="3" s="1"/>
  <c r="Z105" i="3"/>
  <c r="AA105" i="3" s="1"/>
  <c r="Z304" i="3"/>
  <c r="AA304" i="3" s="1"/>
  <c r="Z305" i="3"/>
  <c r="AA305" i="3" s="1"/>
  <c r="Z109" i="3"/>
  <c r="AA109" i="3" s="1"/>
  <c r="Z114" i="3"/>
  <c r="AA114" i="3" s="1"/>
  <c r="Z306" i="3"/>
  <c r="AA306" i="3" s="1"/>
  <c r="Z118" i="3"/>
  <c r="AA118" i="3" s="1"/>
  <c r="Z307" i="3"/>
  <c r="AA307" i="3" s="1"/>
  <c r="Z308" i="3"/>
  <c r="AA308" i="3" s="1"/>
  <c r="Z122" i="3"/>
  <c r="AA122" i="3" s="1"/>
  <c r="Z309" i="3"/>
  <c r="AA309" i="3" s="1"/>
  <c r="Z124" i="3"/>
  <c r="AA124" i="3" s="1"/>
  <c r="Z310" i="3"/>
  <c r="AA310" i="3" s="1"/>
  <c r="Z129" i="3"/>
  <c r="AA129" i="3" s="1"/>
  <c r="Z133" i="3"/>
  <c r="AA133" i="3" s="1"/>
  <c r="Z311" i="3"/>
  <c r="AA311" i="3" s="1"/>
  <c r="Z312" i="3"/>
  <c r="AA312" i="3" s="1"/>
  <c r="Z136" i="3"/>
  <c r="AA136" i="3" s="1"/>
  <c r="Z138" i="3"/>
  <c r="AA138" i="3" s="1"/>
  <c r="Z313" i="3"/>
  <c r="AA313" i="3" s="1"/>
  <c r="Z314" i="3"/>
  <c r="AA314" i="3" s="1"/>
  <c r="Z141" i="3"/>
  <c r="AA141" i="3" s="1"/>
  <c r="Z145" i="3"/>
  <c r="AA145" i="3" s="1"/>
  <c r="Z315" i="3"/>
  <c r="AA315" i="3" s="1"/>
  <c r="Z316" i="3"/>
  <c r="AA316" i="3" s="1"/>
  <c r="Z149" i="3"/>
  <c r="AA149" i="3" s="1"/>
  <c r="Z317" i="3"/>
  <c r="AA317" i="3" s="1"/>
  <c r="Z153" i="3"/>
  <c r="AA153" i="3" s="1"/>
  <c r="Z318" i="3"/>
  <c r="AA318" i="3" s="1"/>
  <c r="Z158" i="3"/>
  <c r="AA158" i="3" s="1"/>
  <c r="Z319" i="3"/>
  <c r="AA319" i="3" s="1"/>
  <c r="Z162" i="3"/>
  <c r="AA162" i="3" s="1"/>
  <c r="Z166" i="3"/>
  <c r="AA166" i="3" s="1"/>
  <c r="Z320" i="3"/>
  <c r="AA320" i="3" s="1"/>
  <c r="Z170" i="3"/>
  <c r="AA170" i="3" s="1"/>
  <c r="Z321" i="3"/>
  <c r="AA321" i="3" s="1"/>
  <c r="Z174" i="3"/>
  <c r="AA174" i="3" s="1"/>
  <c r="Z322" i="3"/>
  <c r="AA322" i="3" s="1"/>
  <c r="Z323" i="3"/>
  <c r="AA323" i="3" s="1"/>
  <c r="Z178" i="3"/>
  <c r="AA178" i="3" s="1"/>
  <c r="Z324" i="3"/>
  <c r="AA324" i="3" s="1"/>
  <c r="Z187" i="3"/>
  <c r="AA187" i="3" s="1"/>
  <c r="Z195" i="3"/>
  <c r="AA195" i="3" s="1"/>
  <c r="Z325" i="3"/>
  <c r="AA325" i="3" s="1"/>
  <c r="Z326" i="3"/>
  <c r="AA326" i="3" s="1"/>
  <c r="Z200" i="3"/>
  <c r="AA200" i="3" s="1"/>
  <c r="Z327" i="3"/>
  <c r="AA327" i="3" s="1"/>
  <c r="Z89" i="3"/>
  <c r="AA89" i="3" s="1"/>
  <c r="Z202" i="3"/>
  <c r="AA202" i="3" s="1"/>
  <c r="Z328" i="3"/>
  <c r="AA328" i="3" s="1"/>
  <c r="Z329" i="3"/>
  <c r="AA329" i="3" s="1"/>
  <c r="Z210" i="3"/>
  <c r="AA210" i="3" s="1"/>
  <c r="Z218" i="3"/>
  <c r="AA218" i="3" s="1"/>
  <c r="Z330" i="3"/>
  <c r="AA330" i="3" s="1"/>
  <c r="Z331" i="3"/>
  <c r="AA331" i="3" s="1"/>
  <c r="Z220" i="3"/>
  <c r="AA220" i="3" s="1"/>
  <c r="Z332" i="3"/>
  <c r="AA332" i="3" s="1"/>
  <c r="Z224" i="3"/>
  <c r="AA224" i="3" s="1"/>
  <c r="Z333" i="3"/>
  <c r="AA333" i="3" s="1"/>
  <c r="Z228" i="3"/>
  <c r="AA228" i="3" s="1"/>
  <c r="Z231" i="3"/>
  <c r="AA231" i="3" s="1"/>
  <c r="Z334" i="3"/>
  <c r="AA334" i="3" s="1"/>
  <c r="Z235" i="3"/>
  <c r="AA235" i="3" s="1"/>
  <c r="Z335" i="3"/>
  <c r="AA335" i="3" s="1"/>
  <c r="Z239" i="3"/>
  <c r="AA239" i="3" s="1"/>
  <c r="Z336" i="3"/>
  <c r="AA336" i="3" s="1"/>
  <c r="Z242" i="3"/>
  <c r="AA242" i="3" s="1"/>
  <c r="Z337" i="3"/>
  <c r="AA337" i="3" s="1"/>
  <c r="Z246" i="3"/>
  <c r="AA246" i="3" s="1"/>
  <c r="Z338" i="3"/>
  <c r="AA338" i="3" s="1"/>
  <c r="Z252" i="3"/>
  <c r="AA252" i="3" s="1"/>
  <c r="Z339" i="3"/>
  <c r="AA339" i="3" s="1"/>
  <c r="Z254" i="3"/>
  <c r="AA254" i="3" s="1"/>
  <c r="Z340" i="3"/>
  <c r="AA340" i="3" s="1"/>
  <c r="Z341" i="3"/>
  <c r="AA341" i="3" s="1"/>
  <c r="Z258" i="3"/>
  <c r="AA258" i="3" s="1"/>
  <c r="Z261" i="3"/>
  <c r="AA261" i="3" s="1"/>
  <c r="Z342" i="3"/>
  <c r="AA342" i="3" s="1"/>
  <c r="Z344" i="3"/>
  <c r="AA344" i="3" s="1"/>
  <c r="Z437" i="3"/>
  <c r="AA437" i="3" s="1"/>
  <c r="Z346" i="3"/>
  <c r="AA346" i="3" s="1"/>
  <c r="Z441" i="3"/>
  <c r="AA441" i="3" s="1"/>
  <c r="Z348" i="3"/>
  <c r="AA348" i="3" s="1"/>
  <c r="Z445" i="3"/>
  <c r="AA445" i="3" s="1"/>
  <c r="Z452" i="3"/>
  <c r="AA452" i="3" s="1"/>
  <c r="Z350" i="3"/>
  <c r="AA350" i="3" s="1"/>
  <c r="Z352" i="3"/>
  <c r="AA352" i="3" s="1"/>
  <c r="Z457" i="3"/>
  <c r="AA457" i="3" s="1"/>
  <c r="Z462" i="3"/>
  <c r="AA462" i="3" s="1"/>
  <c r="Z354" i="3"/>
  <c r="AA354" i="3" s="1"/>
  <c r="Z356" i="3"/>
  <c r="AA356" i="3" s="1"/>
  <c r="Z467" i="3"/>
  <c r="AA467" i="3" s="1"/>
  <c r="Z358" i="3"/>
  <c r="AA358" i="3" s="1"/>
  <c r="Z494" i="3"/>
  <c r="AA494" i="3" s="1"/>
  <c r="Z360" i="3"/>
  <c r="AA360" i="3" s="1"/>
  <c r="Z496" i="3"/>
  <c r="AA496" i="3" s="1"/>
  <c r="Z362" i="3"/>
  <c r="AA362" i="3" s="1"/>
  <c r="Z498" i="3"/>
  <c r="AA498" i="3" s="1"/>
  <c r="Z501" i="3"/>
  <c r="AA501" i="3" s="1"/>
  <c r="Z364" i="3"/>
  <c r="AA364" i="3" s="1"/>
  <c r="Z504" i="3"/>
  <c r="AA504" i="3" s="1"/>
  <c r="Z366" i="3"/>
  <c r="AA366" i="3" s="1"/>
  <c r="Z368" i="3"/>
  <c r="AA368" i="3" s="1"/>
  <c r="Z508" i="3"/>
  <c r="AA508" i="3" s="1"/>
  <c r="Z370" i="3"/>
  <c r="AA370" i="3" s="1"/>
  <c r="Z511" i="3"/>
  <c r="AA511" i="3" s="1"/>
  <c r="Z372" i="3"/>
  <c r="AA372" i="3" s="1"/>
  <c r="Z514" i="3"/>
  <c r="AA514" i="3" s="1"/>
  <c r="Z518" i="3"/>
  <c r="AA518" i="3" s="1"/>
  <c r="Z374" i="3"/>
  <c r="AA374" i="3" s="1"/>
  <c r="Z376" i="3"/>
  <c r="AA376" i="3" s="1"/>
  <c r="Z520" i="3"/>
  <c r="AA520" i="3" s="1"/>
  <c r="Z378" i="3"/>
  <c r="AA378" i="3" s="1"/>
  <c r="Z527" i="3"/>
  <c r="AA527" i="3" s="1"/>
  <c r="Z380" i="3"/>
  <c r="AA380" i="3" s="1"/>
  <c r="Z402" i="3"/>
  <c r="AA402" i="3" s="1"/>
  <c r="Z382" i="3"/>
  <c r="AA382" i="3" s="1"/>
  <c r="Z406" i="3"/>
  <c r="AA406" i="3" s="1"/>
  <c r="Z384" i="3"/>
  <c r="AA384" i="3" s="1"/>
  <c r="Z408" i="3"/>
  <c r="AA408" i="3" s="1"/>
  <c r="Z386" i="3"/>
  <c r="AA386" i="3" s="1"/>
  <c r="Z410" i="3"/>
  <c r="AA410" i="3" s="1"/>
  <c r="Z388" i="3"/>
  <c r="AA388" i="3" s="1"/>
  <c r="Z412" i="3"/>
  <c r="AA412" i="3" s="1"/>
  <c r="Z390" i="3"/>
  <c r="AA390" i="3" s="1"/>
  <c r="Z417" i="3"/>
  <c r="AA417" i="3" s="1"/>
  <c r="Z392" i="3"/>
  <c r="AA392" i="3" s="1"/>
  <c r="Z423" i="3"/>
  <c r="AA423" i="3" s="1"/>
  <c r="Z429" i="3"/>
  <c r="AA429" i="3" s="1"/>
  <c r="Z394" i="3"/>
  <c r="AA394" i="3" s="1"/>
  <c r="Z396" i="3"/>
  <c r="AA396" i="3" s="1"/>
  <c r="Z439" i="3"/>
  <c r="AA439" i="3" s="1"/>
  <c r="Z398" i="3"/>
  <c r="AA398" i="3" s="1"/>
  <c r="Z448" i="3"/>
  <c r="AA448" i="3" s="1"/>
  <c r="Z400" i="3"/>
  <c r="AA400" i="3" s="1"/>
  <c r="Z456" i="3"/>
  <c r="AA456" i="3" s="1"/>
  <c r="Z404" i="3"/>
  <c r="AA404" i="3" s="1"/>
  <c r="Z477" i="3"/>
  <c r="AA477" i="3" s="1"/>
  <c r="Z495" i="3"/>
  <c r="AA495" i="3" s="1"/>
  <c r="Z14" i="3"/>
  <c r="AA14" i="3" s="1"/>
  <c r="Z25" i="3"/>
  <c r="AA25" i="3" s="1"/>
  <c r="Z414" i="3"/>
  <c r="AA414" i="3" s="1"/>
  <c r="Z34" i="3"/>
  <c r="AA34" i="3" s="1"/>
  <c r="Z421" i="3"/>
  <c r="AA421" i="3" s="1"/>
  <c r="Z48" i="3"/>
  <c r="AA48" i="3" s="1"/>
  <c r="Z226" i="3"/>
  <c r="AA226" i="3" s="1"/>
  <c r="Z68" i="3"/>
  <c r="AA68" i="3" s="1"/>
  <c r="Z112" i="3"/>
  <c r="AA112" i="3" s="1"/>
  <c r="Z134" i="3"/>
  <c r="AA134" i="3" s="1"/>
  <c r="Z469" i="3"/>
  <c r="AA469" i="3" s="1"/>
  <c r="Z159" i="3"/>
  <c r="AA159" i="3" s="1"/>
  <c r="Z487" i="3"/>
  <c r="AA487" i="3" s="1"/>
  <c r="Z491" i="3"/>
  <c r="AA491" i="3" s="1"/>
  <c r="Z165" i="3"/>
  <c r="AA165" i="3" s="1"/>
  <c r="Z503" i="3"/>
  <c r="AA503" i="3" s="1"/>
  <c r="Z513" i="3"/>
  <c r="AA513" i="3" s="1"/>
  <c r="Z524" i="3"/>
  <c r="AA524" i="3" s="1"/>
  <c r="Z190" i="3"/>
  <c r="AA190" i="3" s="1"/>
  <c r="Z492" i="3"/>
  <c r="AA492" i="3" s="1"/>
  <c r="Z500" i="3"/>
  <c r="AA500" i="3" s="1"/>
  <c r="Z18" i="3"/>
  <c r="AA18" i="3" s="1"/>
  <c r="Z72" i="3"/>
  <c r="AA72" i="3" s="1"/>
  <c r="Z102" i="3"/>
  <c r="AA102" i="3" s="1"/>
  <c r="Z79" i="3"/>
  <c r="AA79" i="3" s="1"/>
  <c r="Z90" i="3"/>
  <c r="AA90" i="3" s="1"/>
  <c r="Z98" i="3"/>
  <c r="AA98" i="3" s="1"/>
  <c r="Z472" i="3"/>
  <c r="AA472" i="3" s="1"/>
  <c r="Z126" i="3"/>
  <c r="AA126" i="3" s="1"/>
  <c r="Z155" i="3"/>
  <c r="AA155" i="3" s="1"/>
  <c r="Z147" i="3"/>
  <c r="AA147" i="3" s="1"/>
  <c r="Z169" i="3"/>
  <c r="AA169" i="3" s="1"/>
  <c r="Z184" i="3"/>
  <c r="AA184" i="3" s="1"/>
  <c r="Z177" i="3"/>
  <c r="AA177" i="3" s="1"/>
  <c r="Z110" i="3"/>
  <c r="AA110" i="3" s="1"/>
  <c r="Z198" i="3"/>
  <c r="AA198" i="3" s="1"/>
  <c r="Z212" i="3"/>
  <c r="AA212" i="3" s="1"/>
  <c r="Z219" i="3"/>
  <c r="AA219" i="3" s="1"/>
  <c r="Z416" i="3"/>
  <c r="AA416" i="3" s="1"/>
  <c r="Z484" i="3"/>
  <c r="AA484" i="3" s="1"/>
  <c r="Z113" i="3"/>
  <c r="AA113" i="3" s="1"/>
  <c r="Z117" i="3"/>
  <c r="AA117" i="3" s="1"/>
  <c r="Z519" i="3"/>
  <c r="AA519" i="3" s="1"/>
  <c r="Z532" i="3"/>
  <c r="AA532" i="3" s="1"/>
  <c r="Z39" i="3"/>
  <c r="AA39" i="3" s="1"/>
  <c r="Z55" i="3"/>
  <c r="AA55" i="3" s="1"/>
  <c r="Z536" i="3"/>
  <c r="AA536" i="3" s="1"/>
  <c r="Z86" i="3"/>
  <c r="AA86" i="3" s="1"/>
  <c r="Z121" i="3"/>
  <c r="AA121" i="3" s="1"/>
  <c r="Z120" i="3"/>
  <c r="AA120" i="3" s="1"/>
  <c r="Z139" i="3"/>
  <c r="AA139" i="3" s="1"/>
  <c r="Z539" i="3"/>
  <c r="AA539" i="3" s="1"/>
  <c r="Z478" i="3"/>
  <c r="AA478" i="3" s="1"/>
  <c r="Z480" i="3"/>
  <c r="AA480" i="3" s="1"/>
  <c r="Z207" i="3"/>
  <c r="AA207" i="3" s="1"/>
  <c r="T2" i="3"/>
  <c r="U2" i="3" s="1"/>
  <c r="T417" i="3"/>
  <c r="U417" i="3" s="1"/>
  <c r="AC2" i="3"/>
  <c r="AD2" i="3" s="1"/>
  <c r="Z2" i="3"/>
  <c r="AA2" i="3" s="1"/>
  <c r="T110" i="3"/>
  <c r="U110" i="3" s="1"/>
  <c r="T114" i="3"/>
  <c r="U114" i="3" s="1"/>
  <c r="T120" i="3"/>
  <c r="U120" i="3" s="1"/>
  <c r="T124" i="3"/>
  <c r="U124" i="3" s="1"/>
  <c r="T130" i="3"/>
  <c r="U130" i="3" s="1"/>
  <c r="T134" i="3"/>
  <c r="U134" i="3" s="1"/>
  <c r="T138" i="3"/>
  <c r="U138" i="3" s="1"/>
  <c r="T142" i="3"/>
  <c r="U142" i="3" s="1"/>
  <c r="T147" i="3"/>
  <c r="U147" i="3" s="1"/>
  <c r="T153" i="3"/>
  <c r="U153" i="3" s="1"/>
  <c r="T158" i="3"/>
  <c r="U158" i="3" s="1"/>
  <c r="T162" i="3"/>
  <c r="U162" i="3" s="1"/>
  <c r="T169" i="3"/>
  <c r="U169" i="3" s="1"/>
  <c r="T175" i="3"/>
  <c r="U175" i="3" s="1"/>
  <c r="T180" i="3"/>
  <c r="U180" i="3" s="1"/>
  <c r="T183" i="3"/>
  <c r="U183" i="3" s="1"/>
  <c r="T187" i="3"/>
  <c r="U187" i="3" s="1"/>
  <c r="T192" i="3"/>
  <c r="U192" i="3" s="1"/>
  <c r="T196" i="3"/>
  <c r="U196" i="3" s="1"/>
  <c r="T199" i="3"/>
  <c r="U199" i="3" s="1"/>
  <c r="T203" i="3"/>
  <c r="U203" i="3" s="1"/>
  <c r="T205" i="3"/>
  <c r="U205" i="3" s="1"/>
  <c r="T207" i="3"/>
  <c r="U207" i="3" s="1"/>
  <c r="T209" i="3"/>
  <c r="U209" i="3" s="1"/>
  <c r="T211" i="3"/>
  <c r="U211" i="3" s="1"/>
  <c r="T213" i="3"/>
  <c r="U213" i="3" s="1"/>
  <c r="T215" i="3"/>
  <c r="U215" i="3" s="1"/>
  <c r="T217" i="3"/>
  <c r="U217" i="3" s="1"/>
  <c r="T219" i="3"/>
  <c r="U219" i="3" s="1"/>
  <c r="T223" i="3"/>
  <c r="U223" i="3" s="1"/>
  <c r="T226" i="3"/>
  <c r="U226" i="3" s="1"/>
  <c r="T230" i="3"/>
  <c r="U230" i="3" s="1"/>
  <c r="T233" i="3"/>
  <c r="U233" i="3" s="1"/>
  <c r="T237" i="3"/>
  <c r="U237" i="3" s="1"/>
  <c r="T241" i="3"/>
  <c r="U241" i="3" s="1"/>
  <c r="T247" i="3"/>
  <c r="U247" i="3" s="1"/>
  <c r="T252" i="3"/>
  <c r="U252" i="3" s="1"/>
  <c r="T256" i="3"/>
  <c r="U256" i="3" s="1"/>
  <c r="T260" i="3"/>
  <c r="U260" i="3" s="1"/>
  <c r="T263" i="3"/>
  <c r="U263" i="3" s="1"/>
  <c r="T267" i="3"/>
  <c r="U267" i="3" s="1"/>
  <c r="T273" i="3"/>
  <c r="U273" i="3" s="1"/>
  <c r="T279" i="3"/>
  <c r="U279" i="3" s="1"/>
  <c r="T283" i="3"/>
  <c r="U283" i="3" s="1"/>
  <c r="T287" i="3"/>
  <c r="U287" i="3" s="1"/>
  <c r="T291" i="3"/>
  <c r="U291" i="3" s="1"/>
  <c r="T296" i="3"/>
  <c r="U296" i="3" s="1"/>
  <c r="T299" i="3"/>
  <c r="U299" i="3" s="1"/>
  <c r="T303" i="3"/>
  <c r="U303" i="3" s="1"/>
  <c r="T305" i="3"/>
  <c r="U305" i="3" s="1"/>
  <c r="T307" i="3"/>
  <c r="U307" i="3" s="1"/>
  <c r="T309" i="3"/>
  <c r="U309" i="3" s="1"/>
  <c r="T312" i="3"/>
  <c r="U312" i="3" s="1"/>
  <c r="T313" i="3"/>
  <c r="U313" i="3" s="1"/>
  <c r="T314" i="3"/>
  <c r="U314" i="3" s="1"/>
  <c r="T317" i="3"/>
  <c r="U317" i="3" s="1"/>
  <c r="T319" i="3"/>
  <c r="U319" i="3" s="1"/>
  <c r="T322" i="3"/>
  <c r="U322" i="3" s="1"/>
  <c r="T325" i="3"/>
  <c r="U325" i="3" s="1"/>
  <c r="T330" i="3"/>
  <c r="U330" i="3" s="1"/>
  <c r="T335" i="3"/>
  <c r="U335" i="3" s="1"/>
  <c r="T340" i="3"/>
  <c r="U340" i="3" s="1"/>
  <c r="T344" i="3"/>
  <c r="U344" i="3" s="1"/>
  <c r="T348" i="3"/>
  <c r="U348" i="3" s="1"/>
  <c r="T352" i="3"/>
  <c r="U352" i="3" s="1"/>
  <c r="T356" i="3"/>
  <c r="U356" i="3" s="1"/>
  <c r="T360" i="3"/>
  <c r="U360" i="3" s="1"/>
  <c r="T364" i="3"/>
  <c r="U364" i="3" s="1"/>
  <c r="T368" i="3"/>
  <c r="U368" i="3" s="1"/>
  <c r="T371" i="3"/>
  <c r="U371" i="3" s="1"/>
  <c r="T376" i="3"/>
  <c r="U376" i="3" s="1"/>
  <c r="T379" i="3"/>
  <c r="U379" i="3" s="1"/>
  <c r="T385" i="3"/>
  <c r="U385" i="3" s="1"/>
  <c r="T389" i="3"/>
  <c r="U389" i="3" s="1"/>
  <c r="T394" i="3"/>
  <c r="U394" i="3" s="1"/>
  <c r="T398" i="3"/>
  <c r="U398" i="3" s="1"/>
  <c r="T404" i="3"/>
  <c r="U404" i="3" s="1"/>
  <c r="T407" i="3"/>
  <c r="U407" i="3" s="1"/>
  <c r="T412" i="3"/>
  <c r="U412" i="3" s="1"/>
  <c r="T416" i="3"/>
  <c r="U416" i="3" s="1"/>
  <c r="T108" i="3"/>
  <c r="U108" i="3" s="1"/>
  <c r="T111" i="3"/>
  <c r="U111" i="3" s="1"/>
  <c r="T116" i="3"/>
  <c r="U116" i="3" s="1"/>
  <c r="T119" i="3"/>
  <c r="U119" i="3" s="1"/>
  <c r="T123" i="3"/>
  <c r="U123" i="3" s="1"/>
  <c r="T127" i="3"/>
  <c r="U127" i="3" s="1"/>
  <c r="T132" i="3"/>
  <c r="U132" i="3" s="1"/>
  <c r="T137" i="3"/>
  <c r="U137" i="3" s="1"/>
  <c r="T141" i="3"/>
  <c r="U141" i="3" s="1"/>
  <c r="T144" i="3"/>
  <c r="U144" i="3" s="1"/>
  <c r="T149" i="3"/>
  <c r="U149" i="3" s="1"/>
  <c r="T155" i="3"/>
  <c r="U155" i="3" s="1"/>
  <c r="T159" i="3"/>
  <c r="U159" i="3" s="1"/>
  <c r="T165" i="3"/>
  <c r="U165" i="3" s="1"/>
  <c r="T170" i="3"/>
  <c r="U170" i="3" s="1"/>
  <c r="T173" i="3"/>
  <c r="U173" i="3" s="1"/>
  <c r="T178" i="3"/>
  <c r="U178" i="3" s="1"/>
  <c r="T184" i="3"/>
  <c r="U184" i="3" s="1"/>
  <c r="T188" i="3"/>
  <c r="U188" i="3" s="1"/>
  <c r="T191" i="3"/>
  <c r="U191" i="3" s="1"/>
  <c r="T195" i="3"/>
  <c r="U195" i="3" s="1"/>
  <c r="T200" i="3"/>
  <c r="U200" i="3" s="1"/>
  <c r="T204" i="3"/>
  <c r="U204" i="3" s="1"/>
  <c r="T206" i="3"/>
  <c r="U206" i="3" s="1"/>
  <c r="T208" i="3"/>
  <c r="U208" i="3" s="1"/>
  <c r="T210" i="3"/>
  <c r="U210" i="3" s="1"/>
  <c r="T212" i="3"/>
  <c r="U212" i="3" s="1"/>
  <c r="T214" i="3"/>
  <c r="U214" i="3" s="1"/>
  <c r="T216" i="3"/>
  <c r="U216" i="3" s="1"/>
  <c r="T218" i="3"/>
  <c r="U218" i="3" s="1"/>
  <c r="T220" i="3"/>
  <c r="U220" i="3" s="1"/>
  <c r="T221" i="3"/>
  <c r="U221" i="3" s="1"/>
  <c r="T225" i="3"/>
  <c r="U225" i="3" s="1"/>
  <c r="T229" i="3"/>
  <c r="U229" i="3" s="1"/>
  <c r="T232" i="3"/>
  <c r="U232" i="3" s="1"/>
  <c r="T236" i="3"/>
  <c r="U236" i="3" s="1"/>
  <c r="T240" i="3"/>
  <c r="U240" i="3" s="1"/>
  <c r="T246" i="3"/>
  <c r="U246" i="3" s="1"/>
  <c r="T251" i="3"/>
  <c r="U251" i="3" s="1"/>
  <c r="T255" i="3"/>
  <c r="U255" i="3" s="1"/>
  <c r="T259" i="3"/>
  <c r="U259" i="3" s="1"/>
  <c r="T264" i="3"/>
  <c r="U264" i="3" s="1"/>
  <c r="T269" i="3"/>
  <c r="U269" i="3" s="1"/>
  <c r="T272" i="3"/>
  <c r="U272" i="3" s="1"/>
  <c r="T276" i="3"/>
  <c r="U276" i="3" s="1"/>
  <c r="T280" i="3"/>
  <c r="U280" i="3" s="1"/>
  <c r="T286" i="3"/>
  <c r="U286" i="3" s="1"/>
  <c r="T289" i="3"/>
  <c r="U289" i="3" s="1"/>
  <c r="T315" i="3"/>
  <c r="U315" i="3" s="1"/>
  <c r="T318" i="3"/>
  <c r="U318" i="3" s="1"/>
  <c r="T320" i="3"/>
  <c r="U320" i="3" s="1"/>
  <c r="T324" i="3"/>
  <c r="U324" i="3" s="1"/>
  <c r="T326" i="3"/>
  <c r="U326" i="3" s="1"/>
  <c r="T329" i="3"/>
  <c r="U329" i="3" s="1"/>
  <c r="T334" i="3"/>
  <c r="U334" i="3" s="1"/>
  <c r="T337" i="3"/>
  <c r="U337" i="3" s="1"/>
  <c r="T341" i="3"/>
  <c r="U341" i="3" s="1"/>
  <c r="T346" i="3"/>
  <c r="U346" i="3" s="1"/>
  <c r="T351" i="3"/>
  <c r="U351" i="3" s="1"/>
  <c r="T355" i="3"/>
  <c r="U355" i="3" s="1"/>
  <c r="T359" i="3"/>
  <c r="U359" i="3" s="1"/>
  <c r="T363" i="3"/>
  <c r="U363" i="3" s="1"/>
  <c r="T367" i="3"/>
  <c r="U367" i="3" s="1"/>
  <c r="T372" i="3"/>
  <c r="U372" i="3" s="1"/>
  <c r="T375" i="3"/>
  <c r="U375" i="3" s="1"/>
  <c r="T380" i="3"/>
  <c r="U380" i="3" s="1"/>
  <c r="T384" i="3"/>
  <c r="U384" i="3" s="1"/>
  <c r="T388" i="3"/>
  <c r="U388" i="3" s="1"/>
  <c r="T392" i="3"/>
  <c r="U392" i="3" s="1"/>
  <c r="T397" i="3"/>
  <c r="U397" i="3" s="1"/>
  <c r="T401" i="3"/>
  <c r="U401" i="3" s="1"/>
  <c r="T405" i="3"/>
  <c r="U405" i="3" s="1"/>
  <c r="T409" i="3"/>
  <c r="U409" i="3" s="1"/>
  <c r="T413" i="3"/>
  <c r="U413" i="3" s="1"/>
  <c r="T109" i="3"/>
  <c r="U109" i="3" s="1"/>
  <c r="T113" i="3"/>
  <c r="U113" i="3" s="1"/>
  <c r="T117" i="3"/>
  <c r="U117" i="3" s="1"/>
  <c r="T121" i="3"/>
  <c r="U121" i="3" s="1"/>
  <c r="T126" i="3"/>
  <c r="U126" i="3" s="1"/>
  <c r="T129" i="3"/>
  <c r="U129" i="3" s="1"/>
  <c r="T133" i="3"/>
  <c r="U133" i="3" s="1"/>
  <c r="T136" i="3"/>
  <c r="U136" i="3" s="1"/>
  <c r="T140" i="3"/>
  <c r="U140" i="3" s="1"/>
  <c r="T145" i="3"/>
  <c r="U145" i="3" s="1"/>
  <c r="T148" i="3"/>
  <c r="U148" i="3" s="1"/>
  <c r="T151" i="3"/>
  <c r="U151" i="3" s="1"/>
  <c r="T154" i="3"/>
  <c r="U154" i="3" s="1"/>
  <c r="T157" i="3"/>
  <c r="U157" i="3" s="1"/>
  <c r="T161" i="3"/>
  <c r="U161" i="3" s="1"/>
  <c r="T166" i="3"/>
  <c r="U166" i="3" s="1"/>
  <c r="T167" i="3"/>
  <c r="U167" i="3" s="1"/>
  <c r="T171" i="3"/>
  <c r="U171" i="3" s="1"/>
  <c r="T174" i="3"/>
  <c r="U174" i="3" s="1"/>
  <c r="T179" i="3"/>
  <c r="U179" i="3" s="1"/>
  <c r="T181" i="3"/>
  <c r="U181" i="3" s="1"/>
  <c r="T185" i="3"/>
  <c r="U185" i="3" s="1"/>
  <c r="T190" i="3"/>
  <c r="U190" i="3" s="1"/>
  <c r="T193" i="3"/>
  <c r="U193" i="3" s="1"/>
  <c r="T197" i="3"/>
  <c r="U197" i="3" s="1"/>
  <c r="T201" i="3"/>
  <c r="U201" i="3" s="1"/>
  <c r="T202" i="3"/>
  <c r="U202" i="3" s="1"/>
  <c r="T222" i="3"/>
  <c r="U222" i="3" s="1"/>
  <c r="T224" i="3"/>
  <c r="U224" i="3" s="1"/>
  <c r="T227" i="3"/>
  <c r="U227" i="3" s="1"/>
  <c r="T228" i="3"/>
  <c r="U228" i="3" s="1"/>
  <c r="T231" i="3"/>
  <c r="U231" i="3" s="1"/>
  <c r="T235" i="3"/>
  <c r="U235" i="3" s="1"/>
  <c r="T239" i="3"/>
  <c r="U239" i="3" s="1"/>
  <c r="T243" i="3"/>
  <c r="U243" i="3" s="1"/>
  <c r="T244" i="3"/>
  <c r="U244" i="3" s="1"/>
  <c r="T248" i="3"/>
  <c r="U248" i="3" s="1"/>
  <c r="T250" i="3"/>
  <c r="U250" i="3" s="1"/>
  <c r="T254" i="3"/>
  <c r="U254" i="3" s="1"/>
  <c r="T257" i="3"/>
  <c r="U257" i="3" s="1"/>
  <c r="T261" i="3"/>
  <c r="U261" i="3" s="1"/>
  <c r="T265" i="3"/>
  <c r="U265" i="3" s="1"/>
  <c r="T268" i="3"/>
  <c r="U268" i="3" s="1"/>
  <c r="T271" i="3"/>
  <c r="U271" i="3" s="1"/>
  <c r="T275" i="3"/>
  <c r="U275" i="3" s="1"/>
  <c r="T277" i="3"/>
  <c r="U277" i="3" s="1"/>
  <c r="T281" i="3"/>
  <c r="U281" i="3" s="1"/>
  <c r="T284" i="3"/>
  <c r="U284" i="3" s="1"/>
  <c r="T288" i="3"/>
  <c r="U288" i="3" s="1"/>
  <c r="T292" i="3"/>
  <c r="U292" i="3" s="1"/>
  <c r="T293" i="3"/>
  <c r="U293" i="3" s="1"/>
  <c r="T295" i="3"/>
  <c r="U295" i="3" s="1"/>
  <c r="T298" i="3"/>
  <c r="U298" i="3" s="1"/>
  <c r="T300" i="3"/>
  <c r="U300" i="3" s="1"/>
  <c r="T302" i="3"/>
  <c r="U302" i="3" s="1"/>
  <c r="T316" i="3"/>
  <c r="U316" i="3" s="1"/>
  <c r="T321" i="3"/>
  <c r="U321" i="3" s="1"/>
  <c r="T323" i="3"/>
  <c r="U323" i="3" s="1"/>
  <c r="T327" i="3"/>
  <c r="U327" i="3" s="1"/>
  <c r="T331" i="3"/>
  <c r="U331" i="3" s="1"/>
  <c r="T333" i="3"/>
  <c r="U333" i="3" s="1"/>
  <c r="T336" i="3"/>
  <c r="U336" i="3" s="1"/>
  <c r="T339" i="3"/>
  <c r="U339" i="3" s="1"/>
  <c r="T342" i="3"/>
  <c r="U342" i="3" s="1"/>
  <c r="T347" i="3"/>
  <c r="U347" i="3" s="1"/>
  <c r="T350" i="3"/>
  <c r="U350" i="3" s="1"/>
  <c r="T353" i="3"/>
  <c r="U353" i="3" s="1"/>
  <c r="T357" i="3"/>
  <c r="U357" i="3" s="1"/>
  <c r="T362" i="3"/>
  <c r="U362" i="3" s="1"/>
  <c r="T366" i="3"/>
  <c r="U366" i="3" s="1"/>
  <c r="T370" i="3"/>
  <c r="U370" i="3" s="1"/>
  <c r="T374" i="3"/>
  <c r="U374" i="3" s="1"/>
  <c r="T377" i="3"/>
  <c r="U377" i="3" s="1"/>
  <c r="T381" i="3"/>
  <c r="U381" i="3" s="1"/>
  <c r="T383" i="3"/>
  <c r="U383" i="3" s="1"/>
  <c r="T387" i="3"/>
  <c r="U387" i="3" s="1"/>
  <c r="T391" i="3"/>
  <c r="U391" i="3" s="1"/>
  <c r="T395" i="3"/>
  <c r="U395" i="3" s="1"/>
  <c r="T399" i="3"/>
  <c r="U399" i="3" s="1"/>
  <c r="T402" i="3"/>
  <c r="U402" i="3" s="1"/>
  <c r="T408" i="3"/>
  <c r="U408" i="3" s="1"/>
  <c r="T410" i="3"/>
  <c r="U410" i="3" s="1"/>
  <c r="T414" i="3"/>
  <c r="U414" i="3" s="1"/>
  <c r="T106" i="3"/>
  <c r="U106" i="3" s="1"/>
  <c r="T112" i="3"/>
  <c r="U112" i="3" s="1"/>
  <c r="T115" i="3"/>
  <c r="U115" i="3" s="1"/>
  <c r="T118" i="3"/>
  <c r="U118" i="3" s="1"/>
  <c r="T122" i="3"/>
  <c r="U122" i="3" s="1"/>
  <c r="T125" i="3"/>
  <c r="U125" i="3" s="1"/>
  <c r="T128" i="3"/>
  <c r="U128" i="3" s="1"/>
  <c r="T131" i="3"/>
  <c r="U131" i="3" s="1"/>
  <c r="T135" i="3"/>
  <c r="U135" i="3" s="1"/>
  <c r="T139" i="3"/>
  <c r="U139" i="3" s="1"/>
  <c r="T143" i="3"/>
  <c r="U143" i="3" s="1"/>
  <c r="T146" i="3"/>
  <c r="U146" i="3" s="1"/>
  <c r="T150" i="3"/>
  <c r="U150" i="3" s="1"/>
  <c r="T152" i="3"/>
  <c r="U152" i="3" s="1"/>
  <c r="T156" i="3"/>
  <c r="U156" i="3" s="1"/>
  <c r="T160" i="3"/>
  <c r="U160" i="3" s="1"/>
  <c r="T163" i="3"/>
  <c r="U163" i="3" s="1"/>
  <c r="T164" i="3"/>
  <c r="U164" i="3" s="1"/>
  <c r="T168" i="3"/>
  <c r="U168" i="3" s="1"/>
  <c r="T172" i="3"/>
  <c r="U172" i="3" s="1"/>
  <c r="T176" i="3"/>
  <c r="U176" i="3" s="1"/>
  <c r="T177" i="3"/>
  <c r="U177" i="3" s="1"/>
  <c r="T182" i="3"/>
  <c r="U182" i="3" s="1"/>
  <c r="T186" i="3"/>
  <c r="U186" i="3" s="1"/>
  <c r="T189" i="3"/>
  <c r="U189" i="3" s="1"/>
  <c r="T194" i="3"/>
  <c r="U194" i="3" s="1"/>
  <c r="T198" i="3"/>
  <c r="U198" i="3" s="1"/>
  <c r="T234" i="3"/>
  <c r="U234" i="3" s="1"/>
  <c r="T238" i="3"/>
  <c r="U238" i="3" s="1"/>
  <c r="T242" i="3"/>
  <c r="U242" i="3" s="1"/>
  <c r="T245" i="3"/>
  <c r="U245" i="3" s="1"/>
  <c r="T249" i="3"/>
  <c r="U249" i="3" s="1"/>
  <c r="T253" i="3"/>
  <c r="U253" i="3" s="1"/>
  <c r="T258" i="3"/>
  <c r="U258" i="3" s="1"/>
  <c r="T262" i="3"/>
  <c r="U262" i="3" s="1"/>
  <c r="T266" i="3"/>
  <c r="U266" i="3" s="1"/>
  <c r="T270" i="3"/>
  <c r="U270" i="3" s="1"/>
  <c r="T274" i="3"/>
  <c r="U274" i="3" s="1"/>
  <c r="T278" i="3"/>
  <c r="U278" i="3" s="1"/>
  <c r="T282" i="3"/>
  <c r="U282" i="3" s="1"/>
  <c r="T285" i="3"/>
  <c r="U285" i="3" s="1"/>
  <c r="T290" i="3"/>
  <c r="U290" i="3" s="1"/>
  <c r="T294" i="3"/>
  <c r="U294" i="3" s="1"/>
  <c r="T297" i="3"/>
  <c r="U297" i="3" s="1"/>
  <c r="T301" i="3"/>
  <c r="U301" i="3" s="1"/>
  <c r="T304" i="3"/>
  <c r="U304" i="3" s="1"/>
  <c r="T306" i="3"/>
  <c r="U306" i="3" s="1"/>
  <c r="T308" i="3"/>
  <c r="U308" i="3" s="1"/>
  <c r="T310" i="3"/>
  <c r="U310" i="3" s="1"/>
  <c r="T311" i="3"/>
  <c r="U311" i="3" s="1"/>
  <c r="T328" i="3"/>
  <c r="U328" i="3" s="1"/>
  <c r="T332" i="3"/>
  <c r="U332" i="3" s="1"/>
  <c r="T338" i="3"/>
  <c r="U338" i="3" s="1"/>
  <c r="T343" i="3"/>
  <c r="U343" i="3" s="1"/>
  <c r="T345" i="3"/>
  <c r="U345" i="3" s="1"/>
  <c r="T349" i="3"/>
  <c r="U349" i="3" s="1"/>
  <c r="T354" i="3"/>
  <c r="U354" i="3" s="1"/>
  <c r="T358" i="3"/>
  <c r="U358" i="3" s="1"/>
  <c r="T361" i="3"/>
  <c r="U361" i="3" s="1"/>
  <c r="T365" i="3"/>
  <c r="U365" i="3" s="1"/>
  <c r="T369" i="3"/>
  <c r="U369" i="3" s="1"/>
  <c r="T373" i="3"/>
  <c r="U373" i="3" s="1"/>
  <c r="T378" i="3"/>
  <c r="U378" i="3" s="1"/>
  <c r="T382" i="3"/>
  <c r="U382" i="3" s="1"/>
  <c r="T386" i="3"/>
  <c r="U386" i="3" s="1"/>
  <c r="T390" i="3"/>
  <c r="U390" i="3" s="1"/>
  <c r="T393" i="3"/>
  <c r="U393" i="3" s="1"/>
  <c r="T396" i="3"/>
  <c r="U396" i="3" s="1"/>
  <c r="T400" i="3"/>
  <c r="U400" i="3" s="1"/>
  <c r="T403" i="3"/>
  <c r="U403" i="3" s="1"/>
  <c r="T406" i="3"/>
  <c r="U406" i="3" s="1"/>
  <c r="T411" i="3"/>
  <c r="U411" i="3" s="1"/>
  <c r="T415" i="3"/>
  <c r="U415" i="3" s="1"/>
  <c r="T3" i="3"/>
  <c r="U3" i="3" s="1"/>
  <c r="T7" i="3"/>
  <c r="U7" i="3" s="1"/>
  <c r="T9" i="3"/>
  <c r="U9" i="3" s="1"/>
  <c r="T12" i="3"/>
  <c r="U12" i="3" s="1"/>
  <c r="T15" i="3"/>
  <c r="U15" i="3" s="1"/>
  <c r="T18" i="3"/>
  <c r="U18" i="3" s="1"/>
  <c r="T20" i="3"/>
  <c r="U20" i="3" s="1"/>
  <c r="T24" i="3"/>
  <c r="U24" i="3" s="1"/>
  <c r="T25" i="3"/>
  <c r="U25" i="3" s="1"/>
  <c r="T27" i="3"/>
  <c r="U27" i="3" s="1"/>
  <c r="T30" i="3"/>
  <c r="U30" i="3" s="1"/>
  <c r="T32" i="3"/>
  <c r="U32" i="3" s="1"/>
  <c r="T35" i="3"/>
  <c r="U35" i="3" s="1"/>
  <c r="T38" i="3"/>
  <c r="U38" i="3" s="1"/>
  <c r="T41" i="3"/>
  <c r="U41" i="3" s="1"/>
  <c r="T69" i="3"/>
  <c r="U69" i="3" s="1"/>
  <c r="T72" i="3"/>
  <c r="U72" i="3" s="1"/>
  <c r="T78" i="3"/>
  <c r="U78" i="3" s="1"/>
  <c r="T81" i="3"/>
  <c r="U81" i="3" s="1"/>
  <c r="T89" i="3"/>
  <c r="U89" i="3" s="1"/>
  <c r="T95" i="3"/>
  <c r="U95" i="3" s="1"/>
  <c r="T100" i="3"/>
  <c r="U100" i="3" s="1"/>
  <c r="T105" i="3"/>
  <c r="U105" i="3" s="1"/>
  <c r="T14" i="3"/>
  <c r="U14" i="3" s="1"/>
  <c r="T21" i="3"/>
  <c r="U21" i="3" s="1"/>
  <c r="T31" i="3"/>
  <c r="U31" i="3" s="1"/>
  <c r="T60" i="3"/>
  <c r="U60" i="3" s="1"/>
  <c r="T70" i="3"/>
  <c r="U70" i="3" s="1"/>
  <c r="T76" i="3"/>
  <c r="U76" i="3" s="1"/>
  <c r="T79" i="3"/>
  <c r="U79" i="3" s="1"/>
  <c r="T88" i="3"/>
  <c r="U88" i="3" s="1"/>
  <c r="T96" i="3"/>
  <c r="U96" i="3" s="1"/>
  <c r="T101" i="3"/>
  <c r="U101" i="3" s="1"/>
  <c r="T44" i="3"/>
  <c r="U44" i="3" s="1"/>
  <c r="T47" i="3"/>
  <c r="U47" i="3" s="1"/>
  <c r="T49" i="3"/>
  <c r="U49" i="3" s="1"/>
  <c r="T53" i="3"/>
  <c r="U53" i="3" s="1"/>
  <c r="T56" i="3"/>
  <c r="U56" i="3" s="1"/>
  <c r="T61" i="3"/>
  <c r="U61" i="3" s="1"/>
  <c r="T64" i="3"/>
  <c r="U64" i="3" s="1"/>
  <c r="T67" i="3"/>
  <c r="U67" i="3" s="1"/>
  <c r="T71" i="3"/>
  <c r="U71" i="3" s="1"/>
  <c r="T75" i="3"/>
  <c r="U75" i="3" s="1"/>
  <c r="T86" i="3"/>
  <c r="U86" i="3" s="1"/>
  <c r="T92" i="3"/>
  <c r="U92" i="3" s="1"/>
  <c r="T97" i="3"/>
  <c r="U97" i="3" s="1"/>
  <c r="T103" i="3"/>
  <c r="U103" i="3" s="1"/>
  <c r="T107" i="3"/>
  <c r="U107" i="3" s="1"/>
  <c r="T6" i="3"/>
  <c r="U6" i="3" s="1"/>
  <c r="T11" i="3"/>
  <c r="U11" i="3" s="1"/>
  <c r="T17" i="3"/>
  <c r="U17" i="3" s="1"/>
  <c r="T28" i="3"/>
  <c r="U28" i="3" s="1"/>
  <c r="T57" i="3"/>
  <c r="U57" i="3" s="1"/>
  <c r="T59" i="3"/>
  <c r="U59" i="3" s="1"/>
  <c r="T66" i="3"/>
  <c r="U66" i="3" s="1"/>
  <c r="T73" i="3"/>
  <c r="U73" i="3" s="1"/>
  <c r="T85" i="3"/>
  <c r="U85" i="3" s="1"/>
  <c r="T91" i="3"/>
  <c r="U91" i="3" s="1"/>
  <c r="T99" i="3"/>
  <c r="U99" i="3" s="1"/>
  <c r="T34" i="3"/>
  <c r="U34" i="3" s="1"/>
  <c r="T37" i="3"/>
  <c r="U37" i="3" s="1"/>
  <c r="T40" i="3"/>
  <c r="U40" i="3" s="1"/>
  <c r="T43" i="3"/>
  <c r="U43" i="3" s="1"/>
  <c r="T46" i="3"/>
  <c r="U46" i="3" s="1"/>
  <c r="T50" i="3"/>
  <c r="U50" i="3" s="1"/>
  <c r="T52" i="3"/>
  <c r="U52" i="3" s="1"/>
  <c r="T55" i="3"/>
  <c r="U55" i="3" s="1"/>
  <c r="T58" i="3"/>
  <c r="U58" i="3" s="1"/>
  <c r="T63" i="3"/>
  <c r="U63" i="3" s="1"/>
  <c r="T65" i="3"/>
  <c r="U65" i="3" s="1"/>
  <c r="T68" i="3"/>
  <c r="U68" i="3" s="1"/>
  <c r="T74" i="3"/>
  <c r="U74" i="3" s="1"/>
  <c r="T77" i="3"/>
  <c r="U77" i="3" s="1"/>
  <c r="T80" i="3"/>
  <c r="U80" i="3" s="1"/>
  <c r="T83" i="3"/>
  <c r="U83" i="3" s="1"/>
  <c r="T84" i="3"/>
  <c r="U84" i="3" s="1"/>
  <c r="T87" i="3"/>
  <c r="U87" i="3" s="1"/>
  <c r="T90" i="3"/>
  <c r="U90" i="3" s="1"/>
  <c r="T93" i="3"/>
  <c r="U93" i="3" s="1"/>
  <c r="T98" i="3"/>
  <c r="U98" i="3" s="1"/>
  <c r="T102" i="3"/>
  <c r="U102" i="3" s="1"/>
  <c r="T104" i="3"/>
  <c r="U104" i="3" s="1"/>
  <c r="T4" i="3"/>
  <c r="U4" i="3" s="1"/>
  <c r="T5" i="3"/>
  <c r="U5" i="3" s="1"/>
  <c r="T8" i="3"/>
  <c r="U8" i="3" s="1"/>
  <c r="T10" i="3"/>
  <c r="U10" i="3" s="1"/>
  <c r="T13" i="3"/>
  <c r="U13" i="3" s="1"/>
  <c r="T16" i="3"/>
  <c r="U16" i="3" s="1"/>
  <c r="T19" i="3"/>
  <c r="U19" i="3" s="1"/>
  <c r="T22" i="3"/>
  <c r="U22" i="3" s="1"/>
  <c r="T23" i="3"/>
  <c r="U23" i="3" s="1"/>
  <c r="T26" i="3"/>
  <c r="U26" i="3" s="1"/>
  <c r="T29" i="3"/>
  <c r="U29" i="3" s="1"/>
  <c r="T33" i="3"/>
  <c r="U33" i="3" s="1"/>
  <c r="T36" i="3"/>
  <c r="U36" i="3" s="1"/>
  <c r="T39" i="3"/>
  <c r="U39" i="3" s="1"/>
  <c r="T42" i="3"/>
  <c r="U42" i="3" s="1"/>
  <c r="T45" i="3"/>
  <c r="U45" i="3" s="1"/>
  <c r="T48" i="3"/>
  <c r="U48" i="3" s="1"/>
  <c r="T51" i="3"/>
  <c r="U51" i="3" s="1"/>
  <c r="T54" i="3"/>
  <c r="U54" i="3" s="1"/>
  <c r="T62" i="3"/>
  <c r="U62" i="3" s="1"/>
  <c r="T82" i="3"/>
  <c r="U82" i="3" s="1"/>
  <c r="T94" i="3"/>
  <c r="U9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BFE43839-71BC-4A53-893D-90C2CF12E771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<sst xmlns="http://schemas.openxmlformats.org/spreadsheetml/2006/main" count="2616" uniqueCount="1171">
  <si>
    <t>BD404104</t>
  </si>
  <si>
    <t>BD302602</t>
  </si>
  <si>
    <t>BD501006</t>
  </si>
  <si>
    <t>BD555202</t>
  </si>
  <si>
    <t>BD100602</t>
  </si>
  <si>
    <t>BD603602</t>
  </si>
  <si>
    <t>BD201202</t>
  </si>
  <si>
    <t>BD503813</t>
  </si>
  <si>
    <t>BD401807</t>
  </si>
  <si>
    <t>BD302903</t>
  </si>
  <si>
    <t>BD200304</t>
  </si>
  <si>
    <t>BD201504</t>
  </si>
  <si>
    <t>BD306702</t>
  </si>
  <si>
    <t>BD201233</t>
  </si>
  <si>
    <t>BD408704</t>
  </si>
  <si>
    <t>BD507605</t>
  </si>
  <si>
    <t>BD457204</t>
  </si>
  <si>
    <t>BD506403</t>
  </si>
  <si>
    <t>BD557704</t>
  </si>
  <si>
    <t>BD304802</t>
  </si>
  <si>
    <t>BD100603</t>
  </si>
  <si>
    <t>BD506406</t>
  </si>
  <si>
    <t>BD558503</t>
  </si>
  <si>
    <t>BD302604</t>
  </si>
  <si>
    <t>BD506909</t>
  </si>
  <si>
    <t>BD400108</t>
  </si>
  <si>
    <t>BD508110</t>
  </si>
  <si>
    <t>BD208407</t>
  </si>
  <si>
    <t>BD404109</t>
  </si>
  <si>
    <t>BD508112</t>
  </si>
  <si>
    <t>BD603605</t>
  </si>
  <si>
    <t>BD304806</t>
  </si>
  <si>
    <t>BD201510</t>
  </si>
  <si>
    <t>BD100607</t>
  </si>
  <si>
    <t>BD453907</t>
  </si>
  <si>
    <t>BD609108</t>
  </si>
  <si>
    <t>BD308207</t>
  </si>
  <si>
    <t>BD559408</t>
  </si>
  <si>
    <t>BD100419</t>
  </si>
  <si>
    <t>BD100610</t>
  </si>
  <si>
    <t>BD201204</t>
  </si>
  <si>
    <t>BD306706</t>
  </si>
  <si>
    <t>BD200314</t>
  </si>
  <si>
    <t>BD302605</t>
  </si>
  <si>
    <t>BD603611</t>
  </si>
  <si>
    <t>BD201508</t>
  </si>
  <si>
    <t>BD506915</t>
  </si>
  <si>
    <t>BD100428</t>
  </si>
  <si>
    <t>BD457209</t>
  </si>
  <si>
    <t>BD100651</t>
  </si>
  <si>
    <t>BD208421</t>
  </si>
  <si>
    <t>BD605814</t>
  </si>
  <si>
    <t>BD201909</t>
  </si>
  <si>
    <t>BD309309</t>
  </si>
  <si>
    <t>BD404712</t>
  </si>
  <si>
    <t>BD107838</t>
  </si>
  <si>
    <t>BD201506</t>
  </si>
  <si>
    <t>BD609117</t>
  </si>
  <si>
    <t>BD207507</t>
  </si>
  <si>
    <t>BD306807</t>
  </si>
  <si>
    <t>BD208429</t>
  </si>
  <si>
    <t>BD508811</t>
  </si>
  <si>
    <t>BD507616</t>
  </si>
  <si>
    <t>BD100447</t>
  </si>
  <si>
    <t>BD304811</t>
  </si>
  <si>
    <t>BD456113</t>
  </si>
  <si>
    <t>BD107914</t>
  </si>
  <si>
    <t>BD302910</t>
  </si>
  <si>
    <t>BD507619</t>
  </si>
  <si>
    <t>BD308614</t>
  </si>
  <si>
    <t>BD405015</t>
  </si>
  <si>
    <t>BD100918</t>
  </si>
  <si>
    <t>BD507018</t>
  </si>
  <si>
    <t>BD309319</t>
  </si>
  <si>
    <t>BD554906</t>
  </si>
  <si>
    <t>BD201207</t>
  </si>
  <si>
    <t>BD302606</t>
  </si>
  <si>
    <t>BD552717</t>
  </si>
  <si>
    <t>BD552710</t>
  </si>
  <si>
    <t>BD552712</t>
  </si>
  <si>
    <t>BD609018</t>
  </si>
  <si>
    <t>BD609120</t>
  </si>
  <si>
    <t>BD508122</t>
  </si>
  <si>
    <t>BD201512</t>
  </si>
  <si>
    <t>BD302918</t>
  </si>
  <si>
    <t>BD552721</t>
  </si>
  <si>
    <t>BD557725</t>
  </si>
  <si>
    <t>BD501020</t>
  </si>
  <si>
    <t>BD201915</t>
  </si>
  <si>
    <t>BD201213</t>
  </si>
  <si>
    <t>BD100921</t>
  </si>
  <si>
    <t>BD201918</t>
  </si>
  <si>
    <t>BD302608</t>
  </si>
  <si>
    <t>BD302609</t>
  </si>
  <si>
    <t>BD202216</t>
  </si>
  <si>
    <t>BD201518</t>
  </si>
  <si>
    <t>BD201519</t>
  </si>
  <si>
    <t>BD201927</t>
  </si>
  <si>
    <t>BD201322</t>
  </si>
  <si>
    <t>BD302921</t>
  </si>
  <si>
    <t>BD100925</t>
  </si>
  <si>
    <t>BD554908</t>
  </si>
  <si>
    <t>BD508125</t>
  </si>
  <si>
    <t>BD207510</t>
  </si>
  <si>
    <t>BD507622</t>
  </si>
  <si>
    <t>BD201931</t>
  </si>
  <si>
    <t>BD404111</t>
  </si>
  <si>
    <t>BD508827</t>
  </si>
  <si>
    <t>BD203014</t>
  </si>
  <si>
    <t>BD609023</t>
  </si>
  <si>
    <t>BD554909</t>
  </si>
  <si>
    <t>BD552730</t>
  </si>
  <si>
    <t>BD400114</t>
  </si>
  <si>
    <t>BD201520</t>
  </si>
  <si>
    <t>BD401823</t>
  </si>
  <si>
    <t>BD603626</t>
  </si>
  <si>
    <t>BD201967</t>
  </si>
  <si>
    <t>BD201933</t>
  </si>
  <si>
    <t>BD207521</t>
  </si>
  <si>
    <t>BD609127</t>
  </si>
  <si>
    <t>BD202224</t>
  </si>
  <si>
    <t>BD404717</t>
  </si>
  <si>
    <t>BD203025</t>
  </si>
  <si>
    <t>BD609027</t>
  </si>
  <si>
    <t>BD609131</t>
  </si>
  <si>
    <t>BD302610</t>
  </si>
  <si>
    <t>BD308625</t>
  </si>
  <si>
    <t>BD401831</t>
  </si>
  <si>
    <t>BD302611</t>
  </si>
  <si>
    <t>BD107852</t>
  </si>
  <si>
    <t>BD201936</t>
  </si>
  <si>
    <t>BD100929</t>
  </si>
  <si>
    <t>BD305610</t>
  </si>
  <si>
    <t>BD404721</t>
  </si>
  <si>
    <t>BD405039</t>
  </si>
  <si>
    <t>BD408725</t>
  </si>
  <si>
    <t>BD201940</t>
  </si>
  <si>
    <t>BD557734</t>
  </si>
  <si>
    <t>BD309323</t>
  </si>
  <si>
    <t>BD302612</t>
  </si>
  <si>
    <t>BD609029</t>
  </si>
  <si>
    <t>BD453915</t>
  </si>
  <si>
    <t>BD506428</t>
  </si>
  <si>
    <t>BD302614</t>
  </si>
  <si>
    <t>BD309325</t>
  </si>
  <si>
    <t>BD302616</t>
  </si>
  <si>
    <t>BD609032</t>
  </si>
  <si>
    <t>BD456116</t>
  </si>
  <si>
    <t>BD501027</t>
  </si>
  <si>
    <t>BD501033</t>
  </si>
  <si>
    <t>BD404740</t>
  </si>
  <si>
    <t>BD204643</t>
  </si>
  <si>
    <t>BD557312</t>
  </si>
  <si>
    <t>BD552764</t>
  </si>
  <si>
    <t>BD302618</t>
  </si>
  <si>
    <t>BD557315</t>
  </si>
  <si>
    <t>BD201528</t>
  </si>
  <si>
    <t>BD609033</t>
  </si>
  <si>
    <t>BD107855</t>
  </si>
  <si>
    <t>BD404730</t>
  </si>
  <si>
    <t>BD457218</t>
  </si>
  <si>
    <t>BD508131</t>
  </si>
  <si>
    <t>BD400134</t>
  </si>
  <si>
    <t>BD201345</t>
  </si>
  <si>
    <t>BD507633</t>
  </si>
  <si>
    <t>BD302947</t>
  </si>
  <si>
    <t>BD201533</t>
  </si>
  <si>
    <t>BD609135</t>
  </si>
  <si>
    <t>BD203029</t>
  </si>
  <si>
    <t>BD552738</t>
  </si>
  <si>
    <t>BD456120</t>
  </si>
  <si>
    <t>BD553221</t>
  </si>
  <si>
    <t>BD203041</t>
  </si>
  <si>
    <t>BD501040</t>
  </si>
  <si>
    <t>BD456122</t>
  </si>
  <si>
    <t>BD553224</t>
  </si>
  <si>
    <t>BD558527</t>
  </si>
  <si>
    <t>BD405747</t>
  </si>
  <si>
    <t>BD456123</t>
  </si>
  <si>
    <t>BD100632</t>
  </si>
  <si>
    <t>BD305924</t>
  </si>
  <si>
    <t>BD303330</t>
  </si>
  <si>
    <t>BD302624</t>
  </si>
  <si>
    <t>BD309328</t>
  </si>
  <si>
    <t>BD305622</t>
  </si>
  <si>
    <t>BD552743</t>
  </si>
  <si>
    <t>BD308229</t>
  </si>
  <si>
    <t>BD553230</t>
  </si>
  <si>
    <t>BD508134</t>
  </si>
  <si>
    <t>BD609138</t>
  </si>
  <si>
    <t>BD507037</t>
  </si>
  <si>
    <t>BD303532</t>
  </si>
  <si>
    <t>BD309338</t>
  </si>
  <si>
    <t>BD308636</t>
  </si>
  <si>
    <t>BD609141</t>
  </si>
  <si>
    <t>BD302626</t>
  </si>
  <si>
    <t>BD506941</t>
  </si>
  <si>
    <t>BD603644</t>
  </si>
  <si>
    <t>BD201347</t>
  </si>
  <si>
    <t>BD201349</t>
  </si>
  <si>
    <t>BD552747</t>
  </si>
  <si>
    <t>BD201535</t>
  </si>
  <si>
    <t>BD456124</t>
  </si>
  <si>
    <t>BD404414</t>
  </si>
  <si>
    <t>BD559451</t>
  </si>
  <si>
    <t>BD305628</t>
  </si>
  <si>
    <t>BD201537</t>
  </si>
  <si>
    <t>BD555233</t>
  </si>
  <si>
    <t>BD207536</t>
  </si>
  <si>
    <t>BD302628</t>
  </si>
  <si>
    <t>BD100636</t>
  </si>
  <si>
    <t>BD201954</t>
  </si>
  <si>
    <t>BD304827</t>
  </si>
  <si>
    <t>BD507639</t>
  </si>
  <si>
    <t>BD456131</t>
  </si>
  <si>
    <t>BD453929</t>
  </si>
  <si>
    <t>BD304833</t>
  </si>
  <si>
    <t>BD609047</t>
  </si>
  <si>
    <t>BD609153</t>
  </si>
  <si>
    <t>BD557336</t>
  </si>
  <si>
    <t>BD609050</t>
  </si>
  <si>
    <t>BD453936</t>
  </si>
  <si>
    <t>BD302629</t>
  </si>
  <si>
    <t>BD104240</t>
  </si>
  <si>
    <t>BD404419</t>
  </si>
  <si>
    <t>BD458937</t>
  </si>
  <si>
    <t>BD404123</t>
  </si>
  <si>
    <t>BD401855</t>
  </si>
  <si>
    <t>BD503847</t>
  </si>
  <si>
    <t>BD208447</t>
  </si>
  <si>
    <t>BD605835</t>
  </si>
  <si>
    <t>BD207547</t>
  </si>
  <si>
    <t>BD201358</t>
  </si>
  <si>
    <t>BD400138</t>
  </si>
  <si>
    <t>BD302632</t>
  </si>
  <si>
    <t>BD302630</t>
  </si>
  <si>
    <t>BD501054</t>
  </si>
  <si>
    <t>BD552756</t>
  </si>
  <si>
    <t>BD107866</t>
  </si>
  <si>
    <t>BD302633</t>
  </si>
  <si>
    <t>BD503858</t>
  </si>
  <si>
    <t>BD408743</t>
  </si>
  <si>
    <t>BD406528</t>
  </si>
  <si>
    <t>BD303332</t>
  </si>
  <si>
    <t>BD303334</t>
  </si>
  <si>
    <t>BD404433</t>
  </si>
  <si>
    <t>BD408747</t>
  </si>
  <si>
    <t>BD555239</t>
  </si>
  <si>
    <t>BD309347</t>
  </si>
  <si>
    <t>BD305440</t>
  </si>
  <si>
    <t>BD457240</t>
  </si>
  <si>
    <t>BD308247</t>
  </si>
  <si>
    <t>BD605856</t>
  </si>
  <si>
    <t>BD205133</t>
  </si>
  <si>
    <t>BD508844</t>
  </si>
  <si>
    <t>BD302634</t>
  </si>
  <si>
    <t>BD609159</t>
  </si>
  <si>
    <t>BD104243</t>
  </si>
  <si>
    <t>BD303336</t>
  </si>
  <si>
    <t>BD208436</t>
  </si>
  <si>
    <t>BD304842</t>
  </si>
  <si>
    <t>BD201263</t>
  </si>
  <si>
    <t>BD303543</t>
  </si>
  <si>
    <t>BD304845</t>
  </si>
  <si>
    <t>BD558542</t>
  </si>
  <si>
    <t>BD107947</t>
  </si>
  <si>
    <t>BD208425</t>
  </si>
  <si>
    <t>BD508850</t>
  </si>
  <si>
    <t>BD457247</t>
  </si>
  <si>
    <t>BD302638</t>
  </si>
  <si>
    <t>BD404138</t>
  </si>
  <si>
    <t>BD204649</t>
  </si>
  <si>
    <t>BD457238</t>
  </si>
  <si>
    <t>BD404745</t>
  </si>
  <si>
    <t>BD404748</t>
  </si>
  <si>
    <t>BD552760</t>
  </si>
  <si>
    <t>BD503861</t>
  </si>
  <si>
    <t>BD302636</t>
  </si>
  <si>
    <t>BD302637</t>
  </si>
  <si>
    <t>BD405063</t>
  </si>
  <si>
    <t>BD404751</t>
  </si>
  <si>
    <t>BD201543</t>
  </si>
  <si>
    <t>BD557345</t>
  </si>
  <si>
    <t>BD304849</t>
  </si>
  <si>
    <t>BD303551</t>
  </si>
  <si>
    <t>BD404442</t>
  </si>
  <si>
    <t>BD201541</t>
  </si>
  <si>
    <t>BD302640</t>
  </si>
  <si>
    <t>BD404147</t>
  </si>
  <si>
    <t>BD404753</t>
  </si>
  <si>
    <t>BD605865</t>
  </si>
  <si>
    <t>BD304854</t>
  </si>
  <si>
    <t>BD405071</t>
  </si>
  <si>
    <t>BD554952</t>
  </si>
  <si>
    <t>BD405079</t>
  </si>
  <si>
    <t>BD202245</t>
  </si>
  <si>
    <t>BD603668</t>
  </si>
  <si>
    <t>BD201972</t>
  </si>
  <si>
    <t>BD204661</t>
  </si>
  <si>
    <t>BD205143</t>
  </si>
  <si>
    <t>BD302642</t>
  </si>
  <si>
    <t>BD100954</t>
  </si>
  <si>
    <t>BD555255</t>
  </si>
  <si>
    <t>BD506944</t>
  </si>
  <si>
    <t>BD200351</t>
  </si>
  <si>
    <t>BD208458</t>
  </si>
  <si>
    <t>BD201547</t>
  </si>
  <si>
    <t>BD406552</t>
  </si>
  <si>
    <t>BD305944</t>
  </si>
  <si>
    <t>BD457256</t>
  </si>
  <si>
    <t>BD453958</t>
  </si>
  <si>
    <t>BD305454</t>
  </si>
  <si>
    <t>BD603671</t>
  </si>
  <si>
    <t>BD302956</t>
  </si>
  <si>
    <t>BD309357</t>
  </si>
  <si>
    <t>BD405557</t>
  </si>
  <si>
    <t>BD506450</t>
  </si>
  <si>
    <t>BD204665</t>
  </si>
  <si>
    <t>BD202249</t>
  </si>
  <si>
    <t>BD404471</t>
  </si>
  <si>
    <t>BD506447</t>
  </si>
  <si>
    <t>BD204667</t>
  </si>
  <si>
    <t>BD305646</t>
  </si>
  <si>
    <t>BD404161</t>
  </si>
  <si>
    <t>BD306852</t>
  </si>
  <si>
    <t>BD201974</t>
  </si>
  <si>
    <t>BD100965</t>
  </si>
  <si>
    <t>BD107958</t>
  </si>
  <si>
    <t>BD508140</t>
  </si>
  <si>
    <t>BD204670</t>
  </si>
  <si>
    <t>BD201376</t>
  </si>
  <si>
    <t>BD201379</t>
  </si>
  <si>
    <t>BD605874</t>
  </si>
  <si>
    <t>BD201975</t>
  </si>
  <si>
    <t>BD100662</t>
  </si>
  <si>
    <t>BD405787</t>
  </si>
  <si>
    <t>BD453961</t>
  </si>
  <si>
    <t>BD302648</t>
  </si>
  <si>
    <t>BD405094</t>
  </si>
  <si>
    <t>BD201553</t>
  </si>
  <si>
    <t>BD107876</t>
  </si>
  <si>
    <t>BD309366</t>
  </si>
  <si>
    <t>BD558558</t>
  </si>
  <si>
    <t>BD304859</t>
  </si>
  <si>
    <t>BD302650</t>
  </si>
  <si>
    <t>BD405566</t>
  </si>
  <si>
    <t>BD457263</t>
  </si>
  <si>
    <t>BD508153</t>
  </si>
  <si>
    <t>BD400156</t>
  </si>
  <si>
    <t>BD400158</t>
  </si>
  <si>
    <t>BD400160</t>
  </si>
  <si>
    <t>BD302654</t>
  </si>
  <si>
    <t>BD405760</t>
  </si>
  <si>
    <t>BD303558</t>
  </si>
  <si>
    <t>BD456165</t>
  </si>
  <si>
    <t>BD100669</t>
  </si>
  <si>
    <t>BD305956</t>
  </si>
  <si>
    <t>BD201981</t>
  </si>
  <si>
    <t>BD456152</t>
  </si>
  <si>
    <t>BD603677</t>
  </si>
  <si>
    <t>BD201285</t>
  </si>
  <si>
    <t>BD507056</t>
  </si>
  <si>
    <t>BD302962</t>
  </si>
  <si>
    <t>BD309376</t>
  </si>
  <si>
    <t>BD554961</t>
  </si>
  <si>
    <t>BD200373</t>
  </si>
  <si>
    <t>BD458967</t>
  </si>
  <si>
    <t>BD104273</t>
  </si>
  <si>
    <t>BD458970</t>
  </si>
  <si>
    <t>BD456172</t>
  </si>
  <si>
    <t>BD501067</t>
  </si>
  <si>
    <t>BD201987</t>
  </si>
  <si>
    <t>BD208475</t>
  </si>
  <si>
    <t>BD506460</t>
  </si>
  <si>
    <t>BD406576</t>
  </si>
  <si>
    <t>BD306758</t>
  </si>
  <si>
    <t>BD308665</t>
  </si>
  <si>
    <t>BD306860</t>
  </si>
  <si>
    <t>BD201290</t>
  </si>
  <si>
    <t>BD506963</t>
  </si>
  <si>
    <t>BD302662</t>
  </si>
  <si>
    <t>BD552769</t>
  </si>
  <si>
    <t>BD507066</t>
  </si>
  <si>
    <t>BD107976</t>
  </si>
  <si>
    <t>BD107987</t>
  </si>
  <si>
    <t>BD457274</t>
  </si>
  <si>
    <t>BD302663</t>
  </si>
  <si>
    <t>BD506469</t>
  </si>
  <si>
    <t>BD304876</t>
  </si>
  <si>
    <t>BD557364</t>
  </si>
  <si>
    <t>BD207587</t>
  </si>
  <si>
    <t>BD508172</t>
  </si>
  <si>
    <t>BD507655</t>
  </si>
  <si>
    <t>BD201555</t>
  </si>
  <si>
    <t>BD404764</t>
  </si>
  <si>
    <t>BD304879</t>
  </si>
  <si>
    <t>BD306863</t>
  </si>
  <si>
    <t>BD553267</t>
  </si>
  <si>
    <t>BD302664</t>
  </si>
  <si>
    <t>BD302665</t>
  </si>
  <si>
    <t>BD557773</t>
  </si>
  <si>
    <t>BD503874</t>
  </si>
  <si>
    <t>BD204677</t>
  </si>
  <si>
    <t>BD201557</t>
  </si>
  <si>
    <t>BD308273</t>
  </si>
  <si>
    <t>BD552777</t>
  </si>
  <si>
    <t>BD203051</t>
  </si>
  <si>
    <t>BD201565</t>
  </si>
  <si>
    <t>BD555270</t>
  </si>
  <si>
    <t>BD100485</t>
  </si>
  <si>
    <t>BD201561</t>
  </si>
  <si>
    <t>BD506475</t>
  </si>
  <si>
    <t>BD107895</t>
  </si>
  <si>
    <t>BD202256</t>
  </si>
  <si>
    <t>BD554918</t>
  </si>
  <si>
    <t>BD456181</t>
  </si>
  <si>
    <t>BD404769</t>
  </si>
  <si>
    <t>BD558573</t>
  </si>
  <si>
    <t>BD558576</t>
  </si>
  <si>
    <t>BD559482</t>
  </si>
  <si>
    <t>BD107980</t>
  </si>
  <si>
    <t>BD506479</t>
  </si>
  <si>
    <t>BD457283</t>
  </si>
  <si>
    <t>BD508182</t>
  </si>
  <si>
    <t>BD104284</t>
  </si>
  <si>
    <t>BD554977</t>
  </si>
  <si>
    <t>BD208478</t>
  </si>
  <si>
    <t>BD308276</t>
  </si>
  <si>
    <t>BD605880</t>
  </si>
  <si>
    <t>BD305480</t>
  </si>
  <si>
    <t>BD508185</t>
  </si>
  <si>
    <t>BD205165</t>
  </si>
  <si>
    <t>BD204680</t>
  </si>
  <si>
    <t>BD205173</t>
  </si>
  <si>
    <t>BD302666</t>
  </si>
  <si>
    <t>BD400173</t>
  </si>
  <si>
    <t>BD302667</t>
  </si>
  <si>
    <t>BD202266</t>
  </si>
  <si>
    <t>BD208487</t>
  </si>
  <si>
    <t>BD558549</t>
  </si>
  <si>
    <t>BD201570</t>
  </si>
  <si>
    <t>BD506485</t>
  </si>
  <si>
    <t>BD559486</t>
  </si>
  <si>
    <t>BD201574</t>
  </si>
  <si>
    <t>BD554979</t>
  </si>
  <si>
    <t>BD200389</t>
  </si>
  <si>
    <t>BD508861</t>
  </si>
  <si>
    <t>BD205158</t>
  </si>
  <si>
    <t>BD306864</t>
  </si>
  <si>
    <t>BD200391</t>
  </si>
  <si>
    <t>BD306768</t>
  </si>
  <si>
    <t>BD404775</t>
  </si>
  <si>
    <t>BD302668</t>
  </si>
  <si>
    <t>BD302984</t>
  </si>
  <si>
    <t>BD553282</t>
  </si>
  <si>
    <t>BD553288</t>
  </si>
  <si>
    <t>BD557385</t>
  </si>
  <si>
    <t>BD309385</t>
  </si>
  <si>
    <t>BD302990</t>
  </si>
  <si>
    <t>BD201578</t>
  </si>
  <si>
    <t>BD507672</t>
  </si>
  <si>
    <t>BD506486</t>
  </si>
  <si>
    <t>BD201294</t>
  </si>
  <si>
    <t>BD400177</t>
  </si>
  <si>
    <t>BD501081</t>
  </si>
  <si>
    <t>BD453985</t>
  </si>
  <si>
    <t>BD201582</t>
  </si>
  <si>
    <t>BD408782</t>
  </si>
  <si>
    <t>BD305670</t>
  </si>
  <si>
    <t>BD302672</t>
  </si>
  <si>
    <t>BD207580</t>
  </si>
  <si>
    <t>BD305974</t>
  </si>
  <si>
    <t>BD302674</t>
  </si>
  <si>
    <t>BD508190</t>
  </si>
  <si>
    <t>BD302675</t>
  </si>
  <si>
    <t>BD508867</t>
  </si>
  <si>
    <t>BD201395</t>
  </si>
  <si>
    <t>BD404480</t>
  </si>
  <si>
    <t>BD501085</t>
  </si>
  <si>
    <t>BD405585</t>
  </si>
  <si>
    <t>BD308669</t>
  </si>
  <si>
    <t>BD404190</t>
  </si>
  <si>
    <t>BD302680</t>
  </si>
  <si>
    <t>BD501088</t>
  </si>
  <si>
    <t>BD458988</t>
  </si>
  <si>
    <t>BD305487</t>
  </si>
  <si>
    <t>BD305678</t>
  </si>
  <si>
    <t>BD501094</t>
  </si>
  <si>
    <t>BD507088</t>
  </si>
  <si>
    <t>BD306876</t>
  </si>
  <si>
    <t>BD302676</t>
  </si>
  <si>
    <t>BD305682</t>
  </si>
  <si>
    <t>BD506991</t>
  </si>
  <si>
    <t>BD508878</t>
  </si>
  <si>
    <t>BD201586</t>
  </si>
  <si>
    <t>BD404785</t>
  </si>
  <si>
    <t>BD203094</t>
  </si>
  <si>
    <t>BD207583</t>
  </si>
  <si>
    <t>BD306704</t>
  </si>
  <si>
    <t>BD501095</t>
  </si>
  <si>
    <t>BD458990</t>
  </si>
  <si>
    <t>BD605883</t>
  </si>
  <si>
    <t>BD305984</t>
  </si>
  <si>
    <t>BD303386</t>
  </si>
  <si>
    <t>BD405595</t>
  </si>
  <si>
    <t>BD207585</t>
  </si>
  <si>
    <t>BD507683</t>
  </si>
  <si>
    <t>BD609086</t>
  </si>
  <si>
    <t>BD609089</t>
  </si>
  <si>
    <t>BD553291</t>
  </si>
  <si>
    <t>BD302688</t>
  </si>
  <si>
    <t>BD609162</t>
  </si>
  <si>
    <t>BD609092</t>
  </si>
  <si>
    <t>BD408790</t>
  </si>
  <si>
    <t>BD309395</t>
  </si>
  <si>
    <t>BD508194</t>
  </si>
  <si>
    <t>BD558592</t>
  </si>
  <si>
    <t>BD304892</t>
  </si>
  <si>
    <t>BD508889</t>
  </si>
  <si>
    <t>BD100991</t>
  </si>
  <si>
    <t>BD302690</t>
  </si>
  <si>
    <t>BD302692</t>
  </si>
  <si>
    <t>BD202290</t>
  </si>
  <si>
    <t>BD557790</t>
  </si>
  <si>
    <t>BD404794</t>
  </si>
  <si>
    <t>BD559494</t>
  </si>
  <si>
    <t>BD200395</t>
  </si>
  <si>
    <t>BD201994</t>
  </si>
  <si>
    <t>BD305994</t>
  </si>
  <si>
    <t>BD456194</t>
  </si>
  <si>
    <t>BD303591</t>
  </si>
  <si>
    <t>BD302693</t>
  </si>
  <si>
    <t>BD202294</t>
  </si>
  <si>
    <t>BD554994</t>
  </si>
  <si>
    <t>BD508894</t>
  </si>
  <si>
    <t>BD302696</t>
  </si>
  <si>
    <t>BD302695</t>
  </si>
  <si>
    <t>BD100694</t>
  </si>
  <si>
    <t>BD609194</t>
  </si>
  <si>
    <t>BD308694</t>
  </si>
  <si>
    <t>BD107990</t>
  </si>
  <si>
    <t>BD100409</t>
  </si>
  <si>
    <t>BD408786</t>
  </si>
  <si>
    <t>BD107857</t>
  </si>
  <si>
    <t>ADM3_PCODE</t>
  </si>
  <si>
    <t>District</t>
  </si>
  <si>
    <t>P Code</t>
  </si>
  <si>
    <t>Wind Gust</t>
  </si>
  <si>
    <t>Rainfall</t>
  </si>
  <si>
    <t>Storm Surge</t>
  </si>
  <si>
    <t>Amtali</t>
  </si>
  <si>
    <t>Barguna</t>
  </si>
  <si>
    <t>Bamna</t>
  </si>
  <si>
    <t>Barguna Sadar</t>
  </si>
  <si>
    <t>Betagi</t>
  </si>
  <si>
    <t>Patharghata</t>
  </si>
  <si>
    <t>Agailjhara</t>
  </si>
  <si>
    <t>Barisal</t>
  </si>
  <si>
    <t>Babuganj</t>
  </si>
  <si>
    <t>Bakerganj</t>
  </si>
  <si>
    <t>Banari Para</t>
  </si>
  <si>
    <t>Gaurnadi</t>
  </si>
  <si>
    <t>Hizla</t>
  </si>
  <si>
    <t>Mehendiganj</t>
  </si>
  <si>
    <t>Muladi</t>
  </si>
  <si>
    <t>Wazirpur</t>
  </si>
  <si>
    <t>Bhola Sadar</t>
  </si>
  <si>
    <t>Bhola</t>
  </si>
  <si>
    <t>Burhanuddin</t>
  </si>
  <si>
    <t>Char Fasson</t>
  </si>
  <si>
    <t>Lalmohan</t>
  </si>
  <si>
    <t>Manpura</t>
  </si>
  <si>
    <t>Tazumuddin</t>
  </si>
  <si>
    <t>Jhalokati Sadar</t>
  </si>
  <si>
    <t>Jhalokati</t>
  </si>
  <si>
    <t>Kanthalia</t>
  </si>
  <si>
    <t>Nalchity</t>
  </si>
  <si>
    <t>Rajapur</t>
  </si>
  <si>
    <t>Bauphal</t>
  </si>
  <si>
    <t>Patuakhali</t>
  </si>
  <si>
    <t>Dashmina</t>
  </si>
  <si>
    <t>Dumki</t>
  </si>
  <si>
    <t>Galachipa</t>
  </si>
  <si>
    <t>Kala Para</t>
  </si>
  <si>
    <t>Mirzaganj</t>
  </si>
  <si>
    <t>Patuakhali Sadar</t>
  </si>
  <si>
    <t>Bhandaria</t>
  </si>
  <si>
    <t>Pirojpur</t>
  </si>
  <si>
    <t>Kawkhali</t>
  </si>
  <si>
    <t>Mathbaria</t>
  </si>
  <si>
    <t>Nazirpur</t>
  </si>
  <si>
    <t>Pirojpur Sadar</t>
  </si>
  <si>
    <t>Zianagar</t>
  </si>
  <si>
    <t>Alikadam</t>
  </si>
  <si>
    <t>Bandarban</t>
  </si>
  <si>
    <t>Bandarban Sadar</t>
  </si>
  <si>
    <t>Lama</t>
  </si>
  <si>
    <t>Naikhongchhari</t>
  </si>
  <si>
    <t>Rowangchhari</t>
  </si>
  <si>
    <t>Ruma</t>
  </si>
  <si>
    <t>Thanchi</t>
  </si>
  <si>
    <t>Akhaura</t>
  </si>
  <si>
    <t>Banchharampur</t>
  </si>
  <si>
    <t>Brahmanbaria Sadar</t>
  </si>
  <si>
    <t>Ashuganj</t>
  </si>
  <si>
    <t>Kasba</t>
  </si>
  <si>
    <t>Nabinagar</t>
  </si>
  <si>
    <t>Nasirnagar</t>
  </si>
  <si>
    <t>Sarail</t>
  </si>
  <si>
    <t>Chandpur Sadar</t>
  </si>
  <si>
    <t>Chandpur</t>
  </si>
  <si>
    <t>Faridganj</t>
  </si>
  <si>
    <t>Haim Char</t>
  </si>
  <si>
    <t>Hajiganj</t>
  </si>
  <si>
    <t>Matlab Dakshin</t>
  </si>
  <si>
    <t>Shahrasti</t>
  </si>
  <si>
    <t>Anowara</t>
  </si>
  <si>
    <t>Bayejid Bostami</t>
  </si>
  <si>
    <t>Banshkhali</t>
  </si>
  <si>
    <t>Bakalia</t>
  </si>
  <si>
    <t>Boalkhali</t>
  </si>
  <si>
    <t>Chandanaish</t>
  </si>
  <si>
    <t>Chandgaon</t>
  </si>
  <si>
    <t>Chittagong Port</t>
  </si>
  <si>
    <t>Double Mooring</t>
  </si>
  <si>
    <t>Fatikchhari</t>
  </si>
  <si>
    <t>Halishahar</t>
  </si>
  <si>
    <t>Hathazari</t>
  </si>
  <si>
    <t>Khulshi</t>
  </si>
  <si>
    <t>Mirsharai</t>
  </si>
  <si>
    <t>Pahartali</t>
  </si>
  <si>
    <t>Panchlaish</t>
  </si>
  <si>
    <t>Patiya</t>
  </si>
  <si>
    <t>Patenga</t>
  </si>
  <si>
    <t>Rangunia</t>
  </si>
  <si>
    <t>Raozan</t>
  </si>
  <si>
    <t>Sandwip</t>
  </si>
  <si>
    <t>Satkania</t>
  </si>
  <si>
    <t>Sitakunda</t>
  </si>
  <si>
    <t>Barura</t>
  </si>
  <si>
    <t>Brahman Para</t>
  </si>
  <si>
    <t>Burichang</t>
  </si>
  <si>
    <t>Chandina</t>
  </si>
  <si>
    <t>Chauddagram</t>
  </si>
  <si>
    <t>Comilla Sadar Dakshin</t>
  </si>
  <si>
    <t>Daudkandi</t>
  </si>
  <si>
    <t>Debidwar</t>
  </si>
  <si>
    <t>Homna</t>
  </si>
  <si>
    <t>Comilla Adarsha Sadar</t>
  </si>
  <si>
    <t>Laksam</t>
  </si>
  <si>
    <t>Manoharganj</t>
  </si>
  <si>
    <t>Meghna</t>
  </si>
  <si>
    <t>Muradnagar</t>
  </si>
  <si>
    <t>Nangalkot</t>
  </si>
  <si>
    <t>Titas</t>
  </si>
  <si>
    <t>Chakaria</t>
  </si>
  <si>
    <t>Cox's Bazar</t>
  </si>
  <si>
    <t>Cox's Bazar Sadar</t>
  </si>
  <si>
    <t>Kutubdia</t>
  </si>
  <si>
    <t>Maheshkhali</t>
  </si>
  <si>
    <t>Pekua</t>
  </si>
  <si>
    <t>Ramu</t>
  </si>
  <si>
    <t>Teknaf</t>
  </si>
  <si>
    <t>Ukhia</t>
  </si>
  <si>
    <t>Chhagalnaiya</t>
  </si>
  <si>
    <t>Feni</t>
  </si>
  <si>
    <t>Daganbhuiyan</t>
  </si>
  <si>
    <t>Feni Sadar</t>
  </si>
  <si>
    <t>Fulgazi</t>
  </si>
  <si>
    <t>Parshuram</t>
  </si>
  <si>
    <t>Sonagazi</t>
  </si>
  <si>
    <t>Dighinala</t>
  </si>
  <si>
    <t>Khagrachhari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</si>
  <si>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</si>
  <si>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</si>
  <si>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</si>
  <si>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</si>
  <si>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</si>
  <si>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</si>
  <si>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</si>
  <si>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Kamalnagar</t>
  </si>
  <si>
    <t>Lakshmipur</t>
  </si>
  <si>
    <t>Lakshmipur Sadar</t>
  </si>
  <si>
    <t>Roypur</t>
  </si>
  <si>
    <t>Ramganj</t>
  </si>
  <si>
    <t>Ramgati</t>
  </si>
  <si>
    <t>Begumganj</t>
  </si>
  <si>
    <t>Noakhali</t>
  </si>
  <si>
    <t>Chatkhil</t>
  </si>
  <si>
    <t>Hatiya</t>
  </si>
  <si>
    <t>Kabirhat</t>
  </si>
  <si>
    <t>Senbagh</t>
  </si>
  <si>
    <t>Sonaimuri</t>
  </si>
  <si>
    <t>Subarnachar</t>
  </si>
  <si>
    <t>Baghai Chhari</t>
  </si>
  <si>
    <t>Rangamati</t>
  </si>
  <si>
    <t>Barkal</t>
  </si>
  <si>
    <t>Belai Chhari</t>
  </si>
  <si>
    <t>Kaptai</t>
  </si>
  <si>
    <t>Jurai Chhari</t>
  </si>
  <si>
    <t>Langadu</t>
  </si>
  <si>
    <t>Naniarchar</t>
  </si>
  <si>
    <t>Rajasthali</t>
  </si>
  <si>
    <t>Rangamati Sadar</t>
  </si>
  <si>
    <t>Adabor</t>
  </si>
  <si>
    <t>Dhaka</t>
  </si>
  <si>
    <t>Badda</t>
  </si>
  <si>
    <t>Bangshal</t>
  </si>
  <si>
    <t>Cantonment</t>
  </si>
  <si>
    <t>Dakshinkhan</t>
  </si>
  <si>
    <t>Darus Salam</t>
  </si>
  <si>
    <t>Demra</t>
  </si>
  <si>
    <t>Dhamrai</t>
  </si>
  <si>
    <t>Dhanmondi</t>
  </si>
  <si>
    <t>Dohar</t>
  </si>
  <si>
    <t>Gendaria</t>
  </si>
  <si>
    <t>Gulshan</t>
  </si>
  <si>
    <t>Hazaribagh</t>
  </si>
  <si>
    <t>Jatrabari</t>
  </si>
  <si>
    <t>Kafrul</t>
  </si>
  <si>
    <t>Kadamtali</t>
  </si>
  <si>
    <t>Kalabagan</t>
  </si>
  <si>
    <t>Kamrangir Char</t>
  </si>
  <si>
    <t>Khilgaon</t>
  </si>
  <si>
    <t>Khilkhet</t>
  </si>
  <si>
    <t>Keraniganj</t>
  </si>
  <si>
    <t>Lalbagh</t>
  </si>
  <si>
    <t>Motijheel</t>
  </si>
  <si>
    <t>Nawabganj</t>
  </si>
  <si>
    <t>New Market</t>
  </si>
  <si>
    <t>Pallabi</t>
  </si>
  <si>
    <t>Paltan</t>
  </si>
  <si>
    <t>Ramna</t>
  </si>
  <si>
    <t>Rampura</t>
  </si>
  <si>
    <t>Sabujbagh</t>
  </si>
  <si>
    <t>Savar</t>
  </si>
  <si>
    <t>Shah Ali</t>
  </si>
  <si>
    <t>Shahbagh</t>
  </si>
  <si>
    <t>Shyampur</t>
  </si>
  <si>
    <t>Sutrapur</t>
  </si>
  <si>
    <t>Tejgaon</t>
  </si>
  <si>
    <t>Tejgaon Ind. Area</t>
  </si>
  <si>
    <t>Turag</t>
  </si>
  <si>
    <t>Uttara</t>
  </si>
  <si>
    <t>Uttar Khan</t>
  </si>
  <si>
    <t>Alfadanga</t>
  </si>
  <si>
    <t>Faridpur</t>
  </si>
  <si>
    <t>Bhanga</t>
  </si>
  <si>
    <t>Boalmari</t>
  </si>
  <si>
    <t>Char Bhadrasan</t>
  </si>
  <si>
    <t>Faridpur Sadar</t>
  </si>
  <si>
    <t>Madhukhali</t>
  </si>
  <si>
    <t>Nagarkanda</t>
  </si>
  <si>
    <t>Sadarpur</t>
  </si>
  <si>
    <t>Saltha</t>
  </si>
  <si>
    <t>Gazipur Sadar</t>
  </si>
  <si>
    <t>Gazipur</t>
  </si>
  <si>
    <t>Kaliakair</t>
  </si>
  <si>
    <t>Kapasia</t>
  </si>
  <si>
    <t>Gopalganj Sadar</t>
  </si>
  <si>
    <t>Gopalganj</t>
  </si>
  <si>
    <t>Kashiani</t>
  </si>
  <si>
    <t>Muksudpur</t>
  </si>
  <si>
    <t>Austagram</t>
  </si>
  <si>
    <t>Kishoreganj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</si>
  <si>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</si>
  <si>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</si>
  <si>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</si>
  <si>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</si>
  <si>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</si>
  <si>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</si>
  <si>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</si>
  <si>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</si>
  <si>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</si>
  <si>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</si>
  <si>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</si>
  <si>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</si>
  <si>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Kalkini</t>
  </si>
  <si>
    <t>Madaripur</t>
  </si>
  <si>
    <t>Madaripur Sadar</t>
  </si>
  <si>
    <t>Rajoir</t>
  </si>
  <si>
    <t>Shib Char</t>
  </si>
  <si>
    <t>Manikganj</t>
  </si>
  <si>
    <t>Ghior</t>
  </si>
  <si>
    <t>Harirampur</t>
  </si>
  <si>
    <t>Manikganj Sadar</t>
  </si>
  <si>
    <t>Saturia</t>
  </si>
  <si>
    <t>Shibalaya</t>
  </si>
  <si>
    <t>Singair</t>
  </si>
  <si>
    <t>Gazaria</t>
  </si>
  <si>
    <t>Munshiganj</t>
  </si>
  <si>
    <t>Lohajang</t>
  </si>
  <si>
    <t>Munshiganj Sadar</t>
  </si>
  <si>
    <t>Serajdikhan</t>
  </si>
  <si>
    <t>Sreenagar</t>
  </si>
  <si>
    <t>Tongibari</t>
  </si>
  <si>
    <t>Araihazar</t>
  </si>
  <si>
    <t>Narayanganj</t>
  </si>
  <si>
    <t>Sonargaon</t>
  </si>
  <si>
    <t>Bandar</t>
  </si>
  <si>
    <t>Narayanganj Sadar</t>
  </si>
  <si>
    <t>Rupganj</t>
  </si>
  <si>
    <t>Belabo</t>
  </si>
  <si>
    <t>Narsingdi</t>
  </si>
  <si>
    <t>Manohardi</t>
  </si>
  <si>
    <t>Narsingdi Sadar</t>
  </si>
  <si>
    <t>Palash</t>
  </si>
  <si>
    <t>Roypura</t>
  </si>
  <si>
    <t>Shibpur</t>
  </si>
  <si>
    <t>Rajbari</t>
  </si>
  <si>
    <t>Kalukhali</t>
  </si>
  <si>
    <t>Pangsha</t>
  </si>
  <si>
    <t>Rajbari Sadar</t>
  </si>
  <si>
    <t>Bhedarganj</t>
  </si>
  <si>
    <t>Shariatpur</t>
  </si>
  <si>
    <t>Damudya</t>
  </si>
  <si>
    <t>Gosairhat</t>
  </si>
  <si>
    <t>Naria</t>
  </si>
  <si>
    <t>Shariatpur Sadar</t>
  </si>
  <si>
    <t>Zanjira</t>
  </si>
  <si>
    <t>Basail</t>
  </si>
  <si>
    <t>Tangail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</si>
  <si>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</si>
  <si>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</si>
  <si>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</si>
  <si>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</si>
  <si>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</si>
  <si>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</si>
  <si>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</si>
  <si>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</si>
  <si>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</si>
  <si>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Tangail Sadar</t>
  </si>
  <si>
    <t>Bagerhat Sadar</t>
  </si>
  <si>
    <t>Bagerhat</t>
  </si>
  <si>
    <t>Chitalmari</t>
  </si>
  <si>
    <t>Fakirhat</t>
  </si>
  <si>
    <t>Mollahat</t>
  </si>
  <si>
    <t>Mongla</t>
  </si>
  <si>
    <t>Morrelganj</t>
  </si>
  <si>
    <t>Rampal</t>
  </si>
  <si>
    <t>Sarankhola</t>
  </si>
  <si>
    <t>Alamdanga</t>
  </si>
  <si>
    <t>Chuadanga</t>
  </si>
  <si>
    <t>Chuadanga Sadar</t>
  </si>
  <si>
    <t>Damurhuda</t>
  </si>
  <si>
    <t>Jiban Nagar</t>
  </si>
  <si>
    <t>Abhaynagar</t>
  </si>
  <si>
    <t>Bagher Para</t>
  </si>
  <si>
    <t>Chaugachha</t>
  </si>
  <si>
    <t>Jhikargachha</t>
  </si>
  <si>
    <t>Keshabpur</t>
  </si>
  <si>
    <t>Manirampur</t>
  </si>
  <si>
    <t>Sharsha</t>
  </si>
  <si>
    <t>Harinakunda</t>
  </si>
  <si>
    <t>Jhenaidah</t>
  </si>
  <si>
    <t>Kotchandpur</t>
  </si>
  <si>
    <t>Maheshpur</t>
  </si>
  <si>
    <t>Shailkupa</t>
  </si>
  <si>
    <t>Batiaghata</t>
  </si>
  <si>
    <t>Khulna</t>
  </si>
  <si>
    <t>Dacope</t>
  </si>
  <si>
    <t>Dumuria</t>
  </si>
  <si>
    <t>Dighalia</t>
  </si>
  <si>
    <t>Khalishpur</t>
  </si>
  <si>
    <t>Khan Jahan Ali</t>
  </si>
  <si>
    <t>Khulna Sadar</t>
  </si>
  <si>
    <t>Koyra</t>
  </si>
  <si>
    <t>Paikgachha</t>
  </si>
  <si>
    <t>Phultala</t>
  </si>
  <si>
    <t>Rupsa</t>
  </si>
  <si>
    <t>Sonadanga</t>
  </si>
  <si>
    <t>Terokhada</t>
  </si>
  <si>
    <t>Bheramara</t>
  </si>
  <si>
    <t>Kushtia</t>
  </si>
  <si>
    <t>Khoksa</t>
  </si>
  <si>
    <t>Kumarkhali</t>
  </si>
  <si>
    <t>Kushtia Sadar</t>
  </si>
  <si>
    <t>Magura Sadar</t>
  </si>
  <si>
    <t>Magura</t>
  </si>
  <si>
    <t>Shalikha</t>
  </si>
  <si>
    <t>Gangni</t>
  </si>
  <si>
    <t>Meherpur</t>
  </si>
  <si>
    <t>Mujib Nagar</t>
  </si>
  <si>
    <t>Meherpur Sadar</t>
  </si>
  <si>
    <t>Kalia</t>
  </si>
  <si>
    <t>Narail</t>
  </si>
  <si>
    <t>Narail Sadar</t>
  </si>
  <si>
    <t>Assasuni</t>
  </si>
  <si>
    <t>Satkhira</t>
  </si>
  <si>
    <t>Debhata</t>
  </si>
  <si>
    <t>Kalaroa</t>
  </si>
  <si>
    <t>Satkhira Sadar</t>
  </si>
  <si>
    <t>Shyamnagar</t>
  </si>
  <si>
    <t>Tala</t>
  </si>
  <si>
    <t>Bakshiganj</t>
  </si>
  <si>
    <t>Jamalpur</t>
  </si>
  <si>
    <t>Dewanganj</t>
  </si>
  <si>
    <t>Islampur</t>
  </si>
  <si>
    <t>Jamalpur Sadar</t>
  </si>
  <si>
    <t>Madarganj</t>
  </si>
  <si>
    <t>Melandaha</t>
  </si>
  <si>
    <t>Sarishabari</t>
  </si>
  <si>
    <t>Bhaluka</t>
  </si>
  <si>
    <t>Mymensingh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</si>
  <si>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</si>
  <si>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</si>
  <si>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</si>
  <si>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</si>
  <si>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</si>
  <si>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</si>
  <si>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</si>
  <si>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Muktagachha</t>
  </si>
  <si>
    <t>Nandail</t>
  </si>
  <si>
    <t>Phulpur</t>
  </si>
  <si>
    <t>Trishal</t>
  </si>
  <si>
    <t>Atpara</t>
  </si>
  <si>
    <t>Netrakona</t>
  </si>
  <si>
    <t>Barhatta</t>
  </si>
  <si>
    <t>Khaliajuri</t>
  </si>
  <si>
    <t>Kalmakanda</t>
  </si>
  <si>
    <t>Kendua</t>
  </si>
  <si>
    <t>Madan</t>
  </si>
  <si>
    <t>Netrokona Sadar</t>
  </si>
  <si>
    <t>Purbadhala</t>
  </si>
  <si>
    <t>Jhenaigati</t>
  </si>
  <si>
    <t>Sherpur</t>
  </si>
  <si>
    <t>Nakla</t>
  </si>
  <si>
    <t>Nalitabari</t>
  </si>
  <si>
    <t>Sherpur Sadar</t>
  </si>
  <si>
    <t>Sreebardi</t>
  </si>
  <si>
    <t>Adamdighi</t>
  </si>
  <si>
    <t>Bogra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</si>
  <si>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</si>
  <si>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</si>
  <si>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</si>
  <si>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</si>
  <si>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</si>
  <si>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</si>
  <si>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</si>
  <si>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Sonatola</t>
  </si>
  <si>
    <t>Akkelpur</t>
  </si>
  <si>
    <t>Joypurhat</t>
  </si>
  <si>
    <t>Joypurhat Sadar</t>
  </si>
  <si>
    <t>Kalai</t>
  </si>
  <si>
    <t>Khetlal</t>
  </si>
  <si>
    <t>Panchbibi</t>
  </si>
  <si>
    <t>Atrai</t>
  </si>
  <si>
    <t>Naogaon</t>
  </si>
  <si>
    <t>Badalgachhi</t>
  </si>
  <si>
    <t>Dhamoirhat</t>
  </si>
  <si>
    <t>Manda</t>
  </si>
  <si>
    <t>Mahadebpur</t>
  </si>
  <si>
    <t>Naogaon Sadar</t>
  </si>
  <si>
    <t>Niamatpur</t>
  </si>
  <si>
    <t>Patnitala</t>
  </si>
  <si>
    <t>Porsha</t>
  </si>
  <si>
    <t>Raninagar</t>
  </si>
  <si>
    <t>Sapahar</t>
  </si>
  <si>
    <t>Bagati Para</t>
  </si>
  <si>
    <t>Natore</t>
  </si>
  <si>
    <t>Baraigram</t>
  </si>
  <si>
    <t>Gurudaspur</t>
  </si>
  <si>
    <t>Lalpur</t>
  </si>
  <si>
    <t>Natore Sadar</t>
  </si>
  <si>
    <t>Singra</t>
  </si>
  <si>
    <t>Bholahat</t>
  </si>
  <si>
    <t>Gomastapur</t>
  </si>
  <si>
    <t>Nachole</t>
  </si>
  <si>
    <t>Atgharia</t>
  </si>
  <si>
    <t>Pabna</t>
  </si>
  <si>
    <t>Bera</t>
  </si>
  <si>
    <t>Bhangura</t>
  </si>
  <si>
    <t>Chatmohar</t>
  </si>
  <si>
    <t>Ishwardi</t>
  </si>
  <si>
    <t>Pabna Sadar</t>
  </si>
  <si>
    <t>Santhia</t>
  </si>
  <si>
    <t>Sujanagar</t>
  </si>
  <si>
    <t>Bagha</t>
  </si>
  <si>
    <t>Rajshahi</t>
  </si>
  <si>
    <t>Baghmara</t>
  </si>
  <si>
    <t>Boalia</t>
  </si>
  <si>
    <t>Charghat</t>
  </si>
  <si>
    <t>Godagari</t>
  </si>
  <si>
    <t>Matihar</t>
  </si>
  <si>
    <t>Mohanpur</t>
  </si>
  <si>
    <t>Paba</t>
  </si>
  <si>
    <t>Puthia</t>
  </si>
  <si>
    <t>Rajpara</t>
  </si>
  <si>
    <t>Shah Makhdum</t>
  </si>
  <si>
    <t>Tanore</t>
  </si>
  <si>
    <t>Belkuchi</t>
  </si>
  <si>
    <t>Sirajganj</t>
  </si>
  <si>
    <t>Chauhali</t>
  </si>
  <si>
    <t>Kamarkhanda</t>
  </si>
  <si>
    <t>Kazipur</t>
  </si>
  <si>
    <t>Royganj</t>
  </si>
  <si>
    <t>Shahjadpur</t>
  </si>
  <si>
    <t>Sirajganj Sadar</t>
  </si>
  <si>
    <t>Tarash</t>
  </si>
  <si>
    <t>Ullah Para</t>
  </si>
  <si>
    <t>Birampur</t>
  </si>
  <si>
    <t>Dinajpur</t>
  </si>
  <si>
    <t>Birganj</t>
  </si>
  <si>
    <t>Biral</t>
  </si>
  <si>
    <t>Bochaganj</t>
  </si>
  <si>
    <t>Chirirbandar</t>
  </si>
  <si>
    <t>Fulbari</t>
  </si>
  <si>
    <t>Ghoraghat</t>
  </si>
  <si>
    <t>Hakimpur</t>
  </si>
  <si>
    <t>Kaharole</t>
  </si>
  <si>
    <t>Khansama</t>
  </si>
  <si>
    <t>Dinajpur Sadar</t>
  </si>
  <si>
    <t>Parbatipur</t>
  </si>
  <si>
    <t>Fulchhari</t>
  </si>
  <si>
    <t>Gaibandha</t>
  </si>
  <si>
    <t>Gaibandha Sadar</t>
  </si>
  <si>
    <t>Gobindaganj</t>
  </si>
  <si>
    <t>Palashbari</t>
  </si>
  <si>
    <t>Sadullapur</t>
  </si>
  <si>
    <t>Saghatta</t>
  </si>
  <si>
    <t>Sundarganj</t>
  </si>
  <si>
    <t>Bhurungamari</t>
  </si>
  <si>
    <t>Kurigram</t>
  </si>
  <si>
    <t>Char Rajibpur</t>
  </si>
  <si>
    <t>Chilmari</t>
  </si>
  <si>
    <t>Phulbari</t>
  </si>
  <si>
    <t>Kurigram Sadar</t>
  </si>
  <si>
    <t>Nageshwari</t>
  </si>
  <si>
    <t>Rajarhat</t>
  </si>
  <si>
    <t>Raumari</t>
  </si>
  <si>
    <t>Ulipur</t>
  </si>
  <si>
    <t>Aditmari</t>
  </si>
  <si>
    <t>Lalmonirhat</t>
  </si>
  <si>
    <t>Hatibandha</t>
  </si>
  <si>
    <t>Lalmonirhat Sadar</t>
  </si>
  <si>
    <t>Patgram</t>
  </si>
  <si>
    <t>Dimla</t>
  </si>
  <si>
    <t>Nilphamari</t>
  </si>
  <si>
    <t>Domar</t>
  </si>
  <si>
    <t>Jaldhaka</t>
  </si>
  <si>
    <t>Nilphamari Sadar</t>
  </si>
  <si>
    <t>Saidpur</t>
  </si>
  <si>
    <t>Atwari</t>
  </si>
  <si>
    <t>Panchagarh</t>
  </si>
  <si>
    <t>Boda</t>
  </si>
  <si>
    <t>Debiganj</t>
  </si>
  <si>
    <t>Panchagarh Sadar</t>
  </si>
  <si>
    <t>Tentulia</t>
  </si>
  <si>
    <t>Badarganj</t>
  </si>
  <si>
    <t>Rangpur</t>
  </si>
  <si>
    <t>Gangachara</t>
  </si>
  <si>
    <t>Kaunia</t>
  </si>
  <si>
    <t>Rangpur Sadar</t>
  </si>
  <si>
    <t>Mitha Pukur</t>
  </si>
  <si>
    <t>Pirgachha</t>
  </si>
  <si>
    <t>Taraganj</t>
  </si>
  <si>
    <t>Baliadangi</t>
  </si>
  <si>
    <t>Thakurgaon</t>
  </si>
  <si>
    <t>Haripur</t>
  </si>
  <si>
    <t>Ranisankail</t>
  </si>
  <si>
    <t>Thakurgaon Sadar</t>
  </si>
  <si>
    <t>Ajmiriganj</t>
  </si>
  <si>
    <t>Habiganj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</si>
  <si>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</si>
  <si>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</si>
  <si>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</si>
  <si>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</si>
  <si>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</si>
  <si>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</si>
  <si>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</si>
  <si>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>Barlekha</t>
  </si>
  <si>
    <t>Maulvibazar</t>
  </si>
  <si>
    <t>Juri</t>
  </si>
  <si>
    <t>Kamalganj</t>
  </si>
  <si>
    <t>Kulaura</t>
  </si>
  <si>
    <t>Maulvi Bazar Sadar</t>
  </si>
  <si>
    <t>Rajnagar</t>
  </si>
  <si>
    <t>Sreemangal</t>
  </si>
  <si>
    <t>Bishwambarpur</t>
  </si>
  <si>
    <t>Sunamganj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</si>
  <si>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</si>
  <si>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</si>
  <si>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</si>
  <si>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</si>
  <si>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</si>
  <si>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</si>
  <si>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</si>
  <si>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Sulla</t>
  </si>
  <si>
    <t>Sunamganj Sadar</t>
  </si>
  <si>
    <t>Tahirpur</t>
  </si>
  <si>
    <t>Balaganj</t>
  </si>
  <si>
    <t>Sylhet</t>
  </si>
  <si>
    <t>Beani Bazar</t>
  </si>
  <si>
    <t>Bishwanath</t>
  </si>
  <si>
    <t>Dakshin Surma</t>
  </si>
  <si>
    <t>Fenchuganj</t>
  </si>
  <si>
    <t>Golabganj</t>
  </si>
  <si>
    <t>Gowainghat</t>
  </si>
  <si>
    <t>Jaintiapur</t>
  </si>
  <si>
    <t>Kanaighat</t>
  </si>
  <si>
    <t>Sylhet Sadar</t>
  </si>
  <si>
    <t>Zakiganj</t>
  </si>
  <si>
    <t>Vul_INFORM</t>
  </si>
  <si>
    <t>Norm_Vul</t>
  </si>
  <si>
    <t>Max</t>
  </si>
  <si>
    <t>Min</t>
  </si>
  <si>
    <t>Change</t>
  </si>
  <si>
    <t>Norm_Wind Gust</t>
  </si>
  <si>
    <t>Norm_Rainfall</t>
  </si>
  <si>
    <t>Norm_Storm Surge</t>
  </si>
  <si>
    <t>VCI</t>
  </si>
  <si>
    <t>fAPAR</t>
  </si>
  <si>
    <t>Norm_VCI</t>
  </si>
  <si>
    <t>Norm_fAPAR</t>
  </si>
  <si>
    <t>Classification</t>
  </si>
  <si>
    <t>Impact_fAPAR</t>
  </si>
  <si>
    <t>Impact(VCI+fAPAR)</t>
  </si>
  <si>
    <t>Norm_Impact_VCI</t>
  </si>
  <si>
    <t>Norm_Impact_VCI+F</t>
  </si>
  <si>
    <t>Impact_VCI+F</t>
  </si>
  <si>
    <t>Norm_Impact_fAPAR</t>
  </si>
  <si>
    <t>Impact_VCI</t>
  </si>
  <si>
    <t>Impact(VCI)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</si>
  <si>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</si>
  <si>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</si>
  <si>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</si>
  <si>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</si>
  <si>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</si>
  <si>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</si>
  <si>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</si>
  <si>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</si>
  <si>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</si>
  <si>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</si>
  <si>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</si>
  <si>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</si>
  <si>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</si>
  <si>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</si>
  <si>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</si>
  <si>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</si>
  <si>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</si>
  <si>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</si>
  <si>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</si>
  <si>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</si>
  <si>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</si>
  <si>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</si>
  <si>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</si>
  <si>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</si>
  <si>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</si>
  <si>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</si>
  <si>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</si>
  <si>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Nawabganj Sadar</t>
  </si>
  <si>
    <t>Pirganj</t>
  </si>
  <si>
    <t>Balia Kandi</t>
  </si>
  <si>
    <t>Brahamanbaria</t>
  </si>
  <si>
    <t>Chittagong</t>
  </si>
  <si>
    <t>Comilla</t>
  </si>
  <si>
    <t>Jessore</t>
  </si>
  <si>
    <t>Bogra</t>
  </si>
  <si>
    <t>Vulnerability</t>
  </si>
  <si>
    <t>House</t>
  </si>
  <si>
    <t>Impact_vci+fapar+house</t>
  </si>
  <si>
    <t>Impact_house</t>
  </si>
  <si>
    <t>Total Number of House</t>
  </si>
  <si>
    <t>Norm_House</t>
  </si>
  <si>
    <t>Impact_House</t>
  </si>
  <si>
    <t>Norm_Impact_House</t>
  </si>
  <si>
    <t>Upazila</t>
  </si>
  <si>
    <t>Impact_VCI_fAPAR_house</t>
  </si>
  <si>
    <t>Norm_VCI_fAPAR_house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</si>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</sst>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4" fontId="4" fillId="0" borderId="0" xfId="0" applyNumberFormat="1" applyFont="1" applyAlignment="1">
      <alignment horizontal="center"/>
    </xf>
    <xf numFmtId="1" fontId="0" fillId="0" borderId="0" xfId="0" applyNumberFormat="1"/>
    <xf numFmtId="2" fontId="0" fillId="2" borderId="0" xfId="0" applyNumberForma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6" borderId="0" xfId="0" applyFill="1" applyAlignment="1">
      <alignment horizontal="right" wrapText="1"/>
    </xf>
    <xf numFmtId="0" fontId="0" fillId="0" borderId="0" xfId="0" applyFill="1"/>
    <xf numFmtId="165" fontId="4" fillId="0" borderId="0" xfId="0" applyNumberFormat="1" applyFont="1" applyAlignment="1">
      <alignment horizontal="center"/>
    </xf>
    <xf numFmtId="2" fontId="0" fillId="0" borderId="0" xfId="0" applyNumberFormat="1" applyFill="1"/>
    <xf numFmtId="0" fontId="0" fillId="0" borderId="0" xfId="0" applyFill="1" applyAlignment="1">
      <alignment wrapText="1"/>
    </xf>
    <xf numFmtId="166" fontId="1" fillId="0" borderId="0" xfId="0" applyNumberFormat="1" applyFont="1" applyAlignment="1">
      <alignment wrapText="1"/>
    </xf>
    <xf numFmtId="165" fontId="1" fillId="0" borderId="0" xfId="0" applyNumberFormat="1" applyFont="1"/>
    <xf numFmtId="165" fontId="1" fillId="6" borderId="0" xfId="0" applyNumberFormat="1" applyFont="1" applyFill="1"/>
    <xf numFmtId="164" fontId="1" fillId="7" borderId="0" xfId="0" applyNumberFormat="1" applyFont="1" applyFill="1"/>
    <xf numFmtId="164" fontId="0" fillId="0" borderId="0" xfId="0" applyNumberFormat="1" applyFill="1"/>
    <xf numFmtId="0" fontId="1" fillId="7" borderId="0" xfId="0" applyFont="1" applyFill="1"/>
    <xf numFmtId="0" fontId="0" fillId="5" borderId="0" xfId="0" applyFill="1"/>
    <xf numFmtId="0" fontId="1" fillId="0" borderId="0" xfId="0" applyFont="1" applyFill="1"/>
    <xf numFmtId="2" fontId="1" fillId="0" borderId="0" xfId="0" applyNumberFormat="1" applyFont="1"/>
    <xf numFmtId="2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27D7-F803-47EC-95B8-B9C22A017237}">
  <dimension ref="A1:AK1000"/>
  <sheetViews>
    <sheetView tabSelected="1" topLeftCell="K1" zoomScale="79" workbookViewId="0">
      <selection activeCell="Z61" sqref="Z61"/>
    </sheetView>
  </sheetViews>
  <sheetFormatPr defaultColWidth="8.77734375" defaultRowHeight="14.4" x14ac:dyDescent="0.3"/>
  <cols>
    <col min="1" max="1" width="7.6640625" style="13" bestFit="1" customWidth="1"/>
    <col min="2" max="2" width="13.44140625" style="13" bestFit="1" customWidth="1"/>
    <col min="3" max="3" width="12.44140625" style="13" bestFit="1" customWidth="1"/>
    <col min="4" max="4" width="23.109375" style="13" customWidth="1"/>
    <col min="5" max="5" width="11.44140625" style="13" customWidth="1"/>
    <col min="6" max="7" width="9.6640625" style="15" customWidth="1"/>
    <col min="8" max="8" width="15.44140625" style="13" customWidth="1"/>
    <col min="9" max="9" width="7.77734375" style="13" customWidth="1"/>
    <col min="10" max="10" width="12.77734375" style="15" customWidth="1"/>
    <col min="11" max="11" width="11" style="13" customWidth="1"/>
    <col min="12" max="12" width="16.77734375" style="15" customWidth="1"/>
    <col min="13" max="13" width="20.21875" style="13" customWidth="1"/>
    <col min="14" max="14" width="12" style="13" customWidth="1"/>
    <col min="15" max="15" width="16.77734375" style="10" customWidth="1"/>
    <col min="16" max="16" width="12.21875" style="13" customWidth="1"/>
    <col min="17" max="17" width="9.6640625" style="23" bestFit="1" customWidth="1"/>
    <col min="18" max="18" width="14.6640625" style="13" bestFit="1" customWidth="1"/>
    <col min="19" max="19" width="19.77734375" style="13" bestFit="1" customWidth="1"/>
    <col min="20" max="20" width="20.77734375" style="13" bestFit="1" customWidth="1"/>
    <col min="21" max="21" width="8.77734375" style="13"/>
    <col min="22" max="22" width="15.6640625" style="13" bestFit="1" customWidth="1"/>
    <col min="23" max="23" width="21.21875" style="13" bestFit="1" customWidth="1"/>
    <col min="24" max="24" width="8.77734375" style="13"/>
    <col min="25" max="25" width="13.6640625" style="13" bestFit="1" customWidth="1"/>
    <col min="26" max="26" width="18.88671875" style="13" bestFit="1" customWidth="1"/>
    <col min="27" max="27" width="8.77734375" style="13"/>
    <col min="28" max="28" width="24.109375" style="13" bestFit="1" customWidth="1"/>
    <col min="29" max="29" width="20.6640625" style="13" bestFit="1" customWidth="1"/>
    <col min="30" max="30" width="11.77734375" style="13" bestFit="1" customWidth="1"/>
    <col min="31" max="31" width="14.5546875" style="13" bestFit="1" customWidth="1"/>
    <col min="32" max="32" width="19.77734375" style="13" bestFit="1" customWidth="1"/>
    <col min="33" max="33" width="14.77734375" style="13" bestFit="1" customWidth="1"/>
    <col min="34" max="34" width="20.33203125" style="13" bestFit="1" customWidth="1"/>
    <col min="35" max="16384" width="8.77734375" style="13"/>
  </cols>
  <sheetData>
    <row r="1" spans="1:37" customFormat="1" x14ac:dyDescent="0.3">
      <c r="A1" s="1" t="s">
        <v>546</v>
      </c>
      <c r="B1" s="1" t="s">
        <v>544</v>
      </c>
      <c r="C1" s="1" t="s">
        <v>545</v>
      </c>
      <c r="D1" s="22" t="s">
        <v>1166</v>
      </c>
      <c r="E1" s="20" t="s">
        <v>1102</v>
      </c>
      <c r="F1" s="17" t="s">
        <v>1103</v>
      </c>
      <c r="G1" s="25" t="s">
        <v>547</v>
      </c>
      <c r="H1" s="1" t="s">
        <v>1107</v>
      </c>
      <c r="I1" s="1" t="s">
        <v>548</v>
      </c>
      <c r="J1" s="18" t="s">
        <v>1108</v>
      </c>
      <c r="K1" s="1" t="s">
        <v>549</v>
      </c>
      <c r="L1" s="1" t="s">
        <v>1109</v>
      </c>
      <c r="M1" s="9" t="s">
        <v>1162</v>
      </c>
      <c r="N1" s="9" t="s">
        <v>1163</v>
      </c>
      <c r="O1" s="11" t="s">
        <v>1110</v>
      </c>
      <c r="P1" s="11" t="s">
        <v>1112</v>
      </c>
      <c r="Q1" s="9" t="s">
        <v>1111</v>
      </c>
      <c r="R1" s="24" t="s">
        <v>1113</v>
      </c>
      <c r="S1" s="11" t="s">
        <v>1116</v>
      </c>
      <c r="T1" s="19" t="s">
        <v>1118</v>
      </c>
      <c r="U1" s="11" t="s">
        <v>1114</v>
      </c>
      <c r="V1" s="11" t="s">
        <v>1115</v>
      </c>
      <c r="W1" s="11" t="s">
        <v>1120</v>
      </c>
      <c r="X1" s="11" t="s">
        <v>1114</v>
      </c>
      <c r="Y1" s="11" t="s">
        <v>1122</v>
      </c>
      <c r="Z1" s="11" t="s">
        <v>1117</v>
      </c>
      <c r="AA1" s="11" t="s">
        <v>1114</v>
      </c>
      <c r="AB1" s="11" t="s">
        <v>1167</v>
      </c>
      <c r="AC1" s="11" t="s">
        <v>1168</v>
      </c>
      <c r="AD1" s="11" t="s">
        <v>1114</v>
      </c>
      <c r="AE1" s="11" t="s">
        <v>1164</v>
      </c>
      <c r="AF1" s="11" t="s">
        <v>1165</v>
      </c>
      <c r="AG1" s="11" t="s">
        <v>1114</v>
      </c>
    </row>
    <row r="2" spans="1:37" customFormat="1" x14ac:dyDescent="0.3">
      <c r="A2">
        <v>100409</v>
      </c>
      <c r="B2" t="s">
        <v>541</v>
      </c>
      <c r="C2" t="s">
        <v>551</v>
      </c>
      <c r="D2" t="s">
        <v>550</v>
      </c>
      <c r="E2" s="21">
        <v>7.5</v>
      </c>
      <c r="F2" s="2">
        <f>(E2-$AJ$5)/$AK$5</f>
        <v>0.95555555555555549</v>
      </c>
      <c r="G2" s="26">
        <v>75.004199999999997</v>
      </c>
      <c r="H2">
        <f>(G2-$AJ$6)/$AK$6</f>
        <v>0.76891139315252</v>
      </c>
      <c r="I2" s="10">
        <v>100.4</v>
      </c>
      <c r="J2" s="2">
        <f>(I2-$AJ$7)/$AK$7</f>
        <v>0.4222035323801514</v>
      </c>
      <c r="K2" s="10">
        <v>1.7</v>
      </c>
      <c r="L2" s="2">
        <f>(K2-$AJ$8)/$AK$8</f>
        <v>1</v>
      </c>
      <c r="M2">
        <v>43022</v>
      </c>
      <c r="N2">
        <f>(M2-$AJ$9)/$AK$9</f>
        <v>0.2024243800655775</v>
      </c>
      <c r="O2" s="10">
        <v>0.58931245600000004</v>
      </c>
      <c r="P2">
        <f>(O2-$AJ$11)/$AK$11</f>
        <v>0.5535374019725765</v>
      </c>
      <c r="Q2" s="23">
        <v>0.38740000000000002</v>
      </c>
      <c r="R2" s="13">
        <f>(Q2-$AJ$12)/$AK$12</f>
        <v>0.8388912949328714</v>
      </c>
      <c r="S2">
        <f>F2*(R2*0.5+P2*0.5)*(H2*0.35+J2*0.35+L2*0.3)</f>
        <v>0.47692662638469757</v>
      </c>
      <c r="T2" s="14">
        <f>(S2-$AJ$10)/$AK$10</f>
        <v>0.85105229895025969</v>
      </c>
      <c r="U2" t="str">
        <f>IF(T2&gt;0.7,"High",IF(T2&gt;0.3,"Moderate",IF(T2&gt;0.15,"Low","No Impact")))</f>
        <v>High</v>
      </c>
      <c r="V2">
        <f>F2*(R2*1)*(H2*0.35+J2*0.35+L2*0.3)</f>
        <v>0.5746643919146297</v>
      </c>
      <c r="W2">
        <f t="shared" ref="W2:W65" si="0">(V2-$AJ$13)/$AK$13</f>
        <v>0.92959613311619038</v>
      </c>
      <c r="X2" t="str">
        <f>IF(W2&gt;0.7,"High",IF(W2&gt;0.3,"Moderate",IF(W2&gt;0.15,"Low","No Impact")))</f>
        <v>High</v>
      </c>
      <c r="Y2">
        <f t="shared" ref="Y2:Y65" si="1">F2*(P2*1)*(H2*0.35+J2*0.35+L2*0.3)</f>
        <v>0.3791888608547655</v>
      </c>
      <c r="Z2">
        <f>(Y2-$AJ$14)/$AK$14</f>
        <v>0.69027727113272686</v>
      </c>
      <c r="AA2" t="str">
        <f>IF(Z2&gt;0.7,"High",IF(Z2&gt;0.3,"Moderate",IF(Z2&gt;0.15,"Low","No Impact")))</f>
        <v>Moderate</v>
      </c>
      <c r="AB2">
        <f t="shared" ref="AB2:AB65" si="2">F2*(R2*0.35+P2*0.3+N2*0.35)*(H2*0.35+J2*0.35+L2*0.3)</f>
        <v>0.3634224552107469</v>
      </c>
      <c r="AC2">
        <f>(AB2-$AJ$15)/$AK$15</f>
        <v>0.8882694128394546</v>
      </c>
      <c r="AD2" t="str">
        <f>IF(AC2&gt;0.7,"High",IF(AC2&gt;0.3,"Moderate",IF(AC2&gt;0.15,"Low","No Impact")))</f>
        <v>High</v>
      </c>
      <c r="AE2">
        <f t="shared" ref="AE2:AE65" si="3">F2*(N2*1)*(H2*0.35+J2*0.35+L2*0.3)</f>
        <v>0.13866645652627671</v>
      </c>
      <c r="AF2">
        <f>(AE2-$AJ$16)/$AK$16</f>
        <v>0.83724358003408261</v>
      </c>
      <c r="AG2" t="str">
        <f>IF(AF2&gt;0.7,"High",IF(AF2&gt;0.3,"Moderate",IF(AF2&gt;0.15,"Low","No Impact")))</f>
        <v>High</v>
      </c>
    </row>
    <row r="3" spans="1:37" customFormat="1" x14ac:dyDescent="0.3">
      <c r="A3">
        <v>100419</v>
      </c>
      <c r="B3" t="s">
        <v>38</v>
      </c>
      <c r="C3" t="s">
        <v>551</v>
      </c>
      <c r="D3" t="s">
        <v>552</v>
      </c>
      <c r="E3" s="21">
        <v>5.6</v>
      </c>
      <c r="F3" s="2">
        <f t="shared" ref="F3:F66" si="4">(E3-$AJ$5)/$AK$5</f>
        <v>0.53333333333333321</v>
      </c>
      <c r="G3" s="26">
        <v>66.192120000000003</v>
      </c>
      <c r="H3">
        <f t="shared" ref="H3:H66" si="5">(G3-$AJ$6)/$AK$6</f>
        <v>0.67857366927343787</v>
      </c>
      <c r="I3" s="12">
        <v>99.9</v>
      </c>
      <c r="J3" s="2">
        <f t="shared" ref="J3:J66" si="6">(I3-$AJ$7)/$AK$7</f>
        <v>0.4201009251471825</v>
      </c>
      <c r="K3" s="10">
        <v>1</v>
      </c>
      <c r="L3" s="2">
        <f t="shared" ref="L3:L66" si="7">(K3-$AJ$8)/$AK$8</f>
        <v>0.58823529411764708</v>
      </c>
      <c r="M3">
        <v>10180</v>
      </c>
      <c r="N3">
        <f t="shared" ref="N3:N66" si="8">(M3-$AJ$9)/$AK$9</f>
        <v>4.7035055097396299E-2</v>
      </c>
      <c r="O3" s="10">
        <v>0.73532441199999998</v>
      </c>
      <c r="P3">
        <f t="shared" ref="P3:P66" si="9">(O3-$AJ$11)/$AK$11</f>
        <v>0.71433873441925777</v>
      </c>
      <c r="Q3" s="23">
        <v>0.40060000000000001</v>
      </c>
      <c r="R3" s="13">
        <f t="shared" ref="R3:R66" si="10">(Q3-$AJ$12)/$AK$12</f>
        <v>0.86747509744478135</v>
      </c>
      <c r="S3">
        <f t="shared" ref="S3:S66" si="11">F3*(R3*0.5+P3*0.5)*(H3*0.35+J3*0.35+L3*0.3)</f>
        <v>0.23664217385280642</v>
      </c>
      <c r="T3" s="14">
        <f t="shared" ref="T3:T65" si="12">(S3-$AJ$10)/$AK$10</f>
        <v>0.42227641516405762</v>
      </c>
      <c r="U3" t="str">
        <f t="shared" ref="U3:U66" si="13">IF(T3&gt;0.7,"High",IF(T3&gt;0.3,"Moderate",IF(T3&gt;0.15,"Low","No Impact")))</f>
        <v>Moderate</v>
      </c>
      <c r="V3">
        <f t="shared" ref="V3:V66" si="14">F3*(R3*1)*(H3*0.35+J3*0.35+L3*0.3)</f>
        <v>0.2595516472132513</v>
      </c>
      <c r="W3">
        <f t="shared" si="0"/>
        <v>0.4198593317910318</v>
      </c>
      <c r="X3" t="str">
        <f t="shared" ref="X3:X66" si="15">IF(W3&gt;0.7,"High",IF(W3&gt;0.3,"Moderate",IF(W3&gt;0.15,"Low","No Impact")))</f>
        <v>Moderate</v>
      </c>
      <c r="Y3">
        <f t="shared" si="1"/>
        <v>0.21373270049236154</v>
      </c>
      <c r="Z3">
        <f t="shared" ref="Z3:Z66" si="16">(Y3-$AJ$14)/$AK$14</f>
        <v>0.38908006135814099</v>
      </c>
      <c r="AA3" t="str">
        <f t="shared" ref="AA3:AA66" si="17">IF(Z3&gt;0.7,"High",IF(Z3&gt;0.3,"Moderate",IF(Z3&gt;0.15,"Low","No Impact")))</f>
        <v>Moderate</v>
      </c>
      <c r="AB3">
        <f t="shared" si="2"/>
        <v>0.15988845643468222</v>
      </c>
      <c r="AC3">
        <f t="shared" ref="AC3:AC66" si="18">(AB3-$AJ$15)/$AK$15</f>
        <v>0.39079595462719235</v>
      </c>
      <c r="AD3" t="str">
        <f t="shared" ref="AD3:AD66" si="19">IF(AC3&gt;0.7,"High",IF(AC3&gt;0.3,"Moderate",IF(AC3&gt;0.15,"Low","No Impact")))</f>
        <v>Moderate</v>
      </c>
      <c r="AE3">
        <f t="shared" si="3"/>
        <v>1.407305646381663E-2</v>
      </c>
      <c r="AF3">
        <f t="shared" ref="AF3:AF66" si="20">(AE3-$AJ$16)/$AK$16</f>
        <v>8.49706300352088E-2</v>
      </c>
      <c r="AG3" t="s">
        <v>1170</v>
      </c>
    </row>
    <row r="4" spans="1:37" customFormat="1" x14ac:dyDescent="0.3">
      <c r="A4">
        <v>100428</v>
      </c>
      <c r="B4" t="s">
        <v>47</v>
      </c>
      <c r="C4" t="s">
        <v>551</v>
      </c>
      <c r="D4" t="s">
        <v>553</v>
      </c>
      <c r="E4" s="21">
        <v>7.5</v>
      </c>
      <c r="F4" s="2">
        <f t="shared" si="4"/>
        <v>0.95555555555555549</v>
      </c>
      <c r="G4" s="26">
        <v>74.97</v>
      </c>
      <c r="H4">
        <f t="shared" si="5"/>
        <v>0.7685607891910643</v>
      </c>
      <c r="I4" s="12">
        <v>111.4</v>
      </c>
      <c r="J4" s="2">
        <f t="shared" si="6"/>
        <v>0.46846089150546677</v>
      </c>
      <c r="K4" s="10">
        <v>1.7</v>
      </c>
      <c r="L4" s="2">
        <f t="shared" si="7"/>
        <v>1</v>
      </c>
      <c r="M4">
        <v>41704</v>
      </c>
      <c r="N4">
        <f t="shared" si="8"/>
        <v>0.19618836732859246</v>
      </c>
      <c r="O4" s="10">
        <v>0.39440944999999999</v>
      </c>
      <c r="P4">
        <f t="shared" si="9"/>
        <v>0.33889290352709633</v>
      </c>
      <c r="Q4" s="23">
        <v>0.38929999999999998</v>
      </c>
      <c r="R4" s="13">
        <f t="shared" si="10"/>
        <v>0.84300563014291896</v>
      </c>
      <c r="S4">
        <f t="shared" si="11"/>
        <v>0.41389004942076185</v>
      </c>
      <c r="T4" s="14">
        <f t="shared" si="12"/>
        <v>0.73856660246109052</v>
      </c>
      <c r="U4" t="str">
        <f t="shared" si="13"/>
        <v>High</v>
      </c>
      <c r="V4">
        <f t="shared" si="14"/>
        <v>0.59042571249902065</v>
      </c>
      <c r="W4">
        <f t="shared" si="0"/>
        <v>0.95509216675634501</v>
      </c>
      <c r="X4" t="str">
        <f t="shared" si="15"/>
        <v>High</v>
      </c>
      <c r="Y4">
        <f t="shared" si="1"/>
        <v>0.23735438634250317</v>
      </c>
      <c r="Z4">
        <f t="shared" si="16"/>
        <v>0.43208109469924316</v>
      </c>
      <c r="AA4" t="str">
        <f t="shared" si="17"/>
        <v>Moderate</v>
      </c>
      <c r="AB4">
        <f t="shared" si="2"/>
        <v>0.32594767474424591</v>
      </c>
      <c r="AC4">
        <f t="shared" si="18"/>
        <v>0.79667435380007046</v>
      </c>
      <c r="AD4" t="str">
        <f t="shared" si="19"/>
        <v>High</v>
      </c>
      <c r="AE4">
        <f t="shared" si="3"/>
        <v>0.13740674133382211</v>
      </c>
      <c r="AF4">
        <f t="shared" si="20"/>
        <v>0.82963764213118285</v>
      </c>
      <c r="AG4" t="str">
        <f t="shared" ref="AG4:AG52" si="21">IF(AF4&gt;0.7,"High",IF(AF4&gt;0.3,"Moderate",IF(AF4&gt;0.15,"Low","No Impact")))</f>
        <v>High</v>
      </c>
      <c r="AI4" s="1" t="s">
        <v>1104</v>
      </c>
      <c r="AJ4" s="1" t="s">
        <v>1105</v>
      </c>
      <c r="AK4" s="1" t="s">
        <v>1106</v>
      </c>
    </row>
    <row r="5" spans="1:37" customFormat="1" x14ac:dyDescent="0.3">
      <c r="A5">
        <v>100447</v>
      </c>
      <c r="B5" t="s">
        <v>63</v>
      </c>
      <c r="C5" t="s">
        <v>551</v>
      </c>
      <c r="D5" t="s">
        <v>554</v>
      </c>
      <c r="E5" s="21">
        <v>5.6</v>
      </c>
      <c r="F5" s="2">
        <f t="shared" si="4"/>
        <v>0.53333333333333321</v>
      </c>
      <c r="G5" s="26">
        <v>70.162559999999999</v>
      </c>
      <c r="H5">
        <f t="shared" si="5"/>
        <v>0.71927694391443775</v>
      </c>
      <c r="I5" s="12">
        <v>124.2</v>
      </c>
      <c r="J5" s="2">
        <f t="shared" si="6"/>
        <v>0.52228763666947009</v>
      </c>
      <c r="K5" s="10">
        <v>1</v>
      </c>
      <c r="L5" s="2">
        <f t="shared" si="7"/>
        <v>0.58823529411764708</v>
      </c>
      <c r="M5">
        <v>7682</v>
      </c>
      <c r="N5">
        <f t="shared" si="8"/>
        <v>3.521596570666137E-2</v>
      </c>
      <c r="O5" s="10">
        <v>0.69492346299999996</v>
      </c>
      <c r="P5">
        <f t="shared" si="9"/>
        <v>0.66984562159971295</v>
      </c>
      <c r="Q5" s="23">
        <v>0.3906</v>
      </c>
      <c r="R5" s="13">
        <f t="shared" si="10"/>
        <v>0.84582070160242528</v>
      </c>
      <c r="S5">
        <f t="shared" si="11"/>
        <v>0.24695991883439264</v>
      </c>
      <c r="T5" s="14">
        <f t="shared" si="12"/>
        <v>0.4406879277548405</v>
      </c>
      <c r="U5" t="str">
        <f t="shared" si="13"/>
        <v>Moderate</v>
      </c>
      <c r="V5">
        <f t="shared" si="14"/>
        <v>0.27563297886684784</v>
      </c>
      <c r="W5">
        <f t="shared" si="0"/>
        <v>0.44587302592429057</v>
      </c>
      <c r="X5" t="str">
        <f t="shared" si="15"/>
        <v>Moderate</v>
      </c>
      <c r="Y5">
        <f t="shared" si="1"/>
        <v>0.21828685880193741</v>
      </c>
      <c r="Z5">
        <f t="shared" si="16"/>
        <v>0.39737047359006705</v>
      </c>
      <c r="AA5" t="str">
        <f t="shared" si="17"/>
        <v>Moderate</v>
      </c>
      <c r="AB5">
        <f t="shared" si="2"/>
        <v>0.16597421810347657</v>
      </c>
      <c r="AC5">
        <f t="shared" si="18"/>
        <v>0.40567064348230458</v>
      </c>
      <c r="AD5" t="str">
        <f t="shared" si="19"/>
        <v>Moderate</v>
      </c>
      <c r="AE5">
        <f t="shared" si="3"/>
        <v>1.1476051027138869E-2</v>
      </c>
      <c r="AF5">
        <f t="shared" si="20"/>
        <v>6.9290369764333268E-2</v>
      </c>
      <c r="AG5" t="s">
        <v>1170</v>
      </c>
      <c r="AH5" s="1" t="s">
        <v>1158</v>
      </c>
      <c r="AI5" s="3">
        <f>MAX(E2:E555)</f>
        <v>7.7</v>
      </c>
      <c r="AJ5">
        <f>MIN((E2:E555))</f>
        <v>3.2</v>
      </c>
      <c r="AK5" s="3">
        <f t="shared" ref="AK5:AK16" si="22">AI5-AJ5</f>
        <v>4.5</v>
      </c>
    </row>
    <row r="6" spans="1:37" customFormat="1" x14ac:dyDescent="0.3">
      <c r="A6">
        <v>100485</v>
      </c>
      <c r="B6" t="s">
        <v>409</v>
      </c>
      <c r="C6" t="s">
        <v>551</v>
      </c>
      <c r="D6" t="s">
        <v>555</v>
      </c>
      <c r="E6" s="21">
        <v>7.5</v>
      </c>
      <c r="F6" s="2">
        <f t="shared" si="4"/>
        <v>0.95555555555555549</v>
      </c>
      <c r="G6" s="26">
        <v>82.767600000000002</v>
      </c>
      <c r="H6">
        <f t="shared" si="5"/>
        <v>0.84849849240296571</v>
      </c>
      <c r="I6" s="12">
        <v>120.39999999999999</v>
      </c>
      <c r="J6" s="2">
        <f t="shared" si="6"/>
        <v>0.50630782169890653</v>
      </c>
      <c r="K6" s="10">
        <v>1.7</v>
      </c>
      <c r="L6" s="2">
        <f t="shared" si="7"/>
        <v>1</v>
      </c>
      <c r="M6">
        <v>28660</v>
      </c>
      <c r="N6">
        <f t="shared" si="8"/>
        <v>0.13447171320019116</v>
      </c>
      <c r="O6" s="10">
        <v>0.703602862</v>
      </c>
      <c r="P6">
        <f t="shared" si="9"/>
        <v>0.67940414654705628</v>
      </c>
      <c r="Q6" s="23">
        <v>0.38590000000000002</v>
      </c>
      <c r="R6" s="13">
        <f t="shared" si="10"/>
        <v>0.83564313555651804</v>
      </c>
      <c r="S6">
        <f t="shared" si="11"/>
        <v>0.5603963786631776</v>
      </c>
      <c r="T6" s="14">
        <f t="shared" si="12"/>
        <v>1</v>
      </c>
      <c r="U6" t="str">
        <f t="shared" si="13"/>
        <v>High</v>
      </c>
      <c r="V6">
        <f t="shared" si="14"/>
        <v>0.61818715831814064</v>
      </c>
      <c r="W6">
        <f t="shared" si="0"/>
        <v>1</v>
      </c>
      <c r="X6" t="str">
        <f t="shared" si="15"/>
        <v>High</v>
      </c>
      <c r="Y6">
        <f t="shared" si="1"/>
        <v>0.50260559900821455</v>
      </c>
      <c r="Z6">
        <f t="shared" si="16"/>
        <v>0.91494570952679333</v>
      </c>
      <c r="AA6" t="str">
        <f t="shared" si="17"/>
        <v>High</v>
      </c>
      <c r="AB6">
        <f t="shared" si="2"/>
        <v>0.40196472737808742</v>
      </c>
      <c r="AC6">
        <f t="shared" si="18"/>
        <v>0.98247361232329988</v>
      </c>
      <c r="AD6" t="str">
        <f t="shared" si="19"/>
        <v>High</v>
      </c>
      <c r="AE6">
        <f t="shared" si="3"/>
        <v>9.94786921836395E-2</v>
      </c>
      <c r="AF6">
        <f t="shared" si="20"/>
        <v>0.60063477835503887</v>
      </c>
      <c r="AG6" t="str">
        <f t="shared" si="21"/>
        <v>Moderate</v>
      </c>
      <c r="AH6" s="1" t="s">
        <v>547</v>
      </c>
      <c r="AI6">
        <f>MAX(G1:G555)</f>
        <v>97.545960000000008</v>
      </c>
      <c r="AJ6">
        <f>MIN(G1:G555)</f>
        <v>0</v>
      </c>
      <c r="AK6">
        <f t="shared" si="22"/>
        <v>97.545960000000008</v>
      </c>
    </row>
    <row r="7" spans="1:37" customFormat="1" x14ac:dyDescent="0.3">
      <c r="A7">
        <v>100602</v>
      </c>
      <c r="B7" t="s">
        <v>4</v>
      </c>
      <c r="C7" t="s">
        <v>557</v>
      </c>
      <c r="D7" t="s">
        <v>556</v>
      </c>
      <c r="E7" s="21">
        <v>6.7</v>
      </c>
      <c r="F7" s="2">
        <f>(E7-$AJ$5)/$AK$5</f>
        <v>0.77777777777777779</v>
      </c>
      <c r="G7" s="26">
        <v>81.169200000000004</v>
      </c>
      <c r="H7">
        <f t="shared" si="5"/>
        <v>0.83211237041493058</v>
      </c>
      <c r="I7" s="12">
        <v>226.1</v>
      </c>
      <c r="J7" s="2">
        <f t="shared" si="6"/>
        <v>0.95079899074852814</v>
      </c>
      <c r="K7" s="10">
        <v>0.1</v>
      </c>
      <c r="L7" s="2">
        <f t="shared" si="7"/>
        <v>5.8823529411764712E-2</v>
      </c>
      <c r="M7">
        <v>14078</v>
      </c>
      <c r="N7">
        <f t="shared" si="8"/>
        <v>6.5478133738342964E-2</v>
      </c>
      <c r="O7" s="10">
        <v>0.75035458200000005</v>
      </c>
      <c r="P7">
        <f t="shared" si="9"/>
        <v>0.73089129236800654</v>
      </c>
      <c r="Q7" s="23">
        <v>0.29409999999999997</v>
      </c>
      <c r="R7" s="13">
        <f t="shared" si="10"/>
        <v>0.63685578172368984</v>
      </c>
      <c r="S7">
        <f t="shared" si="11"/>
        <v>0.34130321642311384</v>
      </c>
      <c r="T7" s="14">
        <f t="shared" si="12"/>
        <v>0.60903893996833236</v>
      </c>
      <c r="U7" t="str">
        <f t="shared" si="13"/>
        <v>Moderate</v>
      </c>
      <c r="V7">
        <f t="shared" si="14"/>
        <v>0.3178378968118773</v>
      </c>
      <c r="W7">
        <f t="shared" si="0"/>
        <v>0.51414509754068172</v>
      </c>
      <c r="X7" t="str">
        <f t="shared" si="15"/>
        <v>Moderate</v>
      </c>
      <c r="Y7">
        <f t="shared" si="1"/>
        <v>0.36476853603435033</v>
      </c>
      <c r="Z7">
        <f t="shared" si="16"/>
        <v>0.66402644075905659</v>
      </c>
      <c r="AA7" t="str">
        <f t="shared" si="17"/>
        <v>Moderate</v>
      </c>
      <c r="AB7">
        <f t="shared" si="2"/>
        <v>0.23211126707801408</v>
      </c>
      <c r="AC7">
        <f t="shared" si="18"/>
        <v>0.56732140781242635</v>
      </c>
      <c r="AD7" t="str">
        <f t="shared" si="19"/>
        <v>Moderate</v>
      </c>
      <c r="AE7">
        <f t="shared" si="3"/>
        <v>3.2678406810148317E-2</v>
      </c>
      <c r="AF7">
        <f t="shared" si="20"/>
        <v>0.19730645026148885</v>
      </c>
      <c r="AG7" t="s">
        <v>1169</v>
      </c>
      <c r="AH7" s="1" t="s">
        <v>548</v>
      </c>
      <c r="AI7">
        <f>MAX(I1:I555)</f>
        <v>237.8</v>
      </c>
      <c r="AJ7">
        <f>MIN(K1:K555)</f>
        <v>0</v>
      </c>
      <c r="AK7">
        <f t="shared" si="22"/>
        <v>237.8</v>
      </c>
    </row>
    <row r="8" spans="1:37" customFormat="1" x14ac:dyDescent="0.3">
      <c r="A8">
        <v>100603</v>
      </c>
      <c r="B8" t="s">
        <v>20</v>
      </c>
      <c r="C8" t="s">
        <v>557</v>
      </c>
      <c r="D8" t="s">
        <v>558</v>
      </c>
      <c r="E8" s="21">
        <v>6.7</v>
      </c>
      <c r="F8" s="2">
        <f t="shared" si="4"/>
        <v>0.77777777777777779</v>
      </c>
      <c r="G8" s="26">
        <v>82.099800000000002</v>
      </c>
      <c r="H8">
        <f t="shared" si="5"/>
        <v>0.84165248873454113</v>
      </c>
      <c r="I8" s="12">
        <v>237.8</v>
      </c>
      <c r="J8" s="2">
        <f t="shared" si="6"/>
        <v>1</v>
      </c>
      <c r="K8" s="10">
        <v>0.2</v>
      </c>
      <c r="L8" s="2">
        <f t="shared" si="7"/>
        <v>0.11764705882352942</v>
      </c>
      <c r="M8">
        <v>12897</v>
      </c>
      <c r="N8">
        <f t="shared" si="8"/>
        <v>5.9890325663700068E-2</v>
      </c>
      <c r="O8" s="10">
        <v>0.68775487000000002</v>
      </c>
      <c r="P8">
        <f t="shared" si="9"/>
        <v>0.66195093038574182</v>
      </c>
      <c r="Q8" s="23">
        <v>0.35470000000000002</v>
      </c>
      <c r="R8" s="13">
        <f t="shared" si="10"/>
        <v>0.76808142052836736</v>
      </c>
      <c r="S8">
        <f t="shared" si="11"/>
        <v>0.37809319852244072</v>
      </c>
      <c r="T8" s="14">
        <f t="shared" si="12"/>
        <v>0.67468886830493069</v>
      </c>
      <c r="U8" t="str">
        <f t="shared" si="13"/>
        <v>Moderate</v>
      </c>
      <c r="V8">
        <f t="shared" si="14"/>
        <v>0.40615355425714111</v>
      </c>
      <c r="W8">
        <f t="shared" si="0"/>
        <v>0.65700742694515879</v>
      </c>
      <c r="X8" t="str">
        <f t="shared" si="15"/>
        <v>Moderate</v>
      </c>
      <c r="Y8">
        <f t="shared" si="1"/>
        <v>0.35003284278774049</v>
      </c>
      <c r="Z8">
        <f t="shared" si="16"/>
        <v>0.63720151214804788</v>
      </c>
      <c r="AA8" t="str">
        <f t="shared" si="17"/>
        <v>Moderate</v>
      </c>
      <c r="AB8">
        <f t="shared" si="2"/>
        <v>0.25824788267718707</v>
      </c>
      <c r="AC8">
        <f t="shared" si="18"/>
        <v>0.63120396613817675</v>
      </c>
      <c r="AD8" t="str">
        <f t="shared" si="19"/>
        <v>Moderate</v>
      </c>
      <c r="AE8">
        <f t="shared" si="3"/>
        <v>3.1669388145330192E-2</v>
      </c>
      <c r="AF8">
        <f t="shared" si="20"/>
        <v>0.19121417372672753</v>
      </c>
      <c r="AG8" t="s">
        <v>1169</v>
      </c>
      <c r="AH8" s="1" t="s">
        <v>549</v>
      </c>
      <c r="AI8">
        <f>MAX(K1:K545)</f>
        <v>1.7</v>
      </c>
      <c r="AJ8">
        <f>MIN(K1:K555)</f>
        <v>0</v>
      </c>
      <c r="AK8">
        <f t="shared" si="22"/>
        <v>1.7</v>
      </c>
    </row>
    <row r="9" spans="1:37" customFormat="1" x14ac:dyDescent="0.3">
      <c r="A9">
        <v>100607</v>
      </c>
      <c r="B9" t="s">
        <v>33</v>
      </c>
      <c r="C9" t="s">
        <v>557</v>
      </c>
      <c r="D9" t="s">
        <v>559</v>
      </c>
      <c r="E9" s="21">
        <v>6.7</v>
      </c>
      <c r="F9" s="2">
        <f t="shared" si="4"/>
        <v>0.77777777777777779</v>
      </c>
      <c r="G9" s="26">
        <v>89.56908</v>
      </c>
      <c r="H9">
        <f t="shared" si="5"/>
        <v>0.9182243939164676</v>
      </c>
      <c r="I9" s="12">
        <v>129.20000000000002</v>
      </c>
      <c r="J9" s="2">
        <f t="shared" si="6"/>
        <v>0.54331370899915898</v>
      </c>
      <c r="K9" s="10">
        <v>0.2</v>
      </c>
      <c r="L9" s="2">
        <f t="shared" si="7"/>
        <v>0.11764705882352942</v>
      </c>
      <c r="M9">
        <v>24771</v>
      </c>
      <c r="N9">
        <f t="shared" si="8"/>
        <v>0.11607121734728157</v>
      </c>
      <c r="O9" s="10">
        <v>0.90452841500000003</v>
      </c>
      <c r="P9">
        <f t="shared" si="9"/>
        <v>0.90068120857741696</v>
      </c>
      <c r="Q9" s="23">
        <v>0.3705</v>
      </c>
      <c r="R9" s="13">
        <f t="shared" si="10"/>
        <v>0.80229536595928974</v>
      </c>
      <c r="S9">
        <f t="shared" si="11"/>
        <v>0.36215000064142255</v>
      </c>
      <c r="T9" s="14">
        <f t="shared" si="12"/>
        <v>0.64623900944065582</v>
      </c>
      <c r="U9" t="str">
        <f t="shared" si="13"/>
        <v>Moderate</v>
      </c>
      <c r="V9">
        <f t="shared" si="14"/>
        <v>0.34122755608169342</v>
      </c>
      <c r="W9">
        <f t="shared" si="0"/>
        <v>0.55198098422174902</v>
      </c>
      <c r="X9" t="str">
        <f t="shared" si="15"/>
        <v>Moderate</v>
      </c>
      <c r="Y9">
        <f t="shared" si="1"/>
        <v>0.38307244520115169</v>
      </c>
      <c r="Z9">
        <f t="shared" si="16"/>
        <v>0.69734696721713796</v>
      </c>
      <c r="AA9" t="str">
        <f t="shared" si="17"/>
        <v>Moderate</v>
      </c>
      <c r="AB9">
        <f t="shared" si="2"/>
        <v>0.251629733302979</v>
      </c>
      <c r="AC9">
        <f t="shared" si="18"/>
        <v>0.61502802660988698</v>
      </c>
      <c r="AD9" t="str">
        <f t="shared" si="19"/>
        <v>Moderate</v>
      </c>
      <c r="AE9">
        <f t="shared" si="3"/>
        <v>4.9366728897259612E-2</v>
      </c>
      <c r="AF9">
        <f t="shared" si="20"/>
        <v>0.29806759235014707</v>
      </c>
      <c r="AG9" t="s">
        <v>1169</v>
      </c>
      <c r="AH9" s="1" t="s">
        <v>1159</v>
      </c>
      <c r="AI9" s="5">
        <f>MAX(M1:M555)</f>
        <v>211592</v>
      </c>
      <c r="AJ9" s="5">
        <f>MIN(M1:M555)</f>
        <v>239</v>
      </c>
      <c r="AK9" s="5">
        <f t="shared" si="22"/>
        <v>211353</v>
      </c>
    </row>
    <row r="10" spans="1:37" customFormat="1" x14ac:dyDescent="0.3">
      <c r="A10">
        <v>100610</v>
      </c>
      <c r="B10" t="s">
        <v>39</v>
      </c>
      <c r="C10" t="s">
        <v>557</v>
      </c>
      <c r="D10" t="s">
        <v>560</v>
      </c>
      <c r="E10" s="21">
        <v>6.7</v>
      </c>
      <c r="F10" s="2">
        <f t="shared" si="4"/>
        <v>0.77777777777777779</v>
      </c>
      <c r="G10" s="26">
        <v>81.707400000000007</v>
      </c>
      <c r="H10">
        <f t="shared" si="5"/>
        <v>0.83762976959783886</v>
      </c>
      <c r="I10" s="12">
        <v>237.8</v>
      </c>
      <c r="J10" s="2">
        <f t="shared" si="6"/>
        <v>1</v>
      </c>
      <c r="K10" s="10">
        <v>0.2</v>
      </c>
      <c r="L10" s="2">
        <f t="shared" si="7"/>
        <v>0.11764705882352942</v>
      </c>
      <c r="M10">
        <v>9050</v>
      </c>
      <c r="N10">
        <f t="shared" si="8"/>
        <v>4.1688549488296832E-2</v>
      </c>
      <c r="O10" s="10">
        <v>0.70393524799999996</v>
      </c>
      <c r="P10">
        <f t="shared" si="9"/>
        <v>0.67977019952758488</v>
      </c>
      <c r="Q10" s="23">
        <v>0.32950000000000002</v>
      </c>
      <c r="R10" s="13">
        <f t="shared" si="10"/>
        <v>0.71351234300563016</v>
      </c>
      <c r="S10">
        <f t="shared" si="11"/>
        <v>0.36761386477618502</v>
      </c>
      <c r="T10" s="14">
        <f t="shared" si="12"/>
        <v>0.65598900844635333</v>
      </c>
      <c r="U10" t="str">
        <f t="shared" si="13"/>
        <v>Moderate</v>
      </c>
      <c r="V10">
        <f t="shared" si="14"/>
        <v>0.37651663890213094</v>
      </c>
      <c r="W10">
        <f t="shared" si="0"/>
        <v>0.60906577213039159</v>
      </c>
      <c r="X10" t="str">
        <f t="shared" si="15"/>
        <v>Moderate</v>
      </c>
      <c r="Y10">
        <f t="shared" si="1"/>
        <v>0.35871109065023921</v>
      </c>
      <c r="Z10">
        <f t="shared" si="16"/>
        <v>0.6529994373276945</v>
      </c>
      <c r="AA10" t="str">
        <f t="shared" si="17"/>
        <v>Moderate</v>
      </c>
      <c r="AB10">
        <f t="shared" si="2"/>
        <v>0.24709373924929001</v>
      </c>
      <c r="AC10">
        <f t="shared" si="18"/>
        <v>0.60394124670142746</v>
      </c>
      <c r="AD10" t="str">
        <f t="shared" si="19"/>
        <v>Moderate</v>
      </c>
      <c r="AE10">
        <f t="shared" si="3"/>
        <v>2.199882410992127E-2</v>
      </c>
      <c r="AF10">
        <f t="shared" si="20"/>
        <v>0.13282501562185928</v>
      </c>
      <c r="AG10" t="s">
        <v>1170</v>
      </c>
      <c r="AH10" s="1" t="s">
        <v>1119</v>
      </c>
      <c r="AI10" s="2">
        <f>MAX(S2:S545)</f>
        <v>0.5603963786631776</v>
      </c>
      <c r="AJ10" s="2">
        <f>MIN(S2:S545)</f>
        <v>0</v>
      </c>
      <c r="AK10" s="2">
        <f t="shared" si="22"/>
        <v>0.5603963786631776</v>
      </c>
    </row>
    <row r="11" spans="1:37" customFormat="1" x14ac:dyDescent="0.3">
      <c r="A11">
        <v>100632</v>
      </c>
      <c r="B11" t="s">
        <v>179</v>
      </c>
      <c r="C11" t="s">
        <v>557</v>
      </c>
      <c r="D11" t="s">
        <v>561</v>
      </c>
      <c r="E11" s="21">
        <v>6.7</v>
      </c>
      <c r="F11" s="2">
        <f t="shared" si="4"/>
        <v>0.77777777777777779</v>
      </c>
      <c r="G11" s="26">
        <v>82.099800000000002</v>
      </c>
      <c r="H11">
        <f t="shared" si="5"/>
        <v>0.84165248873454113</v>
      </c>
      <c r="I11" s="12">
        <v>226.1</v>
      </c>
      <c r="J11" s="2">
        <f t="shared" si="6"/>
        <v>0.95079899074852814</v>
      </c>
      <c r="K11" s="10">
        <v>0.2</v>
      </c>
      <c r="L11" s="2">
        <f t="shared" si="7"/>
        <v>0.11764705882352942</v>
      </c>
      <c r="M11">
        <v>26617</v>
      </c>
      <c r="N11">
        <f t="shared" si="8"/>
        <v>0.12480542031577503</v>
      </c>
      <c r="O11" s="10">
        <v>0.755505117</v>
      </c>
      <c r="P11">
        <f t="shared" si="9"/>
        <v>0.73656351890001226</v>
      </c>
      <c r="Q11" s="23">
        <v>0.32450000000000001</v>
      </c>
      <c r="R11" s="13">
        <f t="shared" si="10"/>
        <v>0.70268514508445223</v>
      </c>
      <c r="S11">
        <f t="shared" si="11"/>
        <v>0.37089157803292172</v>
      </c>
      <c r="T11" s="14">
        <f t="shared" si="12"/>
        <v>0.6618379278568528</v>
      </c>
      <c r="U11" t="str">
        <f t="shared" si="13"/>
        <v>Moderate</v>
      </c>
      <c r="V11">
        <f t="shared" si="14"/>
        <v>0.36216118707264366</v>
      </c>
      <c r="W11">
        <f t="shared" si="0"/>
        <v>0.5858439183012969</v>
      </c>
      <c r="X11" t="str">
        <f t="shared" si="15"/>
        <v>Moderate</v>
      </c>
      <c r="Y11">
        <f t="shared" si="1"/>
        <v>0.37962196899319983</v>
      </c>
      <c r="Z11">
        <f t="shared" si="16"/>
        <v>0.69106570332250661</v>
      </c>
      <c r="AA11" t="str">
        <f t="shared" si="17"/>
        <v>Moderate</v>
      </c>
      <c r="AB11">
        <f t="shared" si="2"/>
        <v>0.26315648581899542</v>
      </c>
      <c r="AC11">
        <f t="shared" si="18"/>
        <v>0.64320146923167043</v>
      </c>
      <c r="AD11" t="str">
        <f t="shared" si="19"/>
        <v>Moderate</v>
      </c>
      <c r="AE11">
        <f t="shared" si="3"/>
        <v>6.4324227558886268E-2</v>
      </c>
      <c r="AF11">
        <f t="shared" si="20"/>
        <v>0.38837832820891066</v>
      </c>
      <c r="AG11" t="str">
        <f t="shared" si="21"/>
        <v>Moderate</v>
      </c>
      <c r="AH11" s="1" t="s">
        <v>1110</v>
      </c>
      <c r="AI11">
        <f>MAX(O1:O555)</f>
        <v>0.99471256200000002</v>
      </c>
      <c r="AJ11">
        <f>MIN(O1:O555)</f>
        <v>8.6685533999999995E-2</v>
      </c>
      <c r="AK11">
        <f t="shared" si="22"/>
        <v>0.90802702800000001</v>
      </c>
    </row>
    <row r="12" spans="1:37" customFormat="1" x14ac:dyDescent="0.3">
      <c r="A12">
        <v>100636</v>
      </c>
      <c r="B12" t="s">
        <v>210</v>
      </c>
      <c r="C12" t="s">
        <v>557</v>
      </c>
      <c r="D12" t="s">
        <v>562</v>
      </c>
      <c r="E12" s="21">
        <v>6.7</v>
      </c>
      <c r="F12" s="2">
        <f t="shared" si="4"/>
        <v>0.77777777777777779</v>
      </c>
      <c r="G12" s="26">
        <v>97.545960000000008</v>
      </c>
      <c r="H12">
        <f t="shared" si="5"/>
        <v>1</v>
      </c>
      <c r="I12" s="12">
        <v>139.6</v>
      </c>
      <c r="J12" s="2">
        <f t="shared" si="6"/>
        <v>0.58704793944491163</v>
      </c>
      <c r="K12" s="10">
        <v>1</v>
      </c>
      <c r="L12" s="2">
        <f t="shared" si="7"/>
        <v>0.58823529411764708</v>
      </c>
      <c r="M12">
        <v>4786</v>
      </c>
      <c r="N12">
        <f t="shared" si="8"/>
        <v>2.1513770800509101E-2</v>
      </c>
      <c r="O12" s="10">
        <v>0.79455427199999995</v>
      </c>
      <c r="P12">
        <f t="shared" si="9"/>
        <v>0.77956791612154519</v>
      </c>
      <c r="Q12" s="23">
        <v>0.32219999999999999</v>
      </c>
      <c r="R12" s="13">
        <f t="shared" si="10"/>
        <v>0.69770463404071026</v>
      </c>
      <c r="S12">
        <f t="shared" si="11"/>
        <v>0.42049427029855951</v>
      </c>
      <c r="T12" s="14">
        <f t="shared" si="12"/>
        <v>0.75035151244489873</v>
      </c>
      <c r="U12" t="str">
        <f t="shared" si="13"/>
        <v>High</v>
      </c>
      <c r="V12">
        <f t="shared" si="14"/>
        <v>0.39719251663161093</v>
      </c>
      <c r="W12">
        <f t="shared" si="0"/>
        <v>0.64251175600642585</v>
      </c>
      <c r="X12" t="str">
        <f t="shared" si="15"/>
        <v>Moderate</v>
      </c>
      <c r="Y12">
        <f t="shared" si="1"/>
        <v>0.4437960239655081</v>
      </c>
      <c r="Z12">
        <f t="shared" si="16"/>
        <v>0.80788846927599611</v>
      </c>
      <c r="AA12" t="str">
        <f t="shared" si="17"/>
        <v>High</v>
      </c>
      <c r="AB12">
        <f t="shared" si="2"/>
        <v>0.27644279859398052</v>
      </c>
      <c r="AC12">
        <f t="shared" si="18"/>
        <v>0.67567559150513734</v>
      </c>
      <c r="AD12" t="str">
        <f t="shared" si="19"/>
        <v>Moderate</v>
      </c>
      <c r="AE12">
        <f t="shared" si="3"/>
        <v>1.2247458809326582E-2</v>
      </c>
      <c r="AF12">
        <f t="shared" si="20"/>
        <v>7.3947993744957641E-2</v>
      </c>
      <c r="AG12" t="s">
        <v>1170</v>
      </c>
      <c r="AH12" s="1" t="s">
        <v>1111</v>
      </c>
      <c r="AI12">
        <f>MAX(Q1:Q555)</f>
        <v>0.46179999999999999</v>
      </c>
      <c r="AJ12">
        <f>MIN(Q1:Q555)</f>
        <v>0</v>
      </c>
      <c r="AK12">
        <f t="shared" si="22"/>
        <v>0.46179999999999999</v>
      </c>
    </row>
    <row r="13" spans="1:37" customFormat="1" x14ac:dyDescent="0.3">
      <c r="A13">
        <v>100651</v>
      </c>
      <c r="B13" t="s">
        <v>49</v>
      </c>
      <c r="C13" t="s">
        <v>557</v>
      </c>
      <c r="D13" t="s">
        <v>1123</v>
      </c>
      <c r="E13" s="21">
        <v>6.8</v>
      </c>
      <c r="F13" s="2">
        <f t="shared" si="4"/>
        <v>0.79999999999999993</v>
      </c>
      <c r="G13" s="26">
        <v>89.56908</v>
      </c>
      <c r="H13">
        <f t="shared" si="5"/>
        <v>0.9182243939164676</v>
      </c>
      <c r="I13" s="12">
        <v>195.70000000000002</v>
      </c>
      <c r="J13" s="2">
        <f t="shared" si="6"/>
        <v>0.82296047098402025</v>
      </c>
      <c r="K13" s="10">
        <v>0.5</v>
      </c>
      <c r="L13" s="2">
        <f t="shared" si="7"/>
        <v>0.29411764705882354</v>
      </c>
      <c r="M13">
        <v>47691</v>
      </c>
      <c r="N13">
        <f t="shared" si="8"/>
        <v>0.22451538421503361</v>
      </c>
      <c r="O13" s="10">
        <v>0.78589732800000001</v>
      </c>
      <c r="P13">
        <f t="shared" si="9"/>
        <v>0.77003412061430399</v>
      </c>
      <c r="Q13" s="23">
        <v>0.33860000000000001</v>
      </c>
      <c r="R13" s="13">
        <f t="shared" si="10"/>
        <v>0.73321784322217409</v>
      </c>
      <c r="S13">
        <f t="shared" si="11"/>
        <v>0.41949749112377843</v>
      </c>
      <c r="T13" s="14">
        <f t="shared" si="12"/>
        <v>0.74857280863321662</v>
      </c>
      <c r="U13" t="str">
        <f t="shared" si="13"/>
        <v>High</v>
      </c>
      <c r="V13">
        <f t="shared" si="14"/>
        <v>0.40922354080137219</v>
      </c>
      <c r="W13">
        <f t="shared" si="0"/>
        <v>0.66197353874952458</v>
      </c>
      <c r="X13" t="str">
        <f t="shared" si="15"/>
        <v>Moderate</v>
      </c>
      <c r="Y13">
        <f t="shared" si="1"/>
        <v>0.42977144144618462</v>
      </c>
      <c r="Z13">
        <f t="shared" si="16"/>
        <v>0.78235805013764947</v>
      </c>
      <c r="AA13" t="str">
        <f t="shared" si="17"/>
        <v>High</v>
      </c>
      <c r="AB13">
        <f t="shared" si="2"/>
        <v>0.31601695569856603</v>
      </c>
      <c r="AC13">
        <f t="shared" si="18"/>
        <v>0.77240190214139604</v>
      </c>
      <c r="AD13" t="str">
        <f t="shared" si="19"/>
        <v>High</v>
      </c>
      <c r="AE13">
        <f t="shared" si="3"/>
        <v>0.12530652566922965</v>
      </c>
      <c r="AF13">
        <f t="shared" si="20"/>
        <v>0.756578676495264</v>
      </c>
      <c r="AG13" t="str">
        <f t="shared" si="21"/>
        <v>High</v>
      </c>
      <c r="AH13" s="1" t="s">
        <v>1115</v>
      </c>
      <c r="AI13">
        <f>MAX(V1:V545)</f>
        <v>0.61818715831814064</v>
      </c>
      <c r="AJ13">
        <f>MIN(V1:V555)</f>
        <v>0</v>
      </c>
      <c r="AK13">
        <f t="shared" si="22"/>
        <v>0.61818715831814064</v>
      </c>
    </row>
    <row r="14" spans="1:37" customFormat="1" x14ac:dyDescent="0.3">
      <c r="A14">
        <v>100662</v>
      </c>
      <c r="B14" t="s">
        <v>334</v>
      </c>
      <c r="C14" t="s">
        <v>557</v>
      </c>
      <c r="D14" t="s">
        <v>563</v>
      </c>
      <c r="E14" s="21">
        <v>6.7</v>
      </c>
      <c r="F14" s="2">
        <f t="shared" si="4"/>
        <v>0.77777777777777779</v>
      </c>
      <c r="G14" s="26">
        <v>97.545960000000008</v>
      </c>
      <c r="H14">
        <f t="shared" si="5"/>
        <v>1</v>
      </c>
      <c r="I14" s="12">
        <v>139.6</v>
      </c>
      <c r="J14" s="2">
        <f t="shared" si="6"/>
        <v>0.58704793944491163</v>
      </c>
      <c r="K14" s="10">
        <v>1</v>
      </c>
      <c r="L14" s="2">
        <f t="shared" si="7"/>
        <v>0.58823529411764708</v>
      </c>
      <c r="M14">
        <v>15037</v>
      </c>
      <c r="N14">
        <f t="shared" si="8"/>
        <v>7.0015566374737992E-2</v>
      </c>
      <c r="O14" s="10">
        <v>0.76204103400000001</v>
      </c>
      <c r="P14">
        <f t="shared" si="9"/>
        <v>0.74376145111839109</v>
      </c>
      <c r="Q14" s="23">
        <v>0.34320000000000001</v>
      </c>
      <c r="R14" s="13">
        <f t="shared" si="10"/>
        <v>0.74317886530965793</v>
      </c>
      <c r="S14">
        <f t="shared" si="11"/>
        <v>0.42324612561524116</v>
      </c>
      <c r="T14" s="14">
        <f t="shared" si="12"/>
        <v>0.75526206401421159</v>
      </c>
      <c r="U14" t="str">
        <f t="shared" si="13"/>
        <v>High</v>
      </c>
      <c r="V14">
        <f t="shared" si="14"/>
        <v>0.42308029704521682</v>
      </c>
      <c r="W14">
        <f t="shared" si="0"/>
        <v>0.68438868609995451</v>
      </c>
      <c r="X14" t="str">
        <f t="shared" si="15"/>
        <v>Moderate</v>
      </c>
      <c r="Y14">
        <f t="shared" si="1"/>
        <v>0.42341195418526545</v>
      </c>
      <c r="Z14">
        <f t="shared" si="16"/>
        <v>0.7707812081851324</v>
      </c>
      <c r="AA14" t="str">
        <f t="shared" si="17"/>
        <v>High</v>
      </c>
      <c r="AB14">
        <f t="shared" si="2"/>
        <v>0.28905226497644076</v>
      </c>
      <c r="AC14">
        <f t="shared" si="18"/>
        <v>0.70649538026384695</v>
      </c>
      <c r="AD14" t="str">
        <f t="shared" si="19"/>
        <v>High</v>
      </c>
      <c r="AE14">
        <f t="shared" si="3"/>
        <v>3.9858785014386347E-2</v>
      </c>
      <c r="AF14">
        <f t="shared" si="20"/>
        <v>0.24066030601229005</v>
      </c>
      <c r="AG14" t="s">
        <v>1169</v>
      </c>
      <c r="AH14" s="1" t="s">
        <v>1121</v>
      </c>
      <c r="AI14">
        <f>MAX(Y1:Y545)</f>
        <v>0.54932833038602957</v>
      </c>
      <c r="AJ14">
        <f>MIN(Y1:Y555)</f>
        <v>0</v>
      </c>
      <c r="AK14">
        <f t="shared" si="22"/>
        <v>0.54932833038602957</v>
      </c>
    </row>
    <row r="15" spans="1:37" customFormat="1" x14ac:dyDescent="0.3">
      <c r="A15">
        <v>100669</v>
      </c>
      <c r="B15" t="s">
        <v>355</v>
      </c>
      <c r="C15" t="s">
        <v>557</v>
      </c>
      <c r="D15" t="s">
        <v>564</v>
      </c>
      <c r="E15" s="21">
        <v>6.7</v>
      </c>
      <c r="F15" s="2">
        <f t="shared" si="4"/>
        <v>0.77777777777777779</v>
      </c>
      <c r="G15" s="26">
        <v>95.893200000000007</v>
      </c>
      <c r="H15">
        <f t="shared" si="5"/>
        <v>0.98305660224165103</v>
      </c>
      <c r="I15" s="12">
        <v>199</v>
      </c>
      <c r="J15" s="2">
        <f t="shared" si="6"/>
        <v>0.83683767872161474</v>
      </c>
      <c r="K15" s="10">
        <v>1</v>
      </c>
      <c r="L15" s="2">
        <f t="shared" si="7"/>
        <v>0.58823529411764708</v>
      </c>
      <c r="M15">
        <v>4807</v>
      </c>
      <c r="N15">
        <f t="shared" si="8"/>
        <v>2.1613130639262276E-2</v>
      </c>
      <c r="O15" s="10">
        <v>0.72722841299999996</v>
      </c>
      <c r="P15">
        <f t="shared" si="9"/>
        <v>0.70542270136038276</v>
      </c>
      <c r="Q15" s="23">
        <v>0.32900000000000001</v>
      </c>
      <c r="R15" s="13">
        <f t="shared" si="10"/>
        <v>0.71242962321351244</v>
      </c>
      <c r="S15">
        <f t="shared" si="11"/>
        <v>0.44851671729208198</v>
      </c>
      <c r="T15" s="14">
        <f t="shared" si="12"/>
        <v>0.80035620209041336</v>
      </c>
      <c r="U15" t="str">
        <f t="shared" si="13"/>
        <v>High</v>
      </c>
      <c r="V15">
        <f t="shared" si="14"/>
        <v>0.45073325390412466</v>
      </c>
      <c r="W15">
        <f t="shared" si="0"/>
        <v>0.72912102401221612</v>
      </c>
      <c r="X15" t="str">
        <f t="shared" si="15"/>
        <v>High</v>
      </c>
      <c r="Y15">
        <f t="shared" si="1"/>
        <v>0.44630018068003929</v>
      </c>
      <c r="Z15">
        <f t="shared" si="16"/>
        <v>0.8124470485008678</v>
      </c>
      <c r="AA15" t="str">
        <f t="shared" si="17"/>
        <v>High</v>
      </c>
      <c r="AB15">
        <f t="shared" si="2"/>
        <v>0.29643259013864837</v>
      </c>
      <c r="AC15">
        <f t="shared" si="18"/>
        <v>0.72453421359514658</v>
      </c>
      <c r="AD15" t="str">
        <f t="shared" si="19"/>
        <v>High</v>
      </c>
      <c r="AE15">
        <f t="shared" si="3"/>
        <v>1.3673991623408467E-2</v>
      </c>
      <c r="AF15">
        <f t="shared" si="20"/>
        <v>8.2561146992092688E-2</v>
      </c>
      <c r="AG15" t="s">
        <v>1170</v>
      </c>
      <c r="AH15" s="1" t="s">
        <v>1160</v>
      </c>
      <c r="AI15">
        <f>MAX(AB1:AB545)</f>
        <v>0.40913539288606765</v>
      </c>
      <c r="AJ15">
        <f>MIN(AB1:AB555)</f>
        <v>0</v>
      </c>
      <c r="AK15">
        <f t="shared" si="22"/>
        <v>0.40913539288606765</v>
      </c>
    </row>
    <row r="16" spans="1:37" customFormat="1" x14ac:dyDescent="0.3">
      <c r="A16">
        <v>100694</v>
      </c>
      <c r="B16" t="s">
        <v>537</v>
      </c>
      <c r="C16" t="s">
        <v>557</v>
      </c>
      <c r="D16" t="s">
        <v>565</v>
      </c>
      <c r="E16" s="21">
        <v>6.7</v>
      </c>
      <c r="F16" s="2">
        <f t="shared" si="4"/>
        <v>0.77777777777777779</v>
      </c>
      <c r="G16" s="26">
        <v>82.099800000000002</v>
      </c>
      <c r="H16">
        <f t="shared" si="5"/>
        <v>0.84165248873454113</v>
      </c>
      <c r="I16" s="12">
        <v>237.8</v>
      </c>
      <c r="J16" s="2">
        <f t="shared" si="6"/>
        <v>1</v>
      </c>
      <c r="K16" s="10">
        <v>0.1</v>
      </c>
      <c r="L16" s="2">
        <f t="shared" si="7"/>
        <v>5.8823529411764712E-2</v>
      </c>
      <c r="M16">
        <v>26434</v>
      </c>
      <c r="N16">
        <f t="shared" si="8"/>
        <v>0.1239395702923545</v>
      </c>
      <c r="O16" s="10">
        <v>0.83544914100000001</v>
      </c>
      <c r="P16">
        <f t="shared" si="9"/>
        <v>0.82460497750734352</v>
      </c>
      <c r="Q16" s="23">
        <v>0.28420000000000001</v>
      </c>
      <c r="R16" s="13">
        <f t="shared" si="10"/>
        <v>0.61541792983975752</v>
      </c>
      <c r="S16">
        <f t="shared" si="11"/>
        <v>0.37085214011061712</v>
      </c>
      <c r="T16" s="14">
        <f t="shared" si="12"/>
        <v>0.66176755280839394</v>
      </c>
      <c r="U16" t="str">
        <f t="shared" si="13"/>
        <v>Moderate</v>
      </c>
      <c r="V16">
        <f t="shared" si="14"/>
        <v>0.31697975800117972</v>
      </c>
      <c r="W16">
        <f t="shared" si="0"/>
        <v>0.51275694380899917</v>
      </c>
      <c r="X16" t="str">
        <f t="shared" si="15"/>
        <v>Moderate</v>
      </c>
      <c r="Y16">
        <f t="shared" si="1"/>
        <v>0.42472452222005447</v>
      </c>
      <c r="Z16">
        <f t="shared" si="16"/>
        <v>0.77317061350465532</v>
      </c>
      <c r="AA16" t="str">
        <f t="shared" si="17"/>
        <v>High</v>
      </c>
      <c r="AB16">
        <f t="shared" si="2"/>
        <v>0.26070316544191596</v>
      </c>
      <c r="AC16">
        <f t="shared" si="18"/>
        <v>0.63720511589794004</v>
      </c>
      <c r="AD16" t="str">
        <f t="shared" si="19"/>
        <v>Moderate</v>
      </c>
      <c r="AE16">
        <f t="shared" si="3"/>
        <v>6.3836838501390603E-2</v>
      </c>
      <c r="AF16">
        <f t="shared" si="20"/>
        <v>0.38543555913851346</v>
      </c>
      <c r="AG16" t="str">
        <f t="shared" si="21"/>
        <v>Moderate</v>
      </c>
      <c r="AH16" s="1" t="s">
        <v>1161</v>
      </c>
      <c r="AI16">
        <f>MAX(AE1:AE545)</f>
        <v>0.16562259757265843</v>
      </c>
      <c r="AJ16">
        <f>MIN(AE1:AE555)</f>
        <v>0</v>
      </c>
      <c r="AK16">
        <f t="shared" si="22"/>
        <v>0.16562259757265843</v>
      </c>
    </row>
    <row r="17" spans="1:33" customFormat="1" x14ac:dyDescent="0.3">
      <c r="A17">
        <v>100918</v>
      </c>
      <c r="B17" t="s">
        <v>71</v>
      </c>
      <c r="C17" t="s">
        <v>567</v>
      </c>
      <c r="D17" t="s">
        <v>566</v>
      </c>
      <c r="E17" s="21">
        <v>7.2</v>
      </c>
      <c r="F17" s="2">
        <f t="shared" si="4"/>
        <v>0.88888888888888884</v>
      </c>
      <c r="G17" s="26">
        <v>97.545960000000008</v>
      </c>
      <c r="H17">
        <f t="shared" si="5"/>
        <v>1</v>
      </c>
      <c r="I17" s="12">
        <v>92.399999999999991</v>
      </c>
      <c r="J17" s="2">
        <f t="shared" si="6"/>
        <v>0.38856181665264922</v>
      </c>
      <c r="K17" s="10">
        <v>1</v>
      </c>
      <c r="L17" s="2">
        <f t="shared" si="7"/>
        <v>0.58823529411764708</v>
      </c>
      <c r="M17">
        <v>36805</v>
      </c>
      <c r="N17">
        <f t="shared" si="8"/>
        <v>0.1730091363737444</v>
      </c>
      <c r="O17" s="10">
        <v>0.90781101099999995</v>
      </c>
      <c r="P17">
        <f t="shared" si="9"/>
        <v>0.90429629480148022</v>
      </c>
      <c r="Q17" s="23">
        <v>0.38429999999999997</v>
      </c>
      <c r="R17" s="13">
        <f t="shared" si="10"/>
        <v>0.83217843222174093</v>
      </c>
      <c r="S17">
        <f t="shared" si="11"/>
        <v>0.51127004091905848</v>
      </c>
      <c r="T17" s="14">
        <f t="shared" si="12"/>
        <v>0.91233644681767978</v>
      </c>
      <c r="U17" t="str">
        <f t="shared" si="13"/>
        <v>High</v>
      </c>
      <c r="V17">
        <f t="shared" si="14"/>
        <v>0.49003638748412126</v>
      </c>
      <c r="W17">
        <f t="shared" si="0"/>
        <v>0.7926990732342768</v>
      </c>
      <c r="X17" t="str">
        <f t="shared" si="15"/>
        <v>High</v>
      </c>
      <c r="Y17">
        <f t="shared" si="1"/>
        <v>0.53250369435399569</v>
      </c>
      <c r="Z17">
        <f t="shared" si="16"/>
        <v>0.96937234964704866</v>
      </c>
      <c r="AA17" t="str">
        <f t="shared" si="17"/>
        <v>High</v>
      </c>
      <c r="AB17">
        <f t="shared" si="2"/>
        <v>0.36692118508911825</v>
      </c>
      <c r="AC17">
        <f t="shared" si="18"/>
        <v>0.89682093377654859</v>
      </c>
      <c r="AD17" t="str">
        <f t="shared" si="19"/>
        <v>High</v>
      </c>
      <c r="AE17">
        <f t="shared" si="3"/>
        <v>0.10187811760993444</v>
      </c>
      <c r="AF17">
        <f t="shared" si="20"/>
        <v>0.61512208541011826</v>
      </c>
      <c r="AG17" t="str">
        <f t="shared" si="21"/>
        <v>Moderate</v>
      </c>
    </row>
    <row r="18" spans="1:33" customFormat="1" x14ac:dyDescent="0.3">
      <c r="A18">
        <v>100921</v>
      </c>
      <c r="B18" t="s">
        <v>90</v>
      </c>
      <c r="C18" t="s">
        <v>567</v>
      </c>
      <c r="D18" t="s">
        <v>568</v>
      </c>
      <c r="E18" s="21">
        <v>7.2</v>
      </c>
      <c r="F18" s="2">
        <f t="shared" si="4"/>
        <v>0.88888888888888884</v>
      </c>
      <c r="G18" s="26">
        <v>86.823359999999994</v>
      </c>
      <c r="H18">
        <f t="shared" si="5"/>
        <v>0.89007643166359718</v>
      </c>
      <c r="I18" s="12">
        <v>69.599999999999994</v>
      </c>
      <c r="J18" s="2">
        <f t="shared" si="6"/>
        <v>0.29268292682926828</v>
      </c>
      <c r="K18" s="10">
        <v>1</v>
      </c>
      <c r="L18" s="2">
        <f t="shared" si="7"/>
        <v>0.58823529411764708</v>
      </c>
      <c r="M18">
        <v>23768</v>
      </c>
      <c r="N18">
        <f t="shared" si="8"/>
        <v>0.11132560219159415</v>
      </c>
      <c r="O18" s="10">
        <v>0.83327052400000001</v>
      </c>
      <c r="P18">
        <f t="shared" si="9"/>
        <v>0.82220569099623764</v>
      </c>
      <c r="Q18" s="23">
        <v>0.38890000000000002</v>
      </c>
      <c r="R18" s="13">
        <f t="shared" si="10"/>
        <v>0.84213945430922488</v>
      </c>
      <c r="S18">
        <f t="shared" si="11"/>
        <v>0.43675106468839203</v>
      </c>
      <c r="T18" s="14">
        <f t="shared" si="12"/>
        <v>0.77936096898102591</v>
      </c>
      <c r="U18" t="str">
        <f t="shared" si="13"/>
        <v>High</v>
      </c>
      <c r="V18">
        <f t="shared" si="14"/>
        <v>0.44198200634418411</v>
      </c>
      <c r="W18">
        <f t="shared" si="0"/>
        <v>0.71496471642447934</v>
      </c>
      <c r="X18" t="str">
        <f t="shared" si="15"/>
        <v>High</v>
      </c>
      <c r="Y18">
        <f t="shared" si="1"/>
        <v>0.43152012303260007</v>
      </c>
      <c r="Z18">
        <f t="shared" si="16"/>
        <v>0.78554135871593933</v>
      </c>
      <c r="AA18" t="str">
        <f t="shared" si="17"/>
        <v>High</v>
      </c>
      <c r="AB18">
        <f t="shared" si="2"/>
        <v>0.30459928518442658</v>
      </c>
      <c r="AC18">
        <f t="shared" si="18"/>
        <v>0.74449507542176552</v>
      </c>
      <c r="AD18" t="str">
        <f t="shared" si="19"/>
        <v>High</v>
      </c>
      <c r="AE18">
        <f t="shared" si="3"/>
        <v>5.8427274440520531E-2</v>
      </c>
      <c r="AF18">
        <f t="shared" si="20"/>
        <v>0.35277356651098624</v>
      </c>
      <c r="AG18" t="str">
        <f t="shared" si="21"/>
        <v>Moderate</v>
      </c>
    </row>
    <row r="19" spans="1:33" customFormat="1" x14ac:dyDescent="0.3">
      <c r="A19">
        <v>100925</v>
      </c>
      <c r="B19" t="s">
        <v>100</v>
      </c>
      <c r="C19" t="s">
        <v>567</v>
      </c>
      <c r="D19" t="s">
        <v>569</v>
      </c>
      <c r="E19" s="21">
        <v>7.2</v>
      </c>
      <c r="F19" s="2">
        <f t="shared" si="4"/>
        <v>0.88888888888888884</v>
      </c>
      <c r="G19" s="26">
        <v>92.998080000000002</v>
      </c>
      <c r="H19">
        <f t="shared" si="5"/>
        <v>0.95337705426242147</v>
      </c>
      <c r="I19" s="12">
        <v>69</v>
      </c>
      <c r="J19" s="2">
        <f t="shared" si="6"/>
        <v>0.29015979814970561</v>
      </c>
      <c r="K19" s="10">
        <v>1.5</v>
      </c>
      <c r="L19" s="2">
        <f t="shared" si="7"/>
        <v>0.88235294117647056</v>
      </c>
      <c r="M19">
        <v>19441</v>
      </c>
      <c r="N19">
        <f t="shared" si="8"/>
        <v>9.0852743987546905E-2</v>
      </c>
      <c r="O19" s="10">
        <v>0.82435042199999997</v>
      </c>
      <c r="P19">
        <f t="shared" si="9"/>
        <v>0.81238208252981647</v>
      </c>
      <c r="Q19" s="23">
        <v>0.37219999999999998</v>
      </c>
      <c r="R19" s="13">
        <f t="shared" si="10"/>
        <v>0.80597661325249026</v>
      </c>
      <c r="S19">
        <f t="shared" si="11"/>
        <v>0.50344893513334843</v>
      </c>
      <c r="T19" s="14">
        <f t="shared" si="12"/>
        <v>0.89838006507879842</v>
      </c>
      <c r="U19" t="str">
        <f t="shared" si="13"/>
        <v>High</v>
      </c>
      <c r="V19">
        <f t="shared" si="14"/>
        <v>0.50145628251863228</v>
      </c>
      <c r="W19">
        <f t="shared" si="0"/>
        <v>0.81117227326900476</v>
      </c>
      <c r="X19" t="str">
        <f t="shared" si="15"/>
        <v>High</v>
      </c>
      <c r="Y19">
        <f t="shared" si="1"/>
        <v>0.50544158774806458</v>
      </c>
      <c r="Z19">
        <f t="shared" si="16"/>
        <v>0.92010835740598984</v>
      </c>
      <c r="AA19" t="str">
        <f t="shared" si="17"/>
        <v>High</v>
      </c>
      <c r="AB19">
        <f t="shared" si="2"/>
        <v>0.34692629484120729</v>
      </c>
      <c r="AC19">
        <f t="shared" si="18"/>
        <v>0.84794984954483321</v>
      </c>
      <c r="AD19" t="str">
        <f t="shared" si="19"/>
        <v>High</v>
      </c>
      <c r="AE19">
        <f t="shared" si="3"/>
        <v>5.6526056100761841E-2</v>
      </c>
      <c r="AF19">
        <f t="shared" si="20"/>
        <v>0.34129434587550128</v>
      </c>
      <c r="AG19" t="str">
        <f t="shared" si="21"/>
        <v>Moderate</v>
      </c>
    </row>
    <row r="20" spans="1:33" customFormat="1" x14ac:dyDescent="0.3">
      <c r="A20">
        <v>100929</v>
      </c>
      <c r="B20" t="s">
        <v>131</v>
      </c>
      <c r="C20" t="s">
        <v>567</v>
      </c>
      <c r="D20" t="s">
        <v>1124</v>
      </c>
      <c r="E20" s="21">
        <v>7.2</v>
      </c>
      <c r="F20" s="2">
        <f t="shared" si="4"/>
        <v>0.88888888888888884</v>
      </c>
      <c r="G20" s="26">
        <v>86.823359999999994</v>
      </c>
      <c r="H20">
        <f t="shared" si="5"/>
        <v>0.89007643166359718</v>
      </c>
      <c r="I20" s="12">
        <v>78.600000000000009</v>
      </c>
      <c r="J20" s="2">
        <f t="shared" si="6"/>
        <v>0.33052985702270815</v>
      </c>
      <c r="K20" s="10">
        <v>1</v>
      </c>
      <c r="L20" s="2">
        <f t="shared" si="7"/>
        <v>0.58823529411764708</v>
      </c>
      <c r="M20">
        <v>11391</v>
      </c>
      <c r="N20">
        <f t="shared" si="8"/>
        <v>5.2764805798829445E-2</v>
      </c>
      <c r="O20" s="10">
        <v>0.88380282600000004</v>
      </c>
      <c r="P20">
        <f t="shared" si="9"/>
        <v>0.87785634944778324</v>
      </c>
      <c r="Q20" s="23">
        <v>0.40139999999999998</v>
      </c>
      <c r="R20" s="13">
        <f t="shared" si="10"/>
        <v>0.86920744911216974</v>
      </c>
      <c r="S20">
        <f t="shared" si="11"/>
        <v>0.46874326531418858</v>
      </c>
      <c r="T20" s="14">
        <f t="shared" si="12"/>
        <v>0.8364494903274946</v>
      </c>
      <c r="U20" t="str">
        <f t="shared" si="13"/>
        <v>High</v>
      </c>
      <c r="V20">
        <f t="shared" si="14"/>
        <v>0.46642273541251345</v>
      </c>
      <c r="W20">
        <f t="shared" si="0"/>
        <v>0.75450084838623588</v>
      </c>
      <c r="X20" t="str">
        <f t="shared" si="15"/>
        <v>High</v>
      </c>
      <c r="Y20">
        <f t="shared" si="1"/>
        <v>0.47106379521586361</v>
      </c>
      <c r="Z20">
        <f t="shared" si="16"/>
        <v>0.85752685444938348</v>
      </c>
      <c r="AA20" t="str">
        <f t="shared" si="17"/>
        <v>High</v>
      </c>
      <c r="AB20">
        <f t="shared" si="2"/>
        <v>0.31447698200276192</v>
      </c>
      <c r="AC20">
        <f t="shared" si="18"/>
        <v>0.76863793128338487</v>
      </c>
      <c r="AD20" t="str">
        <f t="shared" si="19"/>
        <v>High</v>
      </c>
      <c r="AE20">
        <f t="shared" si="3"/>
        <v>2.8313960124637761E-2</v>
      </c>
      <c r="AF20">
        <f t="shared" si="20"/>
        <v>0.17095469180898737</v>
      </c>
      <c r="AG20" t="s">
        <v>1170</v>
      </c>
    </row>
    <row r="21" spans="1:33" customFormat="1" x14ac:dyDescent="0.3">
      <c r="A21">
        <v>100954</v>
      </c>
      <c r="B21" t="s">
        <v>301</v>
      </c>
      <c r="C21" t="s">
        <v>567</v>
      </c>
      <c r="D21" t="s">
        <v>570</v>
      </c>
      <c r="E21" s="21">
        <v>7.2</v>
      </c>
      <c r="F21" s="2">
        <f t="shared" si="4"/>
        <v>0.88888888888888884</v>
      </c>
      <c r="G21" s="26">
        <v>94.504680000000008</v>
      </c>
      <c r="H21">
        <f t="shared" si="5"/>
        <v>0.96882208140654924</v>
      </c>
      <c r="I21" s="12">
        <v>55.800000000000004</v>
      </c>
      <c r="J21" s="2">
        <f t="shared" si="6"/>
        <v>0.23465096719932718</v>
      </c>
      <c r="K21" s="10">
        <v>1</v>
      </c>
      <c r="L21" s="2">
        <f t="shared" si="7"/>
        <v>0.58823529411764708</v>
      </c>
      <c r="M21">
        <v>17773</v>
      </c>
      <c r="N21">
        <f t="shared" si="8"/>
        <v>8.2960733938008929E-2</v>
      </c>
      <c r="O21" s="10">
        <v>0.92547457700000002</v>
      </c>
      <c r="P21">
        <f t="shared" si="9"/>
        <v>0.92374898228249658</v>
      </c>
      <c r="Q21" s="23">
        <v>0.3896</v>
      </c>
      <c r="R21" s="13">
        <f t="shared" si="10"/>
        <v>0.84365526201818974</v>
      </c>
      <c r="S21">
        <f t="shared" si="11"/>
        <v>0.46949024335285638</v>
      </c>
      <c r="T21" s="14">
        <f t="shared" si="12"/>
        <v>0.83778243619779047</v>
      </c>
      <c r="U21" t="str">
        <f t="shared" si="13"/>
        <v>High</v>
      </c>
      <c r="V21">
        <f t="shared" si="14"/>
        <v>0.44821428436430955</v>
      </c>
      <c r="W21">
        <f t="shared" si="0"/>
        <v>0.72504625554457547</v>
      </c>
      <c r="X21" t="str">
        <f t="shared" si="15"/>
        <v>High</v>
      </c>
      <c r="Y21">
        <f t="shared" si="1"/>
        <v>0.49076620234140322</v>
      </c>
      <c r="Z21">
        <f t="shared" si="16"/>
        <v>0.89339321348405065</v>
      </c>
      <c r="AA21" t="str">
        <f t="shared" si="17"/>
        <v>High</v>
      </c>
      <c r="AB21">
        <f t="shared" si="2"/>
        <v>0.31953114355114481</v>
      </c>
      <c r="AC21">
        <f t="shared" si="18"/>
        <v>0.78099120512931275</v>
      </c>
      <c r="AD21" t="str">
        <f t="shared" si="19"/>
        <v>High</v>
      </c>
      <c r="AE21">
        <f t="shared" si="3"/>
        <v>4.4075095203472872E-2</v>
      </c>
      <c r="AF21">
        <f t="shared" si="20"/>
        <v>0.26611764245598901</v>
      </c>
      <c r="AG21" t="s">
        <v>1169</v>
      </c>
    </row>
    <row r="22" spans="1:33" customFormat="1" x14ac:dyDescent="0.3">
      <c r="A22">
        <v>100965</v>
      </c>
      <c r="B22" t="s">
        <v>326</v>
      </c>
      <c r="C22" t="s">
        <v>567</v>
      </c>
      <c r="D22" t="s">
        <v>571</v>
      </c>
      <c r="E22" s="21">
        <v>5.3</v>
      </c>
      <c r="F22" s="2">
        <f t="shared" si="4"/>
        <v>0.46666666666666656</v>
      </c>
      <c r="G22" s="26">
        <v>97.495200000000011</v>
      </c>
      <c r="H22">
        <f t="shared" si="5"/>
        <v>0.99947962990983941</v>
      </c>
      <c r="I22" s="12">
        <v>56.7</v>
      </c>
      <c r="J22" s="2">
        <f t="shared" si="6"/>
        <v>0.23843566021867116</v>
      </c>
      <c r="K22" s="10">
        <v>1</v>
      </c>
      <c r="L22" s="2">
        <f t="shared" si="7"/>
        <v>0.58823529411764708</v>
      </c>
      <c r="M22">
        <v>12816</v>
      </c>
      <c r="N22">
        <f t="shared" si="8"/>
        <v>5.9507080571366389E-2</v>
      </c>
      <c r="O22" s="10">
        <v>0.68064322799999999</v>
      </c>
      <c r="P22">
        <f t="shared" si="9"/>
        <v>0.6541189586704681</v>
      </c>
      <c r="Q22" s="23">
        <v>0.35170000000000001</v>
      </c>
      <c r="R22" s="13">
        <f t="shared" si="10"/>
        <v>0.76158510177566052</v>
      </c>
      <c r="S22">
        <f t="shared" si="11"/>
        <v>0.2014163023290064</v>
      </c>
      <c r="T22" s="14">
        <f t="shared" si="12"/>
        <v>0.35941756584773771</v>
      </c>
      <c r="U22" t="str">
        <f t="shared" si="13"/>
        <v>Moderate</v>
      </c>
      <c r="V22">
        <f t="shared" si="14"/>
        <v>0.2167058206503614</v>
      </c>
      <c r="W22">
        <f t="shared" si="0"/>
        <v>0.35055050518994613</v>
      </c>
      <c r="X22" t="str">
        <f t="shared" si="15"/>
        <v>Moderate</v>
      </c>
      <c r="Y22">
        <f t="shared" si="1"/>
        <v>0.18612678400765145</v>
      </c>
      <c r="Z22">
        <f t="shared" si="16"/>
        <v>0.33882611493358544</v>
      </c>
      <c r="AA22" t="str">
        <f t="shared" si="17"/>
        <v>Moderate</v>
      </c>
      <c r="AB22">
        <f t="shared" si="2"/>
        <v>0.13761144329101224</v>
      </c>
      <c r="AC22">
        <f t="shared" si="18"/>
        <v>0.3363469542937661</v>
      </c>
      <c r="AD22" t="str">
        <f t="shared" si="19"/>
        <v>Moderate</v>
      </c>
      <c r="AE22">
        <f t="shared" si="3"/>
        <v>1.6932488174543826E-2</v>
      </c>
      <c r="AF22">
        <f t="shared" si="20"/>
        <v>0.10223537381193146</v>
      </c>
      <c r="AG22" t="s">
        <v>1170</v>
      </c>
    </row>
    <row r="23" spans="1:33" customFormat="1" x14ac:dyDescent="0.3">
      <c r="A23">
        <v>100991</v>
      </c>
      <c r="B23" t="s">
        <v>519</v>
      </c>
      <c r="C23" t="s">
        <v>567</v>
      </c>
      <c r="D23" t="s">
        <v>572</v>
      </c>
      <c r="E23" s="21">
        <v>5.3</v>
      </c>
      <c r="F23" s="2">
        <f t="shared" si="4"/>
        <v>0.46666666666666656</v>
      </c>
      <c r="G23" s="26">
        <v>94.504680000000008</v>
      </c>
      <c r="H23">
        <f t="shared" si="5"/>
        <v>0.96882208140654924</v>
      </c>
      <c r="I23" s="12">
        <v>59.3</v>
      </c>
      <c r="J23" s="2">
        <f t="shared" si="6"/>
        <v>0.24936921783010932</v>
      </c>
      <c r="K23" s="10">
        <v>1</v>
      </c>
      <c r="L23" s="2">
        <f t="shared" si="7"/>
        <v>0.58823529411764708</v>
      </c>
      <c r="M23">
        <v>7108</v>
      </c>
      <c r="N23">
        <f t="shared" si="8"/>
        <v>3.2500130114074557E-2</v>
      </c>
      <c r="O23" s="10">
        <v>0.82798430499999998</v>
      </c>
      <c r="P23">
        <f t="shared" si="9"/>
        <v>0.81638403719409991</v>
      </c>
      <c r="Q23" s="23">
        <v>0.33700000000000002</v>
      </c>
      <c r="R23" s="13">
        <f t="shared" si="10"/>
        <v>0.72975313988739721</v>
      </c>
      <c r="S23">
        <f t="shared" si="11"/>
        <v>0.2174828919488124</v>
      </c>
      <c r="T23" s="14">
        <f t="shared" si="12"/>
        <v>0.38808761125048064</v>
      </c>
      <c r="U23" t="str">
        <f t="shared" si="13"/>
        <v>Moderate</v>
      </c>
      <c r="V23">
        <f t="shared" si="14"/>
        <v>0.2052972085840632</v>
      </c>
      <c r="W23">
        <f t="shared" si="0"/>
        <v>0.33209555685789593</v>
      </c>
      <c r="X23" t="str">
        <f t="shared" si="15"/>
        <v>Moderate</v>
      </c>
      <c r="Y23">
        <f t="shared" si="1"/>
        <v>0.22966857531356161</v>
      </c>
      <c r="Z23">
        <f t="shared" si="16"/>
        <v>0.41808980642262994</v>
      </c>
      <c r="AA23" t="str">
        <f t="shared" si="17"/>
        <v>Moderate</v>
      </c>
      <c r="AB23">
        <f t="shared" si="2"/>
        <v>0.14395467103389575</v>
      </c>
      <c r="AC23">
        <f t="shared" si="18"/>
        <v>0.35185093623514246</v>
      </c>
      <c r="AD23" t="str">
        <f t="shared" si="19"/>
        <v>Moderate</v>
      </c>
      <c r="AE23">
        <f t="shared" si="3"/>
        <v>9.1430726725860931E-3</v>
      </c>
      <c r="AF23">
        <f t="shared" si="20"/>
        <v>5.5204258395808808E-2</v>
      </c>
      <c r="AG23" t="s">
        <v>1170</v>
      </c>
    </row>
    <row r="24" spans="1:33" customFormat="1" x14ac:dyDescent="0.3">
      <c r="A24">
        <v>104240</v>
      </c>
      <c r="B24" t="s">
        <v>223</v>
      </c>
      <c r="C24" t="s">
        <v>574</v>
      </c>
      <c r="D24" t="s">
        <v>573</v>
      </c>
      <c r="E24" s="21">
        <v>5.9</v>
      </c>
      <c r="F24" s="2">
        <f t="shared" si="4"/>
        <v>0.60000000000000009</v>
      </c>
      <c r="G24" s="26">
        <v>83.327399999999997</v>
      </c>
      <c r="H24">
        <f t="shared" si="5"/>
        <v>0.85423732566679322</v>
      </c>
      <c r="I24" s="12">
        <v>237.8</v>
      </c>
      <c r="J24" s="2">
        <f t="shared" si="6"/>
        <v>1</v>
      </c>
      <c r="K24" s="10">
        <v>0.2</v>
      </c>
      <c r="L24" s="2">
        <f t="shared" si="7"/>
        <v>0.11764705882352942</v>
      </c>
      <c r="M24">
        <v>18852</v>
      </c>
      <c r="N24">
        <f t="shared" si="8"/>
        <v>8.806593708156496E-2</v>
      </c>
      <c r="O24" s="10">
        <v>0.79860103800000004</v>
      </c>
      <c r="P24">
        <f t="shared" si="9"/>
        <v>0.78402457421124261</v>
      </c>
      <c r="Q24" s="23">
        <v>0.37219999999999998</v>
      </c>
      <c r="R24" s="13">
        <f t="shared" si="10"/>
        <v>0.80597661325249026</v>
      </c>
      <c r="S24">
        <f t="shared" si="11"/>
        <v>0.32640045940401913</v>
      </c>
      <c r="T24" s="14">
        <f t="shared" si="12"/>
        <v>0.58244569706650418</v>
      </c>
      <c r="U24" t="str">
        <f t="shared" si="13"/>
        <v>Moderate</v>
      </c>
      <c r="V24">
        <f t="shared" si="14"/>
        <v>0.33090684322587499</v>
      </c>
      <c r="W24">
        <f t="shared" si="0"/>
        <v>0.53528585764568537</v>
      </c>
      <c r="X24" t="str">
        <f t="shared" si="15"/>
        <v>Moderate</v>
      </c>
      <c r="Y24">
        <f t="shared" si="1"/>
        <v>0.32189407558216326</v>
      </c>
      <c r="Z24">
        <f t="shared" si="16"/>
        <v>0.58597756164507042</v>
      </c>
      <c r="AA24" t="str">
        <f t="shared" si="17"/>
        <v>Moderate</v>
      </c>
      <c r="AB24">
        <f t="shared" si="2"/>
        <v>0.22504053516070671</v>
      </c>
      <c r="AC24">
        <f t="shared" si="18"/>
        <v>0.55003927568635935</v>
      </c>
      <c r="AD24" t="str">
        <f t="shared" si="19"/>
        <v>Moderate</v>
      </c>
      <c r="AE24">
        <f t="shared" si="3"/>
        <v>3.6156906734289972E-2</v>
      </c>
      <c r="AF24">
        <f t="shared" si="20"/>
        <v>0.21830901860132934</v>
      </c>
      <c r="AG24" t="s">
        <v>1169</v>
      </c>
    </row>
    <row r="25" spans="1:33" customFormat="1" x14ac:dyDescent="0.3">
      <c r="A25">
        <v>104243</v>
      </c>
      <c r="B25" t="s">
        <v>257</v>
      </c>
      <c r="C25" t="s">
        <v>574</v>
      </c>
      <c r="D25" t="s">
        <v>575</v>
      </c>
      <c r="E25" s="21">
        <v>5.8</v>
      </c>
      <c r="F25" s="2">
        <f t="shared" si="4"/>
        <v>0.57777777777777772</v>
      </c>
      <c r="G25" s="26">
        <v>70.162559999999999</v>
      </c>
      <c r="H25">
        <f t="shared" si="5"/>
        <v>0.71927694391443775</v>
      </c>
      <c r="I25" s="12">
        <v>129.20000000000002</v>
      </c>
      <c r="J25" s="2">
        <f t="shared" si="6"/>
        <v>0.54331370899915898</v>
      </c>
      <c r="K25" s="10">
        <v>0.5</v>
      </c>
      <c r="L25" s="2">
        <f t="shared" si="7"/>
        <v>0.29411764705882354</v>
      </c>
      <c r="M25">
        <v>10294</v>
      </c>
      <c r="N25">
        <f t="shared" si="8"/>
        <v>4.7574437079199255E-2</v>
      </c>
      <c r="O25" s="10">
        <v>0.80922643100000002</v>
      </c>
      <c r="P25">
        <f t="shared" si="9"/>
        <v>0.79572620056415322</v>
      </c>
      <c r="Q25" s="23">
        <v>0.39860000000000001</v>
      </c>
      <c r="R25" s="13">
        <f t="shared" si="10"/>
        <v>0.86314421827631016</v>
      </c>
      <c r="S25">
        <f t="shared" si="11"/>
        <v>0.25405955441748374</v>
      </c>
      <c r="T25" s="14">
        <f t="shared" si="12"/>
        <v>0.45335688111251071</v>
      </c>
      <c r="U25" t="str">
        <f t="shared" si="13"/>
        <v>Moderate</v>
      </c>
      <c r="V25">
        <f t="shared" si="14"/>
        <v>0.26438476809609829</v>
      </c>
      <c r="W25">
        <f t="shared" si="0"/>
        <v>0.42767754803479219</v>
      </c>
      <c r="X25" t="str">
        <f t="shared" si="15"/>
        <v>Moderate</v>
      </c>
      <c r="Y25">
        <f t="shared" si="1"/>
        <v>0.24373434073886918</v>
      </c>
      <c r="Z25">
        <f t="shared" si="16"/>
        <v>0.44369519512599997</v>
      </c>
      <c r="AA25" t="str">
        <f t="shared" si="17"/>
        <v>Moderate</v>
      </c>
      <c r="AB25">
        <f t="shared" si="2"/>
        <v>0.17075525984464904</v>
      </c>
      <c r="AC25">
        <f t="shared" si="18"/>
        <v>0.41735636372138413</v>
      </c>
      <c r="AD25" t="str">
        <f t="shared" si="19"/>
        <v>Moderate</v>
      </c>
      <c r="AE25">
        <f t="shared" si="3"/>
        <v>1.4572253683868221E-2</v>
      </c>
      <c r="AF25">
        <f t="shared" si="20"/>
        <v>8.7984694706139913E-2</v>
      </c>
      <c r="AG25" t="s">
        <v>1170</v>
      </c>
    </row>
    <row r="26" spans="1:33" customFormat="1" x14ac:dyDescent="0.3">
      <c r="A26">
        <v>104273</v>
      </c>
      <c r="B26" t="s">
        <v>367</v>
      </c>
      <c r="C26" t="s">
        <v>574</v>
      </c>
      <c r="D26" t="s">
        <v>576</v>
      </c>
      <c r="E26" s="21">
        <v>5.9</v>
      </c>
      <c r="F26" s="2">
        <f t="shared" si="4"/>
        <v>0.60000000000000009</v>
      </c>
      <c r="G26" s="26">
        <v>77.67792</v>
      </c>
      <c r="H26">
        <f t="shared" si="5"/>
        <v>0.79632124180232577</v>
      </c>
      <c r="I26" s="12">
        <v>162.5</v>
      </c>
      <c r="J26" s="2">
        <f t="shared" si="6"/>
        <v>0.68334735071488639</v>
      </c>
      <c r="K26" s="10">
        <v>0.1</v>
      </c>
      <c r="L26" s="2">
        <f t="shared" si="7"/>
        <v>5.8823529411764712E-2</v>
      </c>
      <c r="M26">
        <v>19028</v>
      </c>
      <c r="N26">
        <f t="shared" si="8"/>
        <v>8.8898667158734443E-2</v>
      </c>
      <c r="O26" s="10">
        <v>0.90292693000000002</v>
      </c>
      <c r="P26">
        <f t="shared" si="9"/>
        <v>0.8989175110765536</v>
      </c>
      <c r="Q26" s="23">
        <v>0.36380000000000001</v>
      </c>
      <c r="R26" s="13">
        <f t="shared" si="10"/>
        <v>0.7877869207449113</v>
      </c>
      <c r="S26">
        <f t="shared" si="11"/>
        <v>0.27098478682358856</v>
      </c>
      <c r="T26" s="14">
        <f t="shared" si="12"/>
        <v>0.48355913268037393</v>
      </c>
      <c r="U26" t="str">
        <f t="shared" si="13"/>
        <v>Moderate</v>
      </c>
      <c r="V26">
        <f t="shared" si="14"/>
        <v>0.2531306217651148</v>
      </c>
      <c r="W26">
        <f t="shared" si="0"/>
        <v>0.40947246858668157</v>
      </c>
      <c r="X26" t="str">
        <f t="shared" si="15"/>
        <v>Moderate</v>
      </c>
      <c r="Y26">
        <f t="shared" si="1"/>
        <v>0.28883895188206232</v>
      </c>
      <c r="Z26">
        <f t="shared" si="16"/>
        <v>0.52580385154919373</v>
      </c>
      <c r="AA26" t="str">
        <f t="shared" si="17"/>
        <v>Moderate</v>
      </c>
      <c r="AB26">
        <f t="shared" si="2"/>
        <v>0.18524508276402185</v>
      </c>
      <c r="AC26">
        <f t="shared" si="18"/>
        <v>0.45277207981761491</v>
      </c>
      <c r="AD26" t="str">
        <f t="shared" si="19"/>
        <v>Moderate</v>
      </c>
      <c r="AE26">
        <f t="shared" si="3"/>
        <v>2.8564798804608486E-2</v>
      </c>
      <c r="AF26">
        <f t="shared" si="20"/>
        <v>0.17246921146782004</v>
      </c>
      <c r="AG26" t="s">
        <v>1170</v>
      </c>
    </row>
    <row r="27" spans="1:33" customFormat="1" x14ac:dyDescent="0.3">
      <c r="A27">
        <v>104284</v>
      </c>
      <c r="B27" t="s">
        <v>424</v>
      </c>
      <c r="C27" t="s">
        <v>574</v>
      </c>
      <c r="D27" t="s">
        <v>577</v>
      </c>
      <c r="E27" s="21">
        <v>5.8</v>
      </c>
      <c r="F27" s="2">
        <f t="shared" si="4"/>
        <v>0.57777777777777772</v>
      </c>
      <c r="G27" s="26">
        <v>83.327399999999997</v>
      </c>
      <c r="H27">
        <f t="shared" si="5"/>
        <v>0.85423732566679322</v>
      </c>
      <c r="I27" s="12">
        <v>162.5</v>
      </c>
      <c r="J27" s="2">
        <f t="shared" si="6"/>
        <v>0.68334735071488639</v>
      </c>
      <c r="K27" s="10">
        <v>0.1</v>
      </c>
      <c r="L27" s="2">
        <f t="shared" si="7"/>
        <v>5.8823529411764712E-2</v>
      </c>
      <c r="M27">
        <v>10861</v>
      </c>
      <c r="N27">
        <f t="shared" si="8"/>
        <v>5.0257152725535006E-2</v>
      </c>
      <c r="O27" s="10">
        <v>0.90539121899999997</v>
      </c>
      <c r="P27">
        <f t="shared" si="9"/>
        <v>0.90163140496298089</v>
      </c>
      <c r="Q27" s="23">
        <v>0.39779999999999999</v>
      </c>
      <c r="R27" s="13">
        <f t="shared" si="10"/>
        <v>0.86141186660892155</v>
      </c>
      <c r="S27">
        <f t="shared" si="11"/>
        <v>0.28308292701873328</v>
      </c>
      <c r="T27" s="14">
        <f t="shared" si="12"/>
        <v>0.50514767367702484</v>
      </c>
      <c r="U27" t="str">
        <f t="shared" si="13"/>
        <v>Moderate</v>
      </c>
      <c r="V27">
        <f t="shared" si="14"/>
        <v>0.27662507948646131</v>
      </c>
      <c r="W27">
        <f t="shared" si="0"/>
        <v>0.44747788071019812</v>
      </c>
      <c r="X27" t="str">
        <f t="shared" si="15"/>
        <v>Moderate</v>
      </c>
      <c r="Y27">
        <f t="shared" si="1"/>
        <v>0.2895407745510053</v>
      </c>
      <c r="Z27">
        <f t="shared" si="16"/>
        <v>0.52708145299467124</v>
      </c>
      <c r="AA27" t="str">
        <f t="shared" si="17"/>
        <v>Moderate</v>
      </c>
      <c r="AB27">
        <f t="shared" si="2"/>
        <v>0.18932968568241637</v>
      </c>
      <c r="AC27">
        <f t="shared" si="18"/>
        <v>0.46275557914183973</v>
      </c>
      <c r="AD27" t="str">
        <f t="shared" si="19"/>
        <v>Moderate</v>
      </c>
      <c r="AE27">
        <f t="shared" si="3"/>
        <v>1.6139072848152428E-2</v>
      </c>
      <c r="AF27">
        <f t="shared" si="20"/>
        <v>9.744487216529879E-2</v>
      </c>
      <c r="AG27" t="s">
        <v>1170</v>
      </c>
    </row>
    <row r="28" spans="1:33" customFormat="1" x14ac:dyDescent="0.3">
      <c r="A28">
        <v>107838</v>
      </c>
      <c r="B28" t="s">
        <v>55</v>
      </c>
      <c r="C28" t="s">
        <v>579</v>
      </c>
      <c r="D28" t="s">
        <v>578</v>
      </c>
      <c r="E28" s="21">
        <v>7.4</v>
      </c>
      <c r="F28" s="2">
        <f t="shared" si="4"/>
        <v>0.93333333333333335</v>
      </c>
      <c r="G28" s="26">
        <v>84.09384</v>
      </c>
      <c r="H28">
        <f t="shared" si="5"/>
        <v>0.86209454497141647</v>
      </c>
      <c r="I28" s="12">
        <v>89.2</v>
      </c>
      <c r="J28" s="2">
        <f t="shared" si="6"/>
        <v>0.37510513036164844</v>
      </c>
      <c r="K28" s="10">
        <v>0.5</v>
      </c>
      <c r="L28" s="2">
        <f t="shared" si="7"/>
        <v>0.29411764705882354</v>
      </c>
      <c r="M28">
        <v>30925</v>
      </c>
      <c r="N28">
        <f t="shared" si="8"/>
        <v>0.14518838152285513</v>
      </c>
      <c r="O28" s="10">
        <v>0.87585950400000001</v>
      </c>
      <c r="P28">
        <f t="shared" si="9"/>
        <v>0.86910845785969271</v>
      </c>
      <c r="Q28" s="23">
        <v>0.37719999999999998</v>
      </c>
      <c r="R28" s="13">
        <f t="shared" si="10"/>
        <v>0.81680381117366818</v>
      </c>
      <c r="S28">
        <f t="shared" si="11"/>
        <v>0.41010223523525441</v>
      </c>
      <c r="T28" s="14">
        <f t="shared" si="12"/>
        <v>0.73180743282736938</v>
      </c>
      <c r="U28" t="str">
        <f t="shared" si="13"/>
        <v>High</v>
      </c>
      <c r="V28">
        <f t="shared" si="14"/>
        <v>0.39737900347929372</v>
      </c>
      <c r="W28">
        <f t="shared" si="0"/>
        <v>0.64281342330114966</v>
      </c>
      <c r="X28" t="str">
        <f t="shared" si="15"/>
        <v>Moderate</v>
      </c>
      <c r="Y28">
        <f t="shared" si="1"/>
        <v>0.42282546699121504</v>
      </c>
      <c r="Z28">
        <f t="shared" si="16"/>
        <v>0.7697135640065802</v>
      </c>
      <c r="AA28" t="str">
        <f t="shared" si="17"/>
        <v>High</v>
      </c>
      <c r="AB28">
        <f t="shared" si="2"/>
        <v>0.29065248867998716</v>
      </c>
      <c r="AC28">
        <f t="shared" si="18"/>
        <v>0.71040661290558516</v>
      </c>
      <c r="AD28" t="str">
        <f t="shared" si="19"/>
        <v>High</v>
      </c>
      <c r="AE28">
        <f t="shared" si="3"/>
        <v>7.063484961391378E-2</v>
      </c>
      <c r="AF28">
        <f t="shared" si="20"/>
        <v>0.42648074990447099</v>
      </c>
      <c r="AG28" t="str">
        <f t="shared" si="21"/>
        <v>Moderate</v>
      </c>
    </row>
    <row r="29" spans="1:33" customFormat="1" x14ac:dyDescent="0.3">
      <c r="A29">
        <v>107852</v>
      </c>
      <c r="B29" t="s">
        <v>129</v>
      </c>
      <c r="C29" t="s">
        <v>579</v>
      </c>
      <c r="D29" t="s">
        <v>580</v>
      </c>
      <c r="E29" s="21">
        <v>6.4</v>
      </c>
      <c r="F29" s="2">
        <f t="shared" si="4"/>
        <v>0.71111111111111114</v>
      </c>
      <c r="G29" s="26">
        <v>84.09384</v>
      </c>
      <c r="H29">
        <f t="shared" si="5"/>
        <v>0.86209454497141647</v>
      </c>
      <c r="I29" s="12">
        <v>77.899999999999991</v>
      </c>
      <c r="J29" s="2">
        <f t="shared" si="6"/>
        <v>0.32758620689655166</v>
      </c>
      <c r="K29" s="10">
        <v>1</v>
      </c>
      <c r="L29" s="2">
        <f t="shared" si="7"/>
        <v>0.58823529411764708</v>
      </c>
      <c r="M29">
        <v>16302</v>
      </c>
      <c r="N29">
        <f t="shared" si="8"/>
        <v>7.6000813804393594E-2</v>
      </c>
      <c r="O29" s="10">
        <v>0.84050282600000004</v>
      </c>
      <c r="P29">
        <f t="shared" si="9"/>
        <v>0.83017054421864633</v>
      </c>
      <c r="Q29" s="23">
        <v>0.37109999999999999</v>
      </c>
      <c r="R29" s="13">
        <f t="shared" si="10"/>
        <v>0.80359462970983109</v>
      </c>
      <c r="S29">
        <f t="shared" si="11"/>
        <v>0.3443883180283458</v>
      </c>
      <c r="T29" s="14">
        <f t="shared" si="12"/>
        <v>0.61454415328286416</v>
      </c>
      <c r="U29" t="str">
        <f t="shared" si="13"/>
        <v>Moderate</v>
      </c>
      <c r="V29">
        <f t="shared" si="14"/>
        <v>0.33878626784156862</v>
      </c>
      <c r="W29">
        <f t="shared" si="0"/>
        <v>0.54803187559457101</v>
      </c>
      <c r="X29" t="str">
        <f t="shared" si="15"/>
        <v>Moderate</v>
      </c>
      <c r="Y29">
        <f t="shared" si="1"/>
        <v>0.34999036821512292</v>
      </c>
      <c r="Z29">
        <f t="shared" si="16"/>
        <v>0.63712419122671893</v>
      </c>
      <c r="AA29" t="str">
        <f t="shared" si="17"/>
        <v>Moderate</v>
      </c>
      <c r="AB29">
        <f t="shared" si="2"/>
        <v>0.23478667883084445</v>
      </c>
      <c r="AC29">
        <f t="shared" si="18"/>
        <v>0.57386059214932239</v>
      </c>
      <c r="AD29" t="str">
        <f t="shared" si="19"/>
        <v>Moderate</v>
      </c>
      <c r="AE29">
        <f t="shared" si="3"/>
        <v>3.2041070347881492E-2</v>
      </c>
      <c r="AF29">
        <f t="shared" si="20"/>
        <v>0.193458325237443</v>
      </c>
      <c r="AG29" t="s">
        <v>1169</v>
      </c>
    </row>
    <row r="30" spans="1:33" customFormat="1" x14ac:dyDescent="0.3">
      <c r="A30">
        <v>107855</v>
      </c>
      <c r="B30" t="s">
        <v>158</v>
      </c>
      <c r="C30" t="s">
        <v>579</v>
      </c>
      <c r="D30" t="s">
        <v>581</v>
      </c>
      <c r="E30" s="21">
        <v>7.4</v>
      </c>
      <c r="F30" s="2">
        <f t="shared" si="4"/>
        <v>0.93333333333333335</v>
      </c>
      <c r="G30" s="26">
        <v>76.581720000000004</v>
      </c>
      <c r="H30">
        <f t="shared" si="5"/>
        <v>0.78508346219566649</v>
      </c>
      <c r="I30" s="12">
        <v>103.7</v>
      </c>
      <c r="J30" s="2">
        <f t="shared" si="6"/>
        <v>0.436080740117746</v>
      </c>
      <c r="K30" s="10">
        <v>0.5</v>
      </c>
      <c r="L30" s="2">
        <f t="shared" si="7"/>
        <v>0.29411764705882354</v>
      </c>
      <c r="M30">
        <v>9856</v>
      </c>
      <c r="N30">
        <f t="shared" si="8"/>
        <v>4.5502074728061587E-2</v>
      </c>
      <c r="O30" s="10">
        <v>0.87768363699999996</v>
      </c>
      <c r="P30">
        <f t="shared" si="9"/>
        <v>0.871117355110271</v>
      </c>
      <c r="Q30" s="23">
        <v>0.37409999999999999</v>
      </c>
      <c r="R30" s="13">
        <f t="shared" si="10"/>
        <v>0.81009094846253793</v>
      </c>
      <c r="S30">
        <f t="shared" si="11"/>
        <v>0.40455468576744125</v>
      </c>
      <c r="T30" s="14">
        <f t="shared" si="12"/>
        <v>0.72190810142725081</v>
      </c>
      <c r="U30" t="str">
        <f t="shared" si="13"/>
        <v>High</v>
      </c>
      <c r="V30">
        <f t="shared" si="14"/>
        <v>0.38986970074064642</v>
      </c>
      <c r="W30">
        <f t="shared" si="0"/>
        <v>0.63066612674604594</v>
      </c>
      <c r="X30" t="str">
        <f t="shared" si="15"/>
        <v>Moderate</v>
      </c>
      <c r="Y30">
        <f t="shared" si="1"/>
        <v>0.41923967079423602</v>
      </c>
      <c r="Z30">
        <f t="shared" si="16"/>
        <v>0.76318596293699925</v>
      </c>
      <c r="AA30" t="str">
        <f t="shared" si="17"/>
        <v>High</v>
      </c>
      <c r="AB30">
        <f t="shared" si="2"/>
        <v>0.26989081626758171</v>
      </c>
      <c r="AC30">
        <f t="shared" si="18"/>
        <v>0.65966137606368969</v>
      </c>
      <c r="AD30" t="str">
        <f t="shared" si="19"/>
        <v>Moderate</v>
      </c>
      <c r="AE30">
        <f t="shared" si="3"/>
        <v>2.1898627914527635E-2</v>
      </c>
      <c r="AF30">
        <f t="shared" si="20"/>
        <v>0.13222004868581252</v>
      </c>
      <c r="AG30" t="s">
        <v>1170</v>
      </c>
    </row>
    <row r="31" spans="1:33" customFormat="1" x14ac:dyDescent="0.3">
      <c r="A31">
        <v>107857</v>
      </c>
      <c r="B31" t="s">
        <v>543</v>
      </c>
      <c r="C31" t="s">
        <v>579</v>
      </c>
      <c r="D31" t="s">
        <v>582</v>
      </c>
      <c r="E31" s="21">
        <v>7.4</v>
      </c>
      <c r="F31" s="2">
        <f t="shared" si="4"/>
        <v>0.93333333333333335</v>
      </c>
      <c r="G31" s="26">
        <v>85.608720000000005</v>
      </c>
      <c r="H31">
        <f t="shared" si="5"/>
        <v>0.87762445517989673</v>
      </c>
      <c r="I31" s="12">
        <v>96.3</v>
      </c>
      <c r="J31" s="2">
        <f t="shared" si="6"/>
        <v>0.40496215306980654</v>
      </c>
      <c r="K31" s="10">
        <v>1.7</v>
      </c>
      <c r="L31" s="2">
        <f t="shared" si="7"/>
        <v>1</v>
      </c>
      <c r="M31">
        <v>50319</v>
      </c>
      <c r="N31">
        <f t="shared" si="8"/>
        <v>0.23694955832185963</v>
      </c>
      <c r="O31" s="10">
        <v>0.80030565200000003</v>
      </c>
      <c r="P31">
        <f t="shared" si="9"/>
        <v>0.78590184652521156</v>
      </c>
      <c r="Q31" s="23">
        <v>0.3518</v>
      </c>
      <c r="R31" s="13">
        <f t="shared" si="10"/>
        <v>0.76180164573408404</v>
      </c>
      <c r="S31">
        <f t="shared" si="11"/>
        <v>0.54090557179276966</v>
      </c>
      <c r="T31" s="14">
        <f t="shared" si="12"/>
        <v>0.96521960595658529</v>
      </c>
      <c r="U31" t="str">
        <f t="shared" si="13"/>
        <v>High</v>
      </c>
      <c r="V31">
        <f t="shared" si="14"/>
        <v>0.53248281319950974</v>
      </c>
      <c r="W31">
        <f t="shared" si="0"/>
        <v>0.86136181581027849</v>
      </c>
      <c r="X31" t="str">
        <f t="shared" si="15"/>
        <v>High</v>
      </c>
      <c r="Y31">
        <f t="shared" si="1"/>
        <v>0.54932833038602957</v>
      </c>
      <c r="Z31">
        <f t="shared" si="16"/>
        <v>1</v>
      </c>
      <c r="AA31" t="str">
        <f t="shared" si="17"/>
        <v>High</v>
      </c>
      <c r="AB31">
        <f t="shared" si="2"/>
        <v>0.40913539288606765</v>
      </c>
      <c r="AC31">
        <f t="shared" si="18"/>
        <v>1</v>
      </c>
      <c r="AD31" t="str">
        <f t="shared" si="19"/>
        <v>High</v>
      </c>
      <c r="AE31">
        <f t="shared" si="3"/>
        <v>0.16562259757265843</v>
      </c>
      <c r="AF31">
        <f t="shared" si="20"/>
        <v>1</v>
      </c>
      <c r="AG31" t="str">
        <f t="shared" si="21"/>
        <v>High</v>
      </c>
    </row>
    <row r="32" spans="1:33" customFormat="1" x14ac:dyDescent="0.3">
      <c r="A32">
        <v>107866</v>
      </c>
      <c r="B32" t="s">
        <v>238</v>
      </c>
      <c r="C32" t="s">
        <v>579</v>
      </c>
      <c r="D32" t="s">
        <v>583</v>
      </c>
      <c r="E32" s="21">
        <v>7.4</v>
      </c>
      <c r="F32" s="2">
        <f t="shared" si="4"/>
        <v>0.93333333333333335</v>
      </c>
      <c r="G32" s="26">
        <v>89.64</v>
      </c>
      <c r="H32">
        <f t="shared" si="5"/>
        <v>0.91895143581548633</v>
      </c>
      <c r="I32" s="12">
        <v>100.4</v>
      </c>
      <c r="J32" s="2">
        <f t="shared" si="6"/>
        <v>0.4222035323801514</v>
      </c>
      <c r="K32" s="10">
        <v>1.7</v>
      </c>
      <c r="L32" s="2">
        <f t="shared" si="7"/>
        <v>1</v>
      </c>
      <c r="M32">
        <v>36052</v>
      </c>
      <c r="N32">
        <f t="shared" si="8"/>
        <v>0.16944637644130908</v>
      </c>
      <c r="O32" s="10">
        <v>0.76198099100000005</v>
      </c>
      <c r="P32">
        <f t="shared" si="9"/>
        <v>0.74369532643471048</v>
      </c>
      <c r="Q32" s="23">
        <v>0.34060000000000001</v>
      </c>
      <c r="R32" s="13">
        <f t="shared" si="10"/>
        <v>0.73754872239064539</v>
      </c>
      <c r="S32">
        <f t="shared" si="11"/>
        <v>0.53184854331696674</v>
      </c>
      <c r="T32" s="14">
        <f t="shared" si="12"/>
        <v>0.94905778046904665</v>
      </c>
      <c r="U32" t="str">
        <f t="shared" si="13"/>
        <v>High</v>
      </c>
      <c r="V32">
        <f t="shared" si="14"/>
        <v>0.52964157248743005</v>
      </c>
      <c r="W32">
        <f t="shared" si="0"/>
        <v>0.8567657308320501</v>
      </c>
      <c r="X32" t="str">
        <f t="shared" si="15"/>
        <v>High</v>
      </c>
      <c r="Y32">
        <f t="shared" si="1"/>
        <v>0.53405551414650321</v>
      </c>
      <c r="Z32">
        <f t="shared" si="16"/>
        <v>0.97219729004547484</v>
      </c>
      <c r="AA32" t="str">
        <f t="shared" si="17"/>
        <v>High</v>
      </c>
      <c r="AB32">
        <f t="shared" si="2"/>
        <v>0.38817963964420121</v>
      </c>
      <c r="AC32">
        <f t="shared" si="18"/>
        <v>0.94878039493468602</v>
      </c>
      <c r="AD32" t="str">
        <f t="shared" si="19"/>
        <v>High</v>
      </c>
      <c r="AE32">
        <f t="shared" si="3"/>
        <v>0.12168124294185645</v>
      </c>
      <c r="AF32">
        <f t="shared" si="20"/>
        <v>0.73468985950709431</v>
      </c>
      <c r="AG32" t="str">
        <f t="shared" si="21"/>
        <v>High</v>
      </c>
    </row>
    <row r="33" spans="1:33" customFormat="1" x14ac:dyDescent="0.3">
      <c r="A33">
        <v>107876</v>
      </c>
      <c r="B33" t="s">
        <v>340</v>
      </c>
      <c r="C33" t="s">
        <v>579</v>
      </c>
      <c r="D33" t="s">
        <v>584</v>
      </c>
      <c r="E33" s="21">
        <v>7.4</v>
      </c>
      <c r="F33" s="2">
        <f t="shared" si="4"/>
        <v>0.93333333333333335</v>
      </c>
      <c r="G33" s="26">
        <v>76.581720000000004</v>
      </c>
      <c r="H33">
        <f t="shared" si="5"/>
        <v>0.78508346219566649</v>
      </c>
      <c r="I33" s="12">
        <v>106.80000000000001</v>
      </c>
      <c r="J33" s="2">
        <f t="shared" si="6"/>
        <v>0.44911690496215312</v>
      </c>
      <c r="K33" s="10">
        <v>0.2</v>
      </c>
      <c r="L33" s="2">
        <f t="shared" si="7"/>
        <v>0.11764705882352942</v>
      </c>
      <c r="M33">
        <v>16333</v>
      </c>
      <c r="N33">
        <f t="shared" si="8"/>
        <v>7.6147487852076853E-2</v>
      </c>
      <c r="O33" s="10">
        <v>0.68257780599999995</v>
      </c>
      <c r="P33">
        <f t="shared" si="9"/>
        <v>0.65624948776304481</v>
      </c>
      <c r="Q33" s="23">
        <v>0.3846</v>
      </c>
      <c r="R33" s="13">
        <f t="shared" si="10"/>
        <v>0.83282806409701171</v>
      </c>
      <c r="S33">
        <f t="shared" si="11"/>
        <v>0.32470325987502446</v>
      </c>
      <c r="T33" s="14">
        <f t="shared" si="12"/>
        <v>0.57941712730121897</v>
      </c>
      <c r="U33" t="str">
        <f t="shared" si="13"/>
        <v>Moderate</v>
      </c>
      <c r="V33">
        <f t="shared" si="14"/>
        <v>0.3632073923751149</v>
      </c>
      <c r="W33">
        <f t="shared" si="0"/>
        <v>0.5875362946122471</v>
      </c>
      <c r="X33" t="str">
        <f t="shared" si="15"/>
        <v>Moderate</v>
      </c>
      <c r="Y33">
        <f t="shared" si="1"/>
        <v>0.28619912737493403</v>
      </c>
      <c r="Z33">
        <f t="shared" si="16"/>
        <v>0.52099830200603936</v>
      </c>
      <c r="AA33" t="str">
        <f t="shared" si="17"/>
        <v>Moderate</v>
      </c>
      <c r="AB33">
        <f t="shared" si="2"/>
        <v>0.2246054517229171</v>
      </c>
      <c r="AC33">
        <f t="shared" si="18"/>
        <v>0.54897585402850546</v>
      </c>
      <c r="AD33" t="str">
        <f t="shared" si="19"/>
        <v>Moderate</v>
      </c>
      <c r="AE33">
        <f t="shared" si="3"/>
        <v>3.3208931940418997E-2</v>
      </c>
      <c r="AF33">
        <f t="shared" si="20"/>
        <v>0.20050966732272316</v>
      </c>
      <c r="AG33" t="s">
        <v>1169</v>
      </c>
    </row>
    <row r="34" spans="1:33" customFormat="1" x14ac:dyDescent="0.3">
      <c r="A34">
        <v>107895</v>
      </c>
      <c r="B34" t="s">
        <v>412</v>
      </c>
      <c r="C34" t="s">
        <v>579</v>
      </c>
      <c r="D34" t="s">
        <v>585</v>
      </c>
      <c r="E34" s="21">
        <v>7.4</v>
      </c>
      <c r="F34" s="2">
        <f t="shared" si="4"/>
        <v>0.93333333333333335</v>
      </c>
      <c r="G34" s="26">
        <v>76.581720000000004</v>
      </c>
      <c r="H34">
        <f t="shared" si="5"/>
        <v>0.78508346219566649</v>
      </c>
      <c r="I34" s="12">
        <v>91.1</v>
      </c>
      <c r="J34" s="2">
        <f t="shared" si="6"/>
        <v>0.38309503784693016</v>
      </c>
      <c r="K34" s="10">
        <v>1</v>
      </c>
      <c r="L34" s="2">
        <f t="shared" si="7"/>
        <v>0.58823529411764708</v>
      </c>
      <c r="M34">
        <v>53541</v>
      </c>
      <c r="N34">
        <f t="shared" si="8"/>
        <v>0.25219419643913266</v>
      </c>
      <c r="O34" s="10">
        <v>0.81383022800000004</v>
      </c>
      <c r="P34">
        <f t="shared" si="9"/>
        <v>0.80079631065783652</v>
      </c>
      <c r="Q34" s="23">
        <v>0.38329999999999997</v>
      </c>
      <c r="R34" s="13">
        <f t="shared" si="10"/>
        <v>0.83001299263750539</v>
      </c>
      <c r="S34">
        <f t="shared" si="11"/>
        <v>0.44546441570156947</v>
      </c>
      <c r="T34" s="14">
        <f t="shared" si="12"/>
        <v>0.79490951880207061</v>
      </c>
      <c r="U34" t="str">
        <f t="shared" si="13"/>
        <v>High</v>
      </c>
      <c r="V34">
        <f t="shared" si="14"/>
        <v>0.45344511101678059</v>
      </c>
      <c r="W34">
        <f t="shared" si="0"/>
        <v>0.73350781379936392</v>
      </c>
      <c r="X34" t="str">
        <f t="shared" si="15"/>
        <v>High</v>
      </c>
      <c r="Y34">
        <f t="shared" si="1"/>
        <v>0.43748372038635841</v>
      </c>
      <c r="Z34">
        <f t="shared" si="16"/>
        <v>0.796397520730317</v>
      </c>
      <c r="AA34" t="str">
        <f t="shared" si="17"/>
        <v>High</v>
      </c>
      <c r="AB34">
        <f t="shared" si="2"/>
        <v>0.33817265480675679</v>
      </c>
      <c r="AC34">
        <f t="shared" si="18"/>
        <v>0.82655438929706104</v>
      </c>
      <c r="AD34" t="str">
        <f t="shared" si="19"/>
        <v>High</v>
      </c>
      <c r="AE34">
        <f t="shared" si="3"/>
        <v>0.13777642809993154</v>
      </c>
      <c r="AF34">
        <f t="shared" si="20"/>
        <v>0.83186974554899851</v>
      </c>
      <c r="AG34" t="str">
        <f t="shared" si="21"/>
        <v>High</v>
      </c>
    </row>
    <row r="35" spans="1:33" customFormat="1" x14ac:dyDescent="0.3">
      <c r="A35">
        <v>107914</v>
      </c>
      <c r="B35" t="s">
        <v>66</v>
      </c>
      <c r="C35" t="s">
        <v>587</v>
      </c>
      <c r="D35" t="s">
        <v>586</v>
      </c>
      <c r="E35" s="21">
        <v>7.1</v>
      </c>
      <c r="F35" s="2">
        <f t="shared" si="4"/>
        <v>0.86666666666666659</v>
      </c>
      <c r="G35" s="26">
        <v>73.15128</v>
      </c>
      <c r="H35">
        <f t="shared" si="5"/>
        <v>0.74991603957765129</v>
      </c>
      <c r="I35" s="12">
        <v>138.1</v>
      </c>
      <c r="J35" s="2">
        <f t="shared" si="6"/>
        <v>0.58074011774600498</v>
      </c>
      <c r="K35" s="10">
        <v>0.2</v>
      </c>
      <c r="L35" s="2">
        <f t="shared" si="7"/>
        <v>0.11764705882352942</v>
      </c>
      <c r="M35">
        <v>20310</v>
      </c>
      <c r="N35">
        <f t="shared" si="8"/>
        <v>9.4964348743571181E-2</v>
      </c>
      <c r="O35" s="10">
        <v>0.82599811999999995</v>
      </c>
      <c r="P35">
        <f t="shared" si="9"/>
        <v>0.81419667389019601</v>
      </c>
      <c r="Q35" s="23">
        <v>0.3906</v>
      </c>
      <c r="R35" s="13">
        <f t="shared" si="10"/>
        <v>0.84582070160242528</v>
      </c>
      <c r="S35">
        <f t="shared" si="11"/>
        <v>0.36040687290141199</v>
      </c>
      <c r="T35" s="14">
        <f t="shared" si="12"/>
        <v>0.64312848302332104</v>
      </c>
      <c r="U35" t="str">
        <f t="shared" si="13"/>
        <v>Moderate</v>
      </c>
      <c r="V35">
        <f t="shared" si="14"/>
        <v>0.36727277509290551</v>
      </c>
      <c r="W35">
        <f t="shared" si="0"/>
        <v>0.59411259219961687</v>
      </c>
      <c r="X35" t="str">
        <f t="shared" si="15"/>
        <v>Moderate</v>
      </c>
      <c r="Y35">
        <f t="shared" si="1"/>
        <v>0.35354097070991841</v>
      </c>
      <c r="Z35">
        <f t="shared" si="16"/>
        <v>0.64358772550739285</v>
      </c>
      <c r="AA35" t="str">
        <f t="shared" si="17"/>
        <v>Moderate</v>
      </c>
      <c r="AB35">
        <f t="shared" si="2"/>
        <v>0.24904017936723932</v>
      </c>
      <c r="AC35">
        <f t="shared" si="18"/>
        <v>0.60869869411808575</v>
      </c>
      <c r="AD35" t="str">
        <f t="shared" si="19"/>
        <v>Moderate</v>
      </c>
      <c r="AE35">
        <f t="shared" si="3"/>
        <v>4.1235476776419741E-2</v>
      </c>
      <c r="AF35">
        <f t="shared" si="20"/>
        <v>0.24897252778763954</v>
      </c>
      <c r="AG35" t="s">
        <v>1169</v>
      </c>
    </row>
    <row r="36" spans="1:33" customFormat="1" x14ac:dyDescent="0.3">
      <c r="A36">
        <v>107947</v>
      </c>
      <c r="B36" t="s">
        <v>265</v>
      </c>
      <c r="C36" t="s">
        <v>587</v>
      </c>
      <c r="D36" t="s">
        <v>588</v>
      </c>
      <c r="E36" s="21">
        <v>7.2</v>
      </c>
      <c r="F36" s="2">
        <f t="shared" si="4"/>
        <v>0.88888888888888884</v>
      </c>
      <c r="G36" s="26">
        <v>83.327399999999997</v>
      </c>
      <c r="H36">
        <f t="shared" si="5"/>
        <v>0.85423732566679322</v>
      </c>
      <c r="I36" s="12">
        <v>144</v>
      </c>
      <c r="J36" s="2">
        <f t="shared" si="6"/>
        <v>0.6055508830950378</v>
      </c>
      <c r="K36" s="10">
        <v>0.2</v>
      </c>
      <c r="L36" s="2">
        <f t="shared" si="7"/>
        <v>0.11764705882352942</v>
      </c>
      <c r="M36">
        <v>9387</v>
      </c>
      <c r="N36">
        <f t="shared" si="8"/>
        <v>4.3283038329240651E-2</v>
      </c>
      <c r="O36" s="10">
        <v>0.88411509899999996</v>
      </c>
      <c r="P36">
        <f t="shared" si="9"/>
        <v>0.87820025220658948</v>
      </c>
      <c r="Q36" s="23">
        <v>0.38159999999999999</v>
      </c>
      <c r="R36" s="13">
        <f t="shared" si="10"/>
        <v>0.82633174534430487</v>
      </c>
      <c r="S36">
        <f t="shared" si="11"/>
        <v>0.41379975638820155</v>
      </c>
      <c r="T36" s="14">
        <f t="shared" si="12"/>
        <v>0.7384054789492368</v>
      </c>
      <c r="U36" t="str">
        <f t="shared" si="13"/>
        <v>High</v>
      </c>
      <c r="V36">
        <f t="shared" si="14"/>
        <v>0.40120792734969013</v>
      </c>
      <c r="W36">
        <f t="shared" si="0"/>
        <v>0.64900721723374033</v>
      </c>
      <c r="X36" t="str">
        <f t="shared" si="15"/>
        <v>Moderate</v>
      </c>
      <c r="Y36">
        <f t="shared" si="1"/>
        <v>0.4263915854267129</v>
      </c>
      <c r="Z36">
        <f t="shared" si="16"/>
        <v>0.77620534358217919</v>
      </c>
      <c r="AA36" t="str">
        <f t="shared" si="17"/>
        <v>High</v>
      </c>
      <c r="AB36">
        <f t="shared" si="2"/>
        <v>0.27569555800306361</v>
      </c>
      <c r="AC36">
        <f t="shared" si="18"/>
        <v>0.67384920199225307</v>
      </c>
      <c r="AD36" t="str">
        <f t="shared" si="19"/>
        <v>Moderate</v>
      </c>
      <c r="AE36">
        <f t="shared" si="3"/>
        <v>2.1015165150452032E-2</v>
      </c>
      <c r="AF36">
        <f t="shared" si="20"/>
        <v>0.12688585651020662</v>
      </c>
      <c r="AG36" t="s">
        <v>1170</v>
      </c>
    </row>
    <row r="37" spans="1:33" customFormat="1" x14ac:dyDescent="0.3">
      <c r="A37">
        <v>107958</v>
      </c>
      <c r="B37" t="s">
        <v>327</v>
      </c>
      <c r="C37" t="s">
        <v>587</v>
      </c>
      <c r="D37" t="s">
        <v>589</v>
      </c>
      <c r="E37" s="21">
        <v>7.1</v>
      </c>
      <c r="F37" s="2">
        <f t="shared" si="4"/>
        <v>0.86666666666666659</v>
      </c>
      <c r="G37" s="26">
        <v>74.254320000000007</v>
      </c>
      <c r="H37">
        <f t="shared" si="5"/>
        <v>0.76122393997660176</v>
      </c>
      <c r="I37" s="12">
        <v>124.2</v>
      </c>
      <c r="J37" s="2">
        <f t="shared" si="6"/>
        <v>0.52228763666947009</v>
      </c>
      <c r="K37" s="10">
        <v>0.1</v>
      </c>
      <c r="L37" s="2">
        <f t="shared" si="7"/>
        <v>5.8823529411764712E-2</v>
      </c>
      <c r="M37">
        <v>34224</v>
      </c>
      <c r="N37">
        <f t="shared" si="8"/>
        <v>0.16079733904888976</v>
      </c>
      <c r="O37" s="10">
        <v>0.80954014299999999</v>
      </c>
      <c r="P37">
        <f t="shared" si="9"/>
        <v>0.79607168807754913</v>
      </c>
      <c r="Q37" s="23">
        <v>0.39229999999999998</v>
      </c>
      <c r="R37" s="13">
        <f t="shared" si="10"/>
        <v>0.8495019488956258</v>
      </c>
      <c r="S37">
        <f t="shared" si="11"/>
        <v>0.33292090841431171</v>
      </c>
      <c r="T37" s="14">
        <f t="shared" si="12"/>
        <v>0.59408112023937887</v>
      </c>
      <c r="U37" t="str">
        <f t="shared" si="13"/>
        <v>Moderate</v>
      </c>
      <c r="V37">
        <f t="shared" si="14"/>
        <v>0.34373054377106582</v>
      </c>
      <c r="W37">
        <f t="shared" si="0"/>
        <v>0.55602989991935436</v>
      </c>
      <c r="X37" t="str">
        <f t="shared" si="15"/>
        <v>Moderate</v>
      </c>
      <c r="Y37">
        <f t="shared" si="1"/>
        <v>0.3221112730575576</v>
      </c>
      <c r="Z37">
        <f t="shared" si="16"/>
        <v>0.58637294899973624</v>
      </c>
      <c r="AA37" t="str">
        <f t="shared" si="17"/>
        <v>Moderate</v>
      </c>
      <c r="AB37">
        <f t="shared" si="2"/>
        <v>0.23971104456872136</v>
      </c>
      <c r="AC37">
        <f t="shared" si="18"/>
        <v>0.58589662184389391</v>
      </c>
      <c r="AD37" t="str">
        <f t="shared" si="19"/>
        <v>Moderate</v>
      </c>
      <c r="AE37">
        <f t="shared" si="3"/>
        <v>6.5062778090231546E-2</v>
      </c>
      <c r="AF37">
        <f t="shared" si="20"/>
        <v>0.39283756591058527</v>
      </c>
      <c r="AG37" t="str">
        <f t="shared" si="21"/>
        <v>Moderate</v>
      </c>
    </row>
    <row r="38" spans="1:33" customFormat="1" x14ac:dyDescent="0.3">
      <c r="A38">
        <v>107976</v>
      </c>
      <c r="B38" t="s">
        <v>383</v>
      </c>
      <c r="C38" t="s">
        <v>587</v>
      </c>
      <c r="D38" t="s">
        <v>590</v>
      </c>
      <c r="E38" s="21">
        <v>7</v>
      </c>
      <c r="F38" s="2">
        <f t="shared" si="4"/>
        <v>0.84444444444444444</v>
      </c>
      <c r="G38" s="26">
        <v>83.327399999999997</v>
      </c>
      <c r="H38">
        <f t="shared" si="5"/>
        <v>0.85423732566679322</v>
      </c>
      <c r="I38" s="12">
        <v>181.79999999999998</v>
      </c>
      <c r="J38" s="2">
        <f t="shared" si="6"/>
        <v>0.76450798990748514</v>
      </c>
      <c r="K38" s="10">
        <v>0.2</v>
      </c>
      <c r="L38" s="2">
        <f t="shared" si="7"/>
        <v>0.11764705882352942</v>
      </c>
      <c r="M38">
        <v>7339</v>
      </c>
      <c r="N38">
        <f t="shared" si="8"/>
        <v>3.3593088340359491E-2</v>
      </c>
      <c r="O38" s="10">
        <v>0.74950483999999995</v>
      </c>
      <c r="P38">
        <f t="shared" si="9"/>
        <v>0.72995548101680507</v>
      </c>
      <c r="Q38" s="23">
        <v>0.30149999999999999</v>
      </c>
      <c r="R38" s="13">
        <f t="shared" si="10"/>
        <v>0.65288003464703337</v>
      </c>
      <c r="S38">
        <f t="shared" si="11"/>
        <v>0.35140138535263105</v>
      </c>
      <c r="T38" s="14">
        <f t="shared" si="12"/>
        <v>0.62705862980574045</v>
      </c>
      <c r="U38" t="str">
        <f t="shared" si="13"/>
        <v>Moderate</v>
      </c>
      <c r="V38">
        <f t="shared" si="14"/>
        <v>0.33181523911599198</v>
      </c>
      <c r="W38">
        <f t="shared" si="0"/>
        <v>0.53675530889179079</v>
      </c>
      <c r="X38" t="str">
        <f t="shared" si="15"/>
        <v>Moderate</v>
      </c>
      <c r="Y38">
        <f t="shared" si="1"/>
        <v>0.37098753158927023</v>
      </c>
      <c r="Z38">
        <f t="shared" si="16"/>
        <v>0.67534753091755906</v>
      </c>
      <c r="AA38" t="str">
        <f t="shared" si="17"/>
        <v>Moderate</v>
      </c>
      <c r="AB38">
        <f t="shared" si="2"/>
        <v>0.23340718487959003</v>
      </c>
      <c r="AC38">
        <f t="shared" si="18"/>
        <v>0.57048886245973629</v>
      </c>
      <c r="AD38" t="str">
        <f t="shared" si="19"/>
        <v>Moderate</v>
      </c>
      <c r="AE38">
        <f t="shared" si="3"/>
        <v>1.707311917774797E-2</v>
      </c>
      <c r="AF38">
        <f t="shared" si="20"/>
        <v>0.10308447897792458</v>
      </c>
      <c r="AG38" t="s">
        <v>1170</v>
      </c>
    </row>
    <row r="39" spans="1:33" customFormat="1" x14ac:dyDescent="0.3">
      <c r="A39">
        <v>107980</v>
      </c>
      <c r="B39" t="s">
        <v>420</v>
      </c>
      <c r="C39" t="s">
        <v>587</v>
      </c>
      <c r="D39" t="s">
        <v>591</v>
      </c>
      <c r="E39" s="21">
        <v>7.1</v>
      </c>
      <c r="F39" s="2">
        <f t="shared" si="4"/>
        <v>0.86666666666666659</v>
      </c>
      <c r="G39" s="26">
        <v>83.327399999999997</v>
      </c>
      <c r="H39">
        <f t="shared" si="5"/>
        <v>0.85423732566679322</v>
      </c>
      <c r="I39" s="12">
        <v>144</v>
      </c>
      <c r="J39" s="2">
        <f t="shared" si="6"/>
        <v>0.6055508830950378</v>
      </c>
      <c r="K39" s="10">
        <v>0.2</v>
      </c>
      <c r="L39" s="2">
        <f t="shared" si="7"/>
        <v>0.11764705882352942</v>
      </c>
      <c r="M39">
        <v>16497</v>
      </c>
      <c r="N39">
        <f t="shared" si="8"/>
        <v>7.692344087853023E-2</v>
      </c>
      <c r="O39" s="10">
        <v>0.77471300799999998</v>
      </c>
      <c r="P39">
        <f t="shared" si="9"/>
        <v>0.75771695421383423</v>
      </c>
      <c r="Q39" s="23">
        <v>0.38500000000000001</v>
      </c>
      <c r="R39" s="13">
        <f t="shared" si="10"/>
        <v>0.83369423993070602</v>
      </c>
      <c r="S39">
        <f t="shared" si="11"/>
        <v>0.37667959666450029</v>
      </c>
      <c r="T39" s="14">
        <f t="shared" si="12"/>
        <v>0.6721663647489432</v>
      </c>
      <c r="U39" t="str">
        <f t="shared" si="13"/>
        <v>Moderate</v>
      </c>
      <c r="V39">
        <f t="shared" si="14"/>
        <v>0.39466306532727974</v>
      </c>
      <c r="W39">
        <f t="shared" si="0"/>
        <v>0.63842003188971519</v>
      </c>
      <c r="X39" t="str">
        <f t="shared" si="15"/>
        <v>Moderate</v>
      </c>
      <c r="Y39">
        <f t="shared" si="1"/>
        <v>0.35869612800172085</v>
      </c>
      <c r="Z39">
        <f t="shared" si="16"/>
        <v>0.65297219924858829</v>
      </c>
      <c r="AA39" t="str">
        <f t="shared" si="17"/>
        <v>Moderate</v>
      </c>
      <c r="AB39">
        <f t="shared" si="2"/>
        <v>0.25848610468430627</v>
      </c>
      <c r="AC39">
        <f t="shared" si="18"/>
        <v>0.63178622328644929</v>
      </c>
      <c r="AD39" t="str">
        <f t="shared" si="19"/>
        <v>Moderate</v>
      </c>
      <c r="AE39">
        <f t="shared" si="3"/>
        <v>3.6414838340691723E-2</v>
      </c>
      <c r="AF39">
        <f t="shared" si="20"/>
        <v>0.21986636409754762</v>
      </c>
      <c r="AG39" t="s">
        <v>1169</v>
      </c>
    </row>
    <row r="40" spans="1:33" customFormat="1" x14ac:dyDescent="0.3">
      <c r="A40">
        <v>107987</v>
      </c>
      <c r="B40" t="s">
        <v>384</v>
      </c>
      <c r="C40" t="s">
        <v>587</v>
      </c>
      <c r="D40" t="s">
        <v>1125</v>
      </c>
      <c r="E40" s="21">
        <v>7.1</v>
      </c>
      <c r="F40" s="2">
        <f t="shared" si="4"/>
        <v>0.86666666666666659</v>
      </c>
      <c r="G40" s="26">
        <v>83.327399999999997</v>
      </c>
      <c r="H40">
        <f t="shared" si="5"/>
        <v>0.85423732566679322</v>
      </c>
      <c r="I40" s="12">
        <v>237.8</v>
      </c>
      <c r="J40" s="2">
        <f t="shared" si="6"/>
        <v>1</v>
      </c>
      <c r="K40" s="10">
        <v>0</v>
      </c>
      <c r="L40" s="2">
        <f t="shared" si="7"/>
        <v>0</v>
      </c>
      <c r="M40">
        <v>14296</v>
      </c>
      <c r="N40">
        <f t="shared" si="8"/>
        <v>6.650958349301879E-2</v>
      </c>
      <c r="O40" s="10">
        <v>0.78418434400000003</v>
      </c>
      <c r="P40">
        <f t="shared" si="9"/>
        <v>0.76814763051304236</v>
      </c>
      <c r="Q40" s="23">
        <v>0.37390000000000001</v>
      </c>
      <c r="R40" s="13">
        <f t="shared" si="10"/>
        <v>0.80965786054569078</v>
      </c>
      <c r="S40">
        <f t="shared" si="11"/>
        <v>0.44371991818140749</v>
      </c>
      <c r="T40" s="14">
        <f t="shared" si="12"/>
        <v>0.79179654807887745</v>
      </c>
      <c r="U40" t="str">
        <f t="shared" si="13"/>
        <v>High</v>
      </c>
      <c r="V40">
        <f t="shared" si="14"/>
        <v>0.45539367389981278</v>
      </c>
      <c r="W40">
        <f t="shared" si="0"/>
        <v>0.73665987358710439</v>
      </c>
      <c r="X40" t="str">
        <f t="shared" si="15"/>
        <v>High</v>
      </c>
      <c r="Y40">
        <f t="shared" si="1"/>
        <v>0.43204616246300215</v>
      </c>
      <c r="Z40">
        <f t="shared" si="16"/>
        <v>0.78649896348762915</v>
      </c>
      <c r="AA40" t="str">
        <f t="shared" si="17"/>
        <v>High</v>
      </c>
      <c r="AB40">
        <f t="shared" si="2"/>
        <v>0.30209459123196752</v>
      </c>
      <c r="AC40">
        <f t="shared" si="18"/>
        <v>0.73837315589094521</v>
      </c>
      <c r="AD40" t="str">
        <f t="shared" si="19"/>
        <v>High</v>
      </c>
      <c r="AE40">
        <f t="shared" si="3"/>
        <v>3.7408447508949921E-2</v>
      </c>
      <c r="AF40">
        <f t="shared" si="20"/>
        <v>0.22586560081294993</v>
      </c>
      <c r="AG40" t="s">
        <v>1169</v>
      </c>
    </row>
    <row r="41" spans="1:33" customFormat="1" x14ac:dyDescent="0.3">
      <c r="A41">
        <v>107990</v>
      </c>
      <c r="B41" t="s">
        <v>540</v>
      </c>
      <c r="C41" t="s">
        <v>587</v>
      </c>
      <c r="D41" t="s">
        <v>592</v>
      </c>
      <c r="E41" s="21">
        <v>7.1</v>
      </c>
      <c r="F41" s="2">
        <f t="shared" si="4"/>
        <v>0.86666666666666659</v>
      </c>
      <c r="G41" s="26">
        <v>72.501480000000001</v>
      </c>
      <c r="H41">
        <f t="shared" si="5"/>
        <v>0.74325456430999293</v>
      </c>
      <c r="I41" s="12">
        <v>117.4</v>
      </c>
      <c r="J41" s="2">
        <f t="shared" si="6"/>
        <v>0.49369217830109335</v>
      </c>
      <c r="K41" s="10">
        <v>0</v>
      </c>
      <c r="L41" s="2">
        <f t="shared" si="7"/>
        <v>0</v>
      </c>
      <c r="M41">
        <v>6600</v>
      </c>
      <c r="N41">
        <f t="shared" si="8"/>
        <v>3.0096568300426303E-2</v>
      </c>
      <c r="O41" s="10">
        <v>0.68800640999999996</v>
      </c>
      <c r="P41">
        <f t="shared" si="9"/>
        <v>0.66222794857159251</v>
      </c>
      <c r="Q41" s="23">
        <v>0.39489999999999997</v>
      </c>
      <c r="R41" s="13">
        <f t="shared" si="10"/>
        <v>0.85513209181463834</v>
      </c>
      <c r="S41">
        <f t="shared" si="11"/>
        <v>0.28466218983080277</v>
      </c>
      <c r="T41" s="14">
        <f t="shared" si="12"/>
        <v>0.50796579112424467</v>
      </c>
      <c r="U41" t="str">
        <f t="shared" si="13"/>
        <v>Moderate</v>
      </c>
      <c r="V41">
        <f t="shared" si="14"/>
        <v>0.32085169949327075</v>
      </c>
      <c r="W41">
        <f t="shared" si="0"/>
        <v>0.51902032446967994</v>
      </c>
      <c r="X41" t="str">
        <f t="shared" si="15"/>
        <v>Moderate</v>
      </c>
      <c r="Y41">
        <f t="shared" si="1"/>
        <v>0.24847268016833482</v>
      </c>
      <c r="Z41">
        <f t="shared" si="16"/>
        <v>0.45232089157631028</v>
      </c>
      <c r="AA41" t="str">
        <f t="shared" si="17"/>
        <v>Moderate</v>
      </c>
      <c r="AB41">
        <f t="shared" si="2"/>
        <v>0.19079225584020204</v>
      </c>
      <c r="AC41">
        <f t="shared" si="18"/>
        <v>0.46633036192332583</v>
      </c>
      <c r="AD41" t="str">
        <f t="shared" si="19"/>
        <v>Moderate</v>
      </c>
      <c r="AE41">
        <f t="shared" si="3"/>
        <v>1.1292448477305265E-2</v>
      </c>
      <c r="AF41">
        <f t="shared" si="20"/>
        <v>6.8181809987319403E-2</v>
      </c>
      <c r="AG41" t="s">
        <v>1170</v>
      </c>
    </row>
    <row r="42" spans="1:33" customFormat="1" x14ac:dyDescent="0.3">
      <c r="A42">
        <v>200304</v>
      </c>
      <c r="B42" t="s">
        <v>10</v>
      </c>
      <c r="C42" t="s">
        <v>594</v>
      </c>
      <c r="D42" t="s">
        <v>593</v>
      </c>
      <c r="E42" s="21">
        <v>6</v>
      </c>
      <c r="F42" s="2">
        <f t="shared" si="4"/>
        <v>0.62222222222222223</v>
      </c>
      <c r="G42" s="26">
        <v>54.107280000000003</v>
      </c>
      <c r="H42">
        <f t="shared" si="5"/>
        <v>0.55468499156705209</v>
      </c>
      <c r="I42" s="12">
        <v>46.5</v>
      </c>
      <c r="J42" s="2">
        <f t="shared" si="6"/>
        <v>0.19554247266610597</v>
      </c>
      <c r="K42" s="10">
        <v>0</v>
      </c>
      <c r="L42" s="2">
        <f t="shared" si="7"/>
        <v>0</v>
      </c>
      <c r="M42">
        <v>7538</v>
      </c>
      <c r="N42">
        <f t="shared" si="8"/>
        <v>3.4534641098068163E-2</v>
      </c>
      <c r="O42" s="10">
        <v>0.89268930899999999</v>
      </c>
      <c r="P42">
        <f t="shared" si="9"/>
        <v>0.8876429336858902</v>
      </c>
      <c r="Q42" s="23">
        <v>0.45639999999999997</v>
      </c>
      <c r="R42" s="13">
        <f t="shared" si="10"/>
        <v>0.98830662624512777</v>
      </c>
      <c r="S42">
        <f t="shared" si="11"/>
        <v>0.15324901152764769</v>
      </c>
      <c r="T42" s="14">
        <f t="shared" si="12"/>
        <v>0.27346538514974411</v>
      </c>
      <c r="U42" t="str">
        <f t="shared" si="13"/>
        <v>Low</v>
      </c>
      <c r="V42">
        <f t="shared" si="14"/>
        <v>0.16147237302463457</v>
      </c>
      <c r="W42">
        <f t="shared" si="0"/>
        <v>0.26120305291352441</v>
      </c>
      <c r="X42" t="s">
        <v>1170</v>
      </c>
      <c r="Y42">
        <f t="shared" si="1"/>
        <v>0.14502565003066084</v>
      </c>
      <c r="Z42">
        <f t="shared" si="16"/>
        <v>0.26400540807488837</v>
      </c>
      <c r="AA42" t="str">
        <f t="shared" si="17"/>
        <v>Low</v>
      </c>
      <c r="AB42">
        <f t="shared" si="2"/>
        <v>0.10199785463963983</v>
      </c>
      <c r="AC42">
        <f t="shared" si="18"/>
        <v>0.24930098058772263</v>
      </c>
      <c r="AD42" t="str">
        <f t="shared" si="19"/>
        <v>Low</v>
      </c>
      <c r="AE42">
        <f t="shared" si="3"/>
        <v>5.6423687766270587E-3</v>
      </c>
      <c r="AF42">
        <f t="shared" si="20"/>
        <v>3.4067626394711982E-2</v>
      </c>
      <c r="AG42" t="s">
        <v>1170</v>
      </c>
    </row>
    <row r="43" spans="1:33" customFormat="1" x14ac:dyDescent="0.3">
      <c r="A43">
        <v>200314</v>
      </c>
      <c r="B43" t="s">
        <v>42</v>
      </c>
      <c r="C43" t="s">
        <v>594</v>
      </c>
      <c r="D43" t="s">
        <v>595</v>
      </c>
      <c r="E43" s="21">
        <v>7.6</v>
      </c>
      <c r="F43" s="2">
        <f t="shared" si="4"/>
        <v>0.97777777777777763</v>
      </c>
      <c r="G43" s="26">
        <v>54.378</v>
      </c>
      <c r="H43">
        <f t="shared" si="5"/>
        <v>0.55746029871457514</v>
      </c>
      <c r="I43" s="12">
        <v>45.400000000000006</v>
      </c>
      <c r="J43" s="2">
        <f t="shared" si="6"/>
        <v>0.19091673675357446</v>
      </c>
      <c r="K43" s="10">
        <v>0</v>
      </c>
      <c r="L43" s="2">
        <f t="shared" si="7"/>
        <v>0</v>
      </c>
      <c r="M43">
        <v>10534</v>
      </c>
      <c r="N43">
        <f t="shared" si="8"/>
        <v>4.8709978093521268E-2</v>
      </c>
      <c r="O43" s="10">
        <v>0.93405031299999997</v>
      </c>
      <c r="P43">
        <f t="shared" si="9"/>
        <v>0.93319334432851264</v>
      </c>
      <c r="Q43" s="23">
        <v>0.44669999999999999</v>
      </c>
      <c r="R43" s="13">
        <f t="shared" si="10"/>
        <v>0.96730186227804249</v>
      </c>
      <c r="S43">
        <f t="shared" si="11"/>
        <v>0.24336910352312538</v>
      </c>
      <c r="T43" s="14">
        <f t="shared" si="12"/>
        <v>0.43428029300203724</v>
      </c>
      <c r="U43" t="str">
        <f t="shared" si="13"/>
        <v>Moderate</v>
      </c>
      <c r="V43">
        <f t="shared" si="14"/>
        <v>0.24773689114343794</v>
      </c>
      <c r="W43">
        <f t="shared" si="0"/>
        <v>0.40074739148163269</v>
      </c>
      <c r="X43" t="str">
        <f t="shared" si="15"/>
        <v>Moderate</v>
      </c>
      <c r="Y43">
        <f t="shared" si="1"/>
        <v>0.23900131590281276</v>
      </c>
      <c r="Z43">
        <f t="shared" si="16"/>
        <v>0.43507917338772484</v>
      </c>
      <c r="AA43" t="str">
        <f t="shared" si="17"/>
        <v>Moderate</v>
      </c>
      <c r="AB43">
        <f t="shared" si="2"/>
        <v>0.16277461738944812</v>
      </c>
      <c r="AC43">
        <f t="shared" si="18"/>
        <v>0.39785024766795507</v>
      </c>
      <c r="AD43" t="str">
        <f t="shared" si="19"/>
        <v>Moderate</v>
      </c>
      <c r="AE43">
        <f t="shared" si="3"/>
        <v>1.247517348114574E-2</v>
      </c>
      <c r="AF43">
        <f t="shared" si="20"/>
        <v>7.5322894725599845E-2</v>
      </c>
      <c r="AG43" t="s">
        <v>1170</v>
      </c>
    </row>
    <row r="44" spans="1:33" customFormat="1" x14ac:dyDescent="0.3">
      <c r="A44">
        <v>200351</v>
      </c>
      <c r="B44" t="s">
        <v>304</v>
      </c>
      <c r="C44" t="s">
        <v>594</v>
      </c>
      <c r="D44" t="s">
        <v>596</v>
      </c>
      <c r="E44" s="21">
        <v>7.7</v>
      </c>
      <c r="F44" s="2">
        <f t="shared" si="4"/>
        <v>1</v>
      </c>
      <c r="G44" s="26">
        <v>54.378</v>
      </c>
      <c r="H44">
        <f t="shared" si="5"/>
        <v>0.55746029871457514</v>
      </c>
      <c r="I44" s="12">
        <v>51.5</v>
      </c>
      <c r="J44" s="2">
        <f t="shared" si="6"/>
        <v>0.21656854499579478</v>
      </c>
      <c r="K44" s="10">
        <v>0</v>
      </c>
      <c r="L44" s="2">
        <f t="shared" si="7"/>
        <v>0</v>
      </c>
      <c r="M44">
        <v>14751</v>
      </c>
      <c r="N44">
        <f t="shared" si="8"/>
        <v>6.8662379999337594E-2</v>
      </c>
      <c r="O44" s="10">
        <v>0.816387109</v>
      </c>
      <c r="P44">
        <f t="shared" si="9"/>
        <v>0.80361217507723792</v>
      </c>
      <c r="Q44" s="23">
        <v>0.43519999999999998</v>
      </c>
      <c r="R44" s="13">
        <f t="shared" si="10"/>
        <v>0.94239930705933306</v>
      </c>
      <c r="S44">
        <f t="shared" si="11"/>
        <v>0.23650606850905981</v>
      </c>
      <c r="T44" s="14">
        <f t="shared" si="12"/>
        <v>0.42203354181774638</v>
      </c>
      <c r="U44" t="str">
        <f t="shared" si="13"/>
        <v>Moderate</v>
      </c>
      <c r="V44">
        <f t="shared" si="14"/>
        <v>0.25530548608480624</v>
      </c>
      <c r="W44">
        <f t="shared" si="0"/>
        <v>0.4129906010655387</v>
      </c>
      <c r="X44" t="str">
        <f t="shared" si="15"/>
        <v>Moderate</v>
      </c>
      <c r="Y44">
        <f t="shared" si="1"/>
        <v>0.2177066509333134</v>
      </c>
      <c r="Z44">
        <f t="shared" si="16"/>
        <v>0.39631426032646883</v>
      </c>
      <c r="AA44" t="str">
        <f t="shared" si="17"/>
        <v>Moderate</v>
      </c>
      <c r="AB44">
        <f t="shared" si="2"/>
        <v>0.16117938157784417</v>
      </c>
      <c r="AC44">
        <f t="shared" si="18"/>
        <v>0.3939512063253055</v>
      </c>
      <c r="AD44" t="str">
        <f t="shared" si="19"/>
        <v>Moderate</v>
      </c>
      <c r="AE44">
        <f t="shared" si="3"/>
        <v>1.8601331909051253E-2</v>
      </c>
      <c r="AF44">
        <f t="shared" si="20"/>
        <v>0.1123115576115202</v>
      </c>
      <c r="AG44" t="s">
        <v>1170</v>
      </c>
    </row>
    <row r="45" spans="1:33" customFormat="1" x14ac:dyDescent="0.3">
      <c r="A45">
        <v>200373</v>
      </c>
      <c r="B45" t="s">
        <v>365</v>
      </c>
      <c r="C45" t="s">
        <v>594</v>
      </c>
      <c r="D45" t="s">
        <v>597</v>
      </c>
      <c r="E45" s="21">
        <v>7.7</v>
      </c>
      <c r="F45" s="2">
        <f t="shared" si="4"/>
        <v>1</v>
      </c>
      <c r="G45" s="26">
        <v>52.749719999999996</v>
      </c>
      <c r="H45">
        <f t="shared" si="5"/>
        <v>0.54076785958126805</v>
      </c>
      <c r="I45" s="12">
        <v>52.5</v>
      </c>
      <c r="J45" s="2">
        <f t="shared" si="6"/>
        <v>0.22077375946173253</v>
      </c>
      <c r="K45" s="10">
        <v>0</v>
      </c>
      <c r="L45" s="2">
        <f t="shared" si="7"/>
        <v>0</v>
      </c>
      <c r="M45">
        <v>12144</v>
      </c>
      <c r="N45">
        <f t="shared" si="8"/>
        <v>5.6327565731264753E-2</v>
      </c>
      <c r="O45" s="10">
        <v>0.91274416700000005</v>
      </c>
      <c r="P45">
        <f t="shared" si="9"/>
        <v>0.90972912427448138</v>
      </c>
      <c r="Q45" s="23">
        <v>0.443</v>
      </c>
      <c r="R45" s="13">
        <f t="shared" si="10"/>
        <v>0.95928973581637078</v>
      </c>
      <c r="S45">
        <f t="shared" si="11"/>
        <v>0.24908373852871091</v>
      </c>
      <c r="T45" s="14">
        <f t="shared" si="12"/>
        <v>0.44447778039340435</v>
      </c>
      <c r="U45" t="str">
        <f t="shared" si="13"/>
        <v>Moderate</v>
      </c>
      <c r="V45">
        <f t="shared" si="14"/>
        <v>0.25568867049072597</v>
      </c>
      <c r="W45">
        <f t="shared" si="0"/>
        <v>0.41361045283819964</v>
      </c>
      <c r="X45" t="str">
        <f t="shared" si="15"/>
        <v>Moderate</v>
      </c>
      <c r="Y45">
        <f t="shared" si="1"/>
        <v>0.24247880656669585</v>
      </c>
      <c r="Z45">
        <f t="shared" si="16"/>
        <v>0.44140961453107413</v>
      </c>
      <c r="AA45" t="str">
        <f t="shared" si="17"/>
        <v>Moderate</v>
      </c>
      <c r="AB45">
        <f t="shared" si="2"/>
        <v>0.16748941037822079</v>
      </c>
      <c r="AC45">
        <f t="shared" si="18"/>
        <v>0.40937404411957523</v>
      </c>
      <c r="AD45" t="str">
        <f t="shared" si="19"/>
        <v>Moderate</v>
      </c>
      <c r="AE45">
        <f t="shared" si="3"/>
        <v>1.5013524961308438E-2</v>
      </c>
      <c r="AF45">
        <f t="shared" si="20"/>
        <v>9.0649012763623776E-2</v>
      </c>
      <c r="AG45" t="s">
        <v>1170</v>
      </c>
    </row>
    <row r="46" spans="1:33" customFormat="1" x14ac:dyDescent="0.3">
      <c r="A46">
        <v>200389</v>
      </c>
      <c r="B46" t="s">
        <v>445</v>
      </c>
      <c r="C46" t="s">
        <v>594</v>
      </c>
      <c r="D46" t="s">
        <v>598</v>
      </c>
      <c r="E46" s="21">
        <v>5.9</v>
      </c>
      <c r="F46" s="2">
        <f t="shared" si="4"/>
        <v>0.60000000000000009</v>
      </c>
      <c r="G46" s="26">
        <v>52.201800000000006</v>
      </c>
      <c r="H46">
        <f t="shared" si="5"/>
        <v>0.53515081506194617</v>
      </c>
      <c r="I46" s="12">
        <v>45.400000000000006</v>
      </c>
      <c r="J46" s="2">
        <f t="shared" si="6"/>
        <v>0.19091673675357446</v>
      </c>
      <c r="K46" s="10">
        <v>0</v>
      </c>
      <c r="L46" s="2">
        <f t="shared" si="7"/>
        <v>0</v>
      </c>
      <c r="M46">
        <v>5632</v>
      </c>
      <c r="N46">
        <f t="shared" si="8"/>
        <v>2.5516552875994188E-2</v>
      </c>
      <c r="O46" s="10">
        <v>0.88670519800000003</v>
      </c>
      <c r="P46">
        <f t="shared" si="9"/>
        <v>0.88105269923749452</v>
      </c>
      <c r="Q46" s="23">
        <v>0.46079999999999999</v>
      </c>
      <c r="R46" s="13">
        <f t="shared" si="10"/>
        <v>0.99783456041576435</v>
      </c>
      <c r="S46">
        <f t="shared" si="11"/>
        <v>0.14324090263915051</v>
      </c>
      <c r="T46" s="14">
        <f t="shared" si="12"/>
        <v>0.25560640306215199</v>
      </c>
      <c r="U46" t="str">
        <f t="shared" si="13"/>
        <v>Low</v>
      </c>
      <c r="V46">
        <f t="shared" si="14"/>
        <v>0.15214401224357799</v>
      </c>
      <c r="W46">
        <f t="shared" si="0"/>
        <v>0.24611318788553577</v>
      </c>
      <c r="X46" t="s">
        <v>1170</v>
      </c>
      <c r="Y46">
        <f t="shared" si="1"/>
        <v>0.13433779303472304</v>
      </c>
      <c r="Z46">
        <f t="shared" si="16"/>
        <v>0.24454918052436841</v>
      </c>
      <c r="AA46" t="str">
        <f t="shared" si="17"/>
        <v>Low</v>
      </c>
      <c r="AB46">
        <f t="shared" si="2"/>
        <v>9.4913457664861353E-2</v>
      </c>
      <c r="AC46">
        <f t="shared" si="18"/>
        <v>0.23198544861967491</v>
      </c>
      <c r="AD46" t="str">
        <f t="shared" si="19"/>
        <v>Low</v>
      </c>
      <c r="AE46">
        <f t="shared" si="3"/>
        <v>3.8906156262633212E-3</v>
      </c>
      <c r="AF46">
        <f t="shared" si="20"/>
        <v>2.3490850181579315E-2</v>
      </c>
      <c r="AG46" t="s">
        <v>1170</v>
      </c>
    </row>
    <row r="47" spans="1:33" customFormat="1" x14ac:dyDescent="0.3">
      <c r="A47">
        <v>200391</v>
      </c>
      <c r="B47" t="s">
        <v>449</v>
      </c>
      <c r="C47" t="s">
        <v>594</v>
      </c>
      <c r="D47" t="s">
        <v>599</v>
      </c>
      <c r="E47" s="21">
        <v>7.7</v>
      </c>
      <c r="F47" s="2">
        <f t="shared" si="4"/>
        <v>1</v>
      </c>
      <c r="G47" s="26">
        <v>54.378</v>
      </c>
      <c r="H47">
        <f t="shared" si="5"/>
        <v>0.55746029871457514</v>
      </c>
      <c r="I47" s="12">
        <v>40.9</v>
      </c>
      <c r="J47" s="2">
        <f t="shared" si="6"/>
        <v>0.17199327165685449</v>
      </c>
      <c r="K47" s="10">
        <v>0</v>
      </c>
      <c r="L47" s="2">
        <f t="shared" si="7"/>
        <v>0</v>
      </c>
      <c r="M47">
        <v>2880</v>
      </c>
      <c r="N47">
        <f t="shared" si="8"/>
        <v>1.2495682578435131E-2</v>
      </c>
      <c r="O47" s="10">
        <v>0.85408552900000001</v>
      </c>
      <c r="P47">
        <f t="shared" si="9"/>
        <v>0.84512902296560277</v>
      </c>
      <c r="Q47" s="23">
        <v>0.46179999999999999</v>
      </c>
      <c r="R47" s="13">
        <f t="shared" si="10"/>
        <v>1</v>
      </c>
      <c r="S47">
        <f t="shared" si="11"/>
        <v>0.2355387918796861</v>
      </c>
      <c r="T47" s="14">
        <f t="shared" si="12"/>
        <v>0.42030748385912586</v>
      </c>
      <c r="U47" t="str">
        <f t="shared" si="13"/>
        <v>Moderate</v>
      </c>
      <c r="V47">
        <f t="shared" si="14"/>
        <v>0.25530874963000033</v>
      </c>
      <c r="W47">
        <f t="shared" si="0"/>
        <v>0.41299588028421896</v>
      </c>
      <c r="X47" t="str">
        <f t="shared" si="15"/>
        <v>Moderate</v>
      </c>
      <c r="Y47">
        <f t="shared" si="1"/>
        <v>0.21576883412937187</v>
      </c>
      <c r="Z47">
        <f t="shared" si="16"/>
        <v>0.39278664906604144</v>
      </c>
      <c r="AA47" t="str">
        <f t="shared" si="17"/>
        <v>Moderate</v>
      </c>
      <c r="AB47">
        <f t="shared" si="2"/>
        <v>0.15520530259251744</v>
      </c>
      <c r="AC47">
        <f t="shared" si="18"/>
        <v>0.3793494899028147</v>
      </c>
      <c r="AD47" t="str">
        <f t="shared" si="19"/>
        <v>Moderate</v>
      </c>
      <c r="AE47">
        <f t="shared" si="3"/>
        <v>3.1902570948736516E-3</v>
      </c>
      <c r="AF47">
        <f t="shared" si="20"/>
        <v>1.9262209032037972E-2</v>
      </c>
      <c r="AG47" t="s">
        <v>1170</v>
      </c>
    </row>
    <row r="48" spans="1:33" customFormat="1" x14ac:dyDescent="0.3">
      <c r="A48">
        <v>200395</v>
      </c>
      <c r="B48" t="s">
        <v>526</v>
      </c>
      <c r="C48" t="s">
        <v>594</v>
      </c>
      <c r="D48" t="s">
        <v>600</v>
      </c>
      <c r="E48" s="21">
        <v>7.7</v>
      </c>
      <c r="F48" s="2">
        <f t="shared" si="4"/>
        <v>1</v>
      </c>
      <c r="G48" s="26">
        <v>54.378</v>
      </c>
      <c r="H48">
        <f t="shared" si="5"/>
        <v>0.55746029871457514</v>
      </c>
      <c r="I48" s="12">
        <v>51.8</v>
      </c>
      <c r="J48" s="2">
        <f t="shared" si="6"/>
        <v>0.21783010933557609</v>
      </c>
      <c r="K48" s="10">
        <v>0</v>
      </c>
      <c r="L48" s="2">
        <f t="shared" si="7"/>
        <v>0</v>
      </c>
      <c r="M48">
        <v>2642</v>
      </c>
      <c r="N48">
        <f t="shared" si="8"/>
        <v>1.1369604405899136E-2</v>
      </c>
      <c r="O48" s="10">
        <v>0.60021188400000003</v>
      </c>
      <c r="P48">
        <f t="shared" si="9"/>
        <v>0.56554082000299222</v>
      </c>
      <c r="Q48" s="23">
        <v>0.45600000000000002</v>
      </c>
      <c r="R48" s="13">
        <f t="shared" si="10"/>
        <v>0.98744045041143358</v>
      </c>
      <c r="S48">
        <f t="shared" si="11"/>
        <v>0.21070200949592244</v>
      </c>
      <c r="T48" s="14">
        <f t="shared" si="12"/>
        <v>0.37598745730397276</v>
      </c>
      <c r="U48" t="str">
        <f t="shared" si="13"/>
        <v>Moderate</v>
      </c>
      <c r="V48">
        <f t="shared" si="14"/>
        <v>0.2679435884036469</v>
      </c>
      <c r="W48">
        <f t="shared" si="0"/>
        <v>0.43343441350775164</v>
      </c>
      <c r="X48" t="str">
        <f t="shared" si="15"/>
        <v>Moderate</v>
      </c>
      <c r="Y48">
        <f t="shared" si="1"/>
        <v>0.15346043058819794</v>
      </c>
      <c r="Z48">
        <f t="shared" si="16"/>
        <v>0.27936012417265405</v>
      </c>
      <c r="AA48" t="str">
        <f t="shared" si="17"/>
        <v>Low</v>
      </c>
      <c r="AB48">
        <f t="shared" si="2"/>
        <v>0.14089819140954002</v>
      </c>
      <c r="AC48">
        <f t="shared" si="18"/>
        <v>0.3443803539352463</v>
      </c>
      <c r="AD48" t="str">
        <f t="shared" si="19"/>
        <v>Moderate</v>
      </c>
      <c r="AE48">
        <f t="shared" si="3"/>
        <v>3.0851608337264182E-3</v>
      </c>
      <c r="AF48">
        <f t="shared" si="20"/>
        <v>1.862765636418039E-2</v>
      </c>
      <c r="AG48" t="s">
        <v>1170</v>
      </c>
    </row>
    <row r="49" spans="1:33" customFormat="1" x14ac:dyDescent="0.3">
      <c r="A49">
        <v>201202</v>
      </c>
      <c r="B49" t="s">
        <v>6</v>
      </c>
      <c r="C49" t="s">
        <v>1153</v>
      </c>
      <c r="D49" t="s">
        <v>601</v>
      </c>
      <c r="E49" s="21">
        <v>6</v>
      </c>
      <c r="F49" s="2">
        <f t="shared" si="4"/>
        <v>0.62222222222222223</v>
      </c>
      <c r="G49" s="26">
        <v>53.440919999999998</v>
      </c>
      <c r="H49">
        <f t="shared" si="5"/>
        <v>0.54785375017068871</v>
      </c>
      <c r="I49" s="12">
        <v>94.899999999999991</v>
      </c>
      <c r="J49" s="2">
        <f t="shared" si="6"/>
        <v>0.39907485281749366</v>
      </c>
      <c r="K49" s="10">
        <v>0</v>
      </c>
      <c r="L49" s="2">
        <f t="shared" si="7"/>
        <v>0</v>
      </c>
      <c r="M49">
        <v>17023</v>
      </c>
      <c r="N49">
        <f t="shared" si="8"/>
        <v>7.9412168268252634E-2</v>
      </c>
      <c r="O49" s="10">
        <v>0.90624782100000001</v>
      </c>
      <c r="P49">
        <f t="shared" si="9"/>
        <v>0.90257477115538021</v>
      </c>
      <c r="Q49" s="23">
        <v>0.29530000000000001</v>
      </c>
      <c r="R49" s="13">
        <f t="shared" si="10"/>
        <v>0.63945430922477264</v>
      </c>
      <c r="S49">
        <f t="shared" si="11"/>
        <v>0.15899862377716659</v>
      </c>
      <c r="T49" s="14">
        <f t="shared" si="12"/>
        <v>0.28372528772662114</v>
      </c>
      <c r="U49" t="str">
        <f t="shared" si="13"/>
        <v>Low</v>
      </c>
      <c r="V49">
        <f t="shared" si="14"/>
        <v>0.13186827204329055</v>
      </c>
      <c r="W49">
        <f t="shared" si="0"/>
        <v>0.21331447971526213</v>
      </c>
      <c r="X49" t="s">
        <v>1170</v>
      </c>
      <c r="Y49">
        <f t="shared" si="1"/>
        <v>0.1861289755110426</v>
      </c>
      <c r="Z49">
        <f t="shared" si="16"/>
        <v>0.33883010435715949</v>
      </c>
      <c r="AA49" t="str">
        <f t="shared" si="17"/>
        <v>Moderate</v>
      </c>
      <c r="AB49">
        <f t="shared" si="2"/>
        <v>0.10772432012859158</v>
      </c>
      <c r="AC49">
        <f t="shared" si="18"/>
        <v>0.26329748538423242</v>
      </c>
      <c r="AD49" t="str">
        <f t="shared" si="19"/>
        <v>Low</v>
      </c>
      <c r="AE49">
        <f t="shared" si="3"/>
        <v>1.6376377886077459E-2</v>
      </c>
      <c r="AF49">
        <f t="shared" si="20"/>
        <v>9.8877678083107962E-2</v>
      </c>
      <c r="AG49" t="s">
        <v>1170</v>
      </c>
    </row>
    <row r="50" spans="1:33" customFormat="1" x14ac:dyDescent="0.3">
      <c r="A50">
        <v>201204</v>
      </c>
      <c r="B50" t="s">
        <v>40</v>
      </c>
      <c r="C50" t="s">
        <v>1153</v>
      </c>
      <c r="D50" t="s">
        <v>602</v>
      </c>
      <c r="E50" s="21">
        <v>6</v>
      </c>
      <c r="F50" s="2">
        <f t="shared" si="4"/>
        <v>0.62222222222222223</v>
      </c>
      <c r="G50" s="26">
        <v>57.558959999999999</v>
      </c>
      <c r="H50">
        <f t="shared" si="5"/>
        <v>0.59007015769797122</v>
      </c>
      <c r="I50" s="12">
        <v>142.19999999999999</v>
      </c>
      <c r="J50" s="2">
        <f t="shared" si="6"/>
        <v>0.59798149705634984</v>
      </c>
      <c r="K50" s="10">
        <v>0</v>
      </c>
      <c r="L50" s="2">
        <f t="shared" si="7"/>
        <v>0</v>
      </c>
      <c r="M50">
        <v>40696</v>
      </c>
      <c r="N50">
        <f t="shared" si="8"/>
        <v>0.19141909506844001</v>
      </c>
      <c r="O50" s="10">
        <v>0.69973283900000005</v>
      </c>
      <c r="P50">
        <f t="shared" si="9"/>
        <v>0.67514213354450947</v>
      </c>
      <c r="Q50" s="23">
        <v>0.27539999999999998</v>
      </c>
      <c r="R50" s="13">
        <f t="shared" si="10"/>
        <v>0.59636206149848414</v>
      </c>
      <c r="S50">
        <f t="shared" si="11"/>
        <v>0.1644889344098813</v>
      </c>
      <c r="T50" s="14">
        <f t="shared" si="12"/>
        <v>0.29352247921777924</v>
      </c>
      <c r="U50" t="str">
        <f t="shared" si="13"/>
        <v>Low</v>
      </c>
      <c r="V50">
        <f t="shared" si="14"/>
        <v>0.15429750118134505</v>
      </c>
      <c r="W50">
        <f t="shared" si="0"/>
        <v>0.2495967428393881</v>
      </c>
      <c r="X50" t="s">
        <v>1170</v>
      </c>
      <c r="Y50">
        <f t="shared" si="1"/>
        <v>0.17468036763841754</v>
      </c>
      <c r="Z50">
        <f t="shared" si="16"/>
        <v>0.31798900216135656</v>
      </c>
      <c r="AA50" t="str">
        <f t="shared" si="17"/>
        <v>Moderate</v>
      </c>
      <c r="AB50">
        <f t="shared" si="2"/>
        <v>0.12374237126458242</v>
      </c>
      <c r="AC50">
        <f t="shared" si="18"/>
        <v>0.30244846428879124</v>
      </c>
      <c r="AD50" t="str">
        <f t="shared" si="19"/>
        <v>Moderate</v>
      </c>
      <c r="AE50">
        <f t="shared" si="3"/>
        <v>4.9526101598818255E-2</v>
      </c>
      <c r="AF50">
        <f t="shared" si="20"/>
        <v>0.29902985658156467</v>
      </c>
      <c r="AG50" t="s">
        <v>1169</v>
      </c>
    </row>
    <row r="51" spans="1:33" customFormat="1" x14ac:dyDescent="0.3">
      <c r="A51">
        <v>201207</v>
      </c>
      <c r="B51" t="s">
        <v>75</v>
      </c>
      <c r="C51" t="s">
        <v>1153</v>
      </c>
      <c r="D51" t="s">
        <v>1126</v>
      </c>
      <c r="E51" s="21">
        <v>5.2</v>
      </c>
      <c r="F51" s="2">
        <f t="shared" si="4"/>
        <v>0.44444444444444442</v>
      </c>
      <c r="G51" s="26">
        <v>59.380559999999996</v>
      </c>
      <c r="H51">
        <f t="shared" si="5"/>
        <v>0.60874443185550675</v>
      </c>
      <c r="I51" s="12">
        <v>111.9</v>
      </c>
      <c r="J51" s="2">
        <f t="shared" si="6"/>
        <v>0.47056349873843567</v>
      </c>
      <c r="K51" s="10">
        <v>0</v>
      </c>
      <c r="L51" s="2">
        <f t="shared" si="7"/>
        <v>0</v>
      </c>
      <c r="M51">
        <v>16310</v>
      </c>
      <c r="N51">
        <f t="shared" si="8"/>
        <v>7.6038665171537664E-2</v>
      </c>
      <c r="O51" s="10">
        <v>0.791599575</v>
      </c>
      <c r="P51">
        <f t="shared" si="9"/>
        <v>0.77631394139514531</v>
      </c>
      <c r="Q51" s="23">
        <v>0.26979999999999998</v>
      </c>
      <c r="R51" s="13">
        <f t="shared" si="10"/>
        <v>0.58423559982676476</v>
      </c>
      <c r="S51">
        <f t="shared" si="11"/>
        <v>0.11421292631830336</v>
      </c>
      <c r="T51" s="14">
        <f t="shared" si="12"/>
        <v>0.20380739538459841</v>
      </c>
      <c r="U51" t="str">
        <f t="shared" si="13"/>
        <v>Low</v>
      </c>
      <c r="V51">
        <f t="shared" si="14"/>
        <v>9.8088684746630059E-2</v>
      </c>
      <c r="W51">
        <f t="shared" si="0"/>
        <v>0.1586715017074978</v>
      </c>
      <c r="X51" t="s">
        <v>1170</v>
      </c>
      <c r="Y51">
        <f t="shared" si="1"/>
        <v>0.13033716788997662</v>
      </c>
      <c r="Z51">
        <f t="shared" si="16"/>
        <v>0.23726642279378668</v>
      </c>
      <c r="AA51" t="str">
        <f t="shared" si="17"/>
        <v>Low</v>
      </c>
      <c r="AB51">
        <f t="shared" si="2"/>
        <v>7.7900398454112937E-2</v>
      </c>
      <c r="AC51">
        <f t="shared" si="18"/>
        <v>0.19040249220337177</v>
      </c>
      <c r="AD51" t="str">
        <f t="shared" si="19"/>
        <v>Low</v>
      </c>
      <c r="AE51">
        <f t="shared" si="3"/>
        <v>1.2766309787998356E-2</v>
      </c>
      <c r="AF51">
        <f t="shared" si="20"/>
        <v>7.7080724340154075E-2</v>
      </c>
      <c r="AG51" t="s">
        <v>1170</v>
      </c>
    </row>
    <row r="52" spans="1:33" customFormat="1" x14ac:dyDescent="0.3">
      <c r="A52">
        <v>201213</v>
      </c>
      <c r="B52" t="s">
        <v>89</v>
      </c>
      <c r="C52" t="s">
        <v>1153</v>
      </c>
      <c r="D52" t="s">
        <v>603</v>
      </c>
      <c r="E52" s="21">
        <v>6</v>
      </c>
      <c r="F52" s="2">
        <f t="shared" si="4"/>
        <v>0.62222222222222223</v>
      </c>
      <c r="G52" s="26">
        <v>52.042320000000004</v>
      </c>
      <c r="H52">
        <f t="shared" si="5"/>
        <v>0.53351589343115802</v>
      </c>
      <c r="I52" s="12">
        <v>111.9</v>
      </c>
      <c r="J52" s="2">
        <f t="shared" si="6"/>
        <v>0.47056349873843567</v>
      </c>
      <c r="K52" s="10">
        <v>0</v>
      </c>
      <c r="L52" s="2">
        <f t="shared" si="7"/>
        <v>0</v>
      </c>
      <c r="M52">
        <v>60378</v>
      </c>
      <c r="N52">
        <f t="shared" si="8"/>
        <v>0.28454292108463092</v>
      </c>
      <c r="O52" s="10">
        <v>0.83918392200000003</v>
      </c>
      <c r="P52">
        <f t="shared" si="9"/>
        <v>0.82871805000941012</v>
      </c>
      <c r="Q52" s="23">
        <v>0.29239999999999999</v>
      </c>
      <c r="R52" s="13">
        <f t="shared" si="10"/>
        <v>0.63317453443048943</v>
      </c>
      <c r="S52">
        <f t="shared" si="11"/>
        <v>0.15983323258329085</v>
      </c>
      <c r="T52" s="14">
        <f t="shared" si="12"/>
        <v>0.28521460642656565</v>
      </c>
      <c r="U52" t="str">
        <f t="shared" si="13"/>
        <v>Low</v>
      </c>
      <c r="V52">
        <f t="shared" si="14"/>
        <v>0.13845385591885925</v>
      </c>
      <c r="W52">
        <f t="shared" si="0"/>
        <v>0.22396753807623754</v>
      </c>
      <c r="X52" t="s">
        <v>1170</v>
      </c>
      <c r="Y52">
        <f t="shared" si="1"/>
        <v>0.18121260924772242</v>
      </c>
      <c r="Z52">
        <f t="shared" si="16"/>
        <v>0.32988032698109498</v>
      </c>
      <c r="AA52" t="str">
        <f t="shared" si="17"/>
        <v>Moderate</v>
      </c>
      <c r="AB52">
        <f t="shared" si="2"/>
        <v>0.12459960198021616</v>
      </c>
      <c r="AC52">
        <f t="shared" si="18"/>
        <v>0.30454368931830239</v>
      </c>
      <c r="AD52" t="str">
        <f t="shared" si="19"/>
        <v>Moderate</v>
      </c>
      <c r="AE52">
        <f t="shared" si="3"/>
        <v>6.2219913240853443E-2</v>
      </c>
      <c r="AF52">
        <f t="shared" si="20"/>
        <v>0.37567284991746153</v>
      </c>
      <c r="AG52" t="str">
        <f t="shared" si="21"/>
        <v>Moderate</v>
      </c>
    </row>
    <row r="53" spans="1:33" customFormat="1" x14ac:dyDescent="0.3">
      <c r="A53">
        <v>201233</v>
      </c>
      <c r="B53" t="s">
        <v>13</v>
      </c>
      <c r="C53" t="s">
        <v>1153</v>
      </c>
      <c r="D53" t="s">
        <v>604</v>
      </c>
      <c r="E53" s="21">
        <v>6</v>
      </c>
      <c r="F53" s="2">
        <f t="shared" si="4"/>
        <v>0.62222222222222223</v>
      </c>
      <c r="G53" s="26">
        <v>55.799280000000003</v>
      </c>
      <c r="H53">
        <f t="shared" si="5"/>
        <v>0.57203066123907131</v>
      </c>
      <c r="I53" s="12">
        <v>137.19999999999999</v>
      </c>
      <c r="J53" s="2">
        <f t="shared" si="6"/>
        <v>0.57695542472666095</v>
      </c>
      <c r="K53" s="10">
        <v>0</v>
      </c>
      <c r="L53" s="2">
        <f t="shared" si="7"/>
        <v>0</v>
      </c>
      <c r="M53">
        <v>21752</v>
      </c>
      <c r="N53">
        <f t="shared" si="8"/>
        <v>0.10178705767128926</v>
      </c>
      <c r="O53" s="10">
        <v>0.87803279599999995</v>
      </c>
      <c r="P53">
        <f t="shared" si="9"/>
        <v>0.87150188000791529</v>
      </c>
      <c r="Q53" s="23">
        <v>0.32090000000000002</v>
      </c>
      <c r="R53" s="13">
        <f t="shared" si="10"/>
        <v>0.69488956258120405</v>
      </c>
      <c r="S53">
        <f t="shared" si="11"/>
        <v>0.19597408147294174</v>
      </c>
      <c r="T53" s="14">
        <f t="shared" si="12"/>
        <v>0.34970618821705596</v>
      </c>
      <c r="U53" t="str">
        <f t="shared" si="13"/>
        <v>Moderate</v>
      </c>
      <c r="V53">
        <f t="shared" si="14"/>
        <v>0.17387779331441</v>
      </c>
      <c r="W53">
        <f t="shared" si="0"/>
        <v>0.28127047120724308</v>
      </c>
      <c r="X53" t="s">
        <v>1170</v>
      </c>
      <c r="Y53">
        <f t="shared" si="1"/>
        <v>0.21807036963147342</v>
      </c>
      <c r="Z53">
        <f t="shared" si="16"/>
        <v>0.3969763756371873</v>
      </c>
      <c r="AA53" t="str">
        <f t="shared" si="17"/>
        <v>Moderate</v>
      </c>
      <c r="AB53">
        <f t="shared" si="2"/>
        <v>0.13519267325115797</v>
      </c>
      <c r="AC53">
        <f t="shared" si="18"/>
        <v>0.33043504815728619</v>
      </c>
      <c r="AD53" t="str">
        <f t="shared" si="19"/>
        <v>Moderate</v>
      </c>
      <c r="AE53">
        <f t="shared" si="3"/>
        <v>2.5469527719064189E-2</v>
      </c>
      <c r="AF53">
        <f t="shared" si="20"/>
        <v>0.15378051118834032</v>
      </c>
      <c r="AG53" t="s">
        <v>1170</v>
      </c>
    </row>
    <row r="54" spans="1:33" customFormat="1" x14ac:dyDescent="0.3">
      <c r="A54">
        <v>201263</v>
      </c>
      <c r="B54" t="s">
        <v>261</v>
      </c>
      <c r="C54" t="s">
        <v>1153</v>
      </c>
      <c r="D54" t="s">
        <v>605</v>
      </c>
      <c r="E54" s="21">
        <v>5.9</v>
      </c>
      <c r="F54" s="2">
        <f t="shared" si="4"/>
        <v>0.60000000000000009</v>
      </c>
      <c r="G54" s="26">
        <v>47.517479999999999</v>
      </c>
      <c r="H54">
        <f t="shared" si="5"/>
        <v>0.48712914404656016</v>
      </c>
      <c r="I54" s="12">
        <v>94.899999999999991</v>
      </c>
      <c r="J54" s="2">
        <f t="shared" si="6"/>
        <v>0.39907485281749366</v>
      </c>
      <c r="K54" s="10">
        <v>0</v>
      </c>
      <c r="L54" s="2">
        <f t="shared" si="7"/>
        <v>0</v>
      </c>
      <c r="M54">
        <v>28839</v>
      </c>
      <c r="N54">
        <f t="shared" si="8"/>
        <v>0.13531863754003964</v>
      </c>
      <c r="O54" s="10">
        <v>0.94135772799999995</v>
      </c>
      <c r="P54">
        <f t="shared" si="9"/>
        <v>0.94124091865688375</v>
      </c>
      <c r="Q54" s="23">
        <v>0.32390000000000002</v>
      </c>
      <c r="R54" s="13">
        <f t="shared" si="10"/>
        <v>0.70138588133391089</v>
      </c>
      <c r="S54">
        <f t="shared" si="11"/>
        <v>0.1528487557283246</v>
      </c>
      <c r="T54" s="14">
        <f t="shared" si="12"/>
        <v>0.2727511482014649</v>
      </c>
      <c r="U54" t="str">
        <f t="shared" si="13"/>
        <v>Low</v>
      </c>
      <c r="V54">
        <f t="shared" si="14"/>
        <v>0.13052990399024705</v>
      </c>
      <c r="W54">
        <f t="shared" si="0"/>
        <v>0.21114949127278995</v>
      </c>
      <c r="X54" t="s">
        <v>1170</v>
      </c>
      <c r="Y54">
        <f t="shared" si="1"/>
        <v>0.17516760746640211</v>
      </c>
      <c r="Z54">
        <f t="shared" si="16"/>
        <v>0.3188759759455817</v>
      </c>
      <c r="AA54" t="str">
        <f t="shared" si="17"/>
        <v>Moderate</v>
      </c>
      <c r="AB54">
        <f t="shared" si="2"/>
        <v>0.10704986256821342</v>
      </c>
      <c r="AC54">
        <f t="shared" si="18"/>
        <v>0.26164899060205166</v>
      </c>
      <c r="AD54" t="str">
        <f t="shared" si="19"/>
        <v>Low</v>
      </c>
      <c r="AE54">
        <f t="shared" si="3"/>
        <v>2.5183182662018085E-2</v>
      </c>
      <c r="AF54">
        <f t="shared" si="20"/>
        <v>0.15205161029412217</v>
      </c>
      <c r="AG54" t="s">
        <v>1170</v>
      </c>
    </row>
    <row r="55" spans="1:33" customFormat="1" x14ac:dyDescent="0.3">
      <c r="A55">
        <v>201285</v>
      </c>
      <c r="B55" t="s">
        <v>360</v>
      </c>
      <c r="C55" t="s">
        <v>1153</v>
      </c>
      <c r="D55" t="s">
        <v>606</v>
      </c>
      <c r="E55" s="21">
        <v>6</v>
      </c>
      <c r="F55" s="2">
        <f t="shared" si="4"/>
        <v>0.62222222222222223</v>
      </c>
      <c r="G55" s="26">
        <v>58.320360000000001</v>
      </c>
      <c r="H55">
        <f t="shared" si="5"/>
        <v>0.5978757090503799</v>
      </c>
      <c r="I55" s="12">
        <v>135.30000000000001</v>
      </c>
      <c r="J55" s="2">
        <f t="shared" si="6"/>
        <v>0.56896551724137934</v>
      </c>
      <c r="K55" s="10">
        <v>0</v>
      </c>
      <c r="L55" s="2">
        <f t="shared" si="7"/>
        <v>0</v>
      </c>
      <c r="M55">
        <v>31740</v>
      </c>
      <c r="N55">
        <f t="shared" si="8"/>
        <v>0.14904448955065697</v>
      </c>
      <c r="O55" s="10">
        <v>0.80501187699999999</v>
      </c>
      <c r="P55">
        <f t="shared" si="9"/>
        <v>0.79108475942854861</v>
      </c>
      <c r="Q55" s="23">
        <v>0.28299999999999997</v>
      </c>
      <c r="R55" s="13">
        <f t="shared" si="10"/>
        <v>0.61281940233867471</v>
      </c>
      <c r="S55">
        <f t="shared" si="11"/>
        <v>0.17837450984870221</v>
      </c>
      <c r="T55" s="14">
        <f t="shared" si="12"/>
        <v>0.3183006112106106</v>
      </c>
      <c r="U55" t="str">
        <f t="shared" si="13"/>
        <v>Moderate</v>
      </c>
      <c r="V55">
        <f t="shared" si="14"/>
        <v>0.1557248186804083</v>
      </c>
      <c r="W55">
        <f t="shared" si="0"/>
        <v>0.25190561884863172</v>
      </c>
      <c r="X55" t="s">
        <v>1170</v>
      </c>
      <c r="Y55">
        <f t="shared" si="1"/>
        <v>0.20102420101699608</v>
      </c>
      <c r="Z55">
        <f t="shared" si="16"/>
        <v>0.36594544627933229</v>
      </c>
      <c r="AA55" t="str">
        <f t="shared" si="17"/>
        <v>Moderate</v>
      </c>
      <c r="AB55">
        <f t="shared" si="2"/>
        <v>0.12806684916569641</v>
      </c>
      <c r="AC55">
        <f t="shared" si="18"/>
        <v>0.3130182609289911</v>
      </c>
      <c r="AD55" t="str">
        <f t="shared" si="19"/>
        <v>Moderate</v>
      </c>
      <c r="AE55">
        <f t="shared" si="3"/>
        <v>3.7874006635584781E-2</v>
      </c>
      <c r="AF55">
        <f t="shared" si="20"/>
        <v>0.22867656461534183</v>
      </c>
      <c r="AG55" t="s">
        <v>1169</v>
      </c>
    </row>
    <row r="56" spans="1:33" customFormat="1" x14ac:dyDescent="0.3">
      <c r="A56">
        <v>201290</v>
      </c>
      <c r="B56" t="s">
        <v>378</v>
      </c>
      <c r="C56" t="s">
        <v>1153</v>
      </c>
      <c r="D56" t="s">
        <v>607</v>
      </c>
      <c r="E56" s="21">
        <v>5.8</v>
      </c>
      <c r="F56" s="2">
        <f t="shared" si="4"/>
        <v>0.57777777777777772</v>
      </c>
      <c r="G56" s="26">
        <v>66.187080000000009</v>
      </c>
      <c r="H56">
        <f t="shared" si="5"/>
        <v>0.67852200132122342</v>
      </c>
      <c r="I56" s="12">
        <v>175.8</v>
      </c>
      <c r="J56" s="2">
        <f t="shared" si="6"/>
        <v>0.73927670311185867</v>
      </c>
      <c r="K56" s="10">
        <v>0</v>
      </c>
      <c r="L56" s="2">
        <f t="shared" si="7"/>
        <v>0</v>
      </c>
      <c r="M56">
        <v>31073</v>
      </c>
      <c r="N56">
        <f t="shared" si="8"/>
        <v>0.14588863181502038</v>
      </c>
      <c r="O56" s="10">
        <v>0.67167999700000003</v>
      </c>
      <c r="P56">
        <f t="shared" si="9"/>
        <v>0.64424785271920348</v>
      </c>
      <c r="Q56" s="23">
        <v>0.28899999999999998</v>
      </c>
      <c r="R56" s="13">
        <f t="shared" si="10"/>
        <v>0.62581203984408829</v>
      </c>
      <c r="S56">
        <f t="shared" si="11"/>
        <v>0.18206969287867505</v>
      </c>
      <c r="T56" s="14">
        <f t="shared" si="12"/>
        <v>0.3248944850660907</v>
      </c>
      <c r="U56" t="str">
        <f t="shared" si="13"/>
        <v>Moderate</v>
      </c>
      <c r="V56">
        <f t="shared" si="14"/>
        <v>0.17942682319371356</v>
      </c>
      <c r="W56">
        <f t="shared" si="0"/>
        <v>0.29024676552950046</v>
      </c>
      <c r="X56" t="s">
        <v>1169</v>
      </c>
      <c r="Y56">
        <f t="shared" si="1"/>
        <v>0.1847125625636365</v>
      </c>
      <c r="Z56">
        <f t="shared" si="16"/>
        <v>0.3362516592469087</v>
      </c>
      <c r="AA56" t="str">
        <f t="shared" si="17"/>
        <v>Moderate</v>
      </c>
      <c r="AB56">
        <f t="shared" si="2"/>
        <v>0.13285288291966046</v>
      </c>
      <c r="AC56">
        <f t="shared" si="18"/>
        <v>0.32471618253925089</v>
      </c>
      <c r="AD56" t="str">
        <f t="shared" si="19"/>
        <v>Moderate</v>
      </c>
      <c r="AE56">
        <f t="shared" si="3"/>
        <v>4.1827788665056494E-2</v>
      </c>
      <c r="AF56">
        <f t="shared" si="20"/>
        <v>0.25254880238613991</v>
      </c>
      <c r="AG56" t="s">
        <v>1169</v>
      </c>
    </row>
    <row r="57" spans="1:33" customFormat="1" x14ac:dyDescent="0.3">
      <c r="A57">
        <v>201294</v>
      </c>
      <c r="B57" t="s">
        <v>462</v>
      </c>
      <c r="C57" t="s">
        <v>1153</v>
      </c>
      <c r="D57" t="s">
        <v>608</v>
      </c>
      <c r="E57" s="21">
        <v>5.5</v>
      </c>
      <c r="F57" s="2">
        <f t="shared" si="4"/>
        <v>0.51111111111111107</v>
      </c>
      <c r="G57" s="26">
        <v>65.296080000000003</v>
      </c>
      <c r="H57">
        <f t="shared" si="5"/>
        <v>0.66938784548329833</v>
      </c>
      <c r="I57" s="12">
        <v>171.7</v>
      </c>
      <c r="J57" s="2">
        <f t="shared" si="6"/>
        <v>0.72203532380151381</v>
      </c>
      <c r="K57" s="10">
        <v>0</v>
      </c>
      <c r="L57" s="2">
        <f t="shared" si="7"/>
        <v>0</v>
      </c>
      <c r="M57">
        <v>26913</v>
      </c>
      <c r="N57">
        <f t="shared" si="8"/>
        <v>0.12620592090010552</v>
      </c>
      <c r="O57" s="10">
        <v>0.64343845700000002</v>
      </c>
      <c r="P57">
        <f t="shared" si="9"/>
        <v>0.61314576089909079</v>
      </c>
      <c r="Q57" s="23">
        <v>0.2959</v>
      </c>
      <c r="R57" s="13">
        <f t="shared" si="10"/>
        <v>0.64075357297531399</v>
      </c>
      <c r="S57">
        <f t="shared" si="11"/>
        <v>0.1560541323342699</v>
      </c>
      <c r="T57" s="14">
        <f t="shared" si="12"/>
        <v>0.27847098638741413</v>
      </c>
      <c r="U57" t="str">
        <f t="shared" si="13"/>
        <v>Low</v>
      </c>
      <c r="V57">
        <f t="shared" si="14"/>
        <v>0.15949006458402271</v>
      </c>
      <c r="W57">
        <f t="shared" si="0"/>
        <v>0.2579964051953722</v>
      </c>
      <c r="X57" t="s">
        <v>1170</v>
      </c>
      <c r="Y57">
        <f t="shared" si="1"/>
        <v>0.15261820008451715</v>
      </c>
      <c r="Z57">
        <f t="shared" si="16"/>
        <v>0.27782692361281958</v>
      </c>
      <c r="AA57" t="str">
        <f t="shared" si="17"/>
        <v>Low</v>
      </c>
      <c r="AB57">
        <f t="shared" si="2"/>
        <v>0.11260185954261766</v>
      </c>
      <c r="AC57">
        <f t="shared" si="18"/>
        <v>0.27521906317690292</v>
      </c>
      <c r="AD57" t="str">
        <f t="shared" si="19"/>
        <v>Low</v>
      </c>
      <c r="AE57">
        <f t="shared" si="3"/>
        <v>3.1413934036727369E-2</v>
      </c>
      <c r="AF57">
        <f t="shared" si="20"/>
        <v>0.189671786924765</v>
      </c>
      <c r="AG57" t="s">
        <v>1169</v>
      </c>
    </row>
    <row r="58" spans="1:33" customFormat="1" x14ac:dyDescent="0.3">
      <c r="A58">
        <v>201322</v>
      </c>
      <c r="B58" t="s">
        <v>98</v>
      </c>
      <c r="C58" t="s">
        <v>610</v>
      </c>
      <c r="D58" t="s">
        <v>609</v>
      </c>
      <c r="E58" s="21">
        <v>6</v>
      </c>
      <c r="F58" s="2">
        <f t="shared" si="4"/>
        <v>0.62222222222222223</v>
      </c>
      <c r="G58" s="26">
        <v>64.649160000000009</v>
      </c>
      <c r="H58">
        <f t="shared" si="5"/>
        <v>0.66275589475976249</v>
      </c>
      <c r="I58" s="12">
        <v>118</v>
      </c>
      <c r="J58" s="2">
        <f t="shared" si="6"/>
        <v>0.49621530698065597</v>
      </c>
      <c r="K58" s="10">
        <v>0</v>
      </c>
      <c r="L58" s="2">
        <f t="shared" si="7"/>
        <v>0</v>
      </c>
      <c r="M58">
        <v>31606</v>
      </c>
      <c r="N58">
        <f t="shared" si="8"/>
        <v>0.14841047915099384</v>
      </c>
      <c r="O58" s="10">
        <v>0.85805156400000004</v>
      </c>
      <c r="P58">
        <f t="shared" si="9"/>
        <v>0.84949677290883463</v>
      </c>
      <c r="Q58" s="23">
        <v>0.32750000000000001</v>
      </c>
      <c r="R58" s="13">
        <f t="shared" si="10"/>
        <v>0.70918146383715897</v>
      </c>
      <c r="S58">
        <f t="shared" si="11"/>
        <v>0.19670376948719751</v>
      </c>
      <c r="T58" s="14">
        <f t="shared" si="12"/>
        <v>0.35100828088224489</v>
      </c>
      <c r="U58" t="str">
        <f t="shared" si="13"/>
        <v>Moderate</v>
      </c>
      <c r="V58">
        <f t="shared" si="14"/>
        <v>0.17899610567277191</v>
      </c>
      <c r="W58">
        <f t="shared" si="0"/>
        <v>0.2895500226173483</v>
      </c>
      <c r="X58" t="s">
        <v>1169</v>
      </c>
      <c r="Y58">
        <f t="shared" si="1"/>
        <v>0.21441143330162318</v>
      </c>
      <c r="Z58">
        <f t="shared" si="16"/>
        <v>0.39031562990925628</v>
      </c>
      <c r="AA58" t="str">
        <f t="shared" si="17"/>
        <v>Moderate</v>
      </c>
      <c r="AB58">
        <f t="shared" si="2"/>
        <v>0.14008255379390533</v>
      </c>
      <c r="AC58">
        <f t="shared" si="18"/>
        <v>0.34238678987352789</v>
      </c>
      <c r="AD58" t="str">
        <f t="shared" si="19"/>
        <v>Moderate</v>
      </c>
      <c r="AE58">
        <f t="shared" si="3"/>
        <v>3.7458533765566376E-2</v>
      </c>
      <c r="AF58">
        <f t="shared" si="20"/>
        <v>0.22616801278662088</v>
      </c>
      <c r="AG58" t="s">
        <v>1169</v>
      </c>
    </row>
    <row r="59" spans="1:33" customFormat="1" x14ac:dyDescent="0.3">
      <c r="A59">
        <v>201345</v>
      </c>
      <c r="B59" t="s">
        <v>163</v>
      </c>
      <c r="C59" t="s">
        <v>610</v>
      </c>
      <c r="D59" t="s">
        <v>611</v>
      </c>
      <c r="E59" s="21">
        <v>6</v>
      </c>
      <c r="F59" s="2">
        <f t="shared" si="4"/>
        <v>0.62222222222222223</v>
      </c>
      <c r="G59" s="26">
        <v>63.137520000000002</v>
      </c>
      <c r="H59">
        <f t="shared" si="5"/>
        <v>0.64725919966342016</v>
      </c>
      <c r="I59" s="12">
        <v>139.4</v>
      </c>
      <c r="J59" s="2">
        <f t="shared" si="6"/>
        <v>0.58620689655172409</v>
      </c>
      <c r="K59" s="10">
        <v>0</v>
      </c>
      <c r="L59" s="2">
        <f t="shared" si="7"/>
        <v>0</v>
      </c>
      <c r="M59">
        <v>25019</v>
      </c>
      <c r="N59">
        <f t="shared" si="8"/>
        <v>0.11724460972874765</v>
      </c>
      <c r="O59" s="10">
        <v>0.846689413</v>
      </c>
      <c r="P59">
        <f t="shared" si="9"/>
        <v>0.83698376321899526</v>
      </c>
      <c r="Q59" s="23">
        <v>0.3659</v>
      </c>
      <c r="R59" s="13">
        <f t="shared" si="10"/>
        <v>0.79233434387180601</v>
      </c>
      <c r="S59">
        <f t="shared" si="11"/>
        <v>0.21883494134944667</v>
      </c>
      <c r="T59" s="14">
        <f t="shared" si="12"/>
        <v>0.39050027744910876</v>
      </c>
      <c r="U59" t="str">
        <f t="shared" si="13"/>
        <v>Moderate</v>
      </c>
      <c r="V59">
        <f t="shared" si="14"/>
        <v>0.21283804422935318</v>
      </c>
      <c r="W59">
        <f t="shared" si="0"/>
        <v>0.34429386208605017</v>
      </c>
      <c r="X59" t="str">
        <f t="shared" si="15"/>
        <v>Moderate</v>
      </c>
      <c r="Y59">
        <f t="shared" si="1"/>
        <v>0.22483183846954019</v>
      </c>
      <c r="Z59">
        <f t="shared" si="16"/>
        <v>0.40928498683391057</v>
      </c>
      <c r="AA59" t="str">
        <f t="shared" si="17"/>
        <v>Moderate</v>
      </c>
      <c r="AB59">
        <f t="shared" si="2"/>
        <v>0.15296591526893225</v>
      </c>
      <c r="AC59">
        <f t="shared" si="18"/>
        <v>0.37387602717501595</v>
      </c>
      <c r="AD59" t="str">
        <f t="shared" si="19"/>
        <v>Moderate</v>
      </c>
      <c r="AE59">
        <f t="shared" si="3"/>
        <v>3.1494423565133059E-2</v>
      </c>
      <c r="AF59">
        <f t="shared" si="20"/>
        <v>0.19015776848516394</v>
      </c>
      <c r="AG59" t="s">
        <v>1169</v>
      </c>
    </row>
    <row r="60" spans="1:33" customFormat="1" x14ac:dyDescent="0.3">
      <c r="A60">
        <v>201347</v>
      </c>
      <c r="B60" t="s">
        <v>198</v>
      </c>
      <c r="C60" t="s">
        <v>610</v>
      </c>
      <c r="D60" t="s">
        <v>612</v>
      </c>
      <c r="E60" s="21">
        <v>6</v>
      </c>
      <c r="F60" s="2">
        <f t="shared" si="4"/>
        <v>0.62222222222222223</v>
      </c>
      <c r="G60" s="26">
        <v>76.7196</v>
      </c>
      <c r="H60">
        <f t="shared" si="5"/>
        <v>0.7864969497455353</v>
      </c>
      <c r="I60" s="12">
        <v>139.4</v>
      </c>
      <c r="J60" s="2">
        <f t="shared" si="6"/>
        <v>0.58620689655172409</v>
      </c>
      <c r="K60" s="10">
        <v>0</v>
      </c>
      <c r="L60" s="2">
        <f t="shared" si="7"/>
        <v>0</v>
      </c>
      <c r="M60">
        <v>5413</v>
      </c>
      <c r="N60">
        <f t="shared" si="8"/>
        <v>2.4480371700425354E-2</v>
      </c>
      <c r="O60" s="10">
        <v>0.769642139</v>
      </c>
      <c r="P60">
        <f t="shared" si="9"/>
        <v>0.75213246295571723</v>
      </c>
      <c r="Q60" s="23">
        <v>0.28320000000000001</v>
      </c>
      <c r="R60" s="13">
        <f t="shared" si="10"/>
        <v>0.61325249025552186</v>
      </c>
      <c r="S60">
        <f t="shared" si="11"/>
        <v>0.20408708815672019</v>
      </c>
      <c r="T60" s="14">
        <f t="shared" si="12"/>
        <v>0.36418345286878689</v>
      </c>
      <c r="U60" t="str">
        <f t="shared" si="13"/>
        <v>Moderate</v>
      </c>
      <c r="V60">
        <f t="shared" si="14"/>
        <v>0.18332839357391664</v>
      </c>
      <c r="W60">
        <f t="shared" si="0"/>
        <v>0.29655807485986219</v>
      </c>
      <c r="X60" t="s">
        <v>1169</v>
      </c>
      <c r="Y60">
        <f t="shared" si="1"/>
        <v>0.2248457827395238</v>
      </c>
      <c r="Z60">
        <f t="shared" si="16"/>
        <v>0.40931037105171308</v>
      </c>
      <c r="AA60" t="str">
        <f t="shared" si="17"/>
        <v>Moderate</v>
      </c>
      <c r="AB60">
        <f t="shared" si="2"/>
        <v>0.13418006702482627</v>
      </c>
      <c r="AC60">
        <f t="shared" si="18"/>
        <v>0.32796005761885166</v>
      </c>
      <c r="AD60" t="str">
        <f t="shared" si="19"/>
        <v>Moderate</v>
      </c>
      <c r="AE60">
        <f t="shared" si="3"/>
        <v>7.3182698631380563E-3</v>
      </c>
      <c r="AF60">
        <f t="shared" si="20"/>
        <v>4.4186421239574752E-2</v>
      </c>
      <c r="AG60" t="s">
        <v>1170</v>
      </c>
    </row>
    <row r="61" spans="1:33" customFormat="1" x14ac:dyDescent="0.3">
      <c r="A61">
        <v>201349</v>
      </c>
      <c r="B61" t="s">
        <v>199</v>
      </c>
      <c r="C61" t="s">
        <v>610</v>
      </c>
      <c r="D61" t="s">
        <v>613</v>
      </c>
      <c r="E61" s="21">
        <v>4.5999999999999996</v>
      </c>
      <c r="F61" s="2">
        <f t="shared" si="4"/>
        <v>0.31111111111111101</v>
      </c>
      <c r="G61" s="26">
        <v>58.986720000000005</v>
      </c>
      <c r="H61">
        <f t="shared" si="5"/>
        <v>0.60470695044674327</v>
      </c>
      <c r="I61" s="12">
        <v>108.89999999999999</v>
      </c>
      <c r="J61" s="2">
        <f t="shared" si="6"/>
        <v>0.45794785534062232</v>
      </c>
      <c r="K61" s="10">
        <v>0</v>
      </c>
      <c r="L61" s="2">
        <f t="shared" si="7"/>
        <v>0</v>
      </c>
      <c r="M61">
        <v>29282</v>
      </c>
      <c r="N61">
        <f t="shared" si="8"/>
        <v>0.13741465699564237</v>
      </c>
      <c r="O61" s="10">
        <v>0.92798871100000002</v>
      </c>
      <c r="P61">
        <f t="shared" si="9"/>
        <v>0.92651776990937762</v>
      </c>
      <c r="Q61" s="23">
        <v>0.28999999999999998</v>
      </c>
      <c r="R61" s="13">
        <f t="shared" si="10"/>
        <v>0.62797747942832394</v>
      </c>
      <c r="S61">
        <f t="shared" si="11"/>
        <v>8.9936333907593896E-2</v>
      </c>
      <c r="T61" s="14">
        <f t="shared" si="12"/>
        <v>0.16048700050870512</v>
      </c>
      <c r="U61" t="str">
        <f t="shared" si="13"/>
        <v>Low</v>
      </c>
      <c r="V61">
        <f t="shared" si="14"/>
        <v>7.2664091190214414E-2</v>
      </c>
      <c r="W61">
        <f t="shared" si="0"/>
        <v>0.11754383799868412</v>
      </c>
      <c r="X61" t="s">
        <v>1170</v>
      </c>
      <c r="Y61">
        <f t="shared" si="1"/>
        <v>0.10720857662497338</v>
      </c>
      <c r="Z61">
        <f t="shared" si="16"/>
        <v>0.19516302126568766</v>
      </c>
      <c r="AA61" t="str">
        <f t="shared" si="17"/>
        <v>Low</v>
      </c>
      <c r="AB61">
        <f t="shared" si="2"/>
        <v>6.3160154965758206E-2</v>
      </c>
      <c r="AC61">
        <f t="shared" si="18"/>
        <v>0.15437470349417187</v>
      </c>
      <c r="AD61" t="str">
        <f t="shared" si="19"/>
        <v>Low</v>
      </c>
      <c r="AE61">
        <f t="shared" si="3"/>
        <v>1.5900428747688988E-2</v>
      </c>
      <c r="AF61">
        <f t="shared" si="20"/>
        <v>9.6003981224322299E-2</v>
      </c>
      <c r="AG61" t="s">
        <v>1170</v>
      </c>
    </row>
    <row r="62" spans="1:33" customFormat="1" x14ac:dyDescent="0.3">
      <c r="A62">
        <v>201358</v>
      </c>
      <c r="B62" t="s">
        <v>232</v>
      </c>
      <c r="C62" t="s">
        <v>833</v>
      </c>
      <c r="D62" t="s">
        <v>1127</v>
      </c>
      <c r="E62" s="21">
        <v>5.6</v>
      </c>
      <c r="F62" s="2">
        <f t="shared" si="4"/>
        <v>0.53333333333333321</v>
      </c>
      <c r="G62" s="26">
        <v>54.392760000000003</v>
      </c>
      <c r="H62">
        <f t="shared" si="5"/>
        <v>0.55761161200320342</v>
      </c>
      <c r="I62" s="12">
        <v>99.2</v>
      </c>
      <c r="J62" s="2">
        <f t="shared" si="6"/>
        <v>0.41715727502102606</v>
      </c>
      <c r="K62" s="10">
        <v>0</v>
      </c>
      <c r="L62" s="2">
        <f t="shared" si="7"/>
        <v>0</v>
      </c>
      <c r="M62">
        <v>41920</v>
      </c>
      <c r="N62">
        <f t="shared" si="8"/>
        <v>0.19721035424148226</v>
      </c>
      <c r="O62" s="10">
        <v>0.96081656400000004</v>
      </c>
      <c r="P62">
        <f t="shared" si="9"/>
        <v>0.96267071688971795</v>
      </c>
      <c r="Q62" s="23">
        <v>0.3014</v>
      </c>
      <c r="R62" s="13">
        <f t="shared" si="10"/>
        <v>0.65266349068860985</v>
      </c>
      <c r="S62">
        <f t="shared" si="11"/>
        <v>0.14696056925137388</v>
      </c>
      <c r="T62" s="14">
        <f t="shared" si="12"/>
        <v>0.26224396667577954</v>
      </c>
      <c r="U62" t="str">
        <f t="shared" si="13"/>
        <v>Low</v>
      </c>
      <c r="V62">
        <f t="shared" si="14"/>
        <v>0.11875659869171179</v>
      </c>
      <c r="W62">
        <f t="shared" si="0"/>
        <v>0.19210460310240787</v>
      </c>
      <c r="X62" t="s">
        <v>1170</v>
      </c>
      <c r="Y62">
        <f t="shared" si="1"/>
        <v>0.17516453981103602</v>
      </c>
      <c r="Z62">
        <f t="shared" si="16"/>
        <v>0.31887039157063429</v>
      </c>
      <c r="AA62" t="str">
        <f t="shared" si="17"/>
        <v>Moderate</v>
      </c>
      <c r="AB62">
        <f t="shared" si="2"/>
        <v>0.10667349329630001</v>
      </c>
      <c r="AC62">
        <f t="shared" si="18"/>
        <v>0.26072907685599689</v>
      </c>
      <c r="AD62" t="str">
        <f t="shared" si="19"/>
        <v>Low</v>
      </c>
      <c r="AE62">
        <f t="shared" si="3"/>
        <v>3.5883776602543084E-2</v>
      </c>
      <c r="AF62">
        <f t="shared" si="20"/>
        <v>0.21665990709269559</v>
      </c>
      <c r="AG62" t="s">
        <v>1169</v>
      </c>
    </row>
    <row r="63" spans="1:33" customFormat="1" x14ac:dyDescent="0.3">
      <c r="A63">
        <v>201376</v>
      </c>
      <c r="B63" t="s">
        <v>330</v>
      </c>
      <c r="C63" t="s">
        <v>610</v>
      </c>
      <c r="D63" t="s">
        <v>614</v>
      </c>
      <c r="E63" s="21">
        <v>6</v>
      </c>
      <c r="F63" s="2">
        <f t="shared" si="4"/>
        <v>0.62222222222222223</v>
      </c>
      <c r="G63" s="26">
        <v>58.986720000000005</v>
      </c>
      <c r="H63">
        <f t="shared" si="5"/>
        <v>0.60470695044674327</v>
      </c>
      <c r="I63" s="12">
        <v>100</v>
      </c>
      <c r="J63" s="2">
        <f t="shared" si="6"/>
        <v>0.42052144659377627</v>
      </c>
      <c r="K63" s="10">
        <v>0</v>
      </c>
      <c r="L63" s="2">
        <f t="shared" si="7"/>
        <v>0</v>
      </c>
      <c r="M63">
        <v>14716</v>
      </c>
      <c r="N63">
        <f t="shared" si="8"/>
        <v>6.8496780268082313E-2</v>
      </c>
      <c r="O63" s="10">
        <v>0.86178397799999995</v>
      </c>
      <c r="P63">
        <f t="shared" si="9"/>
        <v>0.85360723866030108</v>
      </c>
      <c r="Q63" s="23">
        <v>0.28999999999999998</v>
      </c>
      <c r="R63" s="13">
        <f t="shared" si="10"/>
        <v>0.62797747942832394</v>
      </c>
      <c r="S63">
        <f t="shared" si="11"/>
        <v>0.16539816345484626</v>
      </c>
      <c r="T63" s="14">
        <f t="shared" si="12"/>
        <v>0.29514495409374814</v>
      </c>
      <c r="U63" t="str">
        <f t="shared" si="13"/>
        <v>Low</v>
      </c>
      <c r="V63">
        <f t="shared" si="14"/>
        <v>0.14020976393769097</v>
      </c>
      <c r="W63">
        <f t="shared" si="0"/>
        <v>0.22680795298166667</v>
      </c>
      <c r="X63" t="s">
        <v>1170</v>
      </c>
      <c r="Y63">
        <f t="shared" si="1"/>
        <v>0.19058656297200155</v>
      </c>
      <c r="Z63">
        <f t="shared" si="16"/>
        <v>0.34694471854031383</v>
      </c>
      <c r="AA63" t="str">
        <f t="shared" si="17"/>
        <v>Moderate</v>
      </c>
      <c r="AB63">
        <f t="shared" si="2"/>
        <v>0.11160207995272167</v>
      </c>
      <c r="AC63">
        <f t="shared" si="18"/>
        <v>0.27277542322963882</v>
      </c>
      <c r="AD63" t="str">
        <f t="shared" si="19"/>
        <v>Low</v>
      </c>
      <c r="AE63">
        <f t="shared" si="3"/>
        <v>1.5293410522655345E-2</v>
      </c>
      <c r="AF63">
        <f t="shared" si="20"/>
        <v>9.2338912363369649E-2</v>
      </c>
      <c r="AG63" t="s">
        <v>1170</v>
      </c>
    </row>
    <row r="64" spans="1:33" customFormat="1" x14ac:dyDescent="0.3">
      <c r="A64">
        <v>201379</v>
      </c>
      <c r="B64" t="s">
        <v>331</v>
      </c>
      <c r="C64" t="s">
        <v>610</v>
      </c>
      <c r="D64" t="s">
        <v>1128</v>
      </c>
      <c r="E64" s="21">
        <v>5.3</v>
      </c>
      <c r="F64" s="2">
        <f t="shared" si="4"/>
        <v>0.46666666666666656</v>
      </c>
      <c r="G64" s="26">
        <v>62.062559999999998</v>
      </c>
      <c r="H64">
        <f t="shared" si="5"/>
        <v>0.63623916356966492</v>
      </c>
      <c r="I64" s="12">
        <v>113.9</v>
      </c>
      <c r="J64" s="2">
        <f t="shared" si="6"/>
        <v>0.47897392767031116</v>
      </c>
      <c r="K64" s="10">
        <v>0</v>
      </c>
      <c r="L64" s="2">
        <f t="shared" si="7"/>
        <v>0</v>
      </c>
      <c r="M64">
        <v>26290</v>
      </c>
      <c r="N64">
        <f t="shared" si="8"/>
        <v>0.12325824568376129</v>
      </c>
      <c r="O64" s="10">
        <v>0.66952665899999997</v>
      </c>
      <c r="P64">
        <f t="shared" si="9"/>
        <v>0.64187640568778304</v>
      </c>
      <c r="Q64" s="23">
        <v>0.30840000000000001</v>
      </c>
      <c r="R64" s="13">
        <f t="shared" si="10"/>
        <v>0.66782156777825907</v>
      </c>
      <c r="S64">
        <f t="shared" si="11"/>
        <v>0.11928170658901673</v>
      </c>
      <c r="T64" s="14">
        <f t="shared" si="12"/>
        <v>0.21285238650821151</v>
      </c>
      <c r="U64" t="str">
        <f t="shared" si="13"/>
        <v>Low</v>
      </c>
      <c r="V64">
        <f t="shared" si="14"/>
        <v>0.12164468131645748</v>
      </c>
      <c r="W64">
        <f t="shared" si="0"/>
        <v>0.19677646110832811</v>
      </c>
      <c r="X64" t="s">
        <v>1170</v>
      </c>
      <c r="Y64">
        <f t="shared" si="1"/>
        <v>0.11691873186157596</v>
      </c>
      <c r="Z64">
        <f t="shared" si="16"/>
        <v>0.2128394357149096</v>
      </c>
      <c r="AA64" t="str">
        <f t="shared" si="17"/>
        <v>Low</v>
      </c>
      <c r="AB64">
        <f t="shared" si="2"/>
        <v>8.5509342811250014E-2</v>
      </c>
      <c r="AC64">
        <f t="shared" si="18"/>
        <v>0.20900011169422805</v>
      </c>
      <c r="AD64" t="str">
        <f t="shared" si="19"/>
        <v>Low</v>
      </c>
      <c r="AE64">
        <f t="shared" si="3"/>
        <v>2.2451670834334626E-2</v>
      </c>
      <c r="AF64">
        <f t="shared" si="20"/>
        <v>0.13555922418427899</v>
      </c>
      <c r="AG64" t="s">
        <v>1170</v>
      </c>
    </row>
    <row r="65" spans="1:33" customFormat="1" x14ac:dyDescent="0.3">
      <c r="A65">
        <v>201395</v>
      </c>
      <c r="B65" t="s">
        <v>476</v>
      </c>
      <c r="C65" t="s">
        <v>610</v>
      </c>
      <c r="D65" t="s">
        <v>615</v>
      </c>
      <c r="E65" s="21">
        <v>6</v>
      </c>
      <c r="F65" s="2">
        <f t="shared" si="4"/>
        <v>0.62222222222222223</v>
      </c>
      <c r="G65" s="26">
        <v>56.13588</v>
      </c>
      <c r="H65">
        <f t="shared" si="5"/>
        <v>0.57548134233339854</v>
      </c>
      <c r="I65" s="12">
        <v>108.89999999999999</v>
      </c>
      <c r="J65" s="2">
        <f t="shared" si="6"/>
        <v>0.45794785534062232</v>
      </c>
      <c r="K65" s="10">
        <v>0</v>
      </c>
      <c r="L65" s="2">
        <f t="shared" si="7"/>
        <v>0</v>
      </c>
      <c r="M65">
        <v>14024</v>
      </c>
      <c r="N65">
        <f t="shared" si="8"/>
        <v>6.5222637010120516E-2</v>
      </c>
      <c r="O65" s="10">
        <v>0.96913159999999998</v>
      </c>
      <c r="P65">
        <f t="shared" si="9"/>
        <v>0.97182797294443524</v>
      </c>
      <c r="Q65" s="23">
        <v>0.29509999999999997</v>
      </c>
      <c r="R65" s="13">
        <f t="shared" si="10"/>
        <v>0.63902122130792549</v>
      </c>
      <c r="S65">
        <f t="shared" si="11"/>
        <v>0.1812671798424732</v>
      </c>
      <c r="T65" s="14">
        <f t="shared" si="12"/>
        <v>0.32346243970185001</v>
      </c>
      <c r="U65" t="str">
        <f t="shared" si="13"/>
        <v>Moderate</v>
      </c>
      <c r="V65">
        <f t="shared" si="14"/>
        <v>0.1438167831716142</v>
      </c>
      <c r="W65">
        <f t="shared" si="0"/>
        <v>0.2326427866325898</v>
      </c>
      <c r="X65" t="s">
        <v>1170</v>
      </c>
      <c r="Y65">
        <f t="shared" si="1"/>
        <v>0.21871757651333221</v>
      </c>
      <c r="Z65">
        <f t="shared" si="16"/>
        <v>0.39815455423468288</v>
      </c>
      <c r="AA65" t="str">
        <f t="shared" si="17"/>
        <v>Moderate</v>
      </c>
      <c r="AB65">
        <f t="shared" si="2"/>
        <v>0.12108875178859675</v>
      </c>
      <c r="AC65">
        <f t="shared" si="18"/>
        <v>0.2959625441701067</v>
      </c>
      <c r="AD65" t="str">
        <f t="shared" si="19"/>
        <v>Low</v>
      </c>
      <c r="AE65">
        <f t="shared" si="3"/>
        <v>1.4678870641520375E-2</v>
      </c>
      <c r="AF65">
        <f t="shared" si="20"/>
        <v>8.8628429070983339E-2</v>
      </c>
      <c r="AG65" t="s">
        <v>1170</v>
      </c>
    </row>
    <row r="66" spans="1:33" customFormat="1" x14ac:dyDescent="0.3">
      <c r="A66">
        <v>201504</v>
      </c>
      <c r="B66" t="s">
        <v>11</v>
      </c>
      <c r="C66" t="s">
        <v>1154</v>
      </c>
      <c r="D66" t="s">
        <v>616</v>
      </c>
      <c r="E66" s="21">
        <v>5.2</v>
      </c>
      <c r="F66" s="2">
        <f t="shared" si="4"/>
        <v>0.44444444444444442</v>
      </c>
      <c r="G66" s="26">
        <v>77.914439999999999</v>
      </c>
      <c r="H66">
        <f t="shared" si="5"/>
        <v>0.79874594498839313</v>
      </c>
      <c r="I66" s="12">
        <v>39.5</v>
      </c>
      <c r="J66" s="2">
        <f t="shared" si="6"/>
        <v>0.16610597140454161</v>
      </c>
      <c r="K66" s="10">
        <v>0</v>
      </c>
      <c r="L66" s="2">
        <f t="shared" si="7"/>
        <v>0</v>
      </c>
      <c r="M66">
        <v>33279</v>
      </c>
      <c r="N66">
        <f t="shared" si="8"/>
        <v>0.15632614630499686</v>
      </c>
      <c r="O66" s="10">
        <v>0.81444864400000005</v>
      </c>
      <c r="P66">
        <f t="shared" si="9"/>
        <v>0.80147736527507862</v>
      </c>
      <c r="Q66" s="23">
        <v>0.3594</v>
      </c>
      <c r="R66" s="13">
        <f t="shared" si="10"/>
        <v>0.77825898657427461</v>
      </c>
      <c r="S66">
        <f t="shared" si="11"/>
        <v>0.11854979472602246</v>
      </c>
      <c r="T66" s="14">
        <f t="shared" ref="T66:T129" si="23">(S66-$AJ$10)/$AK$10</f>
        <v>0.21154632549343436</v>
      </c>
      <c r="U66" t="str">
        <f t="shared" si="13"/>
        <v>Low</v>
      </c>
      <c r="V66">
        <f t="shared" si="14"/>
        <v>0.11680739383385519</v>
      </c>
      <c r="W66">
        <f t="shared" ref="W66:W129" si="24">(V66-$AJ$13)/$AK$13</f>
        <v>0.18895150483495168</v>
      </c>
      <c r="X66" t="s">
        <v>1170</v>
      </c>
      <c r="Y66">
        <f t="shared" ref="Y66:Y129" si="25">F66*(P66*1)*(H66*0.35+J66*0.35+L66*0.3)</f>
        <v>0.12029219561818973</v>
      </c>
      <c r="Z66">
        <f t="shared" si="16"/>
        <v>0.21898050576356909</v>
      </c>
      <c r="AA66" t="str">
        <f t="shared" si="17"/>
        <v>Low</v>
      </c>
      <c r="AB66">
        <f t="shared" ref="AB66:AB129" si="26">F66*(R66*0.35+P66*0.3+N66*0.35)*(H66*0.35+J66*0.35+L66*0.3)</f>
        <v>8.5182188205517595E-2</v>
      </c>
      <c r="AC66">
        <f t="shared" si="18"/>
        <v>0.2082004873854518</v>
      </c>
      <c r="AD66" t="str">
        <f t="shared" si="19"/>
        <v>Low</v>
      </c>
      <c r="AE66">
        <f t="shared" ref="AE66:AE129" si="27">F66*(N66*1)*(H66*0.35+J66*0.35+L66*0.3)</f>
        <v>2.3462690509175321E-2</v>
      </c>
      <c r="AF66">
        <f t="shared" si="20"/>
        <v>0.1416635824642363</v>
      </c>
      <c r="AG66" t="s">
        <v>1170</v>
      </c>
    </row>
    <row r="67" spans="1:33" customFormat="1" x14ac:dyDescent="0.3">
      <c r="A67">
        <v>201506</v>
      </c>
      <c r="B67" t="s">
        <v>56</v>
      </c>
      <c r="C67" t="s">
        <v>1154</v>
      </c>
      <c r="D67" t="s">
        <v>617</v>
      </c>
      <c r="E67" s="21">
        <v>5.3</v>
      </c>
      <c r="F67" s="2">
        <f t="shared" ref="F67:F130" si="28">(E67-$AJ$5)/$AK$5</f>
        <v>0.46666666666666656</v>
      </c>
      <c r="G67" s="26">
        <v>64.119240000000005</v>
      </c>
      <c r="H67">
        <f t="shared" ref="H67:H130" si="29">(G67-$AJ$6)/$AK$6</f>
        <v>0.65732337864120671</v>
      </c>
      <c r="I67" s="12">
        <v>41.5</v>
      </c>
      <c r="J67" s="2">
        <f t="shared" ref="J67:J130" si="30">(I67-$AJ$7)/$AK$7</f>
        <v>0.17451640033641716</v>
      </c>
      <c r="K67" s="10">
        <v>0</v>
      </c>
      <c r="L67" s="2">
        <f t="shared" ref="L67:L130" si="31">(K67-$AJ$8)/$AK$8</f>
        <v>0</v>
      </c>
      <c r="M67">
        <v>20965</v>
      </c>
      <c r="N67">
        <f t="shared" ref="N67:N130" si="32">(M67-$AJ$9)/$AK$9</f>
        <v>9.8063429428491666E-2</v>
      </c>
      <c r="O67" s="10">
        <v>0.88726144200000001</v>
      </c>
      <c r="P67">
        <f t="shared" ref="P67:P130" si="33">(O67-$AJ$11)/$AK$11</f>
        <v>0.8816652845271914</v>
      </c>
      <c r="Q67" s="23">
        <v>0.36270000000000002</v>
      </c>
      <c r="R67" s="13">
        <f t="shared" ref="R67:R130" si="34">(Q67-$AJ$12)/$AK$12</f>
        <v>0.78540493720225213</v>
      </c>
      <c r="S67">
        <f t="shared" ref="S67:S130" si="35">F67*(R67*0.5+P67*0.5)*(H67*0.35+J67*0.35+L67*0.3)</f>
        <v>0.11325005152399388</v>
      </c>
      <c r="T67" s="14">
        <f t="shared" si="23"/>
        <v>0.20208919228591599</v>
      </c>
      <c r="U67" t="str">
        <f t="shared" ref="U67:U130" si="36">IF(T67&gt;0.7,"High",IF(T67&gt;0.3,"Moderate",IF(T67&gt;0.15,"Low","No Impact")))</f>
        <v>Low</v>
      </c>
      <c r="V67">
        <f t="shared" ref="V67:V130" si="37">F67*(R67*1)*(H67*0.35+J67*0.35+L67*0.3)</f>
        <v>0.10671074133047512</v>
      </c>
      <c r="W67">
        <f t="shared" si="24"/>
        <v>0.17261882569802275</v>
      </c>
      <c r="X67" t="s">
        <v>1170</v>
      </c>
      <c r="Y67">
        <f t="shared" si="25"/>
        <v>0.11978936171751263</v>
      </c>
      <c r="Z67">
        <f t="shared" ref="Z67:Z130" si="38">(Y67-$AJ$14)/$AK$14</f>
        <v>0.21806514445255906</v>
      </c>
      <c r="AA67" t="str">
        <f t="shared" ref="AA67:AA130" si="39">IF(Z67&gt;0.7,"High",IF(Z67&gt;0.3,"Moderate",IF(Z67&gt;0.15,"Low","No Impact")))</f>
        <v>Low</v>
      </c>
      <c r="AB67">
        <f t="shared" si="26"/>
        <v>7.7948827994473988E-2</v>
      </c>
      <c r="AC67">
        <f t="shared" ref="AC67:AC130" si="40">(AB67-$AJ$15)/$AK$15</f>
        <v>0.19052086265286874</v>
      </c>
      <c r="AD67" t="str">
        <f t="shared" ref="AD67:AD130" si="41">IF(AC67&gt;0.7,"High",IF(AC67&gt;0.3,"Moderate",IF(AC67&gt;0.15,"Low","No Impact")))</f>
        <v>Low</v>
      </c>
      <c r="AE67">
        <f t="shared" si="27"/>
        <v>1.3323600038725437E-2</v>
      </c>
      <c r="AF67">
        <f t="shared" ref="AF67:AF130" si="42">(AE67-$AJ$16)/$AK$16</f>
        <v>8.0445544472760672E-2</v>
      </c>
      <c r="AG67" t="s">
        <v>1170</v>
      </c>
    </row>
    <row r="68" spans="1:33" customFormat="1" x14ac:dyDescent="0.3">
      <c r="A68">
        <v>201508</v>
      </c>
      <c r="B68" t="s">
        <v>45</v>
      </c>
      <c r="C68" t="s">
        <v>1154</v>
      </c>
      <c r="D68" t="s">
        <v>618</v>
      </c>
      <c r="E68" s="21">
        <v>5.7</v>
      </c>
      <c r="F68" s="2">
        <f t="shared" si="28"/>
        <v>0.55555555555555558</v>
      </c>
      <c r="G68" s="26">
        <v>77.914439999999999</v>
      </c>
      <c r="H68">
        <f t="shared" si="29"/>
        <v>0.79874594498839313</v>
      </c>
      <c r="I68" s="12">
        <v>45.1</v>
      </c>
      <c r="J68" s="2">
        <f t="shared" si="30"/>
        <v>0.18965517241379309</v>
      </c>
      <c r="K68" s="10">
        <v>0</v>
      </c>
      <c r="L68" s="2">
        <f t="shared" si="31"/>
        <v>0</v>
      </c>
      <c r="M68">
        <v>56891</v>
      </c>
      <c r="N68">
        <f t="shared" si="32"/>
        <v>0.26804445643071073</v>
      </c>
      <c r="O68" s="10">
        <v>0.84354453600000001</v>
      </c>
      <c r="P68">
        <f t="shared" si="33"/>
        <v>0.83352034538778064</v>
      </c>
      <c r="Q68" s="23">
        <v>0.36940000000000001</v>
      </c>
      <c r="R68" s="13">
        <f t="shared" si="34"/>
        <v>0.79991338241663057</v>
      </c>
      <c r="S68">
        <f t="shared" si="35"/>
        <v>0.1569640840604179</v>
      </c>
      <c r="T68" s="14">
        <f t="shared" si="23"/>
        <v>0.28009475085269969</v>
      </c>
      <c r="U68" t="str">
        <f t="shared" si="36"/>
        <v>Low</v>
      </c>
      <c r="V68">
        <f t="shared" si="37"/>
        <v>0.15373463797330331</v>
      </c>
      <c r="W68">
        <f t="shared" si="24"/>
        <v>0.24868623669174653</v>
      </c>
      <c r="X68" t="s">
        <v>1170</v>
      </c>
      <c r="Y68">
        <f t="shared" si="25"/>
        <v>0.16019353014753249</v>
      </c>
      <c r="Z68">
        <f t="shared" si="38"/>
        <v>0.29161709179455514</v>
      </c>
      <c r="AA68" t="str">
        <f t="shared" si="39"/>
        <v>Low</v>
      </c>
      <c r="AB68">
        <f t="shared" si="26"/>
        <v>0.11989551090745647</v>
      </c>
      <c r="AC68">
        <f t="shared" si="40"/>
        <v>0.29304605026151792</v>
      </c>
      <c r="AD68" t="str">
        <f t="shared" si="41"/>
        <v>Low</v>
      </c>
      <c r="AE68">
        <f t="shared" si="27"/>
        <v>5.1515224492973126E-2</v>
      </c>
      <c r="AF68">
        <f t="shared" si="42"/>
        <v>0.31103982939510089</v>
      </c>
      <c r="AG68" t="str">
        <f t="shared" ref="AG68:AG130" si="43">IF(AF68&gt;0.7,"High",IF(AF68&gt;0.3,"Moderate",IF(AF68&gt;0.15,"Low","No Impact")))</f>
        <v>Moderate</v>
      </c>
    </row>
    <row r="69" spans="1:33" customFormat="1" x14ac:dyDescent="0.3">
      <c r="A69">
        <v>201510</v>
      </c>
      <c r="B69" t="s">
        <v>32</v>
      </c>
      <c r="C69" t="s">
        <v>1154</v>
      </c>
      <c r="D69" t="s">
        <v>619</v>
      </c>
      <c r="E69" s="21">
        <v>5.6</v>
      </c>
      <c r="F69" s="2">
        <f t="shared" si="28"/>
        <v>0.53333333333333321</v>
      </c>
      <c r="G69" s="26">
        <v>68.877359999999996</v>
      </c>
      <c r="H69">
        <f t="shared" si="29"/>
        <v>0.70610161609973376</v>
      </c>
      <c r="I69" s="12">
        <v>39.5</v>
      </c>
      <c r="J69" s="2">
        <f t="shared" si="30"/>
        <v>0.16610597140454161</v>
      </c>
      <c r="K69" s="10">
        <v>0</v>
      </c>
      <c r="L69" s="2">
        <f t="shared" si="31"/>
        <v>0</v>
      </c>
      <c r="M69">
        <v>9263</v>
      </c>
      <c r="N69">
        <f t="shared" si="32"/>
        <v>4.2696342138507613E-2</v>
      </c>
      <c r="O69" s="10">
        <v>0.68256633</v>
      </c>
      <c r="P69">
        <f t="shared" si="33"/>
        <v>0.65623684937272597</v>
      </c>
      <c r="Q69" s="23">
        <v>0.18</v>
      </c>
      <c r="R69" s="13">
        <f t="shared" si="34"/>
        <v>0.38977912516240798</v>
      </c>
      <c r="S69">
        <f t="shared" si="35"/>
        <v>8.5152019833087428E-2</v>
      </c>
      <c r="T69" s="14">
        <f t="shared" si="23"/>
        <v>0.15194962543515556</v>
      </c>
      <c r="U69" t="str">
        <f t="shared" si="36"/>
        <v>Low</v>
      </c>
      <c r="V69">
        <f t="shared" si="37"/>
        <v>6.3460751277920405E-2</v>
      </c>
      <c r="W69">
        <f t="shared" si="24"/>
        <v>0.10265621086431771</v>
      </c>
      <c r="X69" t="s">
        <v>1170</v>
      </c>
      <c r="Y69">
        <f t="shared" si="25"/>
        <v>0.10684328838825445</v>
      </c>
      <c r="Z69">
        <f t="shared" si="38"/>
        <v>0.19449804875924104</v>
      </c>
      <c r="AA69" t="str">
        <f t="shared" si="39"/>
        <v>Low</v>
      </c>
      <c r="AB69">
        <f t="shared" si="26"/>
        <v>5.669726760377828E-2</v>
      </c>
      <c r="AC69">
        <f t="shared" si="40"/>
        <v>0.13857825206426672</v>
      </c>
      <c r="AD69" t="str">
        <f t="shared" si="41"/>
        <v>No Impact</v>
      </c>
      <c r="AE69">
        <f t="shared" si="27"/>
        <v>6.9514804000851719E-3</v>
      </c>
      <c r="AF69">
        <f t="shared" si="42"/>
        <v>4.1971811226034939E-2</v>
      </c>
      <c r="AG69" t="s">
        <v>1170</v>
      </c>
    </row>
    <row r="70" spans="1:33" customFormat="1" x14ac:dyDescent="0.3">
      <c r="A70">
        <v>201512</v>
      </c>
      <c r="B70" t="s">
        <v>83</v>
      </c>
      <c r="C70" t="s">
        <v>1154</v>
      </c>
      <c r="D70" t="s">
        <v>620</v>
      </c>
      <c r="E70" s="21">
        <v>5.8</v>
      </c>
      <c r="F70" s="2">
        <f t="shared" si="28"/>
        <v>0.57777777777777772</v>
      </c>
      <c r="G70" s="26">
        <v>68.877359999999996</v>
      </c>
      <c r="H70">
        <f t="shared" si="29"/>
        <v>0.70610161609973376</v>
      </c>
      <c r="I70" s="12">
        <v>39.5</v>
      </c>
      <c r="J70" s="2">
        <f t="shared" si="30"/>
        <v>0.16610597140454161</v>
      </c>
      <c r="K70" s="10">
        <v>0</v>
      </c>
      <c r="L70" s="2">
        <f t="shared" si="31"/>
        <v>0</v>
      </c>
      <c r="M70">
        <v>21163</v>
      </c>
      <c r="N70">
        <f t="shared" si="32"/>
        <v>9.9000250765307329E-2</v>
      </c>
      <c r="O70" s="10">
        <v>0.73354032800000002</v>
      </c>
      <c r="P70">
        <f t="shared" si="33"/>
        <v>0.71237394268400567</v>
      </c>
      <c r="Q70" s="23">
        <v>0.3957</v>
      </c>
      <c r="R70" s="13">
        <f t="shared" si="34"/>
        <v>0.85686444348202684</v>
      </c>
      <c r="S70">
        <f t="shared" si="35"/>
        <v>0.13839094228727217</v>
      </c>
      <c r="T70" s="14">
        <f t="shared" si="23"/>
        <v>0.24695188540904384</v>
      </c>
      <c r="U70" t="str">
        <f t="shared" si="36"/>
        <v>Low</v>
      </c>
      <c r="V70">
        <f t="shared" si="37"/>
        <v>0.15113354196701406</v>
      </c>
      <c r="W70">
        <f t="shared" si="24"/>
        <v>0.24447861773478555</v>
      </c>
      <c r="X70" t="s">
        <v>1170</v>
      </c>
      <c r="Y70">
        <f t="shared" si="25"/>
        <v>0.12564834260753024</v>
      </c>
      <c r="Z70">
        <f t="shared" si="38"/>
        <v>0.22873086214074079</v>
      </c>
      <c r="AA70" t="str">
        <f t="shared" si="39"/>
        <v>Low</v>
      </c>
      <c r="AB70">
        <f t="shared" si="26"/>
        <v>9.6702816516829812E-2</v>
      </c>
      <c r="AC70">
        <f t="shared" si="40"/>
        <v>0.23635896135673293</v>
      </c>
      <c r="AD70" t="str">
        <f t="shared" si="41"/>
        <v>Low</v>
      </c>
      <c r="AE70">
        <f t="shared" si="27"/>
        <v>1.7461640131759458E-2</v>
      </c>
      <c r="AF70">
        <f t="shared" si="42"/>
        <v>0.10543029989672187</v>
      </c>
      <c r="AG70" t="s">
        <v>1170</v>
      </c>
    </row>
    <row r="71" spans="1:33" customFormat="1" x14ac:dyDescent="0.3">
      <c r="A71">
        <v>201518</v>
      </c>
      <c r="B71" t="s">
        <v>95</v>
      </c>
      <c r="C71" t="s">
        <v>1154</v>
      </c>
      <c r="D71" t="s">
        <v>621</v>
      </c>
      <c r="E71" s="21">
        <v>5.7</v>
      </c>
      <c r="F71" s="2">
        <f t="shared" si="28"/>
        <v>0.55555555555555558</v>
      </c>
      <c r="G71" s="26">
        <v>61.23060000000001</v>
      </c>
      <c r="H71">
        <f t="shared" si="29"/>
        <v>0.62771026088625304</v>
      </c>
      <c r="I71" s="12">
        <v>35.200000000000003</v>
      </c>
      <c r="J71" s="2">
        <f t="shared" si="30"/>
        <v>0.14802354920100927</v>
      </c>
      <c r="K71" s="10">
        <v>0</v>
      </c>
      <c r="L71" s="2">
        <f t="shared" si="31"/>
        <v>0</v>
      </c>
      <c r="M71">
        <v>25017</v>
      </c>
      <c r="N71">
        <f t="shared" si="32"/>
        <v>0.11723514688696163</v>
      </c>
      <c r="O71" s="10">
        <v>0.76349621999999995</v>
      </c>
      <c r="P71">
        <f t="shared" si="33"/>
        <v>0.74536403116846417</v>
      </c>
      <c r="Q71" s="23">
        <v>0.3952</v>
      </c>
      <c r="R71" s="13">
        <f t="shared" si="34"/>
        <v>0.85578172368990901</v>
      </c>
      <c r="S71">
        <f t="shared" si="35"/>
        <v>0.12075611497846278</v>
      </c>
      <c r="T71" s="14">
        <f t="shared" si="23"/>
        <v>0.21548339635335584</v>
      </c>
      <c r="U71" t="str">
        <f t="shared" si="36"/>
        <v>Low</v>
      </c>
      <c r="V71">
        <f t="shared" si="37"/>
        <v>0.12908365888464235</v>
      </c>
      <c r="W71">
        <f t="shared" si="24"/>
        <v>0.20880999734098554</v>
      </c>
      <c r="X71" t="s">
        <v>1170</v>
      </c>
      <c r="Y71">
        <f t="shared" si="25"/>
        <v>0.11242857107228321</v>
      </c>
      <c r="Z71">
        <f t="shared" si="38"/>
        <v>0.20466552488431877</v>
      </c>
      <c r="AA71" t="str">
        <f t="shared" si="39"/>
        <v>Low</v>
      </c>
      <c r="AB71">
        <f t="shared" si="26"/>
        <v>8.5097046502653345E-2</v>
      </c>
      <c r="AC71">
        <f t="shared" si="40"/>
        <v>0.20799238585147389</v>
      </c>
      <c r="AD71" t="str">
        <f t="shared" si="41"/>
        <v>Low</v>
      </c>
      <c r="AE71">
        <f t="shared" si="27"/>
        <v>1.7683413060981614E-2</v>
      </c>
      <c r="AF71">
        <f t="shared" si="42"/>
        <v>0.10676932568470267</v>
      </c>
      <c r="AG71" t="s">
        <v>1170</v>
      </c>
    </row>
    <row r="72" spans="1:33" customFormat="1" x14ac:dyDescent="0.3">
      <c r="A72">
        <v>201519</v>
      </c>
      <c r="B72" t="s">
        <v>96</v>
      </c>
      <c r="C72" t="s">
        <v>1154</v>
      </c>
      <c r="D72" t="s">
        <v>622</v>
      </c>
      <c r="E72" s="21">
        <v>5.7</v>
      </c>
      <c r="F72" s="2">
        <f t="shared" si="28"/>
        <v>0.55555555555555558</v>
      </c>
      <c r="G72" s="26">
        <v>68.877359999999996</v>
      </c>
      <c r="H72">
        <f t="shared" si="29"/>
        <v>0.70610161609973376</v>
      </c>
      <c r="I72" s="12">
        <v>41.5</v>
      </c>
      <c r="J72" s="2">
        <f t="shared" si="30"/>
        <v>0.17451640033641716</v>
      </c>
      <c r="K72" s="10">
        <v>0</v>
      </c>
      <c r="L72" s="2">
        <f t="shared" si="31"/>
        <v>0</v>
      </c>
      <c r="M72">
        <v>16713</v>
      </c>
      <c r="N72">
        <f t="shared" si="32"/>
        <v>7.7945427791420038E-2</v>
      </c>
      <c r="O72" s="10">
        <v>0.72230756799999996</v>
      </c>
      <c r="P72">
        <f t="shared" si="33"/>
        <v>0.70000342985385222</v>
      </c>
      <c r="Q72" s="23">
        <v>0.2442</v>
      </c>
      <c r="R72" s="13">
        <f t="shared" si="34"/>
        <v>0.52880034647033347</v>
      </c>
      <c r="S72">
        <f t="shared" si="35"/>
        <v>0.10520482234265267</v>
      </c>
      <c r="T72" s="14">
        <f t="shared" si="23"/>
        <v>0.18773287328090554</v>
      </c>
      <c r="U72" t="str">
        <f t="shared" si="36"/>
        <v>Low</v>
      </c>
      <c r="V72">
        <f t="shared" si="37"/>
        <v>9.0547160705449464E-2</v>
      </c>
      <c r="W72">
        <f t="shared" si="24"/>
        <v>0.14647208290737534</v>
      </c>
      <c r="X72" t="s">
        <v>1170</v>
      </c>
      <c r="Y72">
        <f t="shared" si="25"/>
        <v>0.11986248397985587</v>
      </c>
      <c r="Z72">
        <f t="shared" si="38"/>
        <v>0.21819825657931186</v>
      </c>
      <c r="AA72" t="str">
        <f t="shared" si="39"/>
        <v>Low</v>
      </c>
      <c r="AB72">
        <f t="shared" si="26"/>
        <v>7.2321594847232731E-2</v>
      </c>
      <c r="AC72">
        <f t="shared" si="40"/>
        <v>0.17676689942923662</v>
      </c>
      <c r="AD72" t="str">
        <f t="shared" si="41"/>
        <v>Low</v>
      </c>
      <c r="AE72">
        <f t="shared" si="27"/>
        <v>1.3346695446767578E-2</v>
      </c>
      <c r="AF72">
        <f t="shared" si="42"/>
        <v>8.0584990468540382E-2</v>
      </c>
      <c r="AG72" t="s">
        <v>1170</v>
      </c>
    </row>
    <row r="73" spans="1:33" customFormat="1" x14ac:dyDescent="0.3">
      <c r="A73">
        <v>201520</v>
      </c>
      <c r="B73" t="s">
        <v>113</v>
      </c>
      <c r="C73" t="s">
        <v>1154</v>
      </c>
      <c r="D73" t="s">
        <v>623</v>
      </c>
      <c r="E73" s="21">
        <v>5.5</v>
      </c>
      <c r="F73" s="2">
        <f t="shared" si="28"/>
        <v>0.51111111111111107</v>
      </c>
      <c r="G73" s="26">
        <v>68.877359999999996</v>
      </c>
      <c r="H73">
        <f t="shared" si="29"/>
        <v>0.70610161609973376</v>
      </c>
      <c r="I73" s="12">
        <v>39.5</v>
      </c>
      <c r="J73" s="2">
        <f t="shared" si="30"/>
        <v>0.16610597140454161</v>
      </c>
      <c r="K73" s="10">
        <v>0</v>
      </c>
      <c r="L73" s="2">
        <f t="shared" si="31"/>
        <v>0</v>
      </c>
      <c r="M73">
        <v>10040</v>
      </c>
      <c r="N73">
        <f t="shared" si="32"/>
        <v>4.6372656172375126E-2</v>
      </c>
      <c r="O73" s="10">
        <v>0.53431662000000002</v>
      </c>
      <c r="P73">
        <f t="shared" si="33"/>
        <v>0.49297110349891482</v>
      </c>
      <c r="Q73" s="23">
        <v>0.14399999999999999</v>
      </c>
      <c r="R73" s="13">
        <f t="shared" si="34"/>
        <v>0.31182330012992637</v>
      </c>
      <c r="S73">
        <f t="shared" si="35"/>
        <v>6.2785329678552576E-2</v>
      </c>
      <c r="T73" s="14">
        <f t="shared" si="23"/>
        <v>0.11203735796495799</v>
      </c>
      <c r="U73" t="str">
        <f t="shared" si="36"/>
        <v>No Impact</v>
      </c>
      <c r="V73">
        <f t="shared" si="37"/>
        <v>4.8653242646405651E-2</v>
      </c>
      <c r="W73">
        <f t="shared" si="24"/>
        <v>7.8703094995976927E-2</v>
      </c>
      <c r="X73" t="s">
        <v>1170</v>
      </c>
      <c r="Y73">
        <f t="shared" si="25"/>
        <v>7.6917416710699488E-2</v>
      </c>
      <c r="Z73">
        <f t="shared" si="38"/>
        <v>0.14002084446772897</v>
      </c>
      <c r="AA73" t="str">
        <f t="shared" si="39"/>
        <v>No Impact</v>
      </c>
      <c r="AB73">
        <f t="shared" si="26"/>
        <v>4.2636265414573431E-2</v>
      </c>
      <c r="AC73">
        <f t="shared" si="40"/>
        <v>0.10421065044951121</v>
      </c>
      <c r="AD73" t="str">
        <f t="shared" si="41"/>
        <v>No Impact</v>
      </c>
      <c r="AE73">
        <f t="shared" si="27"/>
        <v>7.2354442146331998E-3</v>
      </c>
      <c r="AF73">
        <f t="shared" si="42"/>
        <v>4.3686334598508028E-2</v>
      </c>
      <c r="AG73" t="s">
        <v>1170</v>
      </c>
    </row>
    <row r="74" spans="1:33" customFormat="1" x14ac:dyDescent="0.3">
      <c r="A74">
        <v>201528</v>
      </c>
      <c r="B74" t="s">
        <v>156</v>
      </c>
      <c r="C74" t="s">
        <v>1154</v>
      </c>
      <c r="D74" t="s">
        <v>624</v>
      </c>
      <c r="E74" s="21">
        <v>5.7</v>
      </c>
      <c r="F74" s="2">
        <f t="shared" si="28"/>
        <v>0.55555555555555558</v>
      </c>
      <c r="G74" s="26">
        <v>68.877359999999996</v>
      </c>
      <c r="H74">
        <f t="shared" si="29"/>
        <v>0.70610161609973376</v>
      </c>
      <c r="I74" s="12">
        <v>39.5</v>
      </c>
      <c r="J74" s="2">
        <f t="shared" si="30"/>
        <v>0.16610597140454161</v>
      </c>
      <c r="K74" s="10">
        <v>0</v>
      </c>
      <c r="L74" s="2">
        <f t="shared" si="31"/>
        <v>0</v>
      </c>
      <c r="M74">
        <v>11215</v>
      </c>
      <c r="N74">
        <f t="shared" si="32"/>
        <v>5.1932075721659969E-2</v>
      </c>
      <c r="O74" s="10">
        <v>0.71414856299999996</v>
      </c>
      <c r="P74">
        <f t="shared" si="33"/>
        <v>0.69101800899256927</v>
      </c>
      <c r="Q74" s="23">
        <v>0.1386</v>
      </c>
      <c r="R74" s="13">
        <f t="shared" si="34"/>
        <v>0.30012992637505415</v>
      </c>
      <c r="S74">
        <f t="shared" si="35"/>
        <v>8.4047322874553715E-2</v>
      </c>
      <c r="T74" s="14">
        <f t="shared" si="23"/>
        <v>0.1499783476029023</v>
      </c>
      <c r="U74" t="str">
        <f t="shared" si="36"/>
        <v>No Impact</v>
      </c>
      <c r="V74">
        <f t="shared" si="37"/>
        <v>5.0900810920832006E-2</v>
      </c>
      <c r="W74">
        <f t="shared" si="24"/>
        <v>8.2338835797421531E-2</v>
      </c>
      <c r="X74" t="s">
        <v>1170</v>
      </c>
      <c r="Y74">
        <f t="shared" si="25"/>
        <v>0.11719383482827543</v>
      </c>
      <c r="Z74">
        <f t="shared" si="38"/>
        <v>0.21334023451133458</v>
      </c>
      <c r="AA74" t="str">
        <f t="shared" si="39"/>
        <v>Low</v>
      </c>
      <c r="AB74">
        <f t="shared" si="26"/>
        <v>5.6056048122835836E-2</v>
      </c>
      <c r="AC74">
        <f t="shared" si="40"/>
        <v>0.13701099708683923</v>
      </c>
      <c r="AD74" t="str">
        <f t="shared" si="41"/>
        <v>No Impact</v>
      </c>
      <c r="AE74">
        <f t="shared" si="27"/>
        <v>8.8074681487485748E-3</v>
      </c>
      <c r="AF74">
        <f t="shared" si="42"/>
        <v>5.3177937538896221E-2</v>
      </c>
      <c r="AG74" t="s">
        <v>1170</v>
      </c>
    </row>
    <row r="75" spans="1:33" customFormat="1" x14ac:dyDescent="0.3">
      <c r="A75">
        <v>201533</v>
      </c>
      <c r="B75" t="s">
        <v>166</v>
      </c>
      <c r="C75" t="s">
        <v>1154</v>
      </c>
      <c r="D75" t="s">
        <v>625</v>
      </c>
      <c r="E75" s="21">
        <v>5.6</v>
      </c>
      <c r="F75" s="2">
        <f t="shared" si="28"/>
        <v>0.53333333333333321</v>
      </c>
      <c r="G75" s="26">
        <v>73.253159999999994</v>
      </c>
      <c r="H75">
        <f t="shared" si="29"/>
        <v>0.75096047032598778</v>
      </c>
      <c r="I75" s="12">
        <v>69.900000000000006</v>
      </c>
      <c r="J75" s="2">
        <f t="shared" si="30"/>
        <v>0.29394449116904964</v>
      </c>
      <c r="K75" s="10">
        <v>0</v>
      </c>
      <c r="L75" s="2">
        <f t="shared" si="31"/>
        <v>0</v>
      </c>
      <c r="M75">
        <v>78242</v>
      </c>
      <c r="N75">
        <f t="shared" si="32"/>
        <v>0.36906502391733259</v>
      </c>
      <c r="O75" s="10">
        <v>0.91133705799999998</v>
      </c>
      <c r="P75">
        <f t="shared" si="33"/>
        <v>0.90817949088625582</v>
      </c>
      <c r="Q75" s="23">
        <v>0.39119999999999999</v>
      </c>
      <c r="R75" s="13">
        <f t="shared" si="34"/>
        <v>0.84711996535296663</v>
      </c>
      <c r="S75">
        <f t="shared" si="35"/>
        <v>0.17118463700183106</v>
      </c>
      <c r="T75" s="14">
        <f t="shared" si="23"/>
        <v>0.30547063385775447</v>
      </c>
      <c r="U75" t="str">
        <f t="shared" si="36"/>
        <v>Moderate</v>
      </c>
      <c r="V75">
        <f t="shared" si="37"/>
        <v>0.16522983955871284</v>
      </c>
      <c r="W75">
        <f t="shared" si="24"/>
        <v>0.26728125509472295</v>
      </c>
      <c r="X75" t="s">
        <v>1170</v>
      </c>
      <c r="Y75">
        <f t="shared" si="25"/>
        <v>0.17713943444494931</v>
      </c>
      <c r="Z75">
        <f t="shared" si="38"/>
        <v>0.32246549949548042</v>
      </c>
      <c r="AA75" t="str">
        <f t="shared" si="39"/>
        <v>Moderate</v>
      </c>
      <c r="AB75">
        <f t="shared" si="26"/>
        <v>0.13616728198659395</v>
      </c>
      <c r="AC75">
        <f t="shared" si="40"/>
        <v>0.33281716603900019</v>
      </c>
      <c r="AD75" t="str">
        <f t="shared" si="41"/>
        <v>Moderate</v>
      </c>
      <c r="AE75">
        <f t="shared" si="27"/>
        <v>7.1985736593027677E-2</v>
      </c>
      <c r="AF75">
        <f t="shared" si="42"/>
        <v>0.43463716695692822</v>
      </c>
      <c r="AG75" t="str">
        <f t="shared" si="43"/>
        <v>Moderate</v>
      </c>
    </row>
    <row r="76" spans="1:33" customFormat="1" x14ac:dyDescent="0.3">
      <c r="A76">
        <v>201535</v>
      </c>
      <c r="B76" t="s">
        <v>201</v>
      </c>
      <c r="C76" t="s">
        <v>1154</v>
      </c>
      <c r="D76" t="s">
        <v>626</v>
      </c>
      <c r="E76" s="21">
        <v>5.7</v>
      </c>
      <c r="F76" s="2">
        <f t="shared" si="28"/>
        <v>0.55555555555555558</v>
      </c>
      <c r="G76" s="26">
        <v>68.877359999999996</v>
      </c>
      <c r="H76">
        <f t="shared" si="29"/>
        <v>0.70610161609973376</v>
      </c>
      <c r="I76" s="12">
        <v>39.5</v>
      </c>
      <c r="J76" s="2">
        <f t="shared" si="30"/>
        <v>0.16610597140454161</v>
      </c>
      <c r="K76" s="10">
        <v>0</v>
      </c>
      <c r="L76" s="2">
        <f t="shared" si="31"/>
        <v>0</v>
      </c>
      <c r="M76">
        <v>11544</v>
      </c>
      <c r="N76">
        <f t="shared" si="32"/>
        <v>5.3488713195459732E-2</v>
      </c>
      <c r="O76" s="10">
        <v>0.68375518400000002</v>
      </c>
      <c r="P76">
        <f t="shared" si="33"/>
        <v>0.65754612097295417</v>
      </c>
      <c r="Q76" s="23">
        <v>0.1956</v>
      </c>
      <c r="R76" s="13">
        <f t="shared" si="34"/>
        <v>0.42355998267648332</v>
      </c>
      <c r="S76">
        <f t="shared" si="35"/>
        <v>9.1675592020855012E-2</v>
      </c>
      <c r="T76" s="14">
        <f t="shared" si="23"/>
        <v>0.16359062176587691</v>
      </c>
      <c r="U76" t="str">
        <f t="shared" si="36"/>
        <v>Low</v>
      </c>
      <c r="V76">
        <f t="shared" si="37"/>
        <v>7.1834044849312703E-2</v>
      </c>
      <c r="W76">
        <f t="shared" si="24"/>
        <v>0.11620112757558189</v>
      </c>
      <c r="X76" t="s">
        <v>1170</v>
      </c>
      <c r="Y76">
        <f t="shared" si="25"/>
        <v>0.11151713919239732</v>
      </c>
      <c r="Z76">
        <f t="shared" si="38"/>
        <v>0.20300634979818147</v>
      </c>
      <c r="AA76" t="str">
        <f t="shared" si="39"/>
        <v>Low</v>
      </c>
      <c r="AB76">
        <f t="shared" si="26"/>
        <v>6.1772071084494028E-2</v>
      </c>
      <c r="AC76">
        <f t="shared" si="40"/>
        <v>0.15098197848088826</v>
      </c>
      <c r="AD76" t="str">
        <f t="shared" si="41"/>
        <v>Low</v>
      </c>
      <c r="AE76">
        <f t="shared" si="27"/>
        <v>9.0714675129011171E-3</v>
      </c>
      <c r="AF76">
        <f t="shared" si="42"/>
        <v>5.4771919085023865E-2</v>
      </c>
      <c r="AG76" t="s">
        <v>1170</v>
      </c>
    </row>
    <row r="77" spans="1:33" customFormat="1" x14ac:dyDescent="0.3">
      <c r="A77">
        <v>201537</v>
      </c>
      <c r="B77" t="s">
        <v>206</v>
      </c>
      <c r="C77" t="s">
        <v>1154</v>
      </c>
      <c r="D77" t="s">
        <v>627</v>
      </c>
      <c r="E77" s="21">
        <v>5.8</v>
      </c>
      <c r="F77" s="2">
        <f t="shared" si="28"/>
        <v>0.57777777777777772</v>
      </c>
      <c r="G77" s="26">
        <v>73.253159999999994</v>
      </c>
      <c r="H77">
        <f t="shared" si="29"/>
        <v>0.75096047032598778</v>
      </c>
      <c r="I77" s="12">
        <v>56.300000000000004</v>
      </c>
      <c r="J77" s="2">
        <f t="shared" si="30"/>
        <v>0.23675357443229605</v>
      </c>
      <c r="K77" s="10">
        <v>0</v>
      </c>
      <c r="L77" s="2">
        <f t="shared" si="31"/>
        <v>0</v>
      </c>
      <c r="M77">
        <v>46431</v>
      </c>
      <c r="N77">
        <f t="shared" si="32"/>
        <v>0.21855379388984306</v>
      </c>
      <c r="O77" s="10">
        <v>0.91627187200000004</v>
      </c>
      <c r="P77">
        <f t="shared" si="33"/>
        <v>0.91361414629609461</v>
      </c>
      <c r="Q77" s="23">
        <v>0.38469999999999999</v>
      </c>
      <c r="R77" s="13">
        <f t="shared" si="34"/>
        <v>0.83304460805543523</v>
      </c>
      <c r="S77">
        <f t="shared" si="35"/>
        <v>0.17443682651071596</v>
      </c>
      <c r="T77" s="14">
        <f t="shared" si="23"/>
        <v>0.31127400738533328</v>
      </c>
      <c r="U77" t="str">
        <f t="shared" si="36"/>
        <v>Moderate</v>
      </c>
      <c r="V77">
        <f t="shared" si="37"/>
        <v>0.16639043821127264</v>
      </c>
      <c r="W77">
        <f t="shared" si="24"/>
        <v>0.26915867787347714</v>
      </c>
      <c r="X77" t="s">
        <v>1170</v>
      </c>
      <c r="Y77">
        <f t="shared" si="25"/>
        <v>0.18248321481015928</v>
      </c>
      <c r="Z77">
        <f t="shared" si="38"/>
        <v>0.33219334360913594</v>
      </c>
      <c r="AA77" t="str">
        <f t="shared" si="39"/>
        <v>Moderate</v>
      </c>
      <c r="AB77">
        <f t="shared" si="26"/>
        <v>0.12826032128046549</v>
      </c>
      <c r="AC77">
        <f t="shared" si="40"/>
        <v>0.31349114134494416</v>
      </c>
      <c r="AD77" t="str">
        <f t="shared" si="41"/>
        <v>Moderate</v>
      </c>
      <c r="AE77">
        <f t="shared" si="27"/>
        <v>4.365343846706371E-2</v>
      </c>
      <c r="AF77">
        <f t="shared" si="42"/>
        <v>0.26357175353389201</v>
      </c>
      <c r="AG77" t="s">
        <v>1169</v>
      </c>
    </row>
    <row r="78" spans="1:33" customFormat="1" x14ac:dyDescent="0.3">
      <c r="A78">
        <v>201541</v>
      </c>
      <c r="B78" t="s">
        <v>286</v>
      </c>
      <c r="C78" t="s">
        <v>1154</v>
      </c>
      <c r="D78" t="s">
        <v>1129</v>
      </c>
      <c r="E78" s="21">
        <v>5.7</v>
      </c>
      <c r="F78" s="2">
        <f t="shared" si="28"/>
        <v>0.55555555555555558</v>
      </c>
      <c r="G78" s="26">
        <v>68.877359999999996</v>
      </c>
      <c r="H78">
        <f t="shared" si="29"/>
        <v>0.70610161609973376</v>
      </c>
      <c r="I78" s="12">
        <v>39.5</v>
      </c>
      <c r="J78" s="2">
        <f t="shared" si="30"/>
        <v>0.16610597140454161</v>
      </c>
      <c r="K78" s="10">
        <v>0</v>
      </c>
      <c r="L78" s="2">
        <f t="shared" si="31"/>
        <v>0</v>
      </c>
      <c r="M78">
        <v>9508</v>
      </c>
      <c r="N78">
        <f t="shared" si="32"/>
        <v>4.385554025729467E-2</v>
      </c>
      <c r="O78" s="10">
        <v>0.80364287999999995</v>
      </c>
      <c r="P78">
        <f t="shared" si="33"/>
        <v>0.78957709835923506</v>
      </c>
      <c r="Q78" s="23">
        <v>0.29720000000000002</v>
      </c>
      <c r="R78" s="13">
        <f t="shared" si="34"/>
        <v>0.64356864443482031</v>
      </c>
      <c r="S78">
        <f t="shared" si="35"/>
        <v>0.12152783522293027</v>
      </c>
      <c r="T78" s="14">
        <f t="shared" si="23"/>
        <v>0.21686049348290623</v>
      </c>
      <c r="U78" t="str">
        <f t="shared" si="36"/>
        <v>Low</v>
      </c>
      <c r="V78">
        <f t="shared" si="37"/>
        <v>0.10914661620253444</v>
      </c>
      <c r="W78">
        <f t="shared" si="24"/>
        <v>0.17655917748191688</v>
      </c>
      <c r="X78" t="s">
        <v>1170</v>
      </c>
      <c r="Y78">
        <f t="shared" si="25"/>
        <v>0.13390905424332611</v>
      </c>
      <c r="Z78">
        <f t="shared" si="38"/>
        <v>0.24376870231546985</v>
      </c>
      <c r="AA78" t="str">
        <f t="shared" si="39"/>
        <v>Low</v>
      </c>
      <c r="AB78">
        <f t="shared" si="26"/>
        <v>8.0977234184661365E-2</v>
      </c>
      <c r="AC78">
        <f t="shared" si="40"/>
        <v>0.19792282846380679</v>
      </c>
      <c r="AD78" t="str">
        <f t="shared" si="41"/>
        <v>Low</v>
      </c>
      <c r="AE78">
        <f t="shared" si="27"/>
        <v>7.4377206879328132E-3</v>
      </c>
      <c r="AF78">
        <f t="shared" si="42"/>
        <v>4.490764422813677E-2</v>
      </c>
      <c r="AG78" t="s">
        <v>1170</v>
      </c>
    </row>
    <row r="79" spans="1:33" customFormat="1" x14ac:dyDescent="0.3">
      <c r="A79">
        <v>201543</v>
      </c>
      <c r="B79" t="s">
        <v>281</v>
      </c>
      <c r="C79" t="s">
        <v>1154</v>
      </c>
      <c r="D79" t="s">
        <v>628</v>
      </c>
      <c r="E79" s="21">
        <v>5.3</v>
      </c>
      <c r="F79" s="2">
        <f t="shared" si="28"/>
        <v>0.46666666666666656</v>
      </c>
      <c r="G79" s="26">
        <v>68.877359999999996</v>
      </c>
      <c r="H79">
        <f t="shared" si="29"/>
        <v>0.70610161609973376</v>
      </c>
      <c r="I79" s="12">
        <v>41.5</v>
      </c>
      <c r="J79" s="2">
        <f t="shared" si="30"/>
        <v>0.17451640033641716</v>
      </c>
      <c r="K79" s="10">
        <v>0</v>
      </c>
      <c r="L79" s="2">
        <f t="shared" si="31"/>
        <v>0</v>
      </c>
      <c r="M79">
        <v>12037</v>
      </c>
      <c r="N79">
        <f t="shared" si="32"/>
        <v>5.5821303695712858E-2</v>
      </c>
      <c r="O79" s="10">
        <v>0.823781761</v>
      </c>
      <c r="P79">
        <f t="shared" si="33"/>
        <v>0.81175582253703571</v>
      </c>
      <c r="Q79" s="23">
        <v>0.33500000000000002</v>
      </c>
      <c r="R79" s="13">
        <f t="shared" si="34"/>
        <v>0.72542226071892602</v>
      </c>
      <c r="S79">
        <f t="shared" si="35"/>
        <v>0.11054944835785577</v>
      </c>
      <c r="T79" s="14">
        <f t="shared" si="23"/>
        <v>0.19727009767902293</v>
      </c>
      <c r="U79" t="str">
        <f t="shared" si="36"/>
        <v>Low</v>
      </c>
      <c r="V79">
        <f t="shared" si="37"/>
        <v>0.10434058567777837</v>
      </c>
      <c r="W79">
        <f t="shared" si="24"/>
        <v>0.16878478349768805</v>
      </c>
      <c r="X79" t="s">
        <v>1170</v>
      </c>
      <c r="Y79">
        <f t="shared" si="25"/>
        <v>0.11675831103793319</v>
      </c>
      <c r="Z79">
        <f t="shared" si="38"/>
        <v>0.21254740485691609</v>
      </c>
      <c r="AA79" t="str">
        <f t="shared" si="39"/>
        <v>Low</v>
      </c>
      <c r="AB79">
        <f t="shared" si="26"/>
        <v>7.435685417980932E-2</v>
      </c>
      <c r="AC79">
        <f t="shared" si="40"/>
        <v>0.18174143687567881</v>
      </c>
      <c r="AD79" t="str">
        <f t="shared" si="41"/>
        <v>Low</v>
      </c>
      <c r="AE79">
        <f t="shared" si="27"/>
        <v>8.0290168034484414E-3</v>
      </c>
      <c r="AF79">
        <f t="shared" si="42"/>
        <v>4.8477785767887874E-2</v>
      </c>
      <c r="AG79" t="s">
        <v>1170</v>
      </c>
    </row>
    <row r="80" spans="1:33" customFormat="1" x14ac:dyDescent="0.3">
      <c r="A80">
        <v>201547</v>
      </c>
      <c r="B80" t="s">
        <v>306</v>
      </c>
      <c r="C80" t="s">
        <v>1154</v>
      </c>
      <c r="D80" t="s">
        <v>1130</v>
      </c>
      <c r="E80" s="21">
        <v>5.7</v>
      </c>
      <c r="F80" s="2">
        <f t="shared" si="28"/>
        <v>0.55555555555555558</v>
      </c>
      <c r="G80" s="26">
        <v>59.674680000000002</v>
      </c>
      <c r="H80">
        <f t="shared" si="29"/>
        <v>0.61175962592402588</v>
      </c>
      <c r="I80" s="12">
        <v>45.400000000000006</v>
      </c>
      <c r="J80" s="2">
        <f t="shared" si="30"/>
        <v>0.19091673675357446</v>
      </c>
      <c r="K80" s="10">
        <v>0</v>
      </c>
      <c r="L80" s="2">
        <f t="shared" si="31"/>
        <v>0</v>
      </c>
      <c r="M80">
        <v>21502</v>
      </c>
      <c r="N80">
        <f t="shared" si="32"/>
        <v>0.10060420244803717</v>
      </c>
      <c r="O80" s="10">
        <v>0.96594195500000002</v>
      </c>
      <c r="P80">
        <f t="shared" si="33"/>
        <v>0.9683152526160268</v>
      </c>
      <c r="Q80" s="23">
        <v>0.38100000000000001</v>
      </c>
      <c r="R80" s="13">
        <f t="shared" si="34"/>
        <v>0.82503248159376352</v>
      </c>
      <c r="S80">
        <f t="shared" si="35"/>
        <v>0.13994923408585294</v>
      </c>
      <c r="T80" s="14">
        <f t="shared" si="23"/>
        <v>0.2497325811057185</v>
      </c>
      <c r="U80" t="str">
        <f t="shared" si="36"/>
        <v>Low</v>
      </c>
      <c r="V80">
        <f t="shared" si="37"/>
        <v>0.12876773610877484</v>
      </c>
      <c r="W80">
        <f t="shared" si="24"/>
        <v>0.20829895020644618</v>
      </c>
      <c r="X80" t="s">
        <v>1170</v>
      </c>
      <c r="Y80">
        <f t="shared" si="25"/>
        <v>0.15113073206293107</v>
      </c>
      <c r="Z80">
        <f t="shared" si="38"/>
        <v>0.27511912949533651</v>
      </c>
      <c r="AA80" t="str">
        <f t="shared" si="39"/>
        <v>Low</v>
      </c>
      <c r="AB80">
        <f t="shared" si="26"/>
        <v>9.5903591353148424E-2</v>
      </c>
      <c r="AC80">
        <f t="shared" si="40"/>
        <v>0.23440551225998382</v>
      </c>
      <c r="AD80" t="str">
        <f t="shared" si="41"/>
        <v>Low</v>
      </c>
      <c r="AE80">
        <f t="shared" si="27"/>
        <v>1.5701897417708329E-2</v>
      </c>
      <c r="AF80">
        <f t="shared" si="42"/>
        <v>9.4805284108769788E-2</v>
      </c>
      <c r="AG80" t="s">
        <v>1170</v>
      </c>
    </row>
    <row r="81" spans="1:33" customFormat="1" x14ac:dyDescent="0.3">
      <c r="A81">
        <v>201553</v>
      </c>
      <c r="B81" t="s">
        <v>339</v>
      </c>
      <c r="C81" t="s">
        <v>1154</v>
      </c>
      <c r="D81" t="s">
        <v>629</v>
      </c>
      <c r="E81" s="21">
        <v>5.8</v>
      </c>
      <c r="F81" s="2">
        <f t="shared" si="28"/>
        <v>0.57777777777777772</v>
      </c>
      <c r="G81" s="26">
        <v>75.966120000000004</v>
      </c>
      <c r="H81">
        <f t="shared" si="29"/>
        <v>0.77877259088946382</v>
      </c>
      <c r="I81" s="12">
        <v>79.900000000000006</v>
      </c>
      <c r="J81" s="2">
        <f t="shared" si="30"/>
        <v>0.33599663582842726</v>
      </c>
      <c r="K81" s="10">
        <v>0.5</v>
      </c>
      <c r="L81" s="2">
        <f t="shared" si="31"/>
        <v>0.29411764705882354</v>
      </c>
      <c r="M81">
        <v>64375</v>
      </c>
      <c r="N81">
        <f t="shared" si="32"/>
        <v>0.30345441039398541</v>
      </c>
      <c r="O81" s="10">
        <v>0.89663636999999996</v>
      </c>
      <c r="P81">
        <f t="shared" si="33"/>
        <v>0.89198978777534799</v>
      </c>
      <c r="Q81" s="23">
        <v>0.37080000000000002</v>
      </c>
      <c r="R81" s="13">
        <f t="shared" si="34"/>
        <v>0.80294499783456053</v>
      </c>
      <c r="S81">
        <f t="shared" si="35"/>
        <v>0.23424973532150251</v>
      </c>
      <c r="T81" s="14">
        <f t="shared" si="23"/>
        <v>0.41800722531488144</v>
      </c>
      <c r="U81" t="str">
        <f t="shared" si="36"/>
        <v>Moderate</v>
      </c>
      <c r="V81">
        <f t="shared" si="37"/>
        <v>0.22194323323512138</v>
      </c>
      <c r="W81">
        <f t="shared" si="24"/>
        <v>0.35902271706670047</v>
      </c>
      <c r="X81" t="str">
        <f t="shared" ref="X81:X131" si="44">IF(W81&gt;0.7,"High",IF(W81&gt;0.3,"Moderate",IF(W81&gt;0.15,"Low","No Impact")))</f>
        <v>Moderate</v>
      </c>
      <c r="Y81">
        <f t="shared" si="25"/>
        <v>0.24655623740788357</v>
      </c>
      <c r="Z81">
        <f t="shared" si="38"/>
        <v>0.44883218972999456</v>
      </c>
      <c r="AA81" t="str">
        <f t="shared" si="39"/>
        <v>Moderate</v>
      </c>
      <c r="AB81">
        <f t="shared" si="26"/>
        <v>0.18100440418024794</v>
      </c>
      <c r="AC81">
        <f t="shared" si="40"/>
        <v>0.44240710368132929</v>
      </c>
      <c r="AD81" t="str">
        <f t="shared" si="41"/>
        <v>Moderate</v>
      </c>
      <c r="AE81">
        <f t="shared" si="27"/>
        <v>8.3878289501686798E-2</v>
      </c>
      <c r="AF81">
        <f t="shared" si="42"/>
        <v>0.50644230153973702</v>
      </c>
      <c r="AG81" t="str">
        <f t="shared" si="43"/>
        <v>Moderate</v>
      </c>
    </row>
    <row r="82" spans="1:33" customFormat="1" x14ac:dyDescent="0.3">
      <c r="A82">
        <v>201555</v>
      </c>
      <c r="B82" t="s">
        <v>393</v>
      </c>
      <c r="C82" t="s">
        <v>1154</v>
      </c>
      <c r="D82" t="s">
        <v>630</v>
      </c>
      <c r="E82" s="21">
        <v>5.8</v>
      </c>
      <c r="F82" s="2">
        <f t="shared" si="28"/>
        <v>0.57777777777777772</v>
      </c>
      <c r="G82" s="26">
        <v>85.096800000000002</v>
      </c>
      <c r="H82">
        <f t="shared" si="29"/>
        <v>0.87237646746210706</v>
      </c>
      <c r="I82" s="12">
        <v>41.5</v>
      </c>
      <c r="J82" s="2">
        <f t="shared" si="30"/>
        <v>0.17451640033641716</v>
      </c>
      <c r="K82" s="10">
        <v>0</v>
      </c>
      <c r="L82" s="2">
        <f t="shared" si="31"/>
        <v>0</v>
      </c>
      <c r="M82">
        <v>9603</v>
      </c>
      <c r="N82">
        <f t="shared" si="32"/>
        <v>4.4305025242130466E-2</v>
      </c>
      <c r="O82" s="10">
        <v>0.70779540699999999</v>
      </c>
      <c r="P82">
        <f t="shared" si="33"/>
        <v>0.68402134941736559</v>
      </c>
      <c r="Q82" s="23">
        <v>0.26750000000000002</v>
      </c>
      <c r="R82" s="13">
        <f t="shared" si="34"/>
        <v>0.57925508878302301</v>
      </c>
      <c r="S82">
        <f t="shared" si="35"/>
        <v>0.13372097053566867</v>
      </c>
      <c r="T82" s="14">
        <f t="shared" si="23"/>
        <v>0.23861854863277185</v>
      </c>
      <c r="U82" t="str">
        <f t="shared" si="36"/>
        <v>Low</v>
      </c>
      <c r="V82">
        <f t="shared" si="37"/>
        <v>0.12263119981899609</v>
      </c>
      <c r="W82">
        <f t="shared" si="24"/>
        <v>0.19837228607697122</v>
      </c>
      <c r="X82" t="s">
        <v>1170</v>
      </c>
      <c r="Y82">
        <f t="shared" si="25"/>
        <v>0.14481074125234125</v>
      </c>
      <c r="Z82">
        <f t="shared" si="38"/>
        <v>0.26361418707565726</v>
      </c>
      <c r="AA82" t="str">
        <f t="shared" si="39"/>
        <v>Low</v>
      </c>
      <c r="AB82">
        <f t="shared" si="26"/>
        <v>8.9647000724874984E-2</v>
      </c>
      <c r="AC82">
        <f t="shared" si="40"/>
        <v>0.21911328690607579</v>
      </c>
      <c r="AD82" t="str">
        <f t="shared" si="41"/>
        <v>Low</v>
      </c>
      <c r="AE82">
        <f t="shared" si="27"/>
        <v>9.3795954643542592E-3</v>
      </c>
      <c r="AF82">
        <f t="shared" si="42"/>
        <v>5.6632341249444794E-2</v>
      </c>
      <c r="AG82" t="s">
        <v>1170</v>
      </c>
    </row>
    <row r="83" spans="1:33" customFormat="1" x14ac:dyDescent="0.3">
      <c r="A83">
        <v>201557</v>
      </c>
      <c r="B83" t="s">
        <v>403</v>
      </c>
      <c r="C83" t="s">
        <v>1154</v>
      </c>
      <c r="D83" t="s">
        <v>631</v>
      </c>
      <c r="E83" s="21">
        <v>5.7</v>
      </c>
      <c r="F83" s="2">
        <f t="shared" si="28"/>
        <v>0.55555555555555558</v>
      </c>
      <c r="G83" s="26">
        <v>68.877359999999996</v>
      </c>
      <c r="H83">
        <f t="shared" si="29"/>
        <v>0.70610161609973376</v>
      </c>
      <c r="I83" s="12">
        <v>41.5</v>
      </c>
      <c r="J83" s="2">
        <f t="shared" si="30"/>
        <v>0.17451640033641716</v>
      </c>
      <c r="K83" s="10">
        <v>0</v>
      </c>
      <c r="L83" s="2">
        <f t="shared" si="31"/>
        <v>0</v>
      </c>
      <c r="M83">
        <v>8383</v>
      </c>
      <c r="N83">
        <f t="shared" si="32"/>
        <v>3.8532691752660241E-2</v>
      </c>
      <c r="O83" s="10">
        <v>0.81107052199999996</v>
      </c>
      <c r="P83">
        <f t="shared" si="33"/>
        <v>0.7977570773366891</v>
      </c>
      <c r="Q83" s="23">
        <v>0.26750000000000002</v>
      </c>
      <c r="R83" s="13">
        <f t="shared" si="34"/>
        <v>0.57925508878302301</v>
      </c>
      <c r="S83">
        <f t="shared" si="35"/>
        <v>0.11789377856052108</v>
      </c>
      <c r="T83" s="14">
        <f t="shared" si="23"/>
        <v>0.21037569664842592</v>
      </c>
      <c r="U83" t="str">
        <f t="shared" si="36"/>
        <v>Low</v>
      </c>
      <c r="V83">
        <f t="shared" si="37"/>
        <v>9.9186590862849033E-2</v>
      </c>
      <c r="W83">
        <f t="shared" si="24"/>
        <v>0.16044751096528628</v>
      </c>
      <c r="X83" t="s">
        <v>1170</v>
      </c>
      <c r="Y83">
        <f t="shared" si="25"/>
        <v>0.13660096625819315</v>
      </c>
      <c r="Z83">
        <f t="shared" si="38"/>
        <v>0.24866907221442508</v>
      </c>
      <c r="AA83" t="str">
        <f t="shared" si="39"/>
        <v>Low</v>
      </c>
      <c r="AB83">
        <f t="shared" si="26"/>
        <v>7.8004897438315499E-2</v>
      </c>
      <c r="AC83">
        <f t="shared" si="40"/>
        <v>0.19065790639148542</v>
      </c>
      <c r="AD83" t="str">
        <f t="shared" si="41"/>
        <v>Low</v>
      </c>
      <c r="AE83">
        <f t="shared" si="27"/>
        <v>6.5980021681725847E-3</v>
      </c>
      <c r="AF83">
        <f t="shared" si="42"/>
        <v>3.9837572075743163E-2</v>
      </c>
      <c r="AG83" t="s">
        <v>1170</v>
      </c>
    </row>
    <row r="84" spans="1:33" customFormat="1" x14ac:dyDescent="0.3">
      <c r="A84">
        <v>201561</v>
      </c>
      <c r="B84" t="s">
        <v>410</v>
      </c>
      <c r="C84" t="s">
        <v>1154</v>
      </c>
      <c r="D84" t="s">
        <v>632</v>
      </c>
      <c r="E84" s="21">
        <v>5.0999999999999996</v>
      </c>
      <c r="F84" s="2">
        <f t="shared" si="28"/>
        <v>0.42222222222222211</v>
      </c>
      <c r="G84" s="26">
        <v>77.914439999999999</v>
      </c>
      <c r="H84">
        <f t="shared" si="29"/>
        <v>0.79874594498839313</v>
      </c>
      <c r="I84" s="12">
        <v>39.5</v>
      </c>
      <c r="J84" s="2">
        <f t="shared" si="30"/>
        <v>0.16610597140454161</v>
      </c>
      <c r="K84" s="10">
        <v>0</v>
      </c>
      <c r="L84" s="2">
        <f t="shared" si="31"/>
        <v>0</v>
      </c>
      <c r="M84">
        <v>61378</v>
      </c>
      <c r="N84">
        <f t="shared" si="32"/>
        <v>0.28927434197763929</v>
      </c>
      <c r="O84" s="10">
        <v>0.78106483400000004</v>
      </c>
      <c r="P84">
        <f t="shared" si="33"/>
        <v>0.76471214907492824</v>
      </c>
      <c r="Q84" s="23">
        <v>0.38279999999999997</v>
      </c>
      <c r="R84" s="13">
        <f t="shared" si="34"/>
        <v>0.82893027284538756</v>
      </c>
      <c r="S84">
        <f t="shared" si="35"/>
        <v>0.11361369425724495</v>
      </c>
      <c r="T84" s="14">
        <f t="shared" si="23"/>
        <v>0.20273809500387882</v>
      </c>
      <c r="U84" t="str">
        <f t="shared" si="36"/>
        <v>Low</v>
      </c>
      <c r="V84">
        <f t="shared" si="37"/>
        <v>0.11819192220817966</v>
      </c>
      <c r="W84">
        <f t="shared" si="24"/>
        <v>0.19119116374034087</v>
      </c>
      <c r="X84" t="s">
        <v>1170</v>
      </c>
      <c r="Y84">
        <f t="shared" si="25"/>
        <v>0.10903546630631024</v>
      </c>
      <c r="Z84">
        <f t="shared" si="38"/>
        <v>0.19848870024542103</v>
      </c>
      <c r="AA84" t="str">
        <f t="shared" si="39"/>
        <v>Low</v>
      </c>
      <c r="AB84">
        <f t="shared" si="26"/>
        <v>8.851384193687932E-2</v>
      </c>
      <c r="AC84">
        <f t="shared" si="40"/>
        <v>0.21634364436793632</v>
      </c>
      <c r="AD84" t="str">
        <f t="shared" si="41"/>
        <v>Low</v>
      </c>
      <c r="AE84">
        <f t="shared" si="27"/>
        <v>4.1245797920352482E-2</v>
      </c>
      <c r="AF84">
        <f t="shared" si="42"/>
        <v>0.24903484503229098</v>
      </c>
      <c r="AG84" t="s">
        <v>1169</v>
      </c>
    </row>
    <row r="85" spans="1:33" customFormat="1" x14ac:dyDescent="0.3">
      <c r="A85">
        <v>201565</v>
      </c>
      <c r="B85" t="s">
        <v>407</v>
      </c>
      <c r="C85" t="s">
        <v>1154</v>
      </c>
      <c r="D85" t="s">
        <v>633</v>
      </c>
      <c r="E85" s="21">
        <v>4.0999999999999996</v>
      </c>
      <c r="F85" s="2">
        <f t="shared" si="28"/>
        <v>0.19999999999999987</v>
      </c>
      <c r="G85" s="26">
        <v>77.914439999999999</v>
      </c>
      <c r="H85">
        <f t="shared" si="29"/>
        <v>0.79874594498839313</v>
      </c>
      <c r="I85" s="12">
        <v>39.5</v>
      </c>
      <c r="J85" s="2">
        <f t="shared" si="30"/>
        <v>0.16610597140454161</v>
      </c>
      <c r="K85" s="10">
        <v>0</v>
      </c>
      <c r="L85" s="2">
        <f t="shared" si="31"/>
        <v>0</v>
      </c>
      <c r="M85">
        <v>13802</v>
      </c>
      <c r="N85">
        <f t="shared" si="32"/>
        <v>6.4172261571872655E-2</v>
      </c>
      <c r="O85" s="10">
        <v>0.66219155200000002</v>
      </c>
      <c r="P85">
        <f t="shared" si="33"/>
        <v>0.63379833446984135</v>
      </c>
      <c r="Q85" s="23">
        <v>0.18890000000000001</v>
      </c>
      <c r="R85" s="13">
        <f t="shared" si="34"/>
        <v>0.40905153746210482</v>
      </c>
      <c r="S85">
        <f t="shared" si="35"/>
        <v>3.5216849410528238E-2</v>
      </c>
      <c r="T85" s="14">
        <f t="shared" si="23"/>
        <v>6.2842749795310654E-2</v>
      </c>
      <c r="U85" t="str">
        <f t="shared" si="36"/>
        <v>No Impact</v>
      </c>
      <c r="V85">
        <f t="shared" si="37"/>
        <v>2.762719118766515E-2</v>
      </c>
      <c r="W85">
        <f t="shared" si="24"/>
        <v>4.4690658510002944E-2</v>
      </c>
      <c r="X85" t="s">
        <v>1170</v>
      </c>
      <c r="Y85">
        <f t="shared" si="25"/>
        <v>4.2806507633391333E-2</v>
      </c>
      <c r="Z85">
        <f t="shared" si="38"/>
        <v>7.7925177467744855E-2</v>
      </c>
      <c r="AA85" t="str">
        <f t="shared" si="39"/>
        <v>No Impact</v>
      </c>
      <c r="AB85">
        <f t="shared" si="26"/>
        <v>2.4028429079844003E-2</v>
      </c>
      <c r="AC85">
        <f t="shared" si="40"/>
        <v>5.872977380506219E-2</v>
      </c>
      <c r="AD85" t="str">
        <f t="shared" si="41"/>
        <v>No Impact</v>
      </c>
      <c r="AE85">
        <f t="shared" si="27"/>
        <v>4.3341710689822977E-3</v>
      </c>
      <c r="AF85">
        <f t="shared" si="42"/>
        <v>2.6168959625699036E-2</v>
      </c>
      <c r="AG85" t="s">
        <v>1170</v>
      </c>
    </row>
    <row r="86" spans="1:33" customFormat="1" x14ac:dyDescent="0.3">
      <c r="A86">
        <v>201570</v>
      </c>
      <c r="B86" t="s">
        <v>440</v>
      </c>
      <c r="C86" t="s">
        <v>1154</v>
      </c>
      <c r="D86" t="s">
        <v>634</v>
      </c>
      <c r="E86" s="21">
        <v>5.7</v>
      </c>
      <c r="F86" s="2">
        <f t="shared" si="28"/>
        <v>0.55555555555555558</v>
      </c>
      <c r="G86" s="26">
        <v>60.944759999999995</v>
      </c>
      <c r="H86">
        <f t="shared" si="29"/>
        <v>0.62477994988208629</v>
      </c>
      <c r="I86" s="12">
        <v>44.4</v>
      </c>
      <c r="J86" s="2">
        <f t="shared" si="30"/>
        <v>0.18671152228763666</v>
      </c>
      <c r="K86" s="10">
        <v>0</v>
      </c>
      <c r="L86" s="2">
        <f t="shared" si="31"/>
        <v>0</v>
      </c>
      <c r="M86">
        <v>39341</v>
      </c>
      <c r="N86">
        <f t="shared" si="32"/>
        <v>0.18500801975841366</v>
      </c>
      <c r="O86" s="10">
        <v>0.90397899299999995</v>
      </c>
      <c r="P86">
        <f t="shared" si="33"/>
        <v>0.90007613627994332</v>
      </c>
      <c r="Q86" s="23">
        <v>0.37219999999999998</v>
      </c>
      <c r="R86" s="13">
        <f t="shared" si="34"/>
        <v>0.80597661325249026</v>
      </c>
      <c r="S86">
        <f t="shared" si="35"/>
        <v>0.13459903890584649</v>
      </c>
      <c r="T86" s="14">
        <f t="shared" si="23"/>
        <v>0.24018541880468916</v>
      </c>
      <c r="U86" t="str">
        <f t="shared" si="36"/>
        <v>Low</v>
      </c>
      <c r="V86">
        <f t="shared" si="37"/>
        <v>0.12717505663773376</v>
      </c>
      <c r="W86">
        <f t="shared" si="24"/>
        <v>0.20572257920033507</v>
      </c>
      <c r="X86" t="s">
        <v>1170</v>
      </c>
      <c r="Y86">
        <f t="shared" si="25"/>
        <v>0.14202302117395924</v>
      </c>
      <c r="Z86">
        <f t="shared" si="38"/>
        <v>0.25853940770568917</v>
      </c>
      <c r="AA86" t="str">
        <f t="shared" si="39"/>
        <v>Low</v>
      </c>
      <c r="AB86">
        <f t="shared" si="26"/>
        <v>9.7335522127521057E-2</v>
      </c>
      <c r="AC86">
        <f t="shared" si="40"/>
        <v>0.23790540691410234</v>
      </c>
      <c r="AD86" t="str">
        <f t="shared" si="41"/>
        <v>Low</v>
      </c>
      <c r="AE86">
        <f t="shared" si="27"/>
        <v>2.9192417006075614E-2</v>
      </c>
      <c r="AF86">
        <f t="shared" si="42"/>
        <v>0.17625865934912013</v>
      </c>
      <c r="AG86" t="s">
        <v>1169</v>
      </c>
    </row>
    <row r="87" spans="1:33" customFormat="1" x14ac:dyDescent="0.3">
      <c r="A87">
        <v>201574</v>
      </c>
      <c r="B87" t="s">
        <v>443</v>
      </c>
      <c r="C87" t="s">
        <v>1154</v>
      </c>
      <c r="D87" t="s">
        <v>635</v>
      </c>
      <c r="E87" s="21">
        <v>5.5</v>
      </c>
      <c r="F87" s="2">
        <f t="shared" si="28"/>
        <v>0.51111111111111107</v>
      </c>
      <c r="G87" s="26">
        <v>64.785600000000002</v>
      </c>
      <c r="H87">
        <f t="shared" si="29"/>
        <v>0.66415462003756998</v>
      </c>
      <c r="I87" s="12">
        <v>49.4</v>
      </c>
      <c r="J87" s="2">
        <f t="shared" si="30"/>
        <v>0.20773759461732547</v>
      </c>
      <c r="K87" s="10">
        <v>0</v>
      </c>
      <c r="L87" s="2">
        <f t="shared" si="31"/>
        <v>0</v>
      </c>
      <c r="M87">
        <v>34140</v>
      </c>
      <c r="N87">
        <f t="shared" si="32"/>
        <v>0.16039989969387708</v>
      </c>
      <c r="O87" s="10">
        <v>0.88721162600000003</v>
      </c>
      <c r="P87">
        <f t="shared" si="33"/>
        <v>0.88161042272411305</v>
      </c>
      <c r="Q87" s="23">
        <v>0.37519999999999998</v>
      </c>
      <c r="R87" s="13">
        <f t="shared" si="34"/>
        <v>0.81247293200519699</v>
      </c>
      <c r="S87">
        <f t="shared" si="35"/>
        <v>0.13211464009019674</v>
      </c>
      <c r="T87" s="14">
        <f t="shared" si="23"/>
        <v>0.23575213031418132</v>
      </c>
      <c r="U87" t="str">
        <f t="shared" si="36"/>
        <v>Low</v>
      </c>
      <c r="V87">
        <f t="shared" si="37"/>
        <v>0.12672288963259992</v>
      </c>
      <c r="W87">
        <f t="shared" si="24"/>
        <v>0.20499113889289805</v>
      </c>
      <c r="X87" t="s">
        <v>1170</v>
      </c>
      <c r="Y87">
        <f t="shared" si="25"/>
        <v>0.13750639054779357</v>
      </c>
      <c r="Z87">
        <f t="shared" si="38"/>
        <v>0.25031731105359828</v>
      </c>
      <c r="AA87" t="str">
        <f t="shared" si="39"/>
        <v>Low</v>
      </c>
      <c r="AB87">
        <f t="shared" si="26"/>
        <v>9.4361181568741459E-2</v>
      </c>
      <c r="AC87">
        <f t="shared" si="40"/>
        <v>0.23063558716617388</v>
      </c>
      <c r="AD87" t="str">
        <f t="shared" si="41"/>
        <v>Low</v>
      </c>
      <c r="AE87">
        <f t="shared" si="27"/>
        <v>2.5017865808552583E-2</v>
      </c>
      <c r="AF87">
        <f t="shared" si="42"/>
        <v>0.15105345632305564</v>
      </c>
      <c r="AG87" t="s">
        <v>1170</v>
      </c>
    </row>
    <row r="88" spans="1:33" customFormat="1" x14ac:dyDescent="0.3">
      <c r="A88">
        <v>201578</v>
      </c>
      <c r="B88" t="s">
        <v>459</v>
      </c>
      <c r="C88" t="s">
        <v>1154</v>
      </c>
      <c r="D88" t="s">
        <v>636</v>
      </c>
      <c r="E88" s="21">
        <v>5.8</v>
      </c>
      <c r="F88" s="2">
        <f t="shared" si="28"/>
        <v>0.57777777777777772</v>
      </c>
      <c r="G88" s="26">
        <v>91.637280000000004</v>
      </c>
      <c r="H88">
        <f t="shared" si="29"/>
        <v>0.93942670716449961</v>
      </c>
      <c r="I88" s="12">
        <v>60.8</v>
      </c>
      <c r="J88" s="2">
        <f t="shared" si="30"/>
        <v>0.25567703952901594</v>
      </c>
      <c r="K88" s="10">
        <v>0.5</v>
      </c>
      <c r="L88" s="2">
        <f t="shared" si="31"/>
        <v>0.29411764705882354</v>
      </c>
      <c r="M88">
        <v>39476</v>
      </c>
      <c r="N88">
        <f t="shared" si="32"/>
        <v>0.18564676157896978</v>
      </c>
      <c r="O88" s="10">
        <v>0.88188322299999999</v>
      </c>
      <c r="P88">
        <f t="shared" si="33"/>
        <v>0.87574231215505183</v>
      </c>
      <c r="Q88" s="23">
        <v>0.31380000000000002</v>
      </c>
      <c r="R88" s="13">
        <f t="shared" si="34"/>
        <v>0.6795149415331313</v>
      </c>
      <c r="S88">
        <f t="shared" si="35"/>
        <v>0.22757840474547705</v>
      </c>
      <c r="T88" s="14">
        <f t="shared" si="23"/>
        <v>0.40610256134838713</v>
      </c>
      <c r="U88" t="str">
        <f t="shared" si="36"/>
        <v>Moderate</v>
      </c>
      <c r="V88">
        <f t="shared" si="37"/>
        <v>0.19886475504692402</v>
      </c>
      <c r="W88">
        <f t="shared" si="24"/>
        <v>0.32169020719867703</v>
      </c>
      <c r="X88" t="str">
        <f t="shared" si="44"/>
        <v>Moderate</v>
      </c>
      <c r="Y88">
        <f t="shared" si="25"/>
        <v>0.25629205444403014</v>
      </c>
      <c r="Z88">
        <f t="shared" si="38"/>
        <v>0.46655531904558062</v>
      </c>
      <c r="AA88" t="str">
        <f t="shared" si="39"/>
        <v>Moderate</v>
      </c>
      <c r="AB88">
        <f t="shared" si="26"/>
        <v>0.16550606440149568</v>
      </c>
      <c r="AC88">
        <f t="shared" si="40"/>
        <v>0.4045263921901382</v>
      </c>
      <c r="AD88" t="str">
        <f t="shared" si="41"/>
        <v>Moderate</v>
      </c>
      <c r="AE88">
        <f t="shared" si="27"/>
        <v>5.4330810862466487E-2</v>
      </c>
      <c r="AF88">
        <f t="shared" si="42"/>
        <v>0.32803984274326831</v>
      </c>
      <c r="AG88" t="str">
        <f t="shared" si="43"/>
        <v>Moderate</v>
      </c>
    </row>
    <row r="89" spans="1:33" customFormat="1" x14ac:dyDescent="0.3">
      <c r="A89">
        <v>201582</v>
      </c>
      <c r="B89" t="s">
        <v>466</v>
      </c>
      <c r="C89" t="s">
        <v>1154</v>
      </c>
      <c r="D89" t="s">
        <v>637</v>
      </c>
      <c r="E89" s="21">
        <v>5.7</v>
      </c>
      <c r="F89" s="2">
        <f t="shared" si="28"/>
        <v>0.55555555555555558</v>
      </c>
      <c r="G89" s="26">
        <v>61.23060000000001</v>
      </c>
      <c r="H89">
        <f t="shared" si="29"/>
        <v>0.62771026088625304</v>
      </c>
      <c r="I89" s="12">
        <v>45.400000000000006</v>
      </c>
      <c r="J89" s="2">
        <f t="shared" si="30"/>
        <v>0.19091673675357446</v>
      </c>
      <c r="K89" s="10">
        <v>0</v>
      </c>
      <c r="L89" s="2">
        <f t="shared" si="31"/>
        <v>0</v>
      </c>
      <c r="M89">
        <v>40219</v>
      </c>
      <c r="N89">
        <f t="shared" si="32"/>
        <v>0.18916220730247502</v>
      </c>
      <c r="O89" s="10">
        <v>0.88565957200000001</v>
      </c>
      <c r="P89">
        <f t="shared" si="33"/>
        <v>0.87990116303013832</v>
      </c>
      <c r="Q89" s="23">
        <v>0.38100000000000001</v>
      </c>
      <c r="R89" s="13">
        <f t="shared" si="34"/>
        <v>0.82503248159376352</v>
      </c>
      <c r="S89">
        <f t="shared" si="35"/>
        <v>0.13569351353771045</v>
      </c>
      <c r="T89" s="14">
        <f t="shared" si="23"/>
        <v>0.24213845539367432</v>
      </c>
      <c r="U89" t="str">
        <f t="shared" si="36"/>
        <v>Low</v>
      </c>
      <c r="V89">
        <f t="shared" si="37"/>
        <v>0.13132658454269641</v>
      </c>
      <c r="W89">
        <f t="shared" si="24"/>
        <v>0.21243822809258547</v>
      </c>
      <c r="X89" t="s">
        <v>1170</v>
      </c>
      <c r="Y89">
        <f t="shared" si="25"/>
        <v>0.14006044253272448</v>
      </c>
      <c r="Z89">
        <f t="shared" si="38"/>
        <v>0.2549667198746145</v>
      </c>
      <c r="AA89" t="str">
        <f t="shared" si="39"/>
        <v>Low</v>
      </c>
      <c r="AB89">
        <f t="shared" si="26"/>
        <v>9.8521064018811694E-2</v>
      </c>
      <c r="AC89">
        <f t="shared" si="40"/>
        <v>0.24080308311592821</v>
      </c>
      <c r="AD89" t="str">
        <f t="shared" si="41"/>
        <v>Low</v>
      </c>
      <c r="AE89">
        <f t="shared" si="27"/>
        <v>3.0110361911573173E-2</v>
      </c>
      <c r="AF89">
        <f t="shared" si="42"/>
        <v>0.18180104860608645</v>
      </c>
      <c r="AG89" t="s">
        <v>1169</v>
      </c>
    </row>
    <row r="90" spans="1:33" customFormat="1" x14ac:dyDescent="0.3">
      <c r="A90">
        <v>201586</v>
      </c>
      <c r="B90" t="s">
        <v>494</v>
      </c>
      <c r="C90" t="s">
        <v>1154</v>
      </c>
      <c r="D90" t="s">
        <v>638</v>
      </c>
      <c r="E90" s="21">
        <v>5.8</v>
      </c>
      <c r="F90" s="2">
        <f t="shared" si="28"/>
        <v>0.57777777777777772</v>
      </c>
      <c r="G90" s="26">
        <v>85.096800000000002</v>
      </c>
      <c r="H90">
        <f t="shared" si="29"/>
        <v>0.87237646746210706</v>
      </c>
      <c r="I90" s="12">
        <v>56.300000000000004</v>
      </c>
      <c r="J90" s="2">
        <f t="shared" si="30"/>
        <v>0.23675357443229605</v>
      </c>
      <c r="K90" s="10">
        <v>0.2</v>
      </c>
      <c r="L90" s="2">
        <f t="shared" si="31"/>
        <v>0.11764705882352942</v>
      </c>
      <c r="M90">
        <v>54977</v>
      </c>
      <c r="N90">
        <f t="shared" si="32"/>
        <v>0.25898851684149266</v>
      </c>
      <c r="O90" s="10">
        <v>0.75093842799999999</v>
      </c>
      <c r="P90">
        <f t="shared" si="33"/>
        <v>0.73153427543128147</v>
      </c>
      <c r="Q90" s="23">
        <v>0.3886</v>
      </c>
      <c r="R90" s="13">
        <f t="shared" si="34"/>
        <v>0.84148982243395409</v>
      </c>
      <c r="S90">
        <f t="shared" si="35"/>
        <v>0.19244604797018616</v>
      </c>
      <c r="T90" s="14">
        <f t="shared" si="23"/>
        <v>0.34341058453886714</v>
      </c>
      <c r="U90" t="str">
        <f t="shared" si="36"/>
        <v>Moderate</v>
      </c>
      <c r="V90">
        <f t="shared" si="37"/>
        <v>0.20589816895280905</v>
      </c>
      <c r="W90">
        <f t="shared" si="24"/>
        <v>0.33306769023313598</v>
      </c>
      <c r="X90" t="str">
        <f t="shared" si="44"/>
        <v>Moderate</v>
      </c>
      <c r="Y90">
        <f t="shared" si="25"/>
        <v>0.17899392698756325</v>
      </c>
      <c r="Z90">
        <f t="shared" si="38"/>
        <v>0.32584142685992334</v>
      </c>
      <c r="AA90" t="str">
        <f t="shared" si="39"/>
        <v>Moderate</v>
      </c>
      <c r="AB90">
        <f t="shared" si="26"/>
        <v>0.14794205858763326</v>
      </c>
      <c r="AC90">
        <f t="shared" si="40"/>
        <v>0.36159682383877956</v>
      </c>
      <c r="AD90" t="str">
        <f t="shared" si="41"/>
        <v>Moderate</v>
      </c>
      <c r="AE90">
        <f t="shared" si="27"/>
        <v>6.3370061022517507E-2</v>
      </c>
      <c r="AF90">
        <f t="shared" si="42"/>
        <v>0.38261723914043277</v>
      </c>
      <c r="AG90" t="str">
        <f t="shared" si="43"/>
        <v>Moderate</v>
      </c>
    </row>
    <row r="91" spans="1:33" customFormat="1" x14ac:dyDescent="0.3">
      <c r="A91">
        <v>201909</v>
      </c>
      <c r="B91" t="s">
        <v>52</v>
      </c>
      <c r="C91" t="s">
        <v>1155</v>
      </c>
      <c r="D91" t="s">
        <v>639</v>
      </c>
      <c r="E91" s="21">
        <v>4.4000000000000004</v>
      </c>
      <c r="F91" s="2">
        <f t="shared" si="28"/>
        <v>0.26666666666666672</v>
      </c>
      <c r="G91" s="26">
        <v>49.066920000000003</v>
      </c>
      <c r="H91">
        <f t="shared" si="29"/>
        <v>0.50301334878451143</v>
      </c>
      <c r="I91" s="12">
        <v>89.399999999999991</v>
      </c>
      <c r="J91" s="2">
        <f t="shared" si="30"/>
        <v>0.37594617325483592</v>
      </c>
      <c r="K91" s="10">
        <v>0</v>
      </c>
      <c r="L91" s="2">
        <f t="shared" si="31"/>
        <v>0</v>
      </c>
      <c r="M91">
        <v>52813</v>
      </c>
      <c r="N91">
        <f t="shared" si="32"/>
        <v>0.24874972202902254</v>
      </c>
      <c r="O91" s="10">
        <v>0.95209893899999998</v>
      </c>
      <c r="P91">
        <f t="shared" si="33"/>
        <v>0.95307009407653887</v>
      </c>
      <c r="Q91" s="23">
        <v>0.35060000000000002</v>
      </c>
      <c r="R91" s="13">
        <f t="shared" si="34"/>
        <v>0.75920311823300135</v>
      </c>
      <c r="S91">
        <f t="shared" si="35"/>
        <v>7.0234212733644011E-2</v>
      </c>
      <c r="T91" s="14">
        <f t="shared" si="23"/>
        <v>0.12532952639913078</v>
      </c>
      <c r="U91" t="str">
        <f t="shared" si="36"/>
        <v>No Impact</v>
      </c>
      <c r="V91">
        <f t="shared" si="37"/>
        <v>6.22821555937337E-2</v>
      </c>
      <c r="W91">
        <f t="shared" si="24"/>
        <v>0.10074967549177256</v>
      </c>
      <c r="X91" t="s">
        <v>1170</v>
      </c>
      <c r="Y91">
        <f t="shared" si="25"/>
        <v>7.8186269873554315E-2</v>
      </c>
      <c r="Z91">
        <f t="shared" si="38"/>
        <v>0.1423306710189341</v>
      </c>
      <c r="AA91" t="str">
        <f t="shared" si="39"/>
        <v>No Impact</v>
      </c>
      <c r="AB91">
        <f t="shared" si="26"/>
        <v>5.239690602142006E-2</v>
      </c>
      <c r="AC91">
        <f t="shared" si="40"/>
        <v>0.12806740001594308</v>
      </c>
      <c r="AD91" t="str">
        <f t="shared" si="41"/>
        <v>No Impact</v>
      </c>
      <c r="AE91">
        <f t="shared" si="27"/>
        <v>2.0406487432991352E-2</v>
      </c>
      <c r="AF91">
        <f t="shared" si="42"/>
        <v>0.12321076792699771</v>
      </c>
      <c r="AG91" t="s">
        <v>1170</v>
      </c>
    </row>
    <row r="92" spans="1:33" customFormat="1" x14ac:dyDescent="0.3">
      <c r="A92">
        <v>201915</v>
      </c>
      <c r="B92" t="s">
        <v>88</v>
      </c>
      <c r="C92" t="s">
        <v>1155</v>
      </c>
      <c r="D92" t="s">
        <v>640</v>
      </c>
      <c r="E92" s="21">
        <v>4.4000000000000004</v>
      </c>
      <c r="F92" s="2">
        <f t="shared" si="28"/>
        <v>0.26666666666666672</v>
      </c>
      <c r="G92" s="26">
        <v>47.517479999999999</v>
      </c>
      <c r="H92">
        <f t="shared" si="29"/>
        <v>0.48712914404656016</v>
      </c>
      <c r="I92" s="12">
        <v>85.6</v>
      </c>
      <c r="J92" s="2">
        <f t="shared" si="30"/>
        <v>0.35996635828427248</v>
      </c>
      <c r="K92" s="10">
        <v>0</v>
      </c>
      <c r="L92" s="2">
        <f t="shared" si="31"/>
        <v>0</v>
      </c>
      <c r="M92">
        <v>14956</v>
      </c>
      <c r="N92">
        <f t="shared" si="32"/>
        <v>6.9632321282404319E-2</v>
      </c>
      <c r="O92" s="10">
        <v>0.85900518000000003</v>
      </c>
      <c r="P92">
        <f t="shared" si="33"/>
        <v>0.85054697953330083</v>
      </c>
      <c r="Q92" s="23">
        <v>0.32940000000000003</v>
      </c>
      <c r="R92" s="13">
        <f t="shared" si="34"/>
        <v>0.71329579904720664</v>
      </c>
      <c r="S92">
        <f t="shared" si="35"/>
        <v>6.1820461924111336E-2</v>
      </c>
      <c r="T92" s="14">
        <f t="shared" si="23"/>
        <v>0.11031559852614269</v>
      </c>
      <c r="U92" t="str">
        <f t="shared" si="36"/>
        <v>No Impact</v>
      </c>
      <c r="V92">
        <f t="shared" si="37"/>
        <v>5.6394768565740848E-2</v>
      </c>
      <c r="W92">
        <f t="shared" si="24"/>
        <v>9.1226043451258718E-2</v>
      </c>
      <c r="X92" t="s">
        <v>1170</v>
      </c>
      <c r="Y92">
        <f t="shared" si="25"/>
        <v>6.7246155282481831E-2</v>
      </c>
      <c r="Z92">
        <f t="shared" si="38"/>
        <v>0.12241523249897913</v>
      </c>
      <c r="AA92" t="str">
        <f t="shared" si="39"/>
        <v>No Impact</v>
      </c>
      <c r="AB92">
        <f t="shared" si="26"/>
        <v>4.1838866304476391E-2</v>
      </c>
      <c r="AC92">
        <f t="shared" si="40"/>
        <v>0.10226166455398128</v>
      </c>
      <c r="AD92" t="str">
        <f t="shared" si="41"/>
        <v>No Impact</v>
      </c>
      <c r="AE92">
        <f t="shared" si="27"/>
        <v>5.5052877763501536E-3</v>
      </c>
      <c r="AF92">
        <f t="shared" si="42"/>
        <v>3.3239955519566045E-2</v>
      </c>
      <c r="AG92" t="s">
        <v>1170</v>
      </c>
    </row>
    <row r="93" spans="1:33" customFormat="1" x14ac:dyDescent="0.3">
      <c r="A93">
        <v>201918</v>
      </c>
      <c r="B93" t="s">
        <v>91</v>
      </c>
      <c r="C93" t="s">
        <v>1155</v>
      </c>
      <c r="D93" t="s">
        <v>641</v>
      </c>
      <c r="E93" s="21">
        <v>4.3</v>
      </c>
      <c r="F93" s="2">
        <f t="shared" si="28"/>
        <v>0.24444444444444435</v>
      </c>
      <c r="G93" s="26">
        <v>45.369</v>
      </c>
      <c r="H93">
        <f t="shared" si="29"/>
        <v>0.46510383413111106</v>
      </c>
      <c r="I93" s="12">
        <v>85.6</v>
      </c>
      <c r="J93" s="2">
        <f t="shared" si="30"/>
        <v>0.35996635828427248</v>
      </c>
      <c r="K93" s="10">
        <v>0</v>
      </c>
      <c r="L93" s="2">
        <f t="shared" si="31"/>
        <v>0</v>
      </c>
      <c r="M93">
        <v>36049</v>
      </c>
      <c r="N93">
        <f t="shared" si="32"/>
        <v>0.16943218217863007</v>
      </c>
      <c r="O93" s="10">
        <v>0.842859162</v>
      </c>
      <c r="P93">
        <f t="shared" si="33"/>
        <v>0.83276555067477576</v>
      </c>
      <c r="Q93" s="23">
        <v>0.32790000000000002</v>
      </c>
      <c r="R93" s="13">
        <f t="shared" si="34"/>
        <v>0.71004763967085327</v>
      </c>
      <c r="S93">
        <f t="shared" si="35"/>
        <v>5.445308141005465E-2</v>
      </c>
      <c r="T93" s="14">
        <f t="shared" si="23"/>
        <v>9.7168867400521344E-2</v>
      </c>
      <c r="U93" t="str">
        <f t="shared" si="36"/>
        <v>No Impact</v>
      </c>
      <c r="V93">
        <f t="shared" si="37"/>
        <v>5.0121793318804009E-2</v>
      </c>
      <c r="W93">
        <f t="shared" si="24"/>
        <v>8.1078671150605797E-2</v>
      </c>
      <c r="X93" t="s">
        <v>1170</v>
      </c>
      <c r="Y93">
        <f t="shared" si="25"/>
        <v>5.8784369501305292E-2</v>
      </c>
      <c r="Z93">
        <f t="shared" si="38"/>
        <v>0.10701135595900496</v>
      </c>
      <c r="AA93" t="str">
        <f t="shared" si="39"/>
        <v>No Impact</v>
      </c>
      <c r="AB93">
        <f t="shared" si="26"/>
        <v>3.9363975504120095E-2</v>
      </c>
      <c r="AC93">
        <f t="shared" si="40"/>
        <v>9.6212589251797681E-2</v>
      </c>
      <c r="AD93" t="str">
        <f t="shared" si="41"/>
        <v>No Impact</v>
      </c>
      <c r="AE93">
        <f t="shared" si="27"/>
        <v>1.1960105691848893E-2</v>
      </c>
      <c r="AF93">
        <f t="shared" si="42"/>
        <v>7.2213006359847787E-2</v>
      </c>
      <c r="AG93" t="s">
        <v>1170</v>
      </c>
    </row>
    <row r="94" spans="1:33" customFormat="1" x14ac:dyDescent="0.3">
      <c r="A94">
        <v>201927</v>
      </c>
      <c r="B94" t="s">
        <v>97</v>
      </c>
      <c r="C94" t="s">
        <v>1155</v>
      </c>
      <c r="D94" t="s">
        <v>642</v>
      </c>
      <c r="E94" s="21">
        <v>3.8</v>
      </c>
      <c r="F94" s="2">
        <f t="shared" si="28"/>
        <v>0.13333333333333325</v>
      </c>
      <c r="G94" s="26">
        <v>52.60716</v>
      </c>
      <c r="H94">
        <f t="shared" si="29"/>
        <v>0.53930639464720009</v>
      </c>
      <c r="I94" s="12">
        <v>90.1</v>
      </c>
      <c r="J94" s="2">
        <f t="shared" si="30"/>
        <v>0.37888982338099236</v>
      </c>
      <c r="K94" s="10">
        <v>0</v>
      </c>
      <c r="L94" s="2">
        <f t="shared" si="31"/>
        <v>0</v>
      </c>
      <c r="M94">
        <v>52969</v>
      </c>
      <c r="N94">
        <f t="shared" si="32"/>
        <v>0.24948782368833183</v>
      </c>
      <c r="O94" s="10">
        <v>0.86641621099999999</v>
      </c>
      <c r="P94">
        <f t="shared" si="33"/>
        <v>0.85870866500242538</v>
      </c>
      <c r="Q94" s="23">
        <v>0.31480000000000002</v>
      </c>
      <c r="R94" s="13">
        <f t="shared" si="34"/>
        <v>0.68168038111736684</v>
      </c>
      <c r="S94">
        <f t="shared" si="35"/>
        <v>3.3002185916915762E-2</v>
      </c>
      <c r="T94" s="14">
        <f t="shared" si="23"/>
        <v>5.8890790828524428E-2</v>
      </c>
      <c r="U94" t="str">
        <f t="shared" si="36"/>
        <v>No Impact</v>
      </c>
      <c r="V94">
        <f t="shared" si="37"/>
        <v>2.9209429566145854E-2</v>
      </c>
      <c r="W94">
        <f t="shared" si="24"/>
        <v>4.7250139659345144E-2</v>
      </c>
      <c r="X94" t="s">
        <v>1170</v>
      </c>
      <c r="Y94">
        <f t="shared" si="25"/>
        <v>3.6794942267685676E-2</v>
      </c>
      <c r="Z94">
        <f t="shared" si="38"/>
        <v>6.6981694248007859E-2</v>
      </c>
      <c r="AA94" t="str">
        <f t="shared" si="39"/>
        <v>No Impact</v>
      </c>
      <c r="AB94">
        <f t="shared" si="26"/>
        <v>2.5003403038983688E-2</v>
      </c>
      <c r="AC94">
        <f t="shared" si="40"/>
        <v>6.1112784358762162E-2</v>
      </c>
      <c r="AD94" t="str">
        <f t="shared" si="41"/>
        <v>No Impact</v>
      </c>
      <c r="AE94">
        <f t="shared" si="27"/>
        <v>1.0690342887219829E-2</v>
      </c>
      <c r="AF94">
        <f t="shared" si="42"/>
        <v>6.4546402748755283E-2</v>
      </c>
      <c r="AG94" t="s">
        <v>1170</v>
      </c>
    </row>
    <row r="95" spans="1:33" customFormat="1" x14ac:dyDescent="0.3">
      <c r="A95">
        <v>201931</v>
      </c>
      <c r="B95" t="s">
        <v>105</v>
      </c>
      <c r="C95" t="s">
        <v>1155</v>
      </c>
      <c r="D95" t="s">
        <v>643</v>
      </c>
      <c r="E95" s="21">
        <v>4.5</v>
      </c>
      <c r="F95" s="2">
        <f t="shared" si="28"/>
        <v>0.28888888888888886</v>
      </c>
      <c r="G95" s="26">
        <v>53.892360000000004</v>
      </c>
      <c r="H95">
        <f t="shared" si="29"/>
        <v>0.55248172246190408</v>
      </c>
      <c r="I95" s="12">
        <v>88.3</v>
      </c>
      <c r="J95" s="2">
        <f t="shared" si="30"/>
        <v>0.37132043734230441</v>
      </c>
      <c r="K95" s="10">
        <v>0</v>
      </c>
      <c r="L95" s="2">
        <f t="shared" si="31"/>
        <v>0</v>
      </c>
      <c r="M95">
        <v>58877</v>
      </c>
      <c r="N95">
        <f t="shared" si="32"/>
        <v>0.27744105832422533</v>
      </c>
      <c r="O95" s="10">
        <v>0.98834520400000003</v>
      </c>
      <c r="P95">
        <f t="shared" si="33"/>
        <v>0.99298769992119662</v>
      </c>
      <c r="Q95" s="23">
        <v>0.33629999999999999</v>
      </c>
      <c r="R95" s="13">
        <f t="shared" si="34"/>
        <v>0.72823733217843223</v>
      </c>
      <c r="S95">
        <f t="shared" si="35"/>
        <v>8.038694310933675E-2</v>
      </c>
      <c r="T95" s="14">
        <f t="shared" si="23"/>
        <v>0.14344657847557715</v>
      </c>
      <c r="U95" t="str">
        <f t="shared" si="36"/>
        <v>No Impact</v>
      </c>
      <c r="V95">
        <f t="shared" si="37"/>
        <v>6.8022218943111806E-2</v>
      </c>
      <c r="W95">
        <f t="shared" si="24"/>
        <v>0.11003499187555948</v>
      </c>
      <c r="X95" t="s">
        <v>1170</v>
      </c>
      <c r="Y95">
        <f t="shared" si="25"/>
        <v>9.2751667275561708E-2</v>
      </c>
      <c r="Z95">
        <f t="shared" si="38"/>
        <v>0.16884559223512524</v>
      </c>
      <c r="AA95" t="str">
        <f t="shared" si="39"/>
        <v>Low</v>
      </c>
      <c r="AB95">
        <f t="shared" si="26"/>
        <v>6.070347199876916E-2</v>
      </c>
      <c r="AC95">
        <f t="shared" si="40"/>
        <v>0.14837013138991209</v>
      </c>
      <c r="AD95" t="str">
        <f t="shared" si="41"/>
        <v>No Impact</v>
      </c>
      <c r="AE95">
        <f t="shared" si="27"/>
        <v>2.5914843388604343E-2</v>
      </c>
      <c r="AF95">
        <f t="shared" si="42"/>
        <v>0.15646924857120137</v>
      </c>
      <c r="AG95" t="s">
        <v>1170</v>
      </c>
    </row>
    <row r="96" spans="1:33" customFormat="1" x14ac:dyDescent="0.3">
      <c r="A96">
        <v>201933</v>
      </c>
      <c r="B96" t="s">
        <v>117</v>
      </c>
      <c r="C96" t="s">
        <v>1155</v>
      </c>
      <c r="D96" t="s">
        <v>644</v>
      </c>
      <c r="E96" s="21">
        <v>4.4000000000000004</v>
      </c>
      <c r="F96" s="2">
        <f t="shared" si="28"/>
        <v>0.26666666666666672</v>
      </c>
      <c r="G96" s="26">
        <v>53.892360000000004</v>
      </c>
      <c r="H96">
        <f t="shared" si="29"/>
        <v>0.55248172246190408</v>
      </c>
      <c r="I96" s="12">
        <v>85.6</v>
      </c>
      <c r="J96" s="2">
        <f t="shared" si="30"/>
        <v>0.35996635828427248</v>
      </c>
      <c r="K96" s="10">
        <v>0</v>
      </c>
      <c r="L96" s="2">
        <f t="shared" si="31"/>
        <v>0</v>
      </c>
      <c r="M96">
        <v>63237</v>
      </c>
      <c r="N96">
        <f t="shared" si="32"/>
        <v>0.2980700534177419</v>
      </c>
      <c r="O96" s="10">
        <v>0.98278746500000003</v>
      </c>
      <c r="P96">
        <f t="shared" si="33"/>
        <v>0.98686702418289696</v>
      </c>
      <c r="Q96" s="23">
        <v>0.35449999999999998</v>
      </c>
      <c r="R96" s="13">
        <f t="shared" si="34"/>
        <v>0.7676483326115201</v>
      </c>
      <c r="S96">
        <f t="shared" si="35"/>
        <v>7.4708861264182094E-2</v>
      </c>
      <c r="T96" s="14">
        <f t="shared" si="23"/>
        <v>0.13331431841583213</v>
      </c>
      <c r="U96" t="str">
        <f t="shared" si="36"/>
        <v>No Impact</v>
      </c>
      <c r="V96">
        <f t="shared" si="37"/>
        <v>6.5374329792742519E-2</v>
      </c>
      <c r="W96">
        <f t="shared" si="24"/>
        <v>0.10575167878058478</v>
      </c>
      <c r="X96" t="s">
        <v>1170</v>
      </c>
      <c r="Y96">
        <f t="shared" si="25"/>
        <v>8.4043392735621669E-2</v>
      </c>
      <c r="Z96">
        <f t="shared" si="38"/>
        <v>0.15299300634387789</v>
      </c>
      <c r="AA96" t="str">
        <f t="shared" si="39"/>
        <v>Low</v>
      </c>
      <c r="AB96">
        <f t="shared" si="26"/>
        <v>5.6978499221664723E-2</v>
      </c>
      <c r="AC96">
        <f t="shared" si="40"/>
        <v>0.13926563238573589</v>
      </c>
      <c r="AD96" t="str">
        <f t="shared" si="41"/>
        <v>No Impact</v>
      </c>
      <c r="AE96">
        <f t="shared" si="27"/>
        <v>2.53841884957667E-2</v>
      </c>
      <c r="AF96">
        <f t="shared" si="42"/>
        <v>0.15326524802650004</v>
      </c>
      <c r="AG96" t="s">
        <v>1170</v>
      </c>
    </row>
    <row r="97" spans="1:33" customFormat="1" x14ac:dyDescent="0.3">
      <c r="A97">
        <v>201936</v>
      </c>
      <c r="B97" t="s">
        <v>130</v>
      </c>
      <c r="C97" t="s">
        <v>1155</v>
      </c>
      <c r="D97" t="s">
        <v>645</v>
      </c>
      <c r="E97" s="21">
        <v>4.3</v>
      </c>
      <c r="F97" s="2">
        <f t="shared" si="28"/>
        <v>0.24444444444444435</v>
      </c>
      <c r="G97" s="26">
        <v>58.049640000000004</v>
      </c>
      <c r="H97">
        <f t="shared" si="29"/>
        <v>0.59510040190285685</v>
      </c>
      <c r="I97" s="12">
        <v>99</v>
      </c>
      <c r="J97" s="2">
        <f t="shared" si="30"/>
        <v>0.41631623212783853</v>
      </c>
      <c r="K97" s="10">
        <v>0</v>
      </c>
      <c r="L97" s="2">
        <f t="shared" si="31"/>
        <v>0</v>
      </c>
      <c r="M97">
        <v>46512</v>
      </c>
      <c r="N97">
        <f t="shared" si="32"/>
        <v>0.21893703898217673</v>
      </c>
      <c r="O97" s="10">
        <v>0.57750674800000001</v>
      </c>
      <c r="P97">
        <f t="shared" si="33"/>
        <v>0.54053590792453809</v>
      </c>
      <c r="Q97" s="23">
        <v>0.2457</v>
      </c>
      <c r="R97" s="13">
        <f t="shared" si="34"/>
        <v>0.53204850584668695</v>
      </c>
      <c r="S97">
        <f t="shared" si="35"/>
        <v>4.6406604581528579E-2</v>
      </c>
      <c r="T97" s="14">
        <f t="shared" si="23"/>
        <v>8.2810322029973266E-2</v>
      </c>
      <c r="U97" t="str">
        <f t="shared" si="36"/>
        <v>No Impact</v>
      </c>
      <c r="V97">
        <f t="shared" si="37"/>
        <v>4.6039387319097527E-2</v>
      </c>
      <c r="W97">
        <f t="shared" si="24"/>
        <v>7.4474836139194034E-2</v>
      </c>
      <c r="X97" t="s">
        <v>1170</v>
      </c>
      <c r="Y97">
        <f t="shared" si="25"/>
        <v>4.6773821843959631E-2</v>
      </c>
      <c r="Z97">
        <f t="shared" si="38"/>
        <v>8.5147295809575779E-2</v>
      </c>
      <c r="AA97" t="str">
        <f t="shared" si="39"/>
        <v>No Impact</v>
      </c>
      <c r="AB97">
        <f t="shared" si="26"/>
        <v>3.6776726974552476E-2</v>
      </c>
      <c r="AC97">
        <f t="shared" si="40"/>
        <v>8.9888891584585365E-2</v>
      </c>
      <c r="AD97" t="str">
        <f t="shared" si="41"/>
        <v>No Impact</v>
      </c>
      <c r="AE97">
        <f t="shared" si="27"/>
        <v>1.8945128170515576E-2</v>
      </c>
      <c r="AF97">
        <f t="shared" si="42"/>
        <v>0.11438733873380033</v>
      </c>
      <c r="AG97" t="s">
        <v>1170</v>
      </c>
    </row>
    <row r="98" spans="1:33" customFormat="1" x14ac:dyDescent="0.3">
      <c r="A98">
        <v>201940</v>
      </c>
      <c r="B98" t="s">
        <v>136</v>
      </c>
      <c r="C98" t="s">
        <v>1155</v>
      </c>
      <c r="D98" t="s">
        <v>646</v>
      </c>
      <c r="E98" s="21">
        <v>4.4000000000000004</v>
      </c>
      <c r="F98" s="2">
        <f t="shared" si="28"/>
        <v>0.26666666666666672</v>
      </c>
      <c r="G98" s="26">
        <v>48.764879999999998</v>
      </c>
      <c r="H98">
        <f t="shared" si="29"/>
        <v>0.49991696221965515</v>
      </c>
      <c r="I98" s="12">
        <v>90.1</v>
      </c>
      <c r="J98" s="2">
        <f t="shared" si="30"/>
        <v>0.37888982338099236</v>
      </c>
      <c r="K98" s="10">
        <v>0</v>
      </c>
      <c r="L98" s="2">
        <f t="shared" si="31"/>
        <v>0</v>
      </c>
      <c r="M98">
        <v>53195</v>
      </c>
      <c r="N98">
        <f t="shared" si="32"/>
        <v>0.25055712481015174</v>
      </c>
      <c r="O98" s="10">
        <v>0.80615409500000001</v>
      </c>
      <c r="P98">
        <f t="shared" si="33"/>
        <v>0.7923426713240963</v>
      </c>
      <c r="Q98" s="23">
        <v>0.32319999999999999</v>
      </c>
      <c r="R98" s="13">
        <f t="shared" si="34"/>
        <v>0.69987007362494591</v>
      </c>
      <c r="S98">
        <f t="shared" si="35"/>
        <v>6.119711200497939E-2</v>
      </c>
      <c r="T98" s="14">
        <f t="shared" si="23"/>
        <v>0.10920326100422839</v>
      </c>
      <c r="U98" t="str">
        <f t="shared" si="36"/>
        <v>No Impact</v>
      </c>
      <c r="V98">
        <f t="shared" si="37"/>
        <v>5.7404719842439882E-2</v>
      </c>
      <c r="W98">
        <f t="shared" si="24"/>
        <v>9.2859774050656374E-2</v>
      </c>
      <c r="X98" t="s">
        <v>1170</v>
      </c>
      <c r="Y98">
        <f t="shared" si="25"/>
        <v>6.4989504167518891E-2</v>
      </c>
      <c r="Z98">
        <f t="shared" si="38"/>
        <v>0.11830721368739312</v>
      </c>
      <c r="AA98" t="str">
        <f t="shared" si="39"/>
        <v>No Impact</v>
      </c>
      <c r="AB98">
        <f t="shared" si="26"/>
        <v>4.6781419042925453E-2</v>
      </c>
      <c r="AC98">
        <f t="shared" si="40"/>
        <v>0.11434214652740327</v>
      </c>
      <c r="AD98" t="str">
        <f t="shared" si="41"/>
        <v>No Impact</v>
      </c>
      <c r="AE98">
        <f t="shared" si="27"/>
        <v>2.0551188136616643E-2</v>
      </c>
      <c r="AF98">
        <f t="shared" si="42"/>
        <v>0.12408444522554274</v>
      </c>
      <c r="AG98" t="s">
        <v>1170</v>
      </c>
    </row>
    <row r="99" spans="1:33" customFormat="1" x14ac:dyDescent="0.3">
      <c r="A99">
        <v>201954</v>
      </c>
      <c r="B99" t="s">
        <v>211</v>
      </c>
      <c r="C99" t="s">
        <v>1155</v>
      </c>
      <c r="D99" t="s">
        <v>647</v>
      </c>
      <c r="E99" s="21">
        <v>4.4000000000000004</v>
      </c>
      <c r="F99" s="2">
        <f t="shared" si="28"/>
        <v>0.26666666666666672</v>
      </c>
      <c r="G99" s="26">
        <v>55.351440000000004</v>
      </c>
      <c r="H99">
        <f t="shared" si="29"/>
        <v>0.56743959462800919</v>
      </c>
      <c r="I99" s="12">
        <v>113.19999999999999</v>
      </c>
      <c r="J99" s="2">
        <f t="shared" si="30"/>
        <v>0.47603027754415467</v>
      </c>
      <c r="K99" s="10">
        <v>0</v>
      </c>
      <c r="L99" s="2">
        <f t="shared" si="31"/>
        <v>0</v>
      </c>
      <c r="M99">
        <v>23236</v>
      </c>
      <c r="N99">
        <f t="shared" si="32"/>
        <v>0.1088084862765137</v>
      </c>
      <c r="O99" s="10">
        <v>0.643845801</v>
      </c>
      <c r="P99">
        <f t="shared" si="33"/>
        <v>0.61359436428581726</v>
      </c>
      <c r="Q99" s="23">
        <v>0.25950000000000001</v>
      </c>
      <c r="R99" s="13">
        <f t="shared" si="34"/>
        <v>0.56193157210913813</v>
      </c>
      <c r="S99">
        <f t="shared" si="35"/>
        <v>5.7242541933971672E-2</v>
      </c>
      <c r="T99" s="14">
        <f t="shared" si="23"/>
        <v>0.10214652362765697</v>
      </c>
      <c r="U99" t="str">
        <f t="shared" si="36"/>
        <v>No Impact</v>
      </c>
      <c r="V99">
        <f t="shared" si="37"/>
        <v>5.4726808800367711E-2</v>
      </c>
      <c r="W99">
        <f t="shared" si="24"/>
        <v>8.8527896550389659E-2</v>
      </c>
      <c r="X99" t="s">
        <v>1170</v>
      </c>
      <c r="Y99">
        <f t="shared" si="25"/>
        <v>5.9758275067575646E-2</v>
      </c>
      <c r="Z99">
        <f t="shared" si="38"/>
        <v>0.10878425845173816</v>
      </c>
      <c r="AA99" t="str">
        <f t="shared" si="39"/>
        <v>No Impact</v>
      </c>
      <c r="AB99">
        <f t="shared" si="26"/>
        <v>4.0790785924430611E-2</v>
      </c>
      <c r="AC99">
        <f t="shared" si="40"/>
        <v>9.9699968845740172E-2</v>
      </c>
      <c r="AD99" t="str">
        <f t="shared" si="41"/>
        <v>No Impact</v>
      </c>
      <c r="AE99">
        <f t="shared" si="27"/>
        <v>1.0596915211512037E-2</v>
      </c>
      <c r="AF99">
        <f t="shared" si="42"/>
        <v>6.3982302939447525E-2</v>
      </c>
      <c r="AG99" t="s">
        <v>1170</v>
      </c>
    </row>
    <row r="100" spans="1:33" customFormat="1" x14ac:dyDescent="0.3">
      <c r="A100">
        <v>201967</v>
      </c>
      <c r="B100" t="s">
        <v>116</v>
      </c>
      <c r="C100" t="s">
        <v>1155</v>
      </c>
      <c r="D100" t="s">
        <v>648</v>
      </c>
      <c r="E100" s="21">
        <v>4.4000000000000004</v>
      </c>
      <c r="F100" s="2">
        <f t="shared" si="28"/>
        <v>0.26666666666666672</v>
      </c>
      <c r="G100" s="26">
        <v>48.037680000000002</v>
      </c>
      <c r="H100">
        <f t="shared" si="29"/>
        <v>0.49246201482870228</v>
      </c>
      <c r="I100" s="12">
        <v>85.6</v>
      </c>
      <c r="J100" s="2">
        <f t="shared" si="30"/>
        <v>0.35996635828427248</v>
      </c>
      <c r="K100" s="10">
        <v>0</v>
      </c>
      <c r="L100" s="2">
        <f t="shared" si="31"/>
        <v>0</v>
      </c>
      <c r="M100">
        <v>64652</v>
      </c>
      <c r="N100">
        <f t="shared" si="32"/>
        <v>0.30476501398134875</v>
      </c>
      <c r="O100" s="10">
        <v>0.944552842</v>
      </c>
      <c r="P100">
        <f t="shared" si="33"/>
        <v>0.94475966193376348</v>
      </c>
      <c r="Q100" s="23">
        <v>0.31680000000000003</v>
      </c>
      <c r="R100" s="13">
        <f t="shared" si="34"/>
        <v>0.68601126028583814</v>
      </c>
      <c r="S100">
        <f t="shared" si="35"/>
        <v>6.48720521935547E-2</v>
      </c>
      <c r="T100" s="14">
        <f t="shared" si="23"/>
        <v>0.11576101249673779</v>
      </c>
      <c r="U100" t="str">
        <f t="shared" si="36"/>
        <v>No Impact</v>
      </c>
      <c r="V100">
        <f t="shared" si="37"/>
        <v>5.4579043170646269E-2</v>
      </c>
      <c r="W100">
        <f t="shared" si="24"/>
        <v>8.8288865978930597E-2</v>
      </c>
      <c r="X100" t="s">
        <v>1170</v>
      </c>
      <c r="Y100">
        <f t="shared" si="25"/>
        <v>7.5165061216463144E-2</v>
      </c>
      <c r="Z100">
        <f t="shared" si="38"/>
        <v>0.1368308478895352</v>
      </c>
      <c r="AA100" t="str">
        <f t="shared" si="39"/>
        <v>No Impact</v>
      </c>
      <c r="AB100">
        <f t="shared" si="26"/>
        <v>5.0138668079627684E-2</v>
      </c>
      <c r="AC100">
        <f t="shared" si="40"/>
        <v>0.12254786300922602</v>
      </c>
      <c r="AD100" t="str">
        <f t="shared" si="41"/>
        <v>No Impact</v>
      </c>
      <c r="AE100">
        <f t="shared" si="27"/>
        <v>2.4247098871321589E-2</v>
      </c>
      <c r="AF100">
        <f t="shared" si="42"/>
        <v>0.14639970165112534</v>
      </c>
      <c r="AG100" t="s">
        <v>1170</v>
      </c>
    </row>
    <row r="101" spans="1:33" customFormat="1" x14ac:dyDescent="0.3">
      <c r="A101">
        <v>201972</v>
      </c>
      <c r="B101" t="s">
        <v>297</v>
      </c>
      <c r="C101" t="s">
        <v>1155</v>
      </c>
      <c r="D101" t="s">
        <v>649</v>
      </c>
      <c r="E101" s="21">
        <v>4.4000000000000004</v>
      </c>
      <c r="F101" s="2">
        <f t="shared" si="28"/>
        <v>0.26666666666666672</v>
      </c>
      <c r="G101" s="26">
        <v>51.282720000000005</v>
      </c>
      <c r="H101">
        <f t="shared" si="29"/>
        <v>0.52572879491882596</v>
      </c>
      <c r="I101" s="12">
        <v>82</v>
      </c>
      <c r="J101" s="2">
        <f t="shared" si="30"/>
        <v>0.34482758620689652</v>
      </c>
      <c r="K101" s="10">
        <v>0</v>
      </c>
      <c r="L101" s="2">
        <f t="shared" si="31"/>
        <v>0</v>
      </c>
      <c r="M101">
        <v>22886</v>
      </c>
      <c r="N101">
        <f t="shared" si="32"/>
        <v>0.10715248896396076</v>
      </c>
      <c r="O101" s="10">
        <v>0.96014469499999999</v>
      </c>
      <c r="P101">
        <f t="shared" si="33"/>
        <v>0.96193079508201595</v>
      </c>
      <c r="Q101" s="23">
        <v>0.30080000000000001</v>
      </c>
      <c r="R101" s="13">
        <f t="shared" si="34"/>
        <v>0.6513642269380685</v>
      </c>
      <c r="S101">
        <f t="shared" si="35"/>
        <v>6.5541666216037547E-2</v>
      </c>
      <c r="T101" s="14">
        <f t="shared" si="23"/>
        <v>0.11695590605418761</v>
      </c>
      <c r="U101" t="str">
        <f t="shared" si="36"/>
        <v>No Impact</v>
      </c>
      <c r="V101">
        <f t="shared" si="37"/>
        <v>5.2924599858476147E-2</v>
      </c>
      <c r="W101">
        <f t="shared" si="24"/>
        <v>8.5612583739954215E-2</v>
      </c>
      <c r="X101" t="s">
        <v>1170</v>
      </c>
      <c r="Y101">
        <f t="shared" si="25"/>
        <v>7.8158732573598941E-2</v>
      </c>
      <c r="Z101">
        <f t="shared" si="38"/>
        <v>0.14228054198237772</v>
      </c>
      <c r="AA101" t="str">
        <f t="shared" si="39"/>
        <v>No Impact</v>
      </c>
      <c r="AB101">
        <f t="shared" si="26"/>
        <v>4.5018450967901601E-2</v>
      </c>
      <c r="AC101">
        <f t="shared" si="40"/>
        <v>0.11003313756440997</v>
      </c>
      <c r="AD101" t="str">
        <f t="shared" si="41"/>
        <v>No Impact</v>
      </c>
      <c r="AE101">
        <f t="shared" si="27"/>
        <v>8.7063464153007628E-3</v>
      </c>
      <c r="AF101">
        <f t="shared" si="42"/>
        <v>5.2567382367501504E-2</v>
      </c>
      <c r="AG101" t="s">
        <v>1170</v>
      </c>
    </row>
    <row r="102" spans="1:33" customFormat="1" x14ac:dyDescent="0.3">
      <c r="A102">
        <v>201974</v>
      </c>
      <c r="B102" t="s">
        <v>325</v>
      </c>
      <c r="C102" t="s">
        <v>1155</v>
      </c>
      <c r="D102" t="s">
        <v>650</v>
      </c>
      <c r="E102" s="21">
        <v>4.4000000000000004</v>
      </c>
      <c r="F102" s="2">
        <f t="shared" si="28"/>
        <v>0.26666666666666672</v>
      </c>
      <c r="G102" s="26">
        <v>56.46564</v>
      </c>
      <c r="H102">
        <f t="shared" si="29"/>
        <v>0.57886190263543458</v>
      </c>
      <c r="I102" s="12">
        <v>89.1</v>
      </c>
      <c r="J102" s="2">
        <f t="shared" si="30"/>
        <v>0.37468460891505462</v>
      </c>
      <c r="K102" s="10">
        <v>0</v>
      </c>
      <c r="L102" s="2">
        <f t="shared" si="31"/>
        <v>0</v>
      </c>
      <c r="M102">
        <v>12259</v>
      </c>
      <c r="N102">
        <f t="shared" si="32"/>
        <v>5.6871679133960719E-2</v>
      </c>
      <c r="O102" s="10">
        <v>0.98073687799999998</v>
      </c>
      <c r="P102">
        <f t="shared" si="33"/>
        <v>0.98460873567741414</v>
      </c>
      <c r="Q102" s="23">
        <v>0.26600000000000001</v>
      </c>
      <c r="R102" s="13">
        <f t="shared" si="34"/>
        <v>0.57600692940666964</v>
      </c>
      <c r="S102">
        <f t="shared" si="35"/>
        <v>6.9445582421225491E-2</v>
      </c>
      <c r="T102" s="14">
        <f t="shared" si="23"/>
        <v>0.12392225407824287</v>
      </c>
      <c r="U102" t="str">
        <f t="shared" si="36"/>
        <v>No Impact</v>
      </c>
      <c r="V102">
        <f t="shared" si="37"/>
        <v>5.1263277162032959E-2</v>
      </c>
      <c r="W102">
        <f t="shared" si="24"/>
        <v>8.2925173181373477E-2</v>
      </c>
      <c r="X102" t="s">
        <v>1170</v>
      </c>
      <c r="Y102">
        <f t="shared" si="25"/>
        <v>8.7627887680418043E-2</v>
      </c>
      <c r="Z102">
        <f t="shared" si="38"/>
        <v>0.15951823860757242</v>
      </c>
      <c r="AA102" t="str">
        <f t="shared" si="39"/>
        <v>Low</v>
      </c>
      <c r="AB102">
        <f t="shared" si="26"/>
        <v>4.6002019824814375E-2</v>
      </c>
      <c r="AC102">
        <f t="shared" si="40"/>
        <v>0.11243715558390864</v>
      </c>
      <c r="AD102" t="str">
        <f t="shared" si="41"/>
        <v>No Impact</v>
      </c>
      <c r="AE102">
        <f t="shared" si="27"/>
        <v>5.0614471827926527E-3</v>
      </c>
      <c r="AF102">
        <f t="shared" si="42"/>
        <v>3.0560124385032677E-2</v>
      </c>
      <c r="AG102" t="s">
        <v>1170</v>
      </c>
    </row>
    <row r="103" spans="1:33" customFormat="1" x14ac:dyDescent="0.3">
      <c r="A103">
        <v>201975</v>
      </c>
      <c r="B103" t="s">
        <v>333</v>
      </c>
      <c r="C103" t="s">
        <v>1155</v>
      </c>
      <c r="D103" t="s">
        <v>651</v>
      </c>
      <c r="E103" s="21">
        <v>3.2</v>
      </c>
      <c r="F103" s="2">
        <f t="shared" si="28"/>
        <v>0</v>
      </c>
      <c r="G103" s="26">
        <v>56.377079999999999</v>
      </c>
      <c r="H103">
        <f t="shared" si="29"/>
        <v>0.57795402290366504</v>
      </c>
      <c r="I103" s="12">
        <v>113.19999999999999</v>
      </c>
      <c r="J103" s="2">
        <f t="shared" si="30"/>
        <v>0.47603027754415467</v>
      </c>
      <c r="K103" s="10">
        <v>0</v>
      </c>
      <c r="L103" s="2">
        <f t="shared" si="31"/>
        <v>0</v>
      </c>
      <c r="M103">
        <v>18727</v>
      </c>
      <c r="N103">
        <f t="shared" si="32"/>
        <v>8.7474509469938913E-2</v>
      </c>
      <c r="O103" s="10">
        <v>0.57778389299999999</v>
      </c>
      <c r="P103">
        <f t="shared" si="33"/>
        <v>0.54084112461022471</v>
      </c>
      <c r="Q103" s="23">
        <v>0.24129999999999999</v>
      </c>
      <c r="R103" s="13">
        <f t="shared" si="34"/>
        <v>0.52252057167605026</v>
      </c>
      <c r="S103">
        <f t="shared" si="35"/>
        <v>0</v>
      </c>
      <c r="T103" s="14">
        <f t="shared" si="23"/>
        <v>0</v>
      </c>
      <c r="U103" t="str">
        <f t="shared" si="36"/>
        <v>No Impact</v>
      </c>
      <c r="V103">
        <f t="shared" si="37"/>
        <v>0</v>
      </c>
      <c r="W103">
        <f t="shared" si="24"/>
        <v>0</v>
      </c>
      <c r="X103" t="s">
        <v>1170</v>
      </c>
      <c r="Y103">
        <f t="shared" si="25"/>
        <v>0</v>
      </c>
      <c r="Z103">
        <f t="shared" si="38"/>
        <v>0</v>
      </c>
      <c r="AA103" t="str">
        <f t="shared" si="39"/>
        <v>No Impact</v>
      </c>
      <c r="AB103">
        <f t="shared" si="26"/>
        <v>0</v>
      </c>
      <c r="AC103">
        <f t="shared" si="40"/>
        <v>0</v>
      </c>
      <c r="AD103" t="str">
        <f t="shared" si="41"/>
        <v>No Impact</v>
      </c>
      <c r="AE103">
        <f t="shared" si="27"/>
        <v>0</v>
      </c>
      <c r="AF103">
        <f t="shared" si="42"/>
        <v>0</v>
      </c>
      <c r="AG103" t="s">
        <v>1170</v>
      </c>
    </row>
    <row r="104" spans="1:33" customFormat="1" x14ac:dyDescent="0.3">
      <c r="A104">
        <v>201981</v>
      </c>
      <c r="B104" t="s">
        <v>357</v>
      </c>
      <c r="C104" t="s">
        <v>1155</v>
      </c>
      <c r="D104" t="s">
        <v>652</v>
      </c>
      <c r="E104" s="21">
        <v>4.4000000000000004</v>
      </c>
      <c r="F104" s="2">
        <f t="shared" si="28"/>
        <v>0.26666666666666672</v>
      </c>
      <c r="G104" s="26">
        <v>52.981200000000001</v>
      </c>
      <c r="H104">
        <f t="shared" si="29"/>
        <v>0.54314089481512096</v>
      </c>
      <c r="I104" s="12">
        <v>99.3</v>
      </c>
      <c r="J104" s="2">
        <f t="shared" si="30"/>
        <v>0.41757779646761983</v>
      </c>
      <c r="K104" s="10">
        <v>0</v>
      </c>
      <c r="L104" s="2">
        <f t="shared" si="31"/>
        <v>0</v>
      </c>
      <c r="M104">
        <v>60123</v>
      </c>
      <c r="N104">
        <f t="shared" si="32"/>
        <v>0.28333640875691379</v>
      </c>
      <c r="O104" s="10">
        <v>0.79839812700000001</v>
      </c>
      <c r="P104">
        <f t="shared" si="33"/>
        <v>0.78380111059865942</v>
      </c>
      <c r="Q104" s="23">
        <v>0.27929999999999999</v>
      </c>
      <c r="R104" s="13">
        <f t="shared" si="34"/>
        <v>0.604807275877003</v>
      </c>
      <c r="S104">
        <f t="shared" si="35"/>
        <v>6.2256228148759724E-2</v>
      </c>
      <c r="T104" s="14">
        <f t="shared" si="23"/>
        <v>0.11109320209611562</v>
      </c>
      <c r="U104" t="str">
        <f t="shared" si="36"/>
        <v>No Impact</v>
      </c>
      <c r="V104">
        <f t="shared" si="37"/>
        <v>5.4231301092157833E-2</v>
      </c>
      <c r="W104">
        <f t="shared" si="24"/>
        <v>8.7726346887730913E-2</v>
      </c>
      <c r="X104" t="s">
        <v>1170</v>
      </c>
      <c r="Y104">
        <f t="shared" si="25"/>
        <v>7.0281155205361601E-2</v>
      </c>
      <c r="Z104">
        <f t="shared" si="38"/>
        <v>0.12794016131658986</v>
      </c>
      <c r="AA104" t="str">
        <f t="shared" si="39"/>
        <v>No Impact</v>
      </c>
      <c r="AB104">
        <f t="shared" si="26"/>
        <v>4.8957383681777725E-2</v>
      </c>
      <c r="AC104">
        <f t="shared" si="40"/>
        <v>0.119660592882051</v>
      </c>
      <c r="AD104" t="str">
        <f t="shared" si="41"/>
        <v>No Impact</v>
      </c>
      <c r="AE104">
        <f t="shared" si="27"/>
        <v>2.5405947822611432E-2</v>
      </c>
      <c r="AF104">
        <f t="shared" si="42"/>
        <v>0.15339662699992296</v>
      </c>
      <c r="AG104" t="s">
        <v>1170</v>
      </c>
    </row>
    <row r="105" spans="1:33" customFormat="1" x14ac:dyDescent="0.3">
      <c r="A105">
        <v>201987</v>
      </c>
      <c r="B105" t="s">
        <v>371</v>
      </c>
      <c r="C105" t="s">
        <v>1155</v>
      </c>
      <c r="D105" t="s">
        <v>653</v>
      </c>
      <c r="E105" s="21">
        <v>4.4000000000000004</v>
      </c>
      <c r="F105" s="2">
        <f t="shared" si="28"/>
        <v>0.26666666666666672</v>
      </c>
      <c r="G105" s="26">
        <v>52.827120000000001</v>
      </c>
      <c r="H105">
        <f t="shared" si="29"/>
        <v>0.54156133170456267</v>
      </c>
      <c r="I105" s="12">
        <v>88.3</v>
      </c>
      <c r="J105" s="2">
        <f t="shared" si="30"/>
        <v>0.37132043734230441</v>
      </c>
      <c r="K105" s="10">
        <v>0</v>
      </c>
      <c r="L105" s="2">
        <f t="shared" si="31"/>
        <v>0</v>
      </c>
      <c r="M105">
        <v>33417</v>
      </c>
      <c r="N105">
        <f t="shared" si="32"/>
        <v>0.15697908238823202</v>
      </c>
      <c r="O105" s="10">
        <v>0.95925769699999996</v>
      </c>
      <c r="P105">
        <f t="shared" si="33"/>
        <v>0.96095395411511908</v>
      </c>
      <c r="Q105" s="23">
        <v>0.32940000000000003</v>
      </c>
      <c r="R105" s="13">
        <f t="shared" si="34"/>
        <v>0.71329579904720664</v>
      </c>
      <c r="S105">
        <f t="shared" si="35"/>
        <v>7.1324963569678226E-2</v>
      </c>
      <c r="T105" s="14">
        <f t="shared" si="23"/>
        <v>0.12727591805611507</v>
      </c>
      <c r="U105" t="str">
        <f t="shared" si="36"/>
        <v>No Impact</v>
      </c>
      <c r="V105">
        <f t="shared" si="37"/>
        <v>6.0774441549538524E-2</v>
      </c>
      <c r="W105">
        <f t="shared" si="24"/>
        <v>9.8310747371206111E-2</v>
      </c>
      <c r="X105" t="s">
        <v>1170</v>
      </c>
      <c r="Y105">
        <f t="shared" si="25"/>
        <v>8.1875485589817928E-2</v>
      </c>
      <c r="Z105">
        <f t="shared" si="38"/>
        <v>0.14904653749112404</v>
      </c>
      <c r="AA105" t="str">
        <f t="shared" si="39"/>
        <v>No Impact</v>
      </c>
      <c r="AB105">
        <f t="shared" si="26"/>
        <v>5.0514942738792021E-2</v>
      </c>
      <c r="AC105">
        <f t="shared" si="40"/>
        <v>0.12346754550481769</v>
      </c>
      <c r="AD105" t="str">
        <f t="shared" si="41"/>
        <v>No Impact</v>
      </c>
      <c r="AE105">
        <f t="shared" si="27"/>
        <v>1.3374978627166164E-2</v>
      </c>
      <c r="AF105">
        <f t="shared" si="42"/>
        <v>8.075575931779827E-2</v>
      </c>
      <c r="AG105" t="s">
        <v>1170</v>
      </c>
    </row>
    <row r="106" spans="1:33" customFormat="1" x14ac:dyDescent="0.3">
      <c r="A106">
        <v>201994</v>
      </c>
      <c r="B106" t="s">
        <v>527</v>
      </c>
      <c r="C106" t="s">
        <v>1155</v>
      </c>
      <c r="D106" t="s">
        <v>654</v>
      </c>
      <c r="E106" s="21">
        <v>4.3</v>
      </c>
      <c r="F106" s="2">
        <f t="shared" si="28"/>
        <v>0.24444444444444435</v>
      </c>
      <c r="G106" s="26">
        <v>56.377079999999999</v>
      </c>
      <c r="H106">
        <f t="shared" si="29"/>
        <v>0.57795402290366504</v>
      </c>
      <c r="I106" s="12">
        <v>113.19999999999999</v>
      </c>
      <c r="J106" s="2">
        <f t="shared" si="30"/>
        <v>0.47603027754415467</v>
      </c>
      <c r="K106" s="10">
        <v>0</v>
      </c>
      <c r="L106" s="2">
        <f t="shared" si="31"/>
        <v>0</v>
      </c>
      <c r="M106">
        <v>27825</v>
      </c>
      <c r="N106">
        <f t="shared" si="32"/>
        <v>0.13052097675452914</v>
      </c>
      <c r="O106" s="10">
        <v>0.88093243300000001</v>
      </c>
      <c r="P106">
        <f t="shared" si="33"/>
        <v>0.87469521777274672</v>
      </c>
      <c r="Q106" s="23">
        <v>0.25969999999999999</v>
      </c>
      <c r="R106" s="13">
        <f t="shared" si="34"/>
        <v>0.56236466002598529</v>
      </c>
      <c r="S106">
        <f t="shared" si="35"/>
        <v>6.4792871305697802E-2</v>
      </c>
      <c r="T106" s="14">
        <f t="shared" si="23"/>
        <v>0.11561971806502538</v>
      </c>
      <c r="U106" t="str">
        <f t="shared" si="36"/>
        <v>No Impact</v>
      </c>
      <c r="V106">
        <f t="shared" si="37"/>
        <v>5.0710790283492124E-2</v>
      </c>
      <c r="W106">
        <f t="shared" si="24"/>
        <v>8.2031452127633145E-2</v>
      </c>
      <c r="X106" t="s">
        <v>1170</v>
      </c>
      <c r="Y106">
        <f t="shared" si="25"/>
        <v>7.887495232790348E-2</v>
      </c>
      <c r="Z106">
        <f t="shared" si="38"/>
        <v>0.14358435195300354</v>
      </c>
      <c r="AA106" t="str">
        <f t="shared" si="39"/>
        <v>No Impact</v>
      </c>
      <c r="AB106">
        <f t="shared" si="26"/>
        <v>4.5530631494479466E-2</v>
      </c>
      <c r="AC106">
        <f t="shared" si="40"/>
        <v>0.11128499828211739</v>
      </c>
      <c r="AD106" t="str">
        <f t="shared" si="41"/>
        <v>No Impact</v>
      </c>
      <c r="AE106">
        <f t="shared" si="27"/>
        <v>1.176962627681768E-2</v>
      </c>
      <c r="AF106">
        <f t="shared" si="42"/>
        <v>7.1062925285025544E-2</v>
      </c>
      <c r="AG106" t="s">
        <v>1170</v>
      </c>
    </row>
    <row r="107" spans="1:33" customFormat="1" x14ac:dyDescent="0.3">
      <c r="A107">
        <v>202216</v>
      </c>
      <c r="B107" t="s">
        <v>94</v>
      </c>
      <c r="C107" t="s">
        <v>656</v>
      </c>
      <c r="D107" t="s">
        <v>655</v>
      </c>
      <c r="E107" s="21">
        <v>7.1</v>
      </c>
      <c r="F107" s="2">
        <f t="shared" si="28"/>
        <v>0.86666666666666659</v>
      </c>
      <c r="G107" s="26">
        <v>59.887800000000006</v>
      </c>
      <c r="H107">
        <f t="shared" si="29"/>
        <v>0.61394444218909738</v>
      </c>
      <c r="I107" s="12">
        <v>54.699999999999996</v>
      </c>
      <c r="J107" s="2">
        <f t="shared" si="30"/>
        <v>0.23002523128679558</v>
      </c>
      <c r="K107" s="10">
        <v>0</v>
      </c>
      <c r="L107" s="2">
        <f t="shared" si="31"/>
        <v>0</v>
      </c>
      <c r="M107">
        <v>58413</v>
      </c>
      <c r="N107">
        <f t="shared" si="32"/>
        <v>0.27524567902986946</v>
      </c>
      <c r="O107" s="10">
        <v>0.70760314599999996</v>
      </c>
      <c r="P107">
        <f t="shared" si="33"/>
        <v>0.68380961453054889</v>
      </c>
      <c r="Q107" s="23">
        <v>0.34789999999999999</v>
      </c>
      <c r="R107" s="13">
        <f t="shared" si="34"/>
        <v>0.75335643135556518</v>
      </c>
      <c r="S107">
        <f t="shared" si="35"/>
        <v>0.18396022470236678</v>
      </c>
      <c r="T107" s="14">
        <f t="shared" si="23"/>
        <v>0.3282680468799653</v>
      </c>
      <c r="U107" t="str">
        <f t="shared" si="36"/>
        <v>Moderate</v>
      </c>
      <c r="V107">
        <f t="shared" si="37"/>
        <v>0.19286236101924312</v>
      </c>
      <c r="W107">
        <f t="shared" si="24"/>
        <v>0.31198053603046444</v>
      </c>
      <c r="X107" t="str">
        <f t="shared" si="44"/>
        <v>Moderate</v>
      </c>
      <c r="Y107">
        <f t="shared" si="25"/>
        <v>0.17505808838549045</v>
      </c>
      <c r="Z107">
        <f t="shared" si="38"/>
        <v>0.31867660687092519</v>
      </c>
      <c r="AA107" t="str">
        <f t="shared" si="39"/>
        <v>Moderate</v>
      </c>
      <c r="AB107">
        <f t="shared" si="26"/>
        <v>0.14468166399414617</v>
      </c>
      <c r="AC107">
        <f t="shared" si="40"/>
        <v>0.35362783692105521</v>
      </c>
      <c r="AD107" t="str">
        <f t="shared" si="41"/>
        <v>Moderate</v>
      </c>
      <c r="AE107">
        <f t="shared" si="27"/>
        <v>7.0464031776468428E-2</v>
      </c>
      <c r="AF107">
        <f t="shared" si="42"/>
        <v>0.42544938196344823</v>
      </c>
      <c r="AG107" t="str">
        <f t="shared" si="43"/>
        <v>Moderate</v>
      </c>
    </row>
    <row r="108" spans="1:33" customFormat="1" x14ac:dyDescent="0.3">
      <c r="A108">
        <v>202224</v>
      </c>
      <c r="B108" t="s">
        <v>120</v>
      </c>
      <c r="C108" t="s">
        <v>656</v>
      </c>
      <c r="D108" t="s">
        <v>657</v>
      </c>
      <c r="E108" s="21">
        <v>7.1</v>
      </c>
      <c r="F108" s="2">
        <f t="shared" si="28"/>
        <v>0.86666666666666659</v>
      </c>
      <c r="G108" s="26">
        <v>64.181519999999992</v>
      </c>
      <c r="H108">
        <f t="shared" si="29"/>
        <v>0.65796184690785742</v>
      </c>
      <c r="I108" s="12">
        <v>54.699999999999996</v>
      </c>
      <c r="J108" s="2">
        <f t="shared" si="30"/>
        <v>0.23002523128679558</v>
      </c>
      <c r="K108" s="10">
        <v>0</v>
      </c>
      <c r="L108" s="2">
        <f t="shared" si="31"/>
        <v>0</v>
      </c>
      <c r="M108">
        <v>44313</v>
      </c>
      <c r="N108">
        <f t="shared" si="32"/>
        <v>0.20853264443845132</v>
      </c>
      <c r="O108" s="10">
        <v>0.72987790200000002</v>
      </c>
      <c r="P108">
        <f t="shared" si="33"/>
        <v>0.70834055393337914</v>
      </c>
      <c r="Q108" s="23">
        <v>0.33069999999999999</v>
      </c>
      <c r="R108" s="13">
        <f t="shared" si="34"/>
        <v>0.71611087050671285</v>
      </c>
      <c r="S108">
        <f t="shared" si="35"/>
        <v>0.19184232619351319</v>
      </c>
      <c r="T108" s="14">
        <f t="shared" si="23"/>
        <v>0.34233327247965445</v>
      </c>
      <c r="U108" t="str">
        <f t="shared" si="36"/>
        <v>Moderate</v>
      </c>
      <c r="V108">
        <f t="shared" si="37"/>
        <v>0.19288881720128789</v>
      </c>
      <c r="W108">
        <f t="shared" si="24"/>
        <v>0.31202333242584213</v>
      </c>
      <c r="X108" t="str">
        <f t="shared" si="44"/>
        <v>Moderate</v>
      </c>
      <c r="Y108">
        <f t="shared" si="25"/>
        <v>0.19079583518573859</v>
      </c>
      <c r="Z108">
        <f t="shared" si="38"/>
        <v>0.34732567870959907</v>
      </c>
      <c r="AA108" t="str">
        <f t="shared" si="39"/>
        <v>Moderate</v>
      </c>
      <c r="AB108">
        <f t="shared" si="26"/>
        <v>0.14440917408461529</v>
      </c>
      <c r="AC108">
        <f t="shared" si="40"/>
        <v>0.35296182289667877</v>
      </c>
      <c r="AD108" t="str">
        <f t="shared" si="41"/>
        <v>Moderate</v>
      </c>
      <c r="AE108">
        <f t="shared" si="27"/>
        <v>5.6169535738408452E-2</v>
      </c>
      <c r="AF108">
        <f t="shared" si="42"/>
        <v>0.33914173887875987</v>
      </c>
      <c r="AG108" t="str">
        <f t="shared" si="43"/>
        <v>Moderate</v>
      </c>
    </row>
    <row r="109" spans="1:33" customFormat="1" x14ac:dyDescent="0.3">
      <c r="A109">
        <v>202245</v>
      </c>
      <c r="B109" t="s">
        <v>295</v>
      </c>
      <c r="C109" t="s">
        <v>656</v>
      </c>
      <c r="D109" t="s">
        <v>658</v>
      </c>
      <c r="E109" s="21">
        <v>6.2</v>
      </c>
      <c r="F109" s="2">
        <f t="shared" si="28"/>
        <v>0.66666666666666663</v>
      </c>
      <c r="G109" s="26">
        <v>76.116960000000006</v>
      </c>
      <c r="H109">
        <f t="shared" si="29"/>
        <v>0.78031893888788428</v>
      </c>
      <c r="I109" s="12">
        <v>45.1</v>
      </c>
      <c r="J109" s="2">
        <f t="shared" si="30"/>
        <v>0.18965517241379309</v>
      </c>
      <c r="K109" s="10">
        <v>0</v>
      </c>
      <c r="L109" s="2">
        <f t="shared" si="31"/>
        <v>0</v>
      </c>
      <c r="M109">
        <v>10526</v>
      </c>
      <c r="N109">
        <f t="shared" si="32"/>
        <v>4.8672126726377198E-2</v>
      </c>
      <c r="O109" s="10">
        <v>0.58076928000000005</v>
      </c>
      <c r="P109">
        <f t="shared" si="33"/>
        <v>0.54412889789003072</v>
      </c>
      <c r="Q109" s="23">
        <v>0.22789999999999999</v>
      </c>
      <c r="R109" s="13">
        <f t="shared" si="34"/>
        <v>0.49350368124729321</v>
      </c>
      <c r="S109">
        <f t="shared" si="35"/>
        <v>0.1174222861940792</v>
      </c>
      <c r="T109" s="14">
        <f t="shared" si="23"/>
        <v>0.209534341521245</v>
      </c>
      <c r="U109" t="str">
        <f t="shared" si="36"/>
        <v>Low</v>
      </c>
      <c r="V109">
        <f t="shared" si="37"/>
        <v>0.11169335208312155</v>
      </c>
      <c r="W109">
        <f t="shared" si="24"/>
        <v>0.18067886170103886</v>
      </c>
      <c r="X109" t="s">
        <v>1170</v>
      </c>
      <c r="Y109">
        <f t="shared" si="25"/>
        <v>0.12315122030503685</v>
      </c>
      <c r="Z109">
        <f t="shared" si="38"/>
        <v>0.22418508839421183</v>
      </c>
      <c r="AA109" t="str">
        <f t="shared" si="39"/>
        <v>Low</v>
      </c>
      <c r="AB109">
        <f t="shared" si="26"/>
        <v>7.9893580054707661E-2</v>
      </c>
      <c r="AC109">
        <f t="shared" si="40"/>
        <v>0.19527418415486658</v>
      </c>
      <c r="AD109" t="str">
        <f t="shared" si="41"/>
        <v>Low</v>
      </c>
      <c r="AE109">
        <f t="shared" si="27"/>
        <v>1.1015830668868744E-2</v>
      </c>
      <c r="AF109">
        <f t="shared" si="42"/>
        <v>6.6511640502656122E-2</v>
      </c>
      <c r="AG109" t="s">
        <v>1170</v>
      </c>
    </row>
    <row r="110" spans="1:33" customFormat="1" x14ac:dyDescent="0.3">
      <c r="A110">
        <v>202249</v>
      </c>
      <c r="B110" t="s">
        <v>318</v>
      </c>
      <c r="C110" t="s">
        <v>656</v>
      </c>
      <c r="D110" t="s">
        <v>659</v>
      </c>
      <c r="E110" s="21">
        <v>6.2</v>
      </c>
      <c r="F110" s="2">
        <f t="shared" si="28"/>
        <v>0.66666666666666663</v>
      </c>
      <c r="G110" s="26">
        <v>70.973280000000003</v>
      </c>
      <c r="H110">
        <f t="shared" si="29"/>
        <v>0.72758810308494581</v>
      </c>
      <c r="I110" s="12">
        <v>54.699999999999996</v>
      </c>
      <c r="J110" s="2">
        <f t="shared" si="30"/>
        <v>0.23002523128679558</v>
      </c>
      <c r="K110" s="10">
        <v>0</v>
      </c>
      <c r="L110" s="2">
        <f t="shared" si="31"/>
        <v>0</v>
      </c>
      <c r="M110">
        <v>24265</v>
      </c>
      <c r="N110">
        <f t="shared" si="32"/>
        <v>0.11367711837541933</v>
      </c>
      <c r="O110" s="10">
        <v>0.53547143699999999</v>
      </c>
      <c r="P110">
        <f t="shared" si="33"/>
        <v>0.49424289053210868</v>
      </c>
      <c r="Q110" s="23">
        <v>0.33729999999999999</v>
      </c>
      <c r="R110" s="13">
        <f t="shared" si="34"/>
        <v>0.73040277176266777</v>
      </c>
      <c r="S110">
        <f t="shared" si="35"/>
        <v>0.13681931854429891</v>
      </c>
      <c r="T110" s="14">
        <f t="shared" si="23"/>
        <v>0.24414739950797079</v>
      </c>
      <c r="U110" t="str">
        <f t="shared" si="36"/>
        <v>Low</v>
      </c>
      <c r="V110">
        <f t="shared" si="37"/>
        <v>0.16320346786380238</v>
      </c>
      <c r="W110">
        <f t="shared" si="24"/>
        <v>0.26400332919858582</v>
      </c>
      <c r="X110" t="s">
        <v>1170</v>
      </c>
      <c r="Y110">
        <f t="shared" si="25"/>
        <v>0.11043516922479536</v>
      </c>
      <c r="Z110">
        <f t="shared" si="38"/>
        <v>0.20103672633666872</v>
      </c>
      <c r="AA110" t="str">
        <f t="shared" si="39"/>
        <v>Low</v>
      </c>
      <c r="AB110">
        <f t="shared" si="26"/>
        <v>9.9141893676592055E-2</v>
      </c>
      <c r="AC110">
        <f t="shared" si="40"/>
        <v>0.24232050172251951</v>
      </c>
      <c r="AD110" t="str">
        <f t="shared" si="41"/>
        <v>Low</v>
      </c>
      <c r="AE110">
        <f t="shared" si="27"/>
        <v>2.5400369019493173E-2</v>
      </c>
      <c r="AF110">
        <f t="shared" si="42"/>
        <v>0.15336294317174964</v>
      </c>
      <c r="AG110" t="s">
        <v>1170</v>
      </c>
    </row>
    <row r="111" spans="1:33" customFormat="1" x14ac:dyDescent="0.3">
      <c r="A111">
        <v>202256</v>
      </c>
      <c r="B111" t="s">
        <v>413</v>
      </c>
      <c r="C111" t="s">
        <v>656</v>
      </c>
      <c r="D111" t="s">
        <v>660</v>
      </c>
      <c r="E111" s="21">
        <v>7</v>
      </c>
      <c r="F111" s="2">
        <f t="shared" si="28"/>
        <v>0.84444444444444444</v>
      </c>
      <c r="G111" s="26">
        <v>59.887800000000006</v>
      </c>
      <c r="H111">
        <f t="shared" si="29"/>
        <v>0.61394444218909738</v>
      </c>
      <c r="I111" s="12">
        <v>45.3</v>
      </c>
      <c r="J111" s="2">
        <f t="shared" si="30"/>
        <v>0.19049621530698063</v>
      </c>
      <c r="K111" s="10">
        <v>0</v>
      </c>
      <c r="L111" s="2">
        <f t="shared" si="31"/>
        <v>0</v>
      </c>
      <c r="M111">
        <v>24564</v>
      </c>
      <c r="N111">
        <f t="shared" si="32"/>
        <v>0.11509181322242883</v>
      </c>
      <c r="O111" s="10">
        <v>0.72713207499999999</v>
      </c>
      <c r="P111">
        <f t="shared" si="33"/>
        <v>0.70531660539954766</v>
      </c>
      <c r="Q111" s="23">
        <v>0.3095</v>
      </c>
      <c r="R111" s="13">
        <f t="shared" si="34"/>
        <v>0.67020355132091813</v>
      </c>
      <c r="S111">
        <f t="shared" si="35"/>
        <v>0.16351970791453949</v>
      </c>
      <c r="T111" s="14">
        <f t="shared" si="23"/>
        <v>0.29179294181845861</v>
      </c>
      <c r="U111" t="str">
        <f t="shared" si="36"/>
        <v>Low</v>
      </c>
      <c r="V111">
        <f t="shared" si="37"/>
        <v>0.15934552237543817</v>
      </c>
      <c r="W111">
        <f t="shared" si="24"/>
        <v>0.25776258893659099</v>
      </c>
      <c r="X111" t="s">
        <v>1170</v>
      </c>
      <c r="Y111">
        <f t="shared" si="25"/>
        <v>0.16769389345364077</v>
      </c>
      <c r="Z111">
        <f t="shared" si="38"/>
        <v>0.30527079012254332</v>
      </c>
      <c r="AA111" t="str">
        <f t="shared" si="39"/>
        <v>Moderate</v>
      </c>
      <c r="AB111">
        <f t="shared" si="26"/>
        <v>0.11565645654103923</v>
      </c>
      <c r="AC111">
        <f t="shared" si="40"/>
        <v>0.28268504400264927</v>
      </c>
      <c r="AD111" t="str">
        <f t="shared" si="41"/>
        <v>Low</v>
      </c>
      <c r="AE111">
        <f t="shared" si="27"/>
        <v>2.7363873352981863E-2</v>
      </c>
      <c r="AF111">
        <f t="shared" si="42"/>
        <v>0.16521823563947766</v>
      </c>
      <c r="AG111" t="s">
        <v>1170</v>
      </c>
    </row>
    <row r="112" spans="1:33" customFormat="1" x14ac:dyDescent="0.3">
      <c r="A112">
        <v>202266</v>
      </c>
      <c r="B112" t="s">
        <v>437</v>
      </c>
      <c r="C112" t="s">
        <v>656</v>
      </c>
      <c r="D112" t="s">
        <v>661</v>
      </c>
      <c r="E112" s="21">
        <v>7</v>
      </c>
      <c r="F112" s="2">
        <f t="shared" si="28"/>
        <v>0.84444444444444444</v>
      </c>
      <c r="G112" s="26">
        <v>64.181519999999992</v>
      </c>
      <c r="H112">
        <f t="shared" si="29"/>
        <v>0.65796184690785742</v>
      </c>
      <c r="I112" s="12">
        <v>54.699999999999996</v>
      </c>
      <c r="J112" s="2">
        <f t="shared" si="30"/>
        <v>0.23002523128679558</v>
      </c>
      <c r="K112" s="10">
        <v>0</v>
      </c>
      <c r="L112" s="2">
        <f t="shared" si="31"/>
        <v>0</v>
      </c>
      <c r="M112">
        <v>42505</v>
      </c>
      <c r="N112">
        <f t="shared" si="32"/>
        <v>0.19997823546389215</v>
      </c>
      <c r="O112" s="10">
        <v>0.86730278299999997</v>
      </c>
      <c r="P112">
        <f t="shared" si="33"/>
        <v>0.85968503682029163</v>
      </c>
      <c r="Q112" s="23">
        <v>0.39379999999999998</v>
      </c>
      <c r="R112" s="13">
        <f t="shared" si="34"/>
        <v>0.85275010827197917</v>
      </c>
      <c r="S112">
        <f t="shared" si="35"/>
        <v>0.22471388598305203</v>
      </c>
      <c r="T112" s="14">
        <f t="shared" si="23"/>
        <v>0.40099096735618767</v>
      </c>
      <c r="U112" t="str">
        <f t="shared" si="36"/>
        <v>Moderate</v>
      </c>
      <c r="V112">
        <f t="shared" si="37"/>
        <v>0.22380385166871766</v>
      </c>
      <c r="W112">
        <f t="shared" si="24"/>
        <v>0.36203251500339384</v>
      </c>
      <c r="X112" t="str">
        <f t="shared" si="44"/>
        <v>Moderate</v>
      </c>
      <c r="Y112">
        <f t="shared" si="25"/>
        <v>0.2256239202973864</v>
      </c>
      <c r="Z112">
        <f t="shared" si="38"/>
        <v>0.41072689649709798</v>
      </c>
      <c r="AA112" t="str">
        <f t="shared" si="39"/>
        <v>Moderate</v>
      </c>
      <c r="AB112">
        <f t="shared" si="26"/>
        <v>0.16438799093663028</v>
      </c>
      <c r="AC112">
        <f t="shared" si="40"/>
        <v>0.40179362087700776</v>
      </c>
      <c r="AD112" t="str">
        <f t="shared" si="41"/>
        <v>Moderate</v>
      </c>
      <c r="AE112">
        <f t="shared" si="27"/>
        <v>5.2484190752466263E-2</v>
      </c>
      <c r="AF112">
        <f t="shared" si="42"/>
        <v>0.31689027657860225</v>
      </c>
      <c r="AG112" t="str">
        <f t="shared" si="43"/>
        <v>Moderate</v>
      </c>
    </row>
    <row r="113" spans="1:33" customFormat="1" x14ac:dyDescent="0.3">
      <c r="A113">
        <v>202290</v>
      </c>
      <c r="B113" t="s">
        <v>522</v>
      </c>
      <c r="C113" t="s">
        <v>656</v>
      </c>
      <c r="D113" t="s">
        <v>662</v>
      </c>
      <c r="E113" s="21">
        <v>7.2</v>
      </c>
      <c r="F113" s="2">
        <f t="shared" si="28"/>
        <v>0.88888888888888884</v>
      </c>
      <c r="G113" s="26">
        <v>60.23736000000001</v>
      </c>
      <c r="H113">
        <f t="shared" si="29"/>
        <v>0.61752798373197626</v>
      </c>
      <c r="I113" s="12">
        <v>56.9</v>
      </c>
      <c r="J113" s="2">
        <f t="shared" si="30"/>
        <v>0.2392767031118587</v>
      </c>
      <c r="K113" s="10">
        <v>0</v>
      </c>
      <c r="L113" s="2">
        <f t="shared" si="31"/>
        <v>0</v>
      </c>
      <c r="M113">
        <v>42859</v>
      </c>
      <c r="N113">
        <f t="shared" si="32"/>
        <v>0.20165315846001713</v>
      </c>
      <c r="O113" s="10">
        <v>0.52971822700000004</v>
      </c>
      <c r="P113">
        <f t="shared" si="33"/>
        <v>0.48790694476993041</v>
      </c>
      <c r="Q113" s="23">
        <v>0.40629999999999999</v>
      </c>
      <c r="R113" s="13">
        <f t="shared" si="34"/>
        <v>0.87981810307492425</v>
      </c>
      <c r="S113">
        <f t="shared" si="35"/>
        <v>0.1822913915366724</v>
      </c>
      <c r="T113" s="14">
        <f t="shared" si="23"/>
        <v>0.32529009550619775</v>
      </c>
      <c r="U113" t="str">
        <f t="shared" si="36"/>
        <v>Moderate</v>
      </c>
      <c r="V113">
        <f t="shared" si="37"/>
        <v>0.2345255964441125</v>
      </c>
      <c r="W113">
        <f t="shared" si="24"/>
        <v>0.37937636408069392</v>
      </c>
      <c r="X113" t="str">
        <f t="shared" si="44"/>
        <v>Moderate</v>
      </c>
      <c r="Y113">
        <f t="shared" si="25"/>
        <v>0.13005718662923232</v>
      </c>
      <c r="Z113">
        <f t="shared" si="38"/>
        <v>0.23675674352683981</v>
      </c>
      <c r="AA113" t="str">
        <f t="shared" si="39"/>
        <v>Low</v>
      </c>
      <c r="AB113">
        <f t="shared" si="26"/>
        <v>0.13991465072861983</v>
      </c>
      <c r="AC113">
        <f t="shared" si="40"/>
        <v>0.34197640478290764</v>
      </c>
      <c r="AD113" t="str">
        <f t="shared" si="41"/>
        <v>Moderate</v>
      </c>
      <c r="AE113">
        <f t="shared" si="27"/>
        <v>5.3752959955459395E-2</v>
      </c>
      <c r="AF113">
        <f t="shared" si="42"/>
        <v>0.32455088099845819</v>
      </c>
      <c r="AG113" t="str">
        <f t="shared" si="43"/>
        <v>Moderate</v>
      </c>
    </row>
    <row r="114" spans="1:33" customFormat="1" x14ac:dyDescent="0.3">
      <c r="A114">
        <v>202294</v>
      </c>
      <c r="B114" t="s">
        <v>532</v>
      </c>
      <c r="C114" t="s">
        <v>656</v>
      </c>
      <c r="D114" t="s">
        <v>663</v>
      </c>
      <c r="E114" s="21">
        <v>7</v>
      </c>
      <c r="F114" s="2">
        <f t="shared" si="28"/>
        <v>0.84444444444444444</v>
      </c>
      <c r="G114" s="26">
        <v>60.23736000000001</v>
      </c>
      <c r="H114">
        <f t="shared" si="29"/>
        <v>0.61752798373197626</v>
      </c>
      <c r="I114" s="12">
        <v>34</v>
      </c>
      <c r="J114" s="2">
        <f t="shared" si="30"/>
        <v>0.14297729184188393</v>
      </c>
      <c r="K114" s="10">
        <v>0</v>
      </c>
      <c r="L114" s="2">
        <f t="shared" si="31"/>
        <v>0</v>
      </c>
      <c r="M114">
        <v>79128</v>
      </c>
      <c r="N114">
        <f t="shared" si="32"/>
        <v>0.37325706282853804</v>
      </c>
      <c r="O114" s="10">
        <v>0.68287693000000005</v>
      </c>
      <c r="P114">
        <f t="shared" si="33"/>
        <v>0.6565789096753627</v>
      </c>
      <c r="Q114" s="23">
        <v>0.38619999999999999</v>
      </c>
      <c r="R114" s="13">
        <f t="shared" si="34"/>
        <v>0.8362927674317886</v>
      </c>
      <c r="S114">
        <f t="shared" si="35"/>
        <v>0.1677775472932293</v>
      </c>
      <c r="T114" s="14">
        <f t="shared" si="23"/>
        <v>0.29939084848025194</v>
      </c>
      <c r="U114" t="str">
        <f t="shared" si="36"/>
        <v>Low</v>
      </c>
      <c r="V114">
        <f t="shared" si="37"/>
        <v>0.18797482930436982</v>
      </c>
      <c r="W114">
        <f t="shared" si="24"/>
        <v>0.30407430302463745</v>
      </c>
      <c r="X114" t="str">
        <f t="shared" si="44"/>
        <v>Moderate</v>
      </c>
      <c r="Y114">
        <f t="shared" si="25"/>
        <v>0.14758026528208881</v>
      </c>
      <c r="Z114">
        <f t="shared" si="38"/>
        <v>0.2686558422690119</v>
      </c>
      <c r="AA114" t="str">
        <f t="shared" si="39"/>
        <v>Low</v>
      </c>
      <c r="AB114">
        <f t="shared" si="26"/>
        <v>0.13942942004247735</v>
      </c>
      <c r="AC114">
        <f t="shared" si="40"/>
        <v>0.3407904142903237</v>
      </c>
      <c r="AD114" t="str">
        <f t="shared" si="41"/>
        <v>Moderate</v>
      </c>
      <c r="AE114">
        <f t="shared" si="27"/>
        <v>8.3897572003775164E-2</v>
      </c>
      <c r="AF114">
        <f t="shared" si="42"/>
        <v>0.50655872588261641</v>
      </c>
      <c r="AG114" t="str">
        <f t="shared" si="43"/>
        <v>Moderate</v>
      </c>
    </row>
    <row r="115" spans="1:33" customFormat="1" x14ac:dyDescent="0.3">
      <c r="A115">
        <v>203014</v>
      </c>
      <c r="B115" t="s">
        <v>108</v>
      </c>
      <c r="C115" t="s">
        <v>665</v>
      </c>
      <c r="D115" t="s">
        <v>664</v>
      </c>
      <c r="E115" s="21">
        <v>5.5</v>
      </c>
      <c r="F115" s="2">
        <f t="shared" si="28"/>
        <v>0.51111111111111107</v>
      </c>
      <c r="G115" s="26">
        <v>61.553879999999992</v>
      </c>
      <c r="H115">
        <f t="shared" si="29"/>
        <v>0.63102439096401319</v>
      </c>
      <c r="I115" s="12">
        <v>85.7</v>
      </c>
      <c r="J115" s="2">
        <f t="shared" si="30"/>
        <v>0.36038687973086625</v>
      </c>
      <c r="K115" s="10">
        <v>0</v>
      </c>
      <c r="L115" s="2">
        <f t="shared" si="31"/>
        <v>0</v>
      </c>
      <c r="M115">
        <v>24400</v>
      </c>
      <c r="N115">
        <f t="shared" si="32"/>
        <v>0.11431586019597545</v>
      </c>
      <c r="O115" s="10">
        <v>0.97458525799999995</v>
      </c>
      <c r="P115">
        <f t="shared" si="33"/>
        <v>0.97783402544268749</v>
      </c>
      <c r="Q115" s="23">
        <v>0.3458</v>
      </c>
      <c r="R115" s="13">
        <f t="shared" si="34"/>
        <v>0.74880900822867047</v>
      </c>
      <c r="S115">
        <f t="shared" si="35"/>
        <v>0.15311219533990095</v>
      </c>
      <c r="T115" s="14">
        <f t="shared" si="23"/>
        <v>0.2732212433369916</v>
      </c>
      <c r="U115" t="str">
        <f t="shared" si="36"/>
        <v>Low</v>
      </c>
      <c r="V115">
        <f t="shared" si="37"/>
        <v>0.13280312016364124</v>
      </c>
      <c r="W115">
        <f t="shared" si="24"/>
        <v>0.21482672096416491</v>
      </c>
      <c r="X115" t="s">
        <v>1170</v>
      </c>
      <c r="Y115">
        <f t="shared" si="25"/>
        <v>0.17342127051616069</v>
      </c>
      <c r="Z115">
        <f t="shared" si="38"/>
        <v>0.31569693555453865</v>
      </c>
      <c r="AA115" t="str">
        <f t="shared" si="39"/>
        <v>Moderate</v>
      </c>
      <c r="AB115">
        <f t="shared" si="26"/>
        <v>0.10560344289596091</v>
      </c>
      <c r="AC115">
        <f t="shared" si="40"/>
        <v>0.2581136824927987</v>
      </c>
      <c r="AD115" t="str">
        <f t="shared" si="41"/>
        <v>Low</v>
      </c>
      <c r="AE115">
        <f t="shared" si="27"/>
        <v>2.0274199096680781E-2</v>
      </c>
      <c r="AF115">
        <f t="shared" si="42"/>
        <v>0.12241203431063515</v>
      </c>
      <c r="AG115" t="s">
        <v>1170</v>
      </c>
    </row>
    <row r="116" spans="1:33" customFormat="1" x14ac:dyDescent="0.3">
      <c r="A116">
        <v>203025</v>
      </c>
      <c r="B116" t="s">
        <v>122</v>
      </c>
      <c r="C116" t="s">
        <v>665</v>
      </c>
      <c r="D116" t="s">
        <v>666</v>
      </c>
      <c r="E116" s="21">
        <v>5.6</v>
      </c>
      <c r="F116" s="2">
        <f t="shared" si="28"/>
        <v>0.53333333333333321</v>
      </c>
      <c r="G116" s="26">
        <v>58.926240000000007</v>
      </c>
      <c r="H116">
        <f t="shared" si="29"/>
        <v>0.60408693502016897</v>
      </c>
      <c r="I116" s="12">
        <v>88.3</v>
      </c>
      <c r="J116" s="2">
        <f t="shared" si="30"/>
        <v>0.37132043734230441</v>
      </c>
      <c r="K116" s="10">
        <v>0</v>
      </c>
      <c r="L116" s="2">
        <f t="shared" si="31"/>
        <v>0</v>
      </c>
      <c r="M116">
        <v>37243</v>
      </c>
      <c r="N116">
        <f t="shared" si="32"/>
        <v>0.17508149872488207</v>
      </c>
      <c r="O116" s="10">
        <v>0.87586015800000006</v>
      </c>
      <c r="P116">
        <f t="shared" si="33"/>
        <v>0.86910917810257082</v>
      </c>
      <c r="Q116" s="23">
        <v>0.35709999999999997</v>
      </c>
      <c r="R116" s="13">
        <f t="shared" si="34"/>
        <v>0.77327847553053264</v>
      </c>
      <c r="S116">
        <f t="shared" si="35"/>
        <v>0.14951972239221109</v>
      </c>
      <c r="T116" s="14">
        <f t="shared" si="23"/>
        <v>0.26681065061285647</v>
      </c>
      <c r="U116" t="str">
        <f t="shared" si="36"/>
        <v>Low</v>
      </c>
      <c r="V116">
        <f t="shared" si="37"/>
        <v>0.14079548483871657</v>
      </c>
      <c r="W116">
        <f t="shared" si="24"/>
        <v>0.22775543448972504</v>
      </c>
      <c r="X116" t="s">
        <v>1170</v>
      </c>
      <c r="Y116">
        <f t="shared" si="25"/>
        <v>0.15824395994570564</v>
      </c>
      <c r="Z116">
        <f t="shared" si="38"/>
        <v>0.28806808459069067</v>
      </c>
      <c r="AA116" t="str">
        <f t="shared" si="39"/>
        <v>Low</v>
      </c>
      <c r="AB116">
        <f t="shared" si="26"/>
        <v>0.10790895893913652</v>
      </c>
      <c r="AC116">
        <f t="shared" si="40"/>
        <v>0.26374877562642457</v>
      </c>
      <c r="AD116" t="str">
        <f t="shared" si="41"/>
        <v>Low</v>
      </c>
      <c r="AE116">
        <f t="shared" si="27"/>
        <v>3.1878146462497238E-2</v>
      </c>
      <c r="AF116">
        <f t="shared" si="42"/>
        <v>0.19247461958512233</v>
      </c>
      <c r="AG116" t="s">
        <v>1169</v>
      </c>
    </row>
    <row r="117" spans="1:33" customFormat="1" x14ac:dyDescent="0.3">
      <c r="A117">
        <v>203029</v>
      </c>
      <c r="B117" t="s">
        <v>168</v>
      </c>
      <c r="C117" t="s">
        <v>665</v>
      </c>
      <c r="D117" t="s">
        <v>667</v>
      </c>
      <c r="E117" s="21">
        <v>5.6</v>
      </c>
      <c r="F117" s="2">
        <f t="shared" si="28"/>
        <v>0.53333333333333321</v>
      </c>
      <c r="G117" s="26">
        <v>61.553879999999992</v>
      </c>
      <c r="H117">
        <f t="shared" si="29"/>
        <v>0.63102439096401319</v>
      </c>
      <c r="I117" s="12">
        <v>88.3</v>
      </c>
      <c r="J117" s="2">
        <f t="shared" si="30"/>
        <v>0.37132043734230441</v>
      </c>
      <c r="K117" s="10">
        <v>0</v>
      </c>
      <c r="L117" s="2">
        <f t="shared" si="31"/>
        <v>0</v>
      </c>
      <c r="M117">
        <v>65689</v>
      </c>
      <c r="N117">
        <f t="shared" si="32"/>
        <v>0.30967149744739841</v>
      </c>
      <c r="O117" s="10">
        <v>0.97930060699999999</v>
      </c>
      <c r="P117">
        <f t="shared" si="33"/>
        <v>0.98302698650507569</v>
      </c>
      <c r="Q117" s="23">
        <v>0.3508</v>
      </c>
      <c r="R117" s="13">
        <f t="shared" si="34"/>
        <v>0.75963620614984839</v>
      </c>
      <c r="S117">
        <f t="shared" si="35"/>
        <v>0.16302994760616094</v>
      </c>
      <c r="T117" s="14">
        <f t="shared" si="23"/>
        <v>0.29091898844005371</v>
      </c>
      <c r="U117" t="str">
        <f t="shared" si="36"/>
        <v>Low</v>
      </c>
      <c r="V117">
        <f t="shared" si="37"/>
        <v>0.14213125222399264</v>
      </c>
      <c r="W117">
        <f t="shared" si="24"/>
        <v>0.22991621600597364</v>
      </c>
      <c r="X117" t="s">
        <v>1170</v>
      </c>
      <c r="Y117">
        <f t="shared" si="25"/>
        <v>0.18392864298832923</v>
      </c>
      <c r="Z117">
        <f t="shared" si="38"/>
        <v>0.33482460818847087</v>
      </c>
      <c r="AA117" t="str">
        <f t="shared" si="39"/>
        <v>Moderate</v>
      </c>
      <c r="AB117">
        <f t="shared" si="26"/>
        <v>0.12520384260566067</v>
      </c>
      <c r="AC117">
        <f t="shared" si="40"/>
        <v>0.30602056136592004</v>
      </c>
      <c r="AD117" t="str">
        <f t="shared" si="41"/>
        <v>Moderate</v>
      </c>
      <c r="AE117">
        <f t="shared" si="27"/>
        <v>5.7940889802184252E-2</v>
      </c>
      <c r="AF117">
        <f t="shared" si="42"/>
        <v>0.34983686194612212</v>
      </c>
      <c r="AG117" t="str">
        <f t="shared" si="43"/>
        <v>Moderate</v>
      </c>
    </row>
    <row r="118" spans="1:33" customFormat="1" x14ac:dyDescent="0.3">
      <c r="A118">
        <v>203041</v>
      </c>
      <c r="B118" t="s">
        <v>172</v>
      </c>
      <c r="C118" t="s">
        <v>665</v>
      </c>
      <c r="D118" t="s">
        <v>668</v>
      </c>
      <c r="E118" s="21">
        <v>5.5</v>
      </c>
      <c r="F118" s="2">
        <f t="shared" si="28"/>
        <v>0.51111111111111107</v>
      </c>
      <c r="G118" s="26">
        <v>56.416679999999999</v>
      </c>
      <c r="H118">
        <f t="shared" si="29"/>
        <v>0.57835998538535061</v>
      </c>
      <c r="I118" s="12">
        <v>85.7</v>
      </c>
      <c r="J118" s="2">
        <f t="shared" si="30"/>
        <v>0.36038687973086625</v>
      </c>
      <c r="K118" s="10">
        <v>0</v>
      </c>
      <c r="L118" s="2">
        <f t="shared" si="31"/>
        <v>0</v>
      </c>
      <c r="M118">
        <v>9161</v>
      </c>
      <c r="N118">
        <f t="shared" si="32"/>
        <v>4.2213737207420762E-2</v>
      </c>
      <c r="O118" s="10">
        <v>0.99172091799999995</v>
      </c>
      <c r="P118">
        <f t="shared" si="33"/>
        <v>0.99670533595614508</v>
      </c>
      <c r="Q118" s="23">
        <v>0.34060000000000001</v>
      </c>
      <c r="R118" s="13">
        <f t="shared" si="34"/>
        <v>0.73754872239064539</v>
      </c>
      <c r="S118">
        <f t="shared" si="35"/>
        <v>0.14561784180816018</v>
      </c>
      <c r="T118" s="14">
        <f t="shared" si="23"/>
        <v>0.25984793505541687</v>
      </c>
      <c r="U118" t="str">
        <f t="shared" si="36"/>
        <v>Low</v>
      </c>
      <c r="V118">
        <f t="shared" si="37"/>
        <v>0.1238575774592944</v>
      </c>
      <c r="W118">
        <f t="shared" si="24"/>
        <v>0.20035611512258716</v>
      </c>
      <c r="X118" t="s">
        <v>1170</v>
      </c>
      <c r="Y118">
        <f t="shared" si="25"/>
        <v>0.16737810615702595</v>
      </c>
      <c r="Z118">
        <f t="shared" si="38"/>
        <v>0.30469592937142764</v>
      </c>
      <c r="AA118" t="str">
        <f t="shared" si="39"/>
        <v>Moderate</v>
      </c>
      <c r="AB118">
        <f t="shared" si="26"/>
        <v>9.6044737912237527E-2</v>
      </c>
      <c r="AC118">
        <f t="shared" si="40"/>
        <v>0.23475049966890349</v>
      </c>
      <c r="AD118" t="str">
        <f t="shared" si="41"/>
        <v>Low</v>
      </c>
      <c r="AE118">
        <f t="shared" si="27"/>
        <v>7.0890112982191916E-3</v>
      </c>
      <c r="AF118">
        <f t="shared" si="42"/>
        <v>4.2802198505003226E-2</v>
      </c>
      <c r="AG118" t="s">
        <v>1170</v>
      </c>
    </row>
    <row r="119" spans="1:33" customFormat="1" x14ac:dyDescent="0.3">
      <c r="A119">
        <v>203051</v>
      </c>
      <c r="B119" t="s">
        <v>406</v>
      </c>
      <c r="C119" t="s">
        <v>665</v>
      </c>
      <c r="D119" t="s">
        <v>669</v>
      </c>
      <c r="E119" s="21">
        <v>5.7</v>
      </c>
      <c r="F119" s="2">
        <f t="shared" si="28"/>
        <v>0.55555555555555558</v>
      </c>
      <c r="G119" s="26">
        <v>52.909199999999998</v>
      </c>
      <c r="H119">
        <f t="shared" si="29"/>
        <v>0.54240278121205632</v>
      </c>
      <c r="I119" s="12">
        <v>77</v>
      </c>
      <c r="J119" s="2">
        <f t="shared" si="30"/>
        <v>0.32380151387720774</v>
      </c>
      <c r="K119" s="10">
        <v>0</v>
      </c>
      <c r="L119" s="2">
        <f t="shared" si="31"/>
        <v>0</v>
      </c>
      <c r="M119">
        <v>14970</v>
      </c>
      <c r="N119">
        <f t="shared" si="32"/>
        <v>6.9698561174906443E-2</v>
      </c>
      <c r="O119" s="10">
        <v>0.99414276099999999</v>
      </c>
      <c r="P119">
        <f t="shared" si="33"/>
        <v>0.99937248453798222</v>
      </c>
      <c r="Q119" s="23">
        <v>0.34549999999999997</v>
      </c>
      <c r="R119" s="13">
        <f t="shared" si="34"/>
        <v>0.74815937635339969</v>
      </c>
      <c r="S119">
        <f t="shared" si="35"/>
        <v>0.14716718369397425</v>
      </c>
      <c r="T119" s="14">
        <f t="shared" si="23"/>
        <v>0.26261266006936151</v>
      </c>
      <c r="U119" t="str">
        <f t="shared" si="36"/>
        <v>Low</v>
      </c>
      <c r="V119">
        <f t="shared" si="37"/>
        <v>0.12601144601278721</v>
      </c>
      <c r="W119">
        <f t="shared" si="24"/>
        <v>0.20384028415539707</v>
      </c>
      <c r="X119" t="s">
        <v>1170</v>
      </c>
      <c r="Y119">
        <f t="shared" si="25"/>
        <v>0.16832292137516128</v>
      </c>
      <c r="Z119">
        <f t="shared" si="38"/>
        <v>0.30641587565104406</v>
      </c>
      <c r="AA119" t="str">
        <f t="shared" si="39"/>
        <v>Moderate</v>
      </c>
      <c r="AB119">
        <f t="shared" si="26"/>
        <v>9.8709613710789262E-2</v>
      </c>
      <c r="AC119">
        <f t="shared" si="40"/>
        <v>0.24126393225109477</v>
      </c>
      <c r="AD119" t="str">
        <f t="shared" si="41"/>
        <v>Low</v>
      </c>
      <c r="AE119">
        <f t="shared" si="27"/>
        <v>1.173923198218668E-2</v>
      </c>
      <c r="AF119">
        <f t="shared" si="42"/>
        <v>7.0879409900793847E-2</v>
      </c>
      <c r="AG119" t="s">
        <v>1170</v>
      </c>
    </row>
    <row r="120" spans="1:33" customFormat="1" x14ac:dyDescent="0.3">
      <c r="A120">
        <v>203094</v>
      </c>
      <c r="B120" t="s">
        <v>496</v>
      </c>
      <c r="C120" t="s">
        <v>665</v>
      </c>
      <c r="D120" t="s">
        <v>670</v>
      </c>
      <c r="E120" s="21">
        <v>5.4</v>
      </c>
      <c r="F120" s="2">
        <f t="shared" si="28"/>
        <v>0.48888888888888893</v>
      </c>
      <c r="G120" s="26">
        <v>72.155159999999995</v>
      </c>
      <c r="H120">
        <f t="shared" si="29"/>
        <v>0.73970423787925188</v>
      </c>
      <c r="I120" s="12">
        <v>80.100000000000009</v>
      </c>
      <c r="J120" s="2">
        <f t="shared" si="30"/>
        <v>0.3368376787216148</v>
      </c>
      <c r="K120" s="10">
        <v>0.5</v>
      </c>
      <c r="L120" s="2">
        <f t="shared" si="31"/>
        <v>0.29411764705882354</v>
      </c>
      <c r="M120">
        <v>40135</v>
      </c>
      <c r="N120">
        <f t="shared" si="32"/>
        <v>0.1887647679474623</v>
      </c>
      <c r="O120" s="10">
        <v>0.92235553199999998</v>
      </c>
      <c r="P120">
        <f t="shared" si="33"/>
        <v>0.92031401294367632</v>
      </c>
      <c r="Q120" s="23">
        <v>0.44019999999999998</v>
      </c>
      <c r="R120" s="13">
        <f t="shared" si="34"/>
        <v>0.95322650498051098</v>
      </c>
      <c r="S120">
        <f t="shared" si="35"/>
        <v>0.21297053888948181</v>
      </c>
      <c r="T120" s="14">
        <f t="shared" si="23"/>
        <v>0.38003553734148288</v>
      </c>
      <c r="U120" t="str">
        <f t="shared" si="36"/>
        <v>Moderate</v>
      </c>
      <c r="V120">
        <f t="shared" si="37"/>
        <v>0.21671179300073348</v>
      </c>
      <c r="W120">
        <f t="shared" si="24"/>
        <v>0.35056016626150305</v>
      </c>
      <c r="X120" t="str">
        <f t="shared" si="44"/>
        <v>Moderate</v>
      </c>
      <c r="Y120">
        <f t="shared" si="25"/>
        <v>0.20922928477823013</v>
      </c>
      <c r="Z120">
        <f t="shared" si="38"/>
        <v>0.38088202119704695</v>
      </c>
      <c r="AA120" t="str">
        <f t="shared" si="39"/>
        <v>Moderate</v>
      </c>
      <c r="AB120">
        <f t="shared" si="26"/>
        <v>0.15363810271432329</v>
      </c>
      <c r="AC120">
        <f t="shared" si="40"/>
        <v>0.37551897339056917</v>
      </c>
      <c r="AD120" t="str">
        <f t="shared" si="41"/>
        <v>Moderate</v>
      </c>
      <c r="AE120">
        <f>F120*(N120*1)*(H120*0.35+J120*0.35+L120*0.3)</f>
        <v>4.2914827801707328E-2</v>
      </c>
      <c r="AF120">
        <f t="shared" si="42"/>
        <v>0.25911215275367627</v>
      </c>
      <c r="AG120" t="s">
        <v>1169</v>
      </c>
    </row>
    <row r="121" spans="1:33" customFormat="1" x14ac:dyDescent="0.3">
      <c r="A121">
        <v>204643</v>
      </c>
      <c r="B121" t="s">
        <v>151</v>
      </c>
      <c r="C121" t="s">
        <v>672</v>
      </c>
      <c r="D121" t="s">
        <v>671</v>
      </c>
      <c r="E121" s="21">
        <v>6.2</v>
      </c>
      <c r="F121" s="2">
        <f t="shared" si="28"/>
        <v>0.66666666666666663</v>
      </c>
      <c r="G121" s="26">
        <v>57.412800000000004</v>
      </c>
      <c r="H121">
        <f t="shared" si="29"/>
        <v>0.58857178708375002</v>
      </c>
      <c r="I121" s="12">
        <v>98.199999999999989</v>
      </c>
      <c r="J121" s="2">
        <f t="shared" si="30"/>
        <v>0.41295206055508826</v>
      </c>
      <c r="K121" s="10">
        <v>0</v>
      </c>
      <c r="L121" s="2">
        <f t="shared" si="31"/>
        <v>0</v>
      </c>
      <c r="M121">
        <v>15793</v>
      </c>
      <c r="N121">
        <f t="shared" si="32"/>
        <v>7.3592520569852327E-2</v>
      </c>
      <c r="O121" s="10">
        <v>0.80730636300000003</v>
      </c>
      <c r="P121">
        <f t="shared" si="33"/>
        <v>0.79361165117212784</v>
      </c>
      <c r="Q121" s="23">
        <v>0.44019999999999998</v>
      </c>
      <c r="R121" s="13">
        <f t="shared" si="34"/>
        <v>0.95322650498051098</v>
      </c>
      <c r="S121">
        <f t="shared" si="35"/>
        <v>0.20410834165777117</v>
      </c>
      <c r="T121" s="14">
        <f t="shared" si="23"/>
        <v>0.3642213787046063</v>
      </c>
      <c r="U121" t="str">
        <f t="shared" si="36"/>
        <v>Moderate</v>
      </c>
      <c r="V121">
        <f t="shared" si="37"/>
        <v>0.22275845128586083</v>
      </c>
      <c r="W121">
        <f t="shared" si="24"/>
        <v>0.36034144075704266</v>
      </c>
      <c r="X121" t="str">
        <f t="shared" si="44"/>
        <v>Moderate</v>
      </c>
      <c r="Y121">
        <f t="shared" si="25"/>
        <v>0.18545823202968154</v>
      </c>
      <c r="Z121">
        <f t="shared" si="38"/>
        <v>0.33760907961792985</v>
      </c>
      <c r="AA121" t="str">
        <f t="shared" si="39"/>
        <v>Moderate</v>
      </c>
      <c r="AB121">
        <f t="shared" si="26"/>
        <v>0.13962214181490473</v>
      </c>
      <c r="AC121">
        <f t="shared" si="40"/>
        <v>0.34126146073553076</v>
      </c>
      <c r="AD121" t="str">
        <f t="shared" si="41"/>
        <v>Moderate</v>
      </c>
      <c r="AE121">
        <f t="shared" si="27"/>
        <v>1.7197755016997066E-2</v>
      </c>
      <c r="AF121">
        <f t="shared" si="42"/>
        <v>0.10383700816823882</v>
      </c>
      <c r="AG121" t="s">
        <v>1170</v>
      </c>
    </row>
    <row r="122" spans="1:33" customFormat="1" x14ac:dyDescent="0.3">
      <c r="A122">
        <v>204649</v>
      </c>
      <c r="B122" t="s">
        <v>271</v>
      </c>
      <c r="C122" t="s">
        <v>672</v>
      </c>
      <c r="D122" t="s">
        <v>673</v>
      </c>
      <c r="E122" s="21">
        <v>6.2</v>
      </c>
      <c r="F122" s="2">
        <f t="shared" si="28"/>
        <v>0.66666666666666663</v>
      </c>
      <c r="G122" s="26">
        <v>57.412800000000004</v>
      </c>
      <c r="H122">
        <f t="shared" si="29"/>
        <v>0.58857178708375002</v>
      </c>
      <c r="I122" s="12">
        <v>61.5</v>
      </c>
      <c r="J122" s="2">
        <f t="shared" si="30"/>
        <v>0.25862068965517238</v>
      </c>
      <c r="K122" s="10">
        <v>0</v>
      </c>
      <c r="L122" s="2">
        <f t="shared" si="31"/>
        <v>0</v>
      </c>
      <c r="M122">
        <v>15837</v>
      </c>
      <c r="N122">
        <f t="shared" si="32"/>
        <v>7.3800703089144701E-2</v>
      </c>
      <c r="O122" s="10">
        <v>0.90342085400000005</v>
      </c>
      <c r="P122">
        <f t="shared" si="33"/>
        <v>0.89946146404796223</v>
      </c>
      <c r="Q122" s="23">
        <v>0.4178</v>
      </c>
      <c r="R122" s="13">
        <f t="shared" si="34"/>
        <v>0.90472065829363368</v>
      </c>
      <c r="S122">
        <f t="shared" si="35"/>
        <v>0.17832377741671057</v>
      </c>
      <c r="T122" s="14">
        <f t="shared" si="23"/>
        <v>0.31821008166059339</v>
      </c>
      <c r="U122" t="str">
        <f t="shared" si="36"/>
        <v>Moderate</v>
      </c>
      <c r="V122">
        <f t="shared" si="37"/>
        <v>0.17884359155988544</v>
      </c>
      <c r="W122">
        <f t="shared" si="24"/>
        <v>0.28930331074241805</v>
      </c>
      <c r="X122" t="s">
        <v>1169</v>
      </c>
      <c r="Y122">
        <f t="shared" si="25"/>
        <v>0.17780396327353573</v>
      </c>
      <c r="Z122">
        <f t="shared" si="38"/>
        <v>0.32367521105017016</v>
      </c>
      <c r="AA122" t="str">
        <f t="shared" si="39"/>
        <v>Moderate</v>
      </c>
      <c r="AB122">
        <f t="shared" si="26"/>
        <v>0.12104252373022588</v>
      </c>
      <c r="AC122">
        <f t="shared" si="40"/>
        <v>0.29584955453593015</v>
      </c>
      <c r="AD122" t="str">
        <f t="shared" si="41"/>
        <v>Low</v>
      </c>
      <c r="AE122">
        <f t="shared" si="27"/>
        <v>1.4588793434872146E-2</v>
      </c>
      <c r="AF122">
        <f t="shared" si="42"/>
        <v>8.8084558802261625E-2</v>
      </c>
      <c r="AG122" t="s">
        <v>1170</v>
      </c>
    </row>
    <row r="123" spans="1:33" customFormat="1" x14ac:dyDescent="0.3">
      <c r="A123">
        <v>204661</v>
      </c>
      <c r="B123" t="s">
        <v>298</v>
      </c>
      <c r="C123" t="s">
        <v>672</v>
      </c>
      <c r="D123" t="s">
        <v>674</v>
      </c>
      <c r="E123" s="21">
        <v>5</v>
      </c>
      <c r="F123" s="2">
        <f t="shared" si="28"/>
        <v>0.39999999999999997</v>
      </c>
      <c r="G123" s="26">
        <v>65.203920000000011</v>
      </c>
      <c r="H123">
        <f t="shared" si="29"/>
        <v>0.66844306007137566</v>
      </c>
      <c r="I123" s="12">
        <v>52.900000000000006</v>
      </c>
      <c r="J123" s="2">
        <f t="shared" si="30"/>
        <v>0.22245584524810766</v>
      </c>
      <c r="K123" s="10">
        <v>0</v>
      </c>
      <c r="L123" s="2">
        <f t="shared" si="31"/>
        <v>0</v>
      </c>
      <c r="M123">
        <v>2349</v>
      </c>
      <c r="N123">
        <f t="shared" si="32"/>
        <v>9.9832980842476798E-3</v>
      </c>
      <c r="O123" s="10">
        <v>0.85465459600000004</v>
      </c>
      <c r="P123">
        <f t="shared" si="33"/>
        <v>0.84575573008163807</v>
      </c>
      <c r="Q123" s="23">
        <v>0.45419999999999999</v>
      </c>
      <c r="R123" s="13">
        <f t="shared" si="34"/>
        <v>0.98354265915980943</v>
      </c>
      <c r="S123">
        <f t="shared" si="35"/>
        <v>0.11408039527345297</v>
      </c>
      <c r="T123" s="14">
        <f t="shared" si="23"/>
        <v>0.20357090020030305</v>
      </c>
      <c r="U123" t="str">
        <f t="shared" si="36"/>
        <v>Low</v>
      </c>
      <c r="V123">
        <f t="shared" si="37"/>
        <v>0.1226731909732683</v>
      </c>
      <c r="W123">
        <f t="shared" si="24"/>
        <v>0.19844021235739809</v>
      </c>
      <c r="X123" t="s">
        <v>1170</v>
      </c>
      <c r="Y123">
        <f t="shared" si="25"/>
        <v>0.10548759957363764</v>
      </c>
      <c r="Z123">
        <f t="shared" si="38"/>
        <v>0.19203014615959879</v>
      </c>
      <c r="AA123" t="str">
        <f t="shared" si="39"/>
        <v>Low</v>
      </c>
      <c r="AB123">
        <f t="shared" si="26"/>
        <v>7.5017708070137176E-2</v>
      </c>
      <c r="AC123">
        <f t="shared" si="40"/>
        <v>0.18335668185770335</v>
      </c>
      <c r="AD123" t="str">
        <f t="shared" si="41"/>
        <v>Low</v>
      </c>
      <c r="AE123">
        <f t="shared" si="27"/>
        <v>1.2451753068628093E-3</v>
      </c>
      <c r="AF123">
        <f t="shared" si="42"/>
        <v>7.5181486410183396E-3</v>
      </c>
      <c r="AG123" t="s">
        <v>1170</v>
      </c>
    </row>
    <row r="124" spans="1:33" customFormat="1" x14ac:dyDescent="0.3">
      <c r="A124">
        <v>204665</v>
      </c>
      <c r="B124" t="s">
        <v>317</v>
      </c>
      <c r="C124" t="s">
        <v>672</v>
      </c>
      <c r="D124" t="s">
        <v>675</v>
      </c>
      <c r="E124" s="21">
        <v>6</v>
      </c>
      <c r="F124" s="2">
        <f t="shared" si="28"/>
        <v>0.62222222222222223</v>
      </c>
      <c r="G124" s="26">
        <v>65.203920000000011</v>
      </c>
      <c r="H124">
        <f t="shared" si="29"/>
        <v>0.66844306007137566</v>
      </c>
      <c r="I124" s="12">
        <v>59.8</v>
      </c>
      <c r="J124" s="2">
        <f t="shared" si="30"/>
        <v>0.25147182506307819</v>
      </c>
      <c r="K124" s="10">
        <v>0</v>
      </c>
      <c r="L124" s="2">
        <f t="shared" si="31"/>
        <v>0</v>
      </c>
      <c r="M124">
        <v>8061</v>
      </c>
      <c r="N124">
        <f t="shared" si="32"/>
        <v>3.7009174225111546E-2</v>
      </c>
      <c r="O124" s="10">
        <v>0.83036402099999995</v>
      </c>
      <c r="P124">
        <f t="shared" si="33"/>
        <v>0.81900479178247532</v>
      </c>
      <c r="Q124" s="23">
        <v>0.42359999999999998</v>
      </c>
      <c r="R124" s="13">
        <f t="shared" si="34"/>
        <v>0.9172802078822001</v>
      </c>
      <c r="S124">
        <f t="shared" si="35"/>
        <v>0.17392108085629565</v>
      </c>
      <c r="T124" s="14">
        <f t="shared" si="23"/>
        <v>0.31035368442455574</v>
      </c>
      <c r="U124" t="str">
        <f t="shared" si="36"/>
        <v>Moderate</v>
      </c>
      <c r="V124">
        <f t="shared" si="37"/>
        <v>0.18376518282859128</v>
      </c>
      <c r="W124">
        <f t="shared" si="24"/>
        <v>0.29726463960938398</v>
      </c>
      <c r="X124" t="s">
        <v>1169</v>
      </c>
      <c r="Y124">
        <f t="shared" si="25"/>
        <v>0.16407697888400005</v>
      </c>
      <c r="Z124">
        <f t="shared" si="38"/>
        <v>0.29868654101400199</v>
      </c>
      <c r="AA124" t="str">
        <f t="shared" si="39"/>
        <v>Low</v>
      </c>
      <c r="AB124">
        <f t="shared" si="26"/>
        <v>0.11613591533473618</v>
      </c>
      <c r="AC124">
        <f t="shared" si="40"/>
        <v>0.28385692695883846</v>
      </c>
      <c r="AD124" t="str">
        <f t="shared" si="41"/>
        <v>Low</v>
      </c>
      <c r="AE124">
        <f t="shared" si="27"/>
        <v>7.4143076557978199E-3</v>
      </c>
      <c r="AF124">
        <f t="shared" si="42"/>
        <v>4.4766280474167613E-2</v>
      </c>
      <c r="AG124" t="s">
        <v>1170</v>
      </c>
    </row>
    <row r="125" spans="1:33" customFormat="1" x14ac:dyDescent="0.3">
      <c r="A125">
        <v>204667</v>
      </c>
      <c r="B125" t="s">
        <v>321</v>
      </c>
      <c r="C125" t="s">
        <v>672</v>
      </c>
      <c r="D125" t="s">
        <v>676</v>
      </c>
      <c r="E125" s="21">
        <v>6.2</v>
      </c>
      <c r="F125" s="2">
        <f t="shared" si="28"/>
        <v>0.66666666666666663</v>
      </c>
      <c r="G125" s="26">
        <v>65.203920000000011</v>
      </c>
      <c r="H125">
        <f t="shared" si="29"/>
        <v>0.66844306007137566</v>
      </c>
      <c r="I125" s="12">
        <v>57.9</v>
      </c>
      <c r="J125" s="2">
        <f t="shared" si="30"/>
        <v>0.24348191757779644</v>
      </c>
      <c r="K125" s="10">
        <v>0</v>
      </c>
      <c r="L125" s="2">
        <f t="shared" si="31"/>
        <v>0</v>
      </c>
      <c r="M125">
        <v>12067</v>
      </c>
      <c r="N125">
        <f t="shared" si="32"/>
        <v>5.5963246322503109E-2</v>
      </c>
      <c r="O125" s="10">
        <v>0.95616841299999999</v>
      </c>
      <c r="P125">
        <f t="shared" si="33"/>
        <v>0.95755176023240574</v>
      </c>
      <c r="Q125" s="23">
        <v>0.40610000000000002</v>
      </c>
      <c r="R125" s="13">
        <f t="shared" si="34"/>
        <v>0.8793850151580771</v>
      </c>
      <c r="S125">
        <f t="shared" si="35"/>
        <v>0.19543399491477262</v>
      </c>
      <c r="T125" s="14">
        <f t="shared" si="23"/>
        <v>0.34874243010095696</v>
      </c>
      <c r="U125" t="str">
        <f t="shared" si="36"/>
        <v>Moderate</v>
      </c>
      <c r="V125">
        <f t="shared" si="37"/>
        <v>0.18711773740171081</v>
      </c>
      <c r="W125">
        <f t="shared" si="24"/>
        <v>0.302687842806035</v>
      </c>
      <c r="X125" t="str">
        <f t="shared" si="44"/>
        <v>Moderate</v>
      </c>
      <c r="Y125">
        <f t="shared" si="25"/>
        <v>0.20375025242783443</v>
      </c>
      <c r="Z125">
        <f t="shared" si="38"/>
        <v>0.37090796370296975</v>
      </c>
      <c r="AA125" t="str">
        <f t="shared" si="39"/>
        <v>Moderate</v>
      </c>
      <c r="AB125">
        <f t="shared" si="26"/>
        <v>0.13078408352801471</v>
      </c>
      <c r="AC125">
        <f t="shared" si="40"/>
        <v>0.31965966719587685</v>
      </c>
      <c r="AD125" t="str">
        <f t="shared" si="41"/>
        <v>Moderate</v>
      </c>
      <c r="AE125">
        <f t="shared" si="27"/>
        <v>1.1907999168758877E-2</v>
      </c>
      <c r="AF125">
        <f t="shared" si="42"/>
        <v>7.1898396373929904E-2</v>
      </c>
      <c r="AG125" t="s">
        <v>1170</v>
      </c>
    </row>
    <row r="126" spans="1:33" customFormat="1" x14ac:dyDescent="0.3">
      <c r="A126">
        <v>204670</v>
      </c>
      <c r="B126" t="s">
        <v>329</v>
      </c>
      <c r="C126" t="s">
        <v>672</v>
      </c>
      <c r="D126" t="s">
        <v>677</v>
      </c>
      <c r="E126" s="21">
        <v>6.2</v>
      </c>
      <c r="F126" s="2">
        <f t="shared" si="28"/>
        <v>0.66666666666666663</v>
      </c>
      <c r="G126" s="26">
        <v>60.915239999999997</v>
      </c>
      <c r="H126">
        <f t="shared" si="29"/>
        <v>0.62447732330482975</v>
      </c>
      <c r="I126" s="12">
        <v>59.5</v>
      </c>
      <c r="J126" s="2">
        <f t="shared" si="30"/>
        <v>0.25021026072329688</v>
      </c>
      <c r="K126" s="10">
        <v>0</v>
      </c>
      <c r="L126" s="2">
        <f t="shared" si="31"/>
        <v>0</v>
      </c>
      <c r="M126">
        <v>9838</v>
      </c>
      <c r="N126">
        <f t="shared" si="32"/>
        <v>4.5416909151987435E-2</v>
      </c>
      <c r="O126" s="10">
        <v>0.91808002099999997</v>
      </c>
      <c r="P126">
        <f t="shared" si="33"/>
        <v>0.9156054405464239</v>
      </c>
      <c r="Q126" s="23">
        <v>0.41789999999999999</v>
      </c>
      <c r="R126" s="13">
        <f t="shared" si="34"/>
        <v>0.9049372022520572</v>
      </c>
      <c r="S126">
        <f t="shared" si="35"/>
        <v>0.18578070534911811</v>
      </c>
      <c r="T126" s="14">
        <f t="shared" si="23"/>
        <v>0.33151660578588488</v>
      </c>
      <c r="U126" t="str">
        <f t="shared" si="36"/>
        <v>Moderate</v>
      </c>
      <c r="V126">
        <f t="shared" si="37"/>
        <v>0.18469204486483892</v>
      </c>
      <c r="W126">
        <f t="shared" si="24"/>
        <v>0.29876396230442231</v>
      </c>
      <c r="X126" t="s">
        <v>1169</v>
      </c>
      <c r="Y126">
        <f t="shared" si="25"/>
        <v>0.18686936583339731</v>
      </c>
      <c r="Z126">
        <f t="shared" si="38"/>
        <v>0.34017791454898855</v>
      </c>
      <c r="AA126" t="str">
        <f t="shared" si="39"/>
        <v>Moderate</v>
      </c>
      <c r="AB126">
        <f t="shared" si="26"/>
        <v>0.12394728332016056</v>
      </c>
      <c r="AC126">
        <f t="shared" si="40"/>
        <v>0.30294930596404374</v>
      </c>
      <c r="AD126" t="str">
        <f t="shared" si="41"/>
        <v>Moderate</v>
      </c>
      <c r="AE126">
        <f t="shared" si="27"/>
        <v>9.2693081927079195E-3</v>
      </c>
      <c r="AF126">
        <f t="shared" si="42"/>
        <v>5.5966446176775396E-2</v>
      </c>
      <c r="AG126" t="s">
        <v>1170</v>
      </c>
    </row>
    <row r="127" spans="1:33" customFormat="1" x14ac:dyDescent="0.3">
      <c r="A127">
        <v>204677</v>
      </c>
      <c r="B127" t="s">
        <v>402</v>
      </c>
      <c r="C127" t="s">
        <v>672</v>
      </c>
      <c r="D127" t="s">
        <v>678</v>
      </c>
      <c r="E127" s="21">
        <v>6.2</v>
      </c>
      <c r="F127" s="2">
        <f t="shared" si="28"/>
        <v>0.66666666666666663</v>
      </c>
      <c r="G127" s="26">
        <v>56.505240000000001</v>
      </c>
      <c r="H127">
        <f t="shared" si="29"/>
        <v>0.57926786511712014</v>
      </c>
      <c r="I127" s="12">
        <v>64.400000000000006</v>
      </c>
      <c r="J127" s="2">
        <f t="shared" si="30"/>
        <v>0.27081581160639195</v>
      </c>
      <c r="K127" s="10">
        <v>0</v>
      </c>
      <c r="L127" s="2">
        <f t="shared" si="31"/>
        <v>0</v>
      </c>
      <c r="M127">
        <v>7474</v>
      </c>
      <c r="N127">
        <f t="shared" si="32"/>
        <v>3.4231830160915626E-2</v>
      </c>
      <c r="O127" s="10">
        <v>0.87037959200000004</v>
      </c>
      <c r="P127">
        <f t="shared" si="33"/>
        <v>0.86307349212517059</v>
      </c>
      <c r="Q127" s="23">
        <v>0.42820000000000003</v>
      </c>
      <c r="R127" s="13">
        <f t="shared" si="34"/>
        <v>0.92724122996968394</v>
      </c>
      <c r="S127">
        <f t="shared" si="35"/>
        <v>0.17755702083590644</v>
      </c>
      <c r="T127" s="14">
        <f t="shared" si="23"/>
        <v>0.31684184194670872</v>
      </c>
      <c r="U127" t="str">
        <f t="shared" si="36"/>
        <v>Moderate</v>
      </c>
      <c r="V127">
        <f t="shared" si="37"/>
        <v>0.18392094792919408</v>
      </c>
      <c r="W127">
        <f t="shared" si="24"/>
        <v>0.29751661038960303</v>
      </c>
      <c r="X127" t="s">
        <v>1169</v>
      </c>
      <c r="Y127">
        <f t="shared" si="25"/>
        <v>0.17119309374261876</v>
      </c>
      <c r="Z127">
        <f t="shared" si="38"/>
        <v>0.31164075157441129</v>
      </c>
      <c r="AA127" t="str">
        <f t="shared" si="39"/>
        <v>Moderate</v>
      </c>
      <c r="AB127">
        <f t="shared" si="26"/>
        <v>0.1181067533682771</v>
      </c>
      <c r="AC127">
        <f t="shared" si="40"/>
        <v>0.28867400724035236</v>
      </c>
      <c r="AD127" t="str">
        <f t="shared" si="41"/>
        <v>Low</v>
      </c>
      <c r="AE127">
        <f t="shared" si="27"/>
        <v>6.7899813436387256E-3</v>
      </c>
      <c r="AF127">
        <f t="shared" si="42"/>
        <v>4.0996708439257325E-2</v>
      </c>
      <c r="AG127" t="s">
        <v>1170</v>
      </c>
    </row>
    <row r="128" spans="1:33" customFormat="1" x14ac:dyDescent="0.3">
      <c r="A128">
        <v>204680</v>
      </c>
      <c r="B128" t="s">
        <v>432</v>
      </c>
      <c r="C128" t="s">
        <v>672</v>
      </c>
      <c r="D128" t="s">
        <v>679</v>
      </c>
      <c r="E128" s="21">
        <v>6.2</v>
      </c>
      <c r="F128" s="2">
        <f t="shared" si="28"/>
        <v>0.66666666666666663</v>
      </c>
      <c r="G128" s="26">
        <v>60.915239999999997</v>
      </c>
      <c r="H128">
        <f t="shared" si="29"/>
        <v>0.62447732330482975</v>
      </c>
      <c r="I128" s="12">
        <v>61.6</v>
      </c>
      <c r="J128" s="2">
        <f t="shared" si="30"/>
        <v>0.2590412111017662</v>
      </c>
      <c r="K128" s="10">
        <v>0</v>
      </c>
      <c r="L128" s="2">
        <f t="shared" si="31"/>
        <v>0</v>
      </c>
      <c r="M128">
        <v>11497</v>
      </c>
      <c r="N128">
        <f t="shared" si="32"/>
        <v>5.3266336413488331E-2</v>
      </c>
      <c r="O128" s="10">
        <v>0.95523553100000003</v>
      </c>
      <c r="P128">
        <f t="shared" si="33"/>
        <v>0.95652438773000925</v>
      </c>
      <c r="Q128" s="23">
        <v>0.42409999999999998</v>
      </c>
      <c r="R128" s="13">
        <f t="shared" si="34"/>
        <v>0.91836292767431782</v>
      </c>
      <c r="S128">
        <f t="shared" si="35"/>
        <v>0.19325806419308061</v>
      </c>
      <c r="T128" s="14">
        <f t="shared" si="23"/>
        <v>0.34485958787616838</v>
      </c>
      <c r="U128" t="str">
        <f t="shared" si="36"/>
        <v>Moderate</v>
      </c>
      <c r="V128">
        <f t="shared" si="37"/>
        <v>0.18932448917950492</v>
      </c>
      <c r="W128">
        <f t="shared" si="24"/>
        <v>0.30625755749211464</v>
      </c>
      <c r="X128" t="str">
        <f t="shared" si="44"/>
        <v>Moderate</v>
      </c>
      <c r="Y128">
        <f t="shared" si="25"/>
        <v>0.19719163920665633</v>
      </c>
      <c r="Z128">
        <f t="shared" si="38"/>
        <v>0.35896863187100475</v>
      </c>
      <c r="AA128" t="str">
        <f t="shared" si="39"/>
        <v>Moderate</v>
      </c>
      <c r="AB128">
        <f t="shared" si="26"/>
        <v>0.12926444293912601</v>
      </c>
      <c r="AC128">
        <f t="shared" si="40"/>
        <v>0.31594539408406158</v>
      </c>
      <c r="AD128" t="str">
        <f t="shared" si="41"/>
        <v>Moderate</v>
      </c>
      <c r="AE128">
        <f t="shared" si="27"/>
        <v>1.0981085612292578E-2</v>
      </c>
      <c r="AF128">
        <f t="shared" si="42"/>
        <v>6.6301855986017788E-2</v>
      </c>
      <c r="AG128" t="s">
        <v>1170</v>
      </c>
    </row>
    <row r="129" spans="1:33" customFormat="1" x14ac:dyDescent="0.3">
      <c r="A129">
        <v>205133</v>
      </c>
      <c r="B129" t="s">
        <v>253</v>
      </c>
      <c r="C129" t="s">
        <v>681</v>
      </c>
      <c r="D129" t="s">
        <v>680</v>
      </c>
      <c r="E129" s="21">
        <v>6.5</v>
      </c>
      <c r="F129" s="2">
        <f t="shared" si="28"/>
        <v>0.73333333333333328</v>
      </c>
      <c r="G129" s="26">
        <v>72.300960000000003</v>
      </c>
      <c r="H129">
        <f t="shared" si="29"/>
        <v>0.74119891792545789</v>
      </c>
      <c r="I129" s="12">
        <v>81.600000000000009</v>
      </c>
      <c r="J129" s="2">
        <f t="shared" si="30"/>
        <v>0.34314550042052144</v>
      </c>
      <c r="K129" s="10">
        <v>0</v>
      </c>
      <c r="L129" s="2">
        <f t="shared" si="31"/>
        <v>0</v>
      </c>
      <c r="M129">
        <v>17191</v>
      </c>
      <c r="N129">
        <f t="shared" si="32"/>
        <v>8.0207046978278046E-2</v>
      </c>
      <c r="O129" s="10">
        <v>0.90302609199999995</v>
      </c>
      <c r="P129">
        <f t="shared" si="33"/>
        <v>0.89902671707697224</v>
      </c>
      <c r="Q129" s="23">
        <v>0.36159999999999998</v>
      </c>
      <c r="R129" s="13">
        <f t="shared" si="34"/>
        <v>0.78302295365959285</v>
      </c>
      <c r="S129">
        <f t="shared" si="35"/>
        <v>0.23406988371996548</v>
      </c>
      <c r="T129" s="14">
        <f t="shared" si="23"/>
        <v>0.41768628890560977</v>
      </c>
      <c r="U129" t="str">
        <f t="shared" si="36"/>
        <v>Moderate</v>
      </c>
      <c r="V129">
        <f t="shared" si="37"/>
        <v>0.21792708610430755</v>
      </c>
      <c r="W129">
        <f t="shared" si="24"/>
        <v>0.35252606459378227</v>
      </c>
      <c r="X129" t="str">
        <f t="shared" si="44"/>
        <v>Moderate</v>
      </c>
      <c r="Y129">
        <f t="shared" si="25"/>
        <v>0.25021268133562335</v>
      </c>
      <c r="Z129">
        <f t="shared" si="38"/>
        <v>0.45548839827683996</v>
      </c>
      <c r="AA129" t="str">
        <f t="shared" si="39"/>
        <v>Moderate</v>
      </c>
      <c r="AB129">
        <f t="shared" si="26"/>
        <v>0.15915127492650602</v>
      </c>
      <c r="AC129">
        <f t="shared" si="40"/>
        <v>0.388994151309772</v>
      </c>
      <c r="AD129" t="str">
        <f t="shared" si="41"/>
        <v>Moderate</v>
      </c>
      <c r="AE129">
        <f t="shared" si="27"/>
        <v>2.2322829683746784E-2</v>
      </c>
      <c r="AF129">
        <f t="shared" si="42"/>
        <v>0.13478130406663733</v>
      </c>
      <c r="AG129" t="s">
        <v>1170</v>
      </c>
    </row>
    <row r="130" spans="1:33" customFormat="1" x14ac:dyDescent="0.3">
      <c r="A130">
        <v>205143</v>
      </c>
      <c r="B130" t="s">
        <v>299</v>
      </c>
      <c r="C130" t="s">
        <v>681</v>
      </c>
      <c r="D130" t="s">
        <v>682</v>
      </c>
      <c r="E130" s="21">
        <v>6.5</v>
      </c>
      <c r="F130" s="2">
        <f t="shared" si="28"/>
        <v>0.73333333333333328</v>
      </c>
      <c r="G130" s="26">
        <v>75.419640000000001</v>
      </c>
      <c r="H130">
        <f t="shared" si="29"/>
        <v>0.77317030864220304</v>
      </c>
      <c r="I130" s="12">
        <v>129.80000000000001</v>
      </c>
      <c r="J130" s="2">
        <f t="shared" si="30"/>
        <v>0.5458368376787216</v>
      </c>
      <c r="K130" s="10">
        <v>1</v>
      </c>
      <c r="L130" s="2">
        <f t="shared" si="31"/>
        <v>0.58823529411764708</v>
      </c>
      <c r="M130">
        <v>40462</v>
      </c>
      <c r="N130">
        <f t="shared" si="32"/>
        <v>0.19031194257947603</v>
      </c>
      <c r="O130" s="10">
        <v>0.96756664100000001</v>
      </c>
      <c r="P130">
        <f t="shared" si="33"/>
        <v>0.97010450111844027</v>
      </c>
      <c r="Q130" s="23">
        <v>0.37790000000000001</v>
      </c>
      <c r="R130" s="13">
        <f t="shared" si="34"/>
        <v>0.81831961888263327</v>
      </c>
      <c r="S130">
        <f t="shared" si="35"/>
        <v>0.41845273238916475</v>
      </c>
      <c r="T130" s="14">
        <f t="shared" ref="T130:T193" si="45">(S130-$AJ$10)/$AK$10</f>
        <v>0.74670848763759212</v>
      </c>
      <c r="U130" t="str">
        <f t="shared" si="36"/>
        <v>High</v>
      </c>
      <c r="V130">
        <f t="shared" si="37"/>
        <v>0.38293833846178754</v>
      </c>
      <c r="W130">
        <f t="shared" ref="W130:W193" si="46">(V130-$AJ$13)/$AK$13</f>
        <v>0.61945372579983959</v>
      </c>
      <c r="X130" t="str">
        <f t="shared" si="44"/>
        <v>Moderate</v>
      </c>
      <c r="Y130">
        <f t="shared" ref="Y130:Y193" si="47">F130*(P130*1)*(H130*0.35+J130*0.35+L130*0.3)</f>
        <v>0.45396712631654196</v>
      </c>
      <c r="Z130">
        <f t="shared" si="38"/>
        <v>0.82640399412410714</v>
      </c>
      <c r="AA130" t="str">
        <f t="shared" si="39"/>
        <v>High</v>
      </c>
      <c r="AB130">
        <f t="shared" ref="AB130:AB193" si="48">F130*(R130*0.35+P130*0.3+N130*0.35)*(H130*0.35+J130*0.35+L130*0.3)</f>
        <v>0.30138878384437034</v>
      </c>
      <c r="AC130">
        <f t="shared" si="40"/>
        <v>0.73664803652980071</v>
      </c>
      <c r="AD130" t="str">
        <f t="shared" si="41"/>
        <v>High</v>
      </c>
      <c r="AE130">
        <f t="shared" ref="AE130:AE193" si="49">F130*(N130*1)*(H130*0.35+J130*0.35+L130*0.3)</f>
        <v>8.9057792822234777E-2</v>
      </c>
      <c r="AF130">
        <f t="shared" si="42"/>
        <v>0.53771522803924887</v>
      </c>
      <c r="AG130" t="str">
        <f t="shared" si="43"/>
        <v>Moderate</v>
      </c>
    </row>
    <row r="131" spans="1:33" customFormat="1" x14ac:dyDescent="0.3">
      <c r="A131">
        <v>205158</v>
      </c>
      <c r="B131" t="s">
        <v>447</v>
      </c>
      <c r="C131" t="s">
        <v>681</v>
      </c>
      <c r="D131" t="s">
        <v>683</v>
      </c>
      <c r="E131" s="21">
        <v>5</v>
      </c>
      <c r="F131" s="2">
        <f t="shared" ref="F131:F194" si="50">(E131-$AJ$5)/$AK$5</f>
        <v>0.39999999999999997</v>
      </c>
      <c r="G131" s="26">
        <v>64.851119999999995</v>
      </c>
      <c r="H131">
        <f t="shared" ref="H131:H194" si="51">(G131-$AJ$6)/$AK$6</f>
        <v>0.66482630341635873</v>
      </c>
      <c r="I131" s="12">
        <v>139.4</v>
      </c>
      <c r="J131" s="2">
        <f t="shared" ref="J131:J194" si="52">(I131-$AJ$7)/$AK$7</f>
        <v>0.58620689655172409</v>
      </c>
      <c r="K131" s="10">
        <v>0</v>
      </c>
      <c r="L131" s="2">
        <f t="shared" ref="L131:L194" si="53">(K131-$AJ$8)/$AK$8</f>
        <v>0</v>
      </c>
      <c r="M131">
        <v>15111</v>
      </c>
      <c r="N131">
        <f t="shared" ref="N131:N194" si="54">(M131-$AJ$9)/$AK$9</f>
        <v>7.0365691520820617E-2</v>
      </c>
      <c r="O131" s="10">
        <v>0.87404807399999995</v>
      </c>
      <c r="P131">
        <f t="shared" ref="P131:P194" si="55">(O131-$AJ$11)/$AK$11</f>
        <v>0.86711355028079617</v>
      </c>
      <c r="Q131" s="23">
        <v>0.39319999999999999</v>
      </c>
      <c r="R131" s="13">
        <f t="shared" ref="R131:R194" si="56">(Q131-$AJ$12)/$AK$12</f>
        <v>0.85145084452143782</v>
      </c>
      <c r="S131">
        <f t="shared" ref="S131:S194" si="57">F131*(R131*0.5+P131*0.5)*(H131*0.35+J131*0.35+L131*0.3)</f>
        <v>0.15049867799264552</v>
      </c>
      <c r="T131" s="14">
        <f t="shared" si="45"/>
        <v>0.26855754912560154</v>
      </c>
      <c r="U131" t="str">
        <f t="shared" ref="U131:U194" si="58">IF(T131&gt;0.7,"High",IF(T131&gt;0.3,"Moderate",IF(T131&gt;0.15,"Low","No Impact")))</f>
        <v>Low</v>
      </c>
      <c r="V131">
        <f t="shared" ref="V131:V194" si="59">F131*(R131*1)*(H131*0.35+J131*0.35+L131*0.3)</f>
        <v>0.14912705844920529</v>
      </c>
      <c r="W131">
        <f t="shared" si="46"/>
        <v>0.24123286361192789</v>
      </c>
      <c r="X131" t="s">
        <v>1170</v>
      </c>
      <c r="Y131">
        <f t="shared" si="47"/>
        <v>0.15187029753608572</v>
      </c>
      <c r="Z131">
        <f t="shared" ref="Z131:Z194" si="60">(Y131-$AJ$14)/$AK$14</f>
        <v>0.27646543812761648</v>
      </c>
      <c r="AA131" t="str">
        <f t="shared" ref="AA131:AA194" si="61">IF(Z131&gt;0.7,"High",IF(Z131&gt;0.3,"Moderate",IF(Z131&gt;0.15,"Low","No Impact")))</f>
        <v>Low</v>
      </c>
      <c r="AB131">
        <f t="shared" si="48"/>
        <v>0.10206902071337927</v>
      </c>
      <c r="AC131">
        <f t="shared" ref="AC131:AC194" si="62">(AB131-$AJ$15)/$AK$15</f>
        <v>0.2494749231871087</v>
      </c>
      <c r="AD131" t="str">
        <f t="shared" ref="AD131:AD194" si="63">IF(AC131&gt;0.7,"High",IF(AC131&gt;0.3,"Moderate",IF(AC131&gt;0.15,"Low","No Impact")))</f>
        <v>Low</v>
      </c>
      <c r="AE131">
        <f t="shared" si="49"/>
        <v>1.2324174272376287E-2</v>
      </c>
      <c r="AF131">
        <f t="shared" ref="AF131:AF194" si="64">(AE131-$AJ$16)/$AK$16</f>
        <v>7.4411188165127568E-2</v>
      </c>
      <c r="AG131" t="s">
        <v>1170</v>
      </c>
    </row>
    <row r="132" spans="1:33" customFormat="1" x14ac:dyDescent="0.3">
      <c r="A132">
        <v>205165</v>
      </c>
      <c r="B132" t="s">
        <v>431</v>
      </c>
      <c r="C132" t="s">
        <v>681</v>
      </c>
      <c r="D132" t="s">
        <v>684</v>
      </c>
      <c r="E132" s="21">
        <v>6.5</v>
      </c>
      <c r="F132" s="2">
        <f t="shared" si="50"/>
        <v>0.73333333333333328</v>
      </c>
      <c r="G132" s="26">
        <v>56.46564</v>
      </c>
      <c r="H132">
        <f t="shared" si="51"/>
        <v>0.57886190263543458</v>
      </c>
      <c r="I132" s="12">
        <v>115.7</v>
      </c>
      <c r="J132" s="2">
        <f t="shared" si="52"/>
        <v>0.48654331370899917</v>
      </c>
      <c r="K132" s="10">
        <v>0</v>
      </c>
      <c r="L132" s="2">
        <f t="shared" si="53"/>
        <v>0</v>
      </c>
      <c r="M132">
        <v>18858</v>
      </c>
      <c r="N132">
        <f t="shared" si="54"/>
        <v>8.8094325606923013E-2</v>
      </c>
      <c r="O132" s="10">
        <v>0.98073412900000001</v>
      </c>
      <c r="P132">
        <f t="shared" si="55"/>
        <v>0.98460570823449101</v>
      </c>
      <c r="Q132" s="23">
        <v>0.34699999999999998</v>
      </c>
      <c r="R132" s="13">
        <f t="shared" si="56"/>
        <v>0.75140753572975305</v>
      </c>
      <c r="S132">
        <f t="shared" si="57"/>
        <v>0.23735988760619103</v>
      </c>
      <c r="T132" s="14">
        <f t="shared" si="45"/>
        <v>0.42355714034486036</v>
      </c>
      <c r="U132" t="str">
        <f t="shared" si="58"/>
        <v>Moderate</v>
      </c>
      <c r="V132">
        <f t="shared" si="59"/>
        <v>0.20547540042952878</v>
      </c>
      <c r="W132">
        <f t="shared" si="46"/>
        <v>0.3323838058825932</v>
      </c>
      <c r="X132" t="str">
        <f t="shared" ref="X132:X195" si="65">IF(W132&gt;0.7,"High",IF(W132&gt;0.3,"Moderate",IF(W132&gt;0.15,"Low","No Impact")))</f>
        <v>Moderate</v>
      </c>
      <c r="Y132">
        <f t="shared" si="47"/>
        <v>0.26924437478285324</v>
      </c>
      <c r="Z132">
        <f t="shared" si="60"/>
        <v>0.49013378682589898</v>
      </c>
      <c r="AA132" t="str">
        <f t="shared" si="61"/>
        <v>Moderate</v>
      </c>
      <c r="AB132">
        <f t="shared" si="48"/>
        <v>0.16112111375572888</v>
      </c>
      <c r="AC132">
        <f t="shared" si="62"/>
        <v>0.39380878935740582</v>
      </c>
      <c r="AD132" t="str">
        <f t="shared" si="63"/>
        <v>Moderate</v>
      </c>
      <c r="AE132">
        <f t="shared" si="49"/>
        <v>2.4089746201536602E-2</v>
      </c>
      <c r="AF132">
        <f t="shared" si="64"/>
        <v>0.14544963401487807</v>
      </c>
      <c r="AG132" t="s">
        <v>1170</v>
      </c>
    </row>
    <row r="133" spans="1:33" customFormat="1" x14ac:dyDescent="0.3">
      <c r="A133">
        <v>205173</v>
      </c>
      <c r="B133" t="s">
        <v>433</v>
      </c>
      <c r="C133" t="s">
        <v>681</v>
      </c>
      <c r="D133" t="s">
        <v>685</v>
      </c>
      <c r="E133" s="21">
        <v>6.5</v>
      </c>
      <c r="F133" s="2">
        <f t="shared" si="50"/>
        <v>0.73333333333333328</v>
      </c>
      <c r="G133" s="26">
        <v>81.02628</v>
      </c>
      <c r="H133">
        <f t="shared" si="51"/>
        <v>0.83064721491284721</v>
      </c>
      <c r="I133" s="12">
        <v>68.599999999999994</v>
      </c>
      <c r="J133" s="2">
        <f t="shared" si="52"/>
        <v>0.28847771236333047</v>
      </c>
      <c r="K133" s="10">
        <v>1</v>
      </c>
      <c r="L133" s="2">
        <f t="shared" si="53"/>
        <v>0.58823529411764708</v>
      </c>
      <c r="M133">
        <v>8289</v>
      </c>
      <c r="N133">
        <f t="shared" si="54"/>
        <v>3.8087938188717453E-2</v>
      </c>
      <c r="O133" s="10">
        <v>0.88596356399999998</v>
      </c>
      <c r="P133">
        <f t="shared" si="55"/>
        <v>0.8802359460163558</v>
      </c>
      <c r="Q133" s="23">
        <v>0.34549999999999997</v>
      </c>
      <c r="R133" s="13">
        <f t="shared" si="56"/>
        <v>0.74815937635339969</v>
      </c>
      <c r="S133">
        <f t="shared" si="57"/>
        <v>0.33923857339957358</v>
      </c>
      <c r="T133" s="14">
        <f t="shared" si="45"/>
        <v>0.605354685211966</v>
      </c>
      <c r="U133" t="str">
        <f t="shared" si="58"/>
        <v>Moderate</v>
      </c>
      <c r="V133">
        <f t="shared" si="59"/>
        <v>0.31172346913928467</v>
      </c>
      <c r="W133">
        <f t="shared" si="46"/>
        <v>0.50425419704183005</v>
      </c>
      <c r="X133" t="str">
        <f t="shared" si="65"/>
        <v>Moderate</v>
      </c>
      <c r="Y133">
        <f t="shared" si="47"/>
        <v>0.3667536776598625</v>
      </c>
      <c r="Z133">
        <f t="shared" si="60"/>
        <v>0.66764020235791155</v>
      </c>
      <c r="AA133" t="str">
        <f t="shared" si="61"/>
        <v>Moderate</v>
      </c>
      <c r="AB133">
        <f t="shared" si="48"/>
        <v>0.22468363735145214</v>
      </c>
      <c r="AC133">
        <f t="shared" si="62"/>
        <v>0.54916695367398838</v>
      </c>
      <c r="AD133" t="str">
        <f t="shared" si="63"/>
        <v>Moderate</v>
      </c>
      <c r="AE133">
        <f t="shared" si="49"/>
        <v>1.5869485299267804E-2</v>
      </c>
      <c r="AF133">
        <f t="shared" si="64"/>
        <v>9.5817150146470076E-2</v>
      </c>
      <c r="AG133" t="s">
        <v>1170</v>
      </c>
    </row>
    <row r="134" spans="1:33" customFormat="1" x14ac:dyDescent="0.3">
      <c r="A134">
        <v>207507</v>
      </c>
      <c r="B134" t="s">
        <v>58</v>
      </c>
      <c r="C134" t="s">
        <v>687</v>
      </c>
      <c r="D134" t="s">
        <v>686</v>
      </c>
      <c r="E134" s="21">
        <v>6.6</v>
      </c>
      <c r="F134" s="2">
        <f t="shared" si="50"/>
        <v>0.75555555555555542</v>
      </c>
      <c r="G134" s="26">
        <v>61.457040000000006</v>
      </c>
      <c r="H134">
        <f t="shared" si="51"/>
        <v>0.63003162816789138</v>
      </c>
      <c r="I134" s="12">
        <v>84.7</v>
      </c>
      <c r="J134" s="2">
        <f t="shared" si="52"/>
        <v>0.3561816652649285</v>
      </c>
      <c r="K134" s="10">
        <v>0</v>
      </c>
      <c r="L134" s="2">
        <f t="shared" si="53"/>
        <v>0</v>
      </c>
      <c r="M134">
        <v>35521</v>
      </c>
      <c r="N134">
        <f t="shared" si="54"/>
        <v>0.16693399194712163</v>
      </c>
      <c r="O134" s="10">
        <v>0.93623014699999996</v>
      </c>
      <c r="P134">
        <f t="shared" si="55"/>
        <v>0.93559397110809339</v>
      </c>
      <c r="Q134" s="23">
        <v>0.31330000000000002</v>
      </c>
      <c r="R134" s="13">
        <f t="shared" si="56"/>
        <v>0.67843222174101347</v>
      </c>
      <c r="S134">
        <f t="shared" si="57"/>
        <v>0.21046790710338867</v>
      </c>
      <c r="T134" s="14">
        <f t="shared" si="45"/>
        <v>0.37556971300467479</v>
      </c>
      <c r="U134" t="str">
        <f t="shared" si="58"/>
        <v>Moderate</v>
      </c>
      <c r="V134">
        <f t="shared" si="59"/>
        <v>0.17693419159360854</v>
      </c>
      <c r="W134">
        <f t="shared" si="46"/>
        <v>0.28621460218452494</v>
      </c>
      <c r="X134" t="s">
        <v>1169</v>
      </c>
      <c r="Y134">
        <f t="shared" si="47"/>
        <v>0.24400162261316882</v>
      </c>
      <c r="Z134">
        <f t="shared" si="60"/>
        <v>0.44418175636727408</v>
      </c>
      <c r="AA134" t="str">
        <f t="shared" si="61"/>
        <v>Moderate</v>
      </c>
      <c r="AB134">
        <f t="shared" si="48"/>
        <v>0.15036510837646036</v>
      </c>
      <c r="AC134">
        <f t="shared" si="62"/>
        <v>0.3675191904464073</v>
      </c>
      <c r="AD134" t="str">
        <f t="shared" si="63"/>
        <v>Moderate</v>
      </c>
      <c r="AE134">
        <f t="shared" si="49"/>
        <v>4.3536155813562176E-2</v>
      </c>
      <c r="AF134">
        <f t="shared" si="64"/>
        <v>0.26286362158076237</v>
      </c>
      <c r="AG134" t="s">
        <v>1169</v>
      </c>
    </row>
    <row r="135" spans="1:33" customFormat="1" x14ac:dyDescent="0.3">
      <c r="A135">
        <v>207510</v>
      </c>
      <c r="B135" t="s">
        <v>103</v>
      </c>
      <c r="C135" t="s">
        <v>687</v>
      </c>
      <c r="D135" t="s">
        <v>688</v>
      </c>
      <c r="E135" s="21">
        <v>6.5</v>
      </c>
      <c r="F135" s="2">
        <f t="shared" si="50"/>
        <v>0.73333333333333328</v>
      </c>
      <c r="G135" s="26">
        <v>61.457040000000006</v>
      </c>
      <c r="H135">
        <f t="shared" si="51"/>
        <v>0.63003162816789138</v>
      </c>
      <c r="I135" s="12">
        <v>89.1</v>
      </c>
      <c r="J135" s="2">
        <f t="shared" si="52"/>
        <v>0.37468460891505462</v>
      </c>
      <c r="K135" s="10">
        <v>0</v>
      </c>
      <c r="L135" s="2">
        <f t="shared" si="53"/>
        <v>0</v>
      </c>
      <c r="M135">
        <v>14588</v>
      </c>
      <c r="N135">
        <f t="shared" si="54"/>
        <v>6.789115839377724E-2</v>
      </c>
      <c r="O135" s="10">
        <v>0.99471256200000002</v>
      </c>
      <c r="P135">
        <f t="shared" si="55"/>
        <v>1</v>
      </c>
      <c r="Q135" s="23">
        <v>0.35680000000000001</v>
      </c>
      <c r="R135" s="13">
        <f t="shared" si="56"/>
        <v>0.77262884365526208</v>
      </c>
      <c r="S135">
        <f t="shared" si="57"/>
        <v>0.22856025263122443</v>
      </c>
      <c r="T135" s="14">
        <f t="shared" si="45"/>
        <v>0.40785462100317926</v>
      </c>
      <c r="U135" t="str">
        <f t="shared" si="58"/>
        <v>Moderate</v>
      </c>
      <c r="V135">
        <f t="shared" si="59"/>
        <v>0.19924333774449274</v>
      </c>
      <c r="W135">
        <f t="shared" si="46"/>
        <v>0.32230261509566199</v>
      </c>
      <c r="X135" t="str">
        <f t="shared" si="65"/>
        <v>Moderate</v>
      </c>
      <c r="Y135">
        <f t="shared" si="47"/>
        <v>0.25787716751795609</v>
      </c>
      <c r="Z135">
        <f t="shared" si="60"/>
        <v>0.46944086669758689</v>
      </c>
      <c r="AA135" t="str">
        <f t="shared" si="61"/>
        <v>Moderate</v>
      </c>
      <c r="AB135">
        <f t="shared" si="48"/>
        <v>0.15322597133509436</v>
      </c>
      <c r="AC135">
        <f t="shared" si="62"/>
        <v>0.37451165066465747</v>
      </c>
      <c r="AD135" t="str">
        <f t="shared" si="63"/>
        <v>Moderate</v>
      </c>
      <c r="AE135">
        <f t="shared" si="49"/>
        <v>1.7507579626100184E-2</v>
      </c>
      <c r="AF135">
        <f t="shared" si="64"/>
        <v>0.10570767445196982</v>
      </c>
      <c r="AG135" t="s">
        <v>1170</v>
      </c>
    </row>
    <row r="136" spans="1:33" customFormat="1" x14ac:dyDescent="0.3">
      <c r="A136">
        <v>207521</v>
      </c>
      <c r="B136" t="s">
        <v>118</v>
      </c>
      <c r="C136" t="s">
        <v>687</v>
      </c>
      <c r="D136" t="s">
        <v>1131</v>
      </c>
      <c r="E136" s="21">
        <v>6.4</v>
      </c>
      <c r="F136" s="2">
        <f t="shared" si="50"/>
        <v>0.71111111111111114</v>
      </c>
      <c r="G136" s="26">
        <v>75.528000000000006</v>
      </c>
      <c r="H136">
        <f t="shared" si="51"/>
        <v>0.77428116961481541</v>
      </c>
      <c r="I136" s="12">
        <v>81.199999999999989</v>
      </c>
      <c r="J136" s="2">
        <f t="shared" si="52"/>
        <v>0.34146341463414626</v>
      </c>
      <c r="K136" s="10">
        <v>0.5</v>
      </c>
      <c r="L136" s="2">
        <f t="shared" si="53"/>
        <v>0.29411764705882354</v>
      </c>
      <c r="M136">
        <v>38608</v>
      </c>
      <c r="N136">
        <f t="shared" si="54"/>
        <v>0.18153988824383852</v>
      </c>
      <c r="O136" s="10">
        <v>0.844903509</v>
      </c>
      <c r="P136">
        <f t="shared" si="55"/>
        <v>0.83501696713811913</v>
      </c>
      <c r="Q136" s="23">
        <v>0.31859999999999999</v>
      </c>
      <c r="R136" s="13">
        <f t="shared" si="56"/>
        <v>0.68990905153746207</v>
      </c>
      <c r="S136">
        <f t="shared" si="57"/>
        <v>0.25957407186370002</v>
      </c>
      <c r="T136" s="14">
        <f t="shared" si="45"/>
        <v>0.4631972684814854</v>
      </c>
      <c r="U136" t="str">
        <f t="shared" si="58"/>
        <v>Moderate</v>
      </c>
      <c r="V136">
        <f t="shared" si="59"/>
        <v>0.23487369161520091</v>
      </c>
      <c r="W136">
        <f t="shared" si="46"/>
        <v>0.37993945434616538</v>
      </c>
      <c r="X136" t="str">
        <f t="shared" si="65"/>
        <v>Moderate</v>
      </c>
      <c r="Y136">
        <f t="shared" si="47"/>
        <v>0.28427445211219909</v>
      </c>
      <c r="Z136">
        <f t="shared" si="60"/>
        <v>0.51749461367199256</v>
      </c>
      <c r="AA136" t="str">
        <f t="shared" si="61"/>
        <v>Moderate</v>
      </c>
      <c r="AB136">
        <f t="shared" si="48"/>
        <v>0.18911942862375725</v>
      </c>
      <c r="AC136">
        <f t="shared" si="62"/>
        <v>0.46224167332407129</v>
      </c>
      <c r="AD136" t="str">
        <f t="shared" si="63"/>
        <v>Moderate</v>
      </c>
      <c r="AE136">
        <f t="shared" si="49"/>
        <v>6.1803716927934918E-2</v>
      </c>
      <c r="AF136">
        <f t="shared" si="64"/>
        <v>0.37315993006824871</v>
      </c>
      <c r="AG136" t="str">
        <f t="shared" ref="AG136:AG188" si="66">IF(AF136&gt;0.7,"High",IF(AF136&gt;0.3,"Moderate",IF(AF136&gt;0.15,"Low","No Impact")))</f>
        <v>Moderate</v>
      </c>
    </row>
    <row r="137" spans="1:33" customFormat="1" x14ac:dyDescent="0.3">
      <c r="A137">
        <v>207536</v>
      </c>
      <c r="B137" t="s">
        <v>208</v>
      </c>
      <c r="C137" t="s">
        <v>687</v>
      </c>
      <c r="D137" t="s">
        <v>689</v>
      </c>
      <c r="E137" s="21">
        <v>6.5</v>
      </c>
      <c r="F137" s="2">
        <f t="shared" si="50"/>
        <v>0.73333333333333328</v>
      </c>
      <c r="G137" s="26">
        <v>95.04468</v>
      </c>
      <c r="H137">
        <f t="shared" si="51"/>
        <v>0.97435793342953403</v>
      </c>
      <c r="I137" s="12">
        <v>59.3</v>
      </c>
      <c r="J137" s="2">
        <f t="shared" si="52"/>
        <v>0.24936921783010932</v>
      </c>
      <c r="K137" s="10">
        <v>0.5</v>
      </c>
      <c r="L137" s="2">
        <f t="shared" si="53"/>
        <v>0.29411764705882354</v>
      </c>
      <c r="M137">
        <v>64514</v>
      </c>
      <c r="N137">
        <f t="shared" si="54"/>
        <v>0.30411207789811356</v>
      </c>
      <c r="O137" s="10">
        <v>0.84397795499999995</v>
      </c>
      <c r="P137">
        <f t="shared" si="55"/>
        <v>0.83399766488008098</v>
      </c>
      <c r="Q137" s="23">
        <v>0.34389999999999998</v>
      </c>
      <c r="R137" s="13">
        <f t="shared" si="56"/>
        <v>0.7446946730186228</v>
      </c>
      <c r="S137">
        <f t="shared" si="57"/>
        <v>0.29900105393988147</v>
      </c>
      <c r="T137" s="14">
        <f t="shared" si="45"/>
        <v>0.53355279463644434</v>
      </c>
      <c r="U137" t="str">
        <f t="shared" si="58"/>
        <v>Moderate</v>
      </c>
      <c r="V137">
        <f t="shared" si="59"/>
        <v>0.2820872525325081</v>
      </c>
      <c r="W137">
        <f t="shared" si="46"/>
        <v>0.45631367254532351</v>
      </c>
      <c r="X137" t="str">
        <f t="shared" si="65"/>
        <v>Moderate</v>
      </c>
      <c r="Y137">
        <f t="shared" si="47"/>
        <v>0.31591485534725483</v>
      </c>
      <c r="Z137">
        <f t="shared" si="60"/>
        <v>0.57509295966084972</v>
      </c>
      <c r="AA137" t="str">
        <f t="shared" si="61"/>
        <v>Moderate</v>
      </c>
      <c r="AB137">
        <f t="shared" si="48"/>
        <v>0.23382373268069209</v>
      </c>
      <c r="AC137">
        <f t="shared" si="62"/>
        <v>0.57150697970978337</v>
      </c>
      <c r="AD137" t="str">
        <f t="shared" si="63"/>
        <v>Moderate</v>
      </c>
      <c r="AE137">
        <f t="shared" si="49"/>
        <v>0.11519639340039384</v>
      </c>
      <c r="AF137">
        <f t="shared" si="64"/>
        <v>0.69553548301195622</v>
      </c>
      <c r="AG137" t="str">
        <f t="shared" si="66"/>
        <v>Moderate</v>
      </c>
    </row>
    <row r="138" spans="1:33" customFormat="1" x14ac:dyDescent="0.3">
      <c r="A138">
        <v>207547</v>
      </c>
      <c r="B138" t="s">
        <v>231</v>
      </c>
      <c r="C138" t="s">
        <v>687</v>
      </c>
      <c r="D138" t="s">
        <v>690</v>
      </c>
      <c r="E138" s="21">
        <v>6.5</v>
      </c>
      <c r="F138" s="2">
        <f t="shared" si="50"/>
        <v>0.73333333333333328</v>
      </c>
      <c r="G138" s="26">
        <v>75.528000000000006</v>
      </c>
      <c r="H138">
        <f t="shared" si="51"/>
        <v>0.77428116961481541</v>
      </c>
      <c r="I138" s="12">
        <v>81.199999999999989</v>
      </c>
      <c r="J138" s="2">
        <f t="shared" si="52"/>
        <v>0.34146341463414626</v>
      </c>
      <c r="K138" s="10">
        <v>0</v>
      </c>
      <c r="L138" s="2">
        <f t="shared" si="53"/>
        <v>0</v>
      </c>
      <c r="M138">
        <v>22882</v>
      </c>
      <c r="N138">
        <f t="shared" si="54"/>
        <v>0.10713356328038873</v>
      </c>
      <c r="O138" s="10">
        <v>0.77012592300000005</v>
      </c>
      <c r="P138">
        <f t="shared" si="55"/>
        <v>0.7526652488586496</v>
      </c>
      <c r="Q138" s="23">
        <v>0.34300000000000003</v>
      </c>
      <c r="R138" s="13">
        <f t="shared" si="56"/>
        <v>0.74274577739281078</v>
      </c>
      <c r="S138">
        <f t="shared" si="57"/>
        <v>0.21412375006666859</v>
      </c>
      <c r="T138" s="14">
        <f t="shared" si="45"/>
        <v>0.38209338643026136</v>
      </c>
      <c r="U138" t="str">
        <f t="shared" si="58"/>
        <v>Moderate</v>
      </c>
      <c r="V138">
        <f t="shared" si="59"/>
        <v>0.21270340850728545</v>
      </c>
      <c r="W138">
        <f t="shared" si="46"/>
        <v>0.34407607088761438</v>
      </c>
      <c r="X138" t="str">
        <f t="shared" si="65"/>
        <v>Moderate</v>
      </c>
      <c r="Y138">
        <f t="shared" si="47"/>
        <v>0.21554409162605173</v>
      </c>
      <c r="Z138">
        <f t="shared" si="60"/>
        <v>0.39237752670535381</v>
      </c>
      <c r="AA138" t="str">
        <f t="shared" si="61"/>
        <v>Moderate</v>
      </c>
      <c r="AB138">
        <f t="shared" si="48"/>
        <v>0.14984753055512001</v>
      </c>
      <c r="AC138">
        <f t="shared" si="62"/>
        <v>0.36625413777597138</v>
      </c>
      <c r="AD138" t="str">
        <f t="shared" si="63"/>
        <v>Moderate</v>
      </c>
      <c r="AE138">
        <f t="shared" si="49"/>
        <v>3.0680314542156032E-2</v>
      </c>
      <c r="AF138">
        <f t="shared" si="64"/>
        <v>0.18524232195245346</v>
      </c>
      <c r="AG138" t="s">
        <v>1169</v>
      </c>
    </row>
    <row r="139" spans="1:33" customFormat="1" x14ac:dyDescent="0.3">
      <c r="A139">
        <v>207580</v>
      </c>
      <c r="B139" t="s">
        <v>470</v>
      </c>
      <c r="C139" t="s">
        <v>687</v>
      </c>
      <c r="D139" t="s">
        <v>691</v>
      </c>
      <c r="E139" s="21">
        <v>6.6</v>
      </c>
      <c r="F139" s="2">
        <f t="shared" si="50"/>
        <v>0.75555555555555542</v>
      </c>
      <c r="G139" s="26">
        <v>58.926240000000007</v>
      </c>
      <c r="H139">
        <f t="shared" si="51"/>
        <v>0.60408693502016897</v>
      </c>
      <c r="I139" s="12">
        <v>88.3</v>
      </c>
      <c r="J139" s="2">
        <f t="shared" si="52"/>
        <v>0.37132043734230441</v>
      </c>
      <c r="K139" s="10">
        <v>0</v>
      </c>
      <c r="L139" s="2">
        <f t="shared" si="53"/>
        <v>0</v>
      </c>
      <c r="M139">
        <v>19359</v>
      </c>
      <c r="N139">
        <f t="shared" si="54"/>
        <v>9.046476747432021E-2</v>
      </c>
      <c r="O139" s="10">
        <v>0.86036707800000001</v>
      </c>
      <c r="P139">
        <f t="shared" si="55"/>
        <v>0.85204682255339204</v>
      </c>
      <c r="Q139" s="23">
        <v>0.33050000000000002</v>
      </c>
      <c r="R139" s="13">
        <f t="shared" si="56"/>
        <v>0.71567778258986581</v>
      </c>
      <c r="S139">
        <f t="shared" si="57"/>
        <v>0.20219027376133661</v>
      </c>
      <c r="T139" s="14">
        <f t="shared" si="45"/>
        <v>0.36079868011220978</v>
      </c>
      <c r="U139" t="str">
        <f t="shared" si="58"/>
        <v>Moderate</v>
      </c>
      <c r="V139">
        <f t="shared" si="59"/>
        <v>0.18460268635450602</v>
      </c>
      <c r="W139">
        <f t="shared" si="46"/>
        <v>0.29861941302168404</v>
      </c>
      <c r="X139" t="s">
        <v>1169</v>
      </c>
      <c r="Y139">
        <f t="shared" si="47"/>
        <v>0.21977786116816719</v>
      </c>
      <c r="Z139">
        <f t="shared" si="60"/>
        <v>0.40008470164595855</v>
      </c>
      <c r="AA139" t="str">
        <f t="shared" si="61"/>
        <v>Moderate</v>
      </c>
      <c r="AB139">
        <f t="shared" si="48"/>
        <v>0.13871140090166201</v>
      </c>
      <c r="AC139">
        <f t="shared" si="62"/>
        <v>0.3390354472224531</v>
      </c>
      <c r="AD139" t="str">
        <f t="shared" si="63"/>
        <v>Moderate</v>
      </c>
      <c r="AE139">
        <f t="shared" si="49"/>
        <v>2.3334578077527885E-2</v>
      </c>
      <c r="AF139">
        <f t="shared" si="64"/>
        <v>0.14089006222288619</v>
      </c>
      <c r="AG139" t="s">
        <v>1170</v>
      </c>
    </row>
    <row r="140" spans="1:33" customFormat="1" x14ac:dyDescent="0.3">
      <c r="A140">
        <v>207583</v>
      </c>
      <c r="B140" t="s">
        <v>497</v>
      </c>
      <c r="C140" t="s">
        <v>687</v>
      </c>
      <c r="D140" t="s">
        <v>692</v>
      </c>
      <c r="E140" s="21">
        <v>6.5</v>
      </c>
      <c r="F140" s="2">
        <f t="shared" si="50"/>
        <v>0.73333333333333328</v>
      </c>
      <c r="G140" s="26">
        <v>61.457040000000006</v>
      </c>
      <c r="H140">
        <f t="shared" si="51"/>
        <v>0.63003162816789138</v>
      </c>
      <c r="I140" s="12">
        <v>89.1</v>
      </c>
      <c r="J140" s="2">
        <f t="shared" si="52"/>
        <v>0.37468460891505462</v>
      </c>
      <c r="K140" s="10">
        <v>0</v>
      </c>
      <c r="L140" s="2">
        <f t="shared" si="53"/>
        <v>0</v>
      </c>
      <c r="M140">
        <v>20762</v>
      </c>
      <c r="N140">
        <f t="shared" si="54"/>
        <v>9.7102950987210973E-2</v>
      </c>
      <c r="O140" s="10">
        <v>0.97866548399999997</v>
      </c>
      <c r="P140">
        <f t="shared" si="55"/>
        <v>0.98232753265577899</v>
      </c>
      <c r="Q140" s="23">
        <v>0.30740000000000001</v>
      </c>
      <c r="R140" s="13">
        <f t="shared" si="56"/>
        <v>0.66565612819402342</v>
      </c>
      <c r="S140">
        <f t="shared" si="57"/>
        <v>0.21248867928790952</v>
      </c>
      <c r="T140" s="14">
        <f t="shared" si="45"/>
        <v>0.37917568238895488</v>
      </c>
      <c r="U140" t="str">
        <f t="shared" si="58"/>
        <v>Moderate</v>
      </c>
      <c r="V140">
        <f t="shared" si="59"/>
        <v>0.17165751687964423</v>
      </c>
      <c r="W140">
        <f t="shared" si="46"/>
        <v>0.2776788785885832</v>
      </c>
      <c r="X140" t="s">
        <v>1170</v>
      </c>
      <c r="Y140">
        <f t="shared" si="47"/>
        <v>0.25331984169617483</v>
      </c>
      <c r="Z140">
        <f t="shared" si="60"/>
        <v>0.46114468831083105</v>
      </c>
      <c r="AA140" t="str">
        <f t="shared" si="61"/>
        <v>Moderate</v>
      </c>
      <c r="AB140">
        <f t="shared" si="48"/>
        <v>0.14484030530210382</v>
      </c>
      <c r="AC140">
        <f t="shared" si="62"/>
        <v>0.3540155846219778</v>
      </c>
      <c r="AD140" t="str">
        <f t="shared" si="63"/>
        <v>Moderate</v>
      </c>
      <c r="AE140">
        <f t="shared" si="49"/>
        <v>2.5040633958216884E-2</v>
      </c>
      <c r="AF140">
        <f t="shared" si="64"/>
        <v>0.1511909263905343</v>
      </c>
      <c r="AG140" t="s">
        <v>1170</v>
      </c>
    </row>
    <row r="141" spans="1:33" customFormat="1" x14ac:dyDescent="0.3">
      <c r="A141">
        <v>207585</v>
      </c>
      <c r="B141" t="s">
        <v>505</v>
      </c>
      <c r="C141" t="s">
        <v>687</v>
      </c>
      <c r="D141" t="s">
        <v>693</v>
      </c>
      <c r="E141" s="21">
        <v>6.5</v>
      </c>
      <c r="F141" s="2">
        <f t="shared" si="50"/>
        <v>0.73333333333333328</v>
      </c>
      <c r="G141" s="26">
        <v>91.637280000000004</v>
      </c>
      <c r="H141">
        <f t="shared" si="51"/>
        <v>0.93942670716449961</v>
      </c>
      <c r="I141" s="12">
        <v>79.5</v>
      </c>
      <c r="J141" s="2">
        <f t="shared" si="52"/>
        <v>0.33431455004205213</v>
      </c>
      <c r="K141" s="10">
        <v>0.5</v>
      </c>
      <c r="L141" s="2">
        <f t="shared" si="53"/>
        <v>0.29411764705882354</v>
      </c>
      <c r="M141">
        <v>36232</v>
      </c>
      <c r="N141">
        <f t="shared" si="54"/>
        <v>0.17029803220205059</v>
      </c>
      <c r="O141" s="10">
        <v>0.94488430199999995</v>
      </c>
      <c r="P141">
        <f t="shared" si="55"/>
        <v>0.94512469512085928</v>
      </c>
      <c r="Q141" s="23">
        <v>0.3397</v>
      </c>
      <c r="R141" s="13">
        <f t="shared" si="56"/>
        <v>0.73559982676483326</v>
      </c>
      <c r="S141">
        <f t="shared" si="57"/>
        <v>0.32911342949940492</v>
      </c>
      <c r="T141" s="14">
        <f t="shared" si="45"/>
        <v>0.5872868598553459</v>
      </c>
      <c r="U141" t="str">
        <f t="shared" si="58"/>
        <v>Moderate</v>
      </c>
      <c r="V141">
        <f t="shared" si="59"/>
        <v>0.28808502353987503</v>
      </c>
      <c r="W141">
        <f t="shared" si="46"/>
        <v>0.46601586536292372</v>
      </c>
      <c r="X141" t="str">
        <f t="shared" si="65"/>
        <v>Moderate</v>
      </c>
      <c r="Y141">
        <f t="shared" si="47"/>
        <v>0.37014183545893492</v>
      </c>
      <c r="Z141">
        <f t="shared" si="60"/>
        <v>0.67380802151388242</v>
      </c>
      <c r="AA141" t="str">
        <f t="shared" si="61"/>
        <v>Moderate</v>
      </c>
      <c r="AB141">
        <f t="shared" si="48"/>
        <v>0.23521531249182415</v>
      </c>
      <c r="AC141">
        <f t="shared" si="62"/>
        <v>0.57490824940027807</v>
      </c>
      <c r="AD141" t="str">
        <f t="shared" si="63"/>
        <v>Moderate</v>
      </c>
      <c r="AE141">
        <f t="shared" si="49"/>
        <v>6.6694296043392651E-2</v>
      </c>
      <c r="AF141">
        <f t="shared" si="64"/>
        <v>0.40268838323305456</v>
      </c>
      <c r="AG141" t="str">
        <f t="shared" si="66"/>
        <v>Moderate</v>
      </c>
    </row>
    <row r="142" spans="1:33" customFormat="1" x14ac:dyDescent="0.3">
      <c r="A142">
        <v>207587</v>
      </c>
      <c r="B142" t="s">
        <v>390</v>
      </c>
      <c r="C142" t="s">
        <v>687</v>
      </c>
      <c r="D142" t="s">
        <v>1132</v>
      </c>
      <c r="E142" s="21">
        <v>6.6</v>
      </c>
      <c r="F142" s="2">
        <f t="shared" si="50"/>
        <v>0.75555555555555542</v>
      </c>
      <c r="G142" s="26">
        <v>73.873440000000002</v>
      </c>
      <c r="H142">
        <f t="shared" si="51"/>
        <v>0.75731931901638982</v>
      </c>
      <c r="I142" s="12">
        <v>84.7</v>
      </c>
      <c r="J142" s="2">
        <f t="shared" si="52"/>
        <v>0.3561816652649285</v>
      </c>
      <c r="K142" s="10">
        <v>0.5</v>
      </c>
      <c r="L142" s="2">
        <f t="shared" si="53"/>
        <v>0.29411764705882354</v>
      </c>
      <c r="M142">
        <v>46149</v>
      </c>
      <c r="N142">
        <f t="shared" si="54"/>
        <v>0.21721953319801471</v>
      </c>
      <c r="O142" s="10">
        <v>0.92720738000000003</v>
      </c>
      <c r="P142">
        <f t="shared" si="55"/>
        <v>0.92565729882657188</v>
      </c>
      <c r="Q142" s="23">
        <v>0.3644</v>
      </c>
      <c r="R142" s="13">
        <f t="shared" si="56"/>
        <v>0.78908618449545265</v>
      </c>
      <c r="S142">
        <f t="shared" si="57"/>
        <v>0.3096190696883086</v>
      </c>
      <c r="T142" s="14">
        <f t="shared" si="45"/>
        <v>0.55250012576259533</v>
      </c>
      <c r="U142" t="str">
        <f t="shared" si="58"/>
        <v>Moderate</v>
      </c>
      <c r="V142">
        <f t="shared" si="59"/>
        <v>0.28495939214658284</v>
      </c>
      <c r="W142">
        <f t="shared" si="46"/>
        <v>0.4609597406097084</v>
      </c>
      <c r="X142" t="str">
        <f t="shared" si="65"/>
        <v>Moderate</v>
      </c>
      <c r="Y142">
        <f t="shared" si="47"/>
        <v>0.33427874723003437</v>
      </c>
      <c r="Z142">
        <f t="shared" si="60"/>
        <v>0.60852267895072265</v>
      </c>
      <c r="AA142" t="str">
        <f t="shared" si="61"/>
        <v>Moderate</v>
      </c>
      <c r="AB142">
        <f t="shared" si="48"/>
        <v>0.22747466482044473</v>
      </c>
      <c r="AC142">
        <f t="shared" si="62"/>
        <v>0.55598872347812212</v>
      </c>
      <c r="AD142" t="str">
        <f t="shared" si="63"/>
        <v>Moderate</v>
      </c>
      <c r="AE142">
        <f t="shared" si="49"/>
        <v>7.8443581143229926E-2</v>
      </c>
      <c r="AF142">
        <f t="shared" si="64"/>
        <v>0.4736284920831339</v>
      </c>
      <c r="AG142" t="str">
        <f t="shared" si="66"/>
        <v>Moderate</v>
      </c>
    </row>
    <row r="143" spans="1:33" customFormat="1" x14ac:dyDescent="0.3">
      <c r="A143">
        <v>208407</v>
      </c>
      <c r="B143" t="s">
        <v>27</v>
      </c>
      <c r="C143" t="s">
        <v>695</v>
      </c>
      <c r="D143" t="s">
        <v>694</v>
      </c>
      <c r="E143" s="21">
        <v>6.2</v>
      </c>
      <c r="F143" s="2">
        <f t="shared" si="50"/>
        <v>0.66666666666666663</v>
      </c>
      <c r="G143" s="26">
        <v>62.519039999999997</v>
      </c>
      <c r="H143">
        <f t="shared" si="51"/>
        <v>0.64091880381309474</v>
      </c>
      <c r="I143" s="12">
        <v>90.399999999999991</v>
      </c>
      <c r="J143" s="2">
        <f t="shared" si="52"/>
        <v>0.38015138772077373</v>
      </c>
      <c r="K143" s="10">
        <v>0</v>
      </c>
      <c r="L143" s="2">
        <f t="shared" si="53"/>
        <v>0</v>
      </c>
      <c r="M143">
        <v>3903</v>
      </c>
      <c r="N143">
        <f t="shared" si="54"/>
        <v>1.7335926151982702E-2</v>
      </c>
      <c r="O143" s="10">
        <v>0.75222789899999998</v>
      </c>
      <c r="P143">
        <f t="shared" si="55"/>
        <v>0.73295435540713882</v>
      </c>
      <c r="Q143" s="23">
        <v>0.44419999999999998</v>
      </c>
      <c r="R143" s="13">
        <f t="shared" si="56"/>
        <v>0.96188826331745347</v>
      </c>
      <c r="S143">
        <f t="shared" si="57"/>
        <v>0.20189788235410294</v>
      </c>
      <c r="T143" s="14">
        <f t="shared" si="45"/>
        <v>0.3602769219096833</v>
      </c>
      <c r="U143" t="str">
        <f t="shared" si="58"/>
        <v>Moderate</v>
      </c>
      <c r="V143">
        <f t="shared" si="59"/>
        <v>0.2291696010939375</v>
      </c>
      <c r="W143">
        <f t="shared" si="46"/>
        <v>0.37071232879929678</v>
      </c>
      <c r="X143" t="str">
        <f t="shared" si="65"/>
        <v>Moderate</v>
      </c>
      <c r="Y143">
        <f t="shared" si="47"/>
        <v>0.17462616361426839</v>
      </c>
      <c r="Z143">
        <f t="shared" si="60"/>
        <v>0.31789032888865082</v>
      </c>
      <c r="AA143" t="str">
        <f t="shared" si="61"/>
        <v>Moderate</v>
      </c>
      <c r="AB143">
        <f t="shared" si="48"/>
        <v>0.13404280725779974</v>
      </c>
      <c r="AC143">
        <f t="shared" si="62"/>
        <v>0.32762457022418195</v>
      </c>
      <c r="AD143" t="str">
        <f t="shared" si="63"/>
        <v>Moderate</v>
      </c>
      <c r="AE143">
        <f t="shared" si="49"/>
        <v>4.1302794018317933E-3</v>
      </c>
      <c r="AF143">
        <f t="shared" si="64"/>
        <v>2.4937897740794971E-2</v>
      </c>
      <c r="AG143" t="s">
        <v>1170</v>
      </c>
    </row>
    <row r="144" spans="1:33" customFormat="1" x14ac:dyDescent="0.3">
      <c r="A144">
        <v>208421</v>
      </c>
      <c r="B144" t="s">
        <v>50</v>
      </c>
      <c r="C144" t="s">
        <v>695</v>
      </c>
      <c r="D144" t="s">
        <v>696</v>
      </c>
      <c r="E144" s="21">
        <v>6.2</v>
      </c>
      <c r="F144" s="2">
        <f t="shared" si="50"/>
        <v>0.66666666666666663</v>
      </c>
      <c r="G144" s="26">
        <v>60.347520000000003</v>
      </c>
      <c r="H144">
        <f t="shared" si="51"/>
        <v>0.61865729754466503</v>
      </c>
      <c r="I144" s="12">
        <v>55.300000000000004</v>
      </c>
      <c r="J144" s="2">
        <f t="shared" si="52"/>
        <v>0.23254835996635828</v>
      </c>
      <c r="K144" s="10">
        <v>0</v>
      </c>
      <c r="L144" s="2">
        <f t="shared" si="53"/>
        <v>0</v>
      </c>
      <c r="M144">
        <v>239</v>
      </c>
      <c r="N144">
        <f t="shared" si="54"/>
        <v>0</v>
      </c>
      <c r="O144" s="10">
        <v>0.91206592500000006</v>
      </c>
      <c r="P144">
        <f t="shared" si="55"/>
        <v>0.90898218395322927</v>
      </c>
      <c r="Q144" s="23">
        <v>0.44700000000000001</v>
      </c>
      <c r="R144" s="13">
        <f t="shared" si="56"/>
        <v>0.96795149415331316</v>
      </c>
      <c r="S144">
        <f t="shared" si="57"/>
        <v>0.18639326598401398</v>
      </c>
      <c r="T144" s="14">
        <f t="shared" si="45"/>
        <v>0.3326096903564118</v>
      </c>
      <c r="U144" t="str">
        <f t="shared" si="58"/>
        <v>Moderate</v>
      </c>
      <c r="V144">
        <f t="shared" si="59"/>
        <v>0.1922493505378946</v>
      </c>
      <c r="W144">
        <f t="shared" si="46"/>
        <v>0.31098890999440076</v>
      </c>
      <c r="X144" t="str">
        <f t="shared" si="65"/>
        <v>Moderate</v>
      </c>
      <c r="Y144">
        <f t="shared" si="47"/>
        <v>0.18053718143013339</v>
      </c>
      <c r="Z144">
        <f t="shared" si="60"/>
        <v>0.32865077485310923</v>
      </c>
      <c r="AA144" t="str">
        <f t="shared" si="61"/>
        <v>Moderate</v>
      </c>
      <c r="AB144">
        <f t="shared" si="48"/>
        <v>0.12144842711730311</v>
      </c>
      <c r="AC144">
        <f t="shared" si="62"/>
        <v>0.29684165493627429</v>
      </c>
      <c r="AD144" t="str">
        <f t="shared" si="63"/>
        <v>Low</v>
      </c>
      <c r="AE144">
        <f t="shared" si="49"/>
        <v>0</v>
      </c>
      <c r="AF144">
        <f t="shared" si="64"/>
        <v>0</v>
      </c>
      <c r="AG144" t="s">
        <v>1170</v>
      </c>
    </row>
    <row r="145" spans="1:33" customFormat="1" x14ac:dyDescent="0.3">
      <c r="A145">
        <v>208425</v>
      </c>
      <c r="B145" t="s">
        <v>266</v>
      </c>
      <c r="C145" t="s">
        <v>695</v>
      </c>
      <c r="D145" t="s">
        <v>1133</v>
      </c>
      <c r="E145" s="21">
        <v>6.3</v>
      </c>
      <c r="F145" s="2">
        <f t="shared" si="50"/>
        <v>0.68888888888888877</v>
      </c>
      <c r="G145" s="26">
        <v>64.785600000000002</v>
      </c>
      <c r="H145">
        <f t="shared" si="51"/>
        <v>0.66415462003756998</v>
      </c>
      <c r="I145" s="12">
        <v>49.4</v>
      </c>
      <c r="J145" s="2">
        <f t="shared" si="52"/>
        <v>0.20773759461732547</v>
      </c>
      <c r="K145" s="10">
        <v>0</v>
      </c>
      <c r="L145" s="2">
        <f t="shared" si="53"/>
        <v>0</v>
      </c>
      <c r="M145">
        <v>5340</v>
      </c>
      <c r="N145">
        <f t="shared" si="54"/>
        <v>2.4134977975235745E-2</v>
      </c>
      <c r="O145" s="10">
        <v>0.84088359700000004</v>
      </c>
      <c r="P145">
        <f t="shared" si="55"/>
        <v>0.83058988305797432</v>
      </c>
      <c r="Q145" s="23">
        <v>0.45100000000000001</v>
      </c>
      <c r="R145" s="13">
        <f t="shared" si="56"/>
        <v>0.97661325249025555</v>
      </c>
      <c r="S145">
        <f t="shared" si="57"/>
        <v>0.18995774260445469</v>
      </c>
      <c r="T145" s="14">
        <f t="shared" si="45"/>
        <v>0.33897032500031105</v>
      </c>
      <c r="U145" t="str">
        <f t="shared" si="58"/>
        <v>Moderate</v>
      </c>
      <c r="V145">
        <f t="shared" si="59"/>
        <v>0.20530647074642852</v>
      </c>
      <c r="W145">
        <f t="shared" si="46"/>
        <v>0.33211053963817649</v>
      </c>
      <c r="X145" t="str">
        <f t="shared" si="65"/>
        <v>Moderate</v>
      </c>
      <c r="Y145">
        <f t="shared" si="47"/>
        <v>0.17460901446248087</v>
      </c>
      <c r="Z145">
        <f t="shared" si="60"/>
        <v>0.31785911048821724</v>
      </c>
      <c r="AA145" t="str">
        <f t="shared" si="61"/>
        <v>Moderate</v>
      </c>
      <c r="AB145">
        <f t="shared" si="48"/>
        <v>0.12601577287692564</v>
      </c>
      <c r="AC145">
        <f t="shared" si="62"/>
        <v>0.30800506401561151</v>
      </c>
      <c r="AD145" t="str">
        <f t="shared" si="63"/>
        <v>Moderate</v>
      </c>
      <c r="AE145">
        <f t="shared" si="49"/>
        <v>5.0737250769468485E-3</v>
      </c>
      <c r="AF145">
        <f t="shared" si="64"/>
        <v>3.0634256142015957E-2</v>
      </c>
      <c r="AG145" t="s">
        <v>1170</v>
      </c>
    </row>
    <row r="146" spans="1:33" customFormat="1" x14ac:dyDescent="0.3">
      <c r="A146">
        <v>208429</v>
      </c>
      <c r="B146" t="s">
        <v>60</v>
      </c>
      <c r="C146" t="s">
        <v>695</v>
      </c>
      <c r="D146" t="s">
        <v>697</v>
      </c>
      <c r="E146" s="21">
        <v>6.2</v>
      </c>
      <c r="F146" s="2">
        <f t="shared" si="50"/>
        <v>0.66666666666666663</v>
      </c>
      <c r="G146" s="26">
        <v>56.326320000000003</v>
      </c>
      <c r="H146">
        <f t="shared" si="51"/>
        <v>0.57743365281350456</v>
      </c>
      <c r="I146" s="12">
        <v>48.099999999999994</v>
      </c>
      <c r="J146" s="2">
        <f t="shared" si="52"/>
        <v>0.20227081581160636</v>
      </c>
      <c r="K146" s="10">
        <v>0</v>
      </c>
      <c r="L146" s="2">
        <f t="shared" si="53"/>
        <v>0</v>
      </c>
      <c r="M146">
        <v>952</v>
      </c>
      <c r="N146">
        <f t="shared" si="54"/>
        <v>3.3735030967149745E-3</v>
      </c>
      <c r="O146" s="10">
        <v>0.88512824599999995</v>
      </c>
      <c r="P146">
        <f t="shared" si="55"/>
        <v>0.87931601965486861</v>
      </c>
      <c r="Q146" s="23">
        <v>0.45760000000000001</v>
      </c>
      <c r="R146" s="13">
        <f t="shared" si="56"/>
        <v>0.99090515374621047</v>
      </c>
      <c r="S146">
        <f t="shared" si="57"/>
        <v>0.17012564405878061</v>
      </c>
      <c r="T146" s="14">
        <f t="shared" si="45"/>
        <v>0.30358091261155967</v>
      </c>
      <c r="U146" t="str">
        <f t="shared" si="58"/>
        <v>Moderate</v>
      </c>
      <c r="V146">
        <f t="shared" si="59"/>
        <v>0.18027640781723364</v>
      </c>
      <c r="W146">
        <f t="shared" si="46"/>
        <v>0.29162108172498968</v>
      </c>
      <c r="X146" t="s">
        <v>1169</v>
      </c>
      <c r="Y146">
        <f t="shared" si="47"/>
        <v>0.15997488030032761</v>
      </c>
      <c r="Z146">
        <f t="shared" si="60"/>
        <v>0.29121906053508734</v>
      </c>
      <c r="AA146" t="str">
        <f t="shared" si="61"/>
        <v>Low</v>
      </c>
      <c r="AB146">
        <f t="shared" si="48"/>
        <v>0.11130401755368344</v>
      </c>
      <c r="AC146">
        <f t="shared" si="62"/>
        <v>0.27204690547189686</v>
      </c>
      <c r="AD146" t="str">
        <f t="shared" si="63"/>
        <v>Low</v>
      </c>
      <c r="AE146">
        <f t="shared" si="49"/>
        <v>6.1374493586684024E-4</v>
      </c>
      <c r="AF146">
        <f t="shared" si="64"/>
        <v>3.7056835532216013E-3</v>
      </c>
      <c r="AG146" t="s">
        <v>1170</v>
      </c>
    </row>
    <row r="147" spans="1:33" customFormat="1" x14ac:dyDescent="0.3">
      <c r="A147">
        <v>208436</v>
      </c>
      <c r="B147" t="s">
        <v>259</v>
      </c>
      <c r="C147" t="s">
        <v>695</v>
      </c>
      <c r="D147" t="s">
        <v>698</v>
      </c>
      <c r="E147" s="21">
        <v>6.2</v>
      </c>
      <c r="F147" s="2">
        <f t="shared" si="50"/>
        <v>0.66666666666666663</v>
      </c>
      <c r="G147" s="26">
        <v>55.610640000000004</v>
      </c>
      <c r="H147">
        <f t="shared" si="51"/>
        <v>0.57009680359904191</v>
      </c>
      <c r="I147" s="12">
        <v>48.099999999999994</v>
      </c>
      <c r="J147" s="2">
        <f t="shared" si="52"/>
        <v>0.20227081581160636</v>
      </c>
      <c r="K147" s="10">
        <v>0</v>
      </c>
      <c r="L147" s="2">
        <f t="shared" si="53"/>
        <v>0</v>
      </c>
      <c r="M147">
        <v>8318</v>
      </c>
      <c r="N147">
        <f t="shared" si="54"/>
        <v>3.8225149394614695E-2</v>
      </c>
      <c r="O147" s="10">
        <v>0.95089819600000003</v>
      </c>
      <c r="P147">
        <f t="shared" si="55"/>
        <v>0.95174772925371554</v>
      </c>
      <c r="Q147" s="23">
        <v>0.44490000000000002</v>
      </c>
      <c r="R147" s="13">
        <f t="shared" si="56"/>
        <v>0.96340407102641845</v>
      </c>
      <c r="S147">
        <f t="shared" si="57"/>
        <v>0.17257347762577815</v>
      </c>
      <c r="T147" s="14">
        <f t="shared" si="45"/>
        <v>0.30794895219960416</v>
      </c>
      <c r="U147" t="str">
        <f t="shared" si="58"/>
        <v>Moderate</v>
      </c>
      <c r="V147">
        <f t="shared" si="59"/>
        <v>0.17362382540281376</v>
      </c>
      <c r="W147">
        <f t="shared" si="46"/>
        <v>0.28085964431092386</v>
      </c>
      <c r="X147" t="s">
        <v>1170</v>
      </c>
      <c r="Y147">
        <f t="shared" si="47"/>
        <v>0.17152312984874254</v>
      </c>
      <c r="Z147">
        <f t="shared" si="60"/>
        <v>0.3122415509285823</v>
      </c>
      <c r="AA147" t="str">
        <f t="shared" si="61"/>
        <v>Moderate</v>
      </c>
      <c r="AB147">
        <f t="shared" si="48"/>
        <v>0.11463639370283626</v>
      </c>
      <c r="AC147">
        <f t="shared" si="62"/>
        <v>0.28019182817253646</v>
      </c>
      <c r="AD147" t="str">
        <f t="shared" si="63"/>
        <v>Low</v>
      </c>
      <c r="AE147">
        <f t="shared" si="49"/>
        <v>6.8889024492248168E-3</v>
      </c>
      <c r="AF147">
        <f t="shared" si="64"/>
        <v>4.1593976608189975E-2</v>
      </c>
      <c r="AG147" t="s">
        <v>1170</v>
      </c>
    </row>
    <row r="148" spans="1:33" customFormat="1" x14ac:dyDescent="0.3">
      <c r="A148">
        <v>208447</v>
      </c>
      <c r="B148" t="s">
        <v>229</v>
      </c>
      <c r="C148" t="s">
        <v>695</v>
      </c>
      <c r="D148" t="s">
        <v>699</v>
      </c>
      <c r="E148" s="21">
        <v>5</v>
      </c>
      <c r="F148" s="2">
        <f t="shared" si="50"/>
        <v>0.39999999999999997</v>
      </c>
      <c r="G148" s="26">
        <v>57.184560000000005</v>
      </c>
      <c r="H148">
        <f t="shared" si="51"/>
        <v>0.58623196696203517</v>
      </c>
      <c r="I148" s="12">
        <v>48.099999999999994</v>
      </c>
      <c r="J148" s="2">
        <f t="shared" si="52"/>
        <v>0.20227081581160636</v>
      </c>
      <c r="K148" s="10">
        <v>0</v>
      </c>
      <c r="L148" s="2">
        <f t="shared" si="53"/>
        <v>0</v>
      </c>
      <c r="M148">
        <v>1297</v>
      </c>
      <c r="N148">
        <f t="shared" si="54"/>
        <v>5.0058433048028655E-3</v>
      </c>
      <c r="O148" s="10">
        <v>0.93619544099999996</v>
      </c>
      <c r="P148">
        <f t="shared" si="55"/>
        <v>0.93555574977884903</v>
      </c>
      <c r="Q148" s="23">
        <v>0.4556</v>
      </c>
      <c r="R148" s="13">
        <f t="shared" si="56"/>
        <v>0.98657427457773927</v>
      </c>
      <c r="S148">
        <f t="shared" si="57"/>
        <v>0.10609234111405559</v>
      </c>
      <c r="T148" s="14">
        <f t="shared" si="45"/>
        <v>0.18931660723279167</v>
      </c>
      <c r="U148" t="str">
        <f t="shared" si="58"/>
        <v>Low</v>
      </c>
      <c r="V148">
        <f t="shared" si="59"/>
        <v>0.10890831852844075</v>
      </c>
      <c r="W148">
        <f t="shared" si="46"/>
        <v>0.17617369928023116</v>
      </c>
      <c r="X148" t="s">
        <v>1170</v>
      </c>
      <c r="Y148">
        <f t="shared" si="47"/>
        <v>0.10327636369967043</v>
      </c>
      <c r="Z148">
        <f t="shared" si="60"/>
        <v>0.18800480147655049</v>
      </c>
      <c r="AA148" t="str">
        <f t="shared" si="61"/>
        <v>Low</v>
      </c>
      <c r="AB148">
        <f t="shared" si="48"/>
        <v>6.9294229542277708E-2</v>
      </c>
      <c r="AC148">
        <f t="shared" si="62"/>
        <v>0.1693674777277803</v>
      </c>
      <c r="AD148" t="str">
        <f t="shared" si="63"/>
        <v>Low</v>
      </c>
      <c r="AE148">
        <f t="shared" si="49"/>
        <v>5.5259699263522047E-4</v>
      </c>
      <c r="AF148">
        <f t="shared" si="64"/>
        <v>3.3364830689411019E-3</v>
      </c>
      <c r="AG148" t="s">
        <v>1170</v>
      </c>
    </row>
    <row r="149" spans="1:33" customFormat="1" x14ac:dyDescent="0.3">
      <c r="A149">
        <v>208458</v>
      </c>
      <c r="B149" t="s">
        <v>305</v>
      </c>
      <c r="C149" t="s">
        <v>695</v>
      </c>
      <c r="D149" t="s">
        <v>700</v>
      </c>
      <c r="E149" s="21">
        <v>6.3</v>
      </c>
      <c r="F149" s="2">
        <f t="shared" si="50"/>
        <v>0.68888888888888877</v>
      </c>
      <c r="G149" s="26">
        <v>60.347520000000003</v>
      </c>
      <c r="H149">
        <f t="shared" si="51"/>
        <v>0.61865729754466503</v>
      </c>
      <c r="I149" s="12">
        <v>59.8</v>
      </c>
      <c r="J149" s="2">
        <f t="shared" si="52"/>
        <v>0.25147182506307819</v>
      </c>
      <c r="K149" s="10">
        <v>0</v>
      </c>
      <c r="L149" s="2">
        <f t="shared" si="53"/>
        <v>0</v>
      </c>
      <c r="M149">
        <v>5825</v>
      </c>
      <c r="N149">
        <f t="shared" si="54"/>
        <v>2.6429717108344807E-2</v>
      </c>
      <c r="O149" s="10">
        <v>0.89196034499999999</v>
      </c>
      <c r="P149">
        <f t="shared" si="55"/>
        <v>0.88684013379390281</v>
      </c>
      <c r="Q149" s="23">
        <v>0.42820000000000003</v>
      </c>
      <c r="R149" s="13">
        <f t="shared" si="56"/>
        <v>0.92724122996968394</v>
      </c>
      <c r="S149">
        <f t="shared" si="57"/>
        <v>0.19029513917209714</v>
      </c>
      <c r="T149" s="14">
        <f t="shared" si="45"/>
        <v>0.33957239271610773</v>
      </c>
      <c r="U149" t="str">
        <f t="shared" si="58"/>
        <v>Moderate</v>
      </c>
      <c r="V149">
        <f t="shared" si="59"/>
        <v>0.19453316971088475</v>
      </c>
      <c r="W149">
        <f t="shared" si="46"/>
        <v>0.31468329144872209</v>
      </c>
      <c r="X149" t="str">
        <f t="shared" si="65"/>
        <v>Moderate</v>
      </c>
      <c r="Y149">
        <f t="shared" si="47"/>
        <v>0.18605710863330954</v>
      </c>
      <c r="Z149">
        <f t="shared" si="60"/>
        <v>0.3386992775387383</v>
      </c>
      <c r="AA149" t="str">
        <f t="shared" si="61"/>
        <v>Moderate</v>
      </c>
      <c r="AB149">
        <f t="shared" si="48"/>
        <v>0.12584445576113526</v>
      </c>
      <c r="AC149">
        <f t="shared" si="62"/>
        <v>0.30758633437557259</v>
      </c>
      <c r="AD149" t="str">
        <f t="shared" si="63"/>
        <v>Moderate</v>
      </c>
      <c r="AE149">
        <f t="shared" si="49"/>
        <v>5.5448964923792421E-3</v>
      </c>
      <c r="AF149">
        <f t="shared" si="64"/>
        <v>3.3479105953200035E-2</v>
      </c>
      <c r="AG149" t="s">
        <v>1170</v>
      </c>
    </row>
    <row r="150" spans="1:33" customFormat="1" x14ac:dyDescent="0.3">
      <c r="A150">
        <v>208475</v>
      </c>
      <c r="B150" t="s">
        <v>372</v>
      </c>
      <c r="C150" t="s">
        <v>695</v>
      </c>
      <c r="D150" t="s">
        <v>701</v>
      </c>
      <c r="E150" s="21">
        <v>6.2</v>
      </c>
      <c r="F150" s="2">
        <f t="shared" si="50"/>
        <v>0.66666666666666663</v>
      </c>
      <c r="G150" s="26">
        <v>65.203920000000011</v>
      </c>
      <c r="H150">
        <f t="shared" si="51"/>
        <v>0.66844306007137566</v>
      </c>
      <c r="I150" s="12">
        <v>53.6</v>
      </c>
      <c r="J150" s="2">
        <f t="shared" si="52"/>
        <v>0.22539949537426407</v>
      </c>
      <c r="K150" s="10">
        <v>0</v>
      </c>
      <c r="L150" s="2">
        <f t="shared" si="53"/>
        <v>0</v>
      </c>
      <c r="M150">
        <v>3524</v>
      </c>
      <c r="N150">
        <f t="shared" si="54"/>
        <v>1.5542717633532526E-2</v>
      </c>
      <c r="O150" s="10">
        <v>0.82959499699999995</v>
      </c>
      <c r="P150">
        <f t="shared" si="55"/>
        <v>0.81815787426098507</v>
      </c>
      <c r="Q150" s="23">
        <v>0.43430000000000002</v>
      </c>
      <c r="R150" s="13">
        <f t="shared" si="56"/>
        <v>0.94045041143352104</v>
      </c>
      <c r="S150">
        <f t="shared" si="57"/>
        <v>0.18339054114652284</v>
      </c>
      <c r="T150" s="14">
        <f t="shared" si="45"/>
        <v>0.32725147436534108</v>
      </c>
      <c r="U150" t="str">
        <f t="shared" si="58"/>
        <v>Moderate</v>
      </c>
      <c r="V150">
        <f t="shared" si="59"/>
        <v>0.19614340643931638</v>
      </c>
      <c r="W150">
        <f t="shared" si="46"/>
        <v>0.31728806365526951</v>
      </c>
      <c r="X150" t="str">
        <f t="shared" si="65"/>
        <v>Moderate</v>
      </c>
      <c r="Y150">
        <f t="shared" si="47"/>
        <v>0.1706376758537293</v>
      </c>
      <c r="Z150">
        <f t="shared" si="60"/>
        <v>0.31062966611209925</v>
      </c>
      <c r="AA150" t="str">
        <f t="shared" si="61"/>
        <v>Moderate</v>
      </c>
      <c r="AB150">
        <f t="shared" si="48"/>
        <v>0.12097606897647653</v>
      </c>
      <c r="AC150">
        <f t="shared" si="62"/>
        <v>0.29568712724436641</v>
      </c>
      <c r="AD150" t="str">
        <f t="shared" si="63"/>
        <v>Low</v>
      </c>
      <c r="AE150">
        <f t="shared" si="49"/>
        <v>3.2416399045629013E-3</v>
      </c>
      <c r="AF150">
        <f t="shared" si="64"/>
        <v>1.9572449364228802E-2</v>
      </c>
      <c r="AG150" t="s">
        <v>1170</v>
      </c>
    </row>
    <row r="151" spans="1:33" customFormat="1" x14ac:dyDescent="0.3">
      <c r="A151">
        <v>208478</v>
      </c>
      <c r="B151" t="s">
        <v>426</v>
      </c>
      <c r="C151" t="s">
        <v>695</v>
      </c>
      <c r="D151" t="s">
        <v>702</v>
      </c>
      <c r="E151" s="21">
        <v>6.3</v>
      </c>
      <c r="F151" s="2">
        <f t="shared" si="50"/>
        <v>0.68888888888888877</v>
      </c>
      <c r="G151" s="26">
        <v>53.742959999999997</v>
      </c>
      <c r="H151">
        <f t="shared" si="51"/>
        <v>0.55095013673554494</v>
      </c>
      <c r="I151" s="12">
        <v>43.9</v>
      </c>
      <c r="J151" s="2">
        <f t="shared" si="52"/>
        <v>0.18460891505466778</v>
      </c>
      <c r="K151" s="10">
        <v>0</v>
      </c>
      <c r="L151" s="2">
        <f t="shared" si="53"/>
        <v>0</v>
      </c>
      <c r="M151">
        <v>5481</v>
      </c>
      <c r="N151">
        <f t="shared" si="54"/>
        <v>2.4802108321149926E-2</v>
      </c>
      <c r="O151" s="10">
        <v>0.93875404299999998</v>
      </c>
      <c r="P151">
        <f t="shared" si="55"/>
        <v>0.93837350951628273</v>
      </c>
      <c r="Q151" s="23">
        <v>0.44359999999999999</v>
      </c>
      <c r="R151" s="13">
        <f t="shared" si="56"/>
        <v>0.96058899956691213</v>
      </c>
      <c r="S151">
        <f t="shared" si="57"/>
        <v>0.16839188698717128</v>
      </c>
      <c r="T151" s="14">
        <f t="shared" si="45"/>
        <v>0.30048710769485909</v>
      </c>
      <c r="U151" t="str">
        <f t="shared" si="58"/>
        <v>Moderate</v>
      </c>
      <c r="V151">
        <f t="shared" si="59"/>
        <v>0.17036186178766183</v>
      </c>
      <c r="W151">
        <f t="shared" si="46"/>
        <v>0.27558298404508053</v>
      </c>
      <c r="X151" t="s">
        <v>1170</v>
      </c>
      <c r="Y151">
        <f t="shared" si="47"/>
        <v>0.16642191218668073</v>
      </c>
      <c r="Z151">
        <f t="shared" si="60"/>
        <v>0.30295526915520821</v>
      </c>
      <c r="AA151" t="str">
        <f t="shared" si="61"/>
        <v>Moderate</v>
      </c>
      <c r="AB151">
        <f t="shared" si="48"/>
        <v>0.11109276682662794</v>
      </c>
      <c r="AC151">
        <f t="shared" si="62"/>
        <v>0.27153057095103006</v>
      </c>
      <c r="AD151" t="str">
        <f t="shared" si="63"/>
        <v>Low</v>
      </c>
      <c r="AE151">
        <f t="shared" si="49"/>
        <v>4.3986901284059883E-3</v>
      </c>
      <c r="AF151">
        <f t="shared" si="64"/>
        <v>2.6558514314305982E-2</v>
      </c>
      <c r="AG151" t="s">
        <v>1170</v>
      </c>
    </row>
    <row r="152" spans="1:33" customFormat="1" x14ac:dyDescent="0.3">
      <c r="A152">
        <v>208487</v>
      </c>
      <c r="B152" t="s">
        <v>438</v>
      </c>
      <c r="C152" t="s">
        <v>695</v>
      </c>
      <c r="D152" t="s">
        <v>703</v>
      </c>
      <c r="E152" s="21">
        <v>6.2</v>
      </c>
      <c r="F152" s="2">
        <f t="shared" si="50"/>
        <v>0.66666666666666663</v>
      </c>
      <c r="G152" s="26">
        <v>60.944759999999995</v>
      </c>
      <c r="H152">
        <f t="shared" si="51"/>
        <v>0.62477994988208629</v>
      </c>
      <c r="I152" s="12">
        <v>48.099999999999994</v>
      </c>
      <c r="J152" s="2">
        <f t="shared" si="52"/>
        <v>0.20227081581160636</v>
      </c>
      <c r="K152" s="10">
        <v>0</v>
      </c>
      <c r="L152" s="2">
        <f t="shared" si="53"/>
        <v>0</v>
      </c>
      <c r="M152">
        <v>13916</v>
      </c>
      <c r="N152">
        <f t="shared" si="54"/>
        <v>6.4711643553675605E-2</v>
      </c>
      <c r="O152" s="10">
        <v>0.89341966500000003</v>
      </c>
      <c r="P152">
        <f t="shared" si="55"/>
        <v>0.88844726657189332</v>
      </c>
      <c r="Q152" s="23">
        <v>0.44450000000000001</v>
      </c>
      <c r="R152" s="13">
        <f t="shared" si="56"/>
        <v>0.96253789519272415</v>
      </c>
      <c r="S152">
        <f t="shared" si="57"/>
        <v>0.1786001811212605</v>
      </c>
      <c r="T152" s="14">
        <f t="shared" si="45"/>
        <v>0.31870331058760626</v>
      </c>
      <c r="U152" t="str">
        <f t="shared" si="58"/>
        <v>Moderate</v>
      </c>
      <c r="V152">
        <f t="shared" si="59"/>
        <v>0.18574913075327878</v>
      </c>
      <c r="W152">
        <f t="shared" si="46"/>
        <v>0.30047393941121925</v>
      </c>
      <c r="X152" t="str">
        <f t="shared" si="65"/>
        <v>Moderate</v>
      </c>
      <c r="Y152">
        <f t="shared" si="47"/>
        <v>0.17145123148924224</v>
      </c>
      <c r="Z152">
        <f t="shared" si="60"/>
        <v>0.31211066680059679</v>
      </c>
      <c r="AA152" t="str">
        <f t="shared" si="61"/>
        <v>Moderate</v>
      </c>
      <c r="AB152">
        <f t="shared" si="48"/>
        <v>0.12081835004903335</v>
      </c>
      <c r="AC152">
        <f t="shared" si="62"/>
        <v>0.29530163400622189</v>
      </c>
      <c r="AD152" t="str">
        <f t="shared" si="63"/>
        <v>Low</v>
      </c>
      <c r="AE152">
        <f t="shared" si="49"/>
        <v>1.2487956681751766E-2</v>
      </c>
      <c r="AF152">
        <f t="shared" si="64"/>
        <v>7.5400077433716822E-2</v>
      </c>
      <c r="AG152" t="s">
        <v>1170</v>
      </c>
    </row>
    <row r="153" spans="1:33" customFormat="1" x14ac:dyDescent="0.3">
      <c r="A153">
        <v>302602</v>
      </c>
      <c r="B153" t="s">
        <v>1</v>
      </c>
      <c r="C153" t="s">
        <v>705</v>
      </c>
      <c r="D153" t="s">
        <v>704</v>
      </c>
      <c r="E153" s="21">
        <v>5.8</v>
      </c>
      <c r="F153" s="2">
        <f t="shared" si="50"/>
        <v>0.57777777777777772</v>
      </c>
      <c r="G153" s="26">
        <v>46.770479999999999</v>
      </c>
      <c r="H153">
        <f t="shared" si="51"/>
        <v>0.47947121541476445</v>
      </c>
      <c r="I153" s="12">
        <v>68.099999999999994</v>
      </c>
      <c r="J153" s="2">
        <f t="shared" si="52"/>
        <v>0.28637510513036163</v>
      </c>
      <c r="K153" s="10">
        <v>0</v>
      </c>
      <c r="L153" s="2">
        <f t="shared" si="53"/>
        <v>0</v>
      </c>
      <c r="M153">
        <v>1837</v>
      </c>
      <c r="N153">
        <f t="shared" si="54"/>
        <v>7.5608105870273905E-3</v>
      </c>
      <c r="O153" s="10">
        <v>0.79969991200000001</v>
      </c>
      <c r="P153">
        <f t="shared" si="55"/>
        <v>0.7852347518448537</v>
      </c>
      <c r="Q153" s="23">
        <v>5.7500000000000002E-2</v>
      </c>
      <c r="R153" s="13">
        <f t="shared" si="56"/>
        <v>0.124512776093547</v>
      </c>
      <c r="S153">
        <f t="shared" si="57"/>
        <v>7.044682057510554E-2</v>
      </c>
      <c r="T153" s="14">
        <f t="shared" si="45"/>
        <v>0.1257089147206055</v>
      </c>
      <c r="U153" t="str">
        <f t="shared" si="58"/>
        <v>No Impact</v>
      </c>
      <c r="V153">
        <f t="shared" si="59"/>
        <v>1.9283436178491754E-2</v>
      </c>
      <c r="W153">
        <f t="shared" si="46"/>
        <v>3.1193524354266554E-2</v>
      </c>
      <c r="X153" t="s">
        <v>1170</v>
      </c>
      <c r="Y153">
        <f t="shared" si="47"/>
        <v>0.12161020497171936</v>
      </c>
      <c r="Z153">
        <f t="shared" si="60"/>
        <v>0.22137981648654495</v>
      </c>
      <c r="AA153" t="str">
        <f t="shared" si="61"/>
        <v>Low</v>
      </c>
      <c r="AB153">
        <f t="shared" si="48"/>
        <v>4.3642097140974528E-2</v>
      </c>
      <c r="AC153">
        <f t="shared" si="62"/>
        <v>0.1066690828997226</v>
      </c>
      <c r="AD153" t="str">
        <f t="shared" si="63"/>
        <v>No Impact</v>
      </c>
      <c r="AE153">
        <f t="shared" si="49"/>
        <v>1.1709513913902977E-3</v>
      </c>
      <c r="AF153">
        <f t="shared" si="64"/>
        <v>7.0699977451845163E-3</v>
      </c>
      <c r="AG153" t="s">
        <v>1170</v>
      </c>
    </row>
    <row r="154" spans="1:33" customFormat="1" x14ac:dyDescent="0.3">
      <c r="A154">
        <v>302604</v>
      </c>
      <c r="B154" t="s">
        <v>23</v>
      </c>
      <c r="C154" t="s">
        <v>705</v>
      </c>
      <c r="D154" t="s">
        <v>706</v>
      </c>
      <c r="E154" s="21">
        <v>5.8</v>
      </c>
      <c r="F154" s="2">
        <f t="shared" si="50"/>
        <v>0.57777777777777772</v>
      </c>
      <c r="G154" s="26">
        <v>57.268439999999998</v>
      </c>
      <c r="H154">
        <f t="shared" si="51"/>
        <v>0.58709186930960533</v>
      </c>
      <c r="I154" s="12">
        <v>119.8</v>
      </c>
      <c r="J154" s="2">
        <f t="shared" si="52"/>
        <v>0.50378469301934392</v>
      </c>
      <c r="K154" s="10">
        <v>0</v>
      </c>
      <c r="L154" s="2">
        <f t="shared" si="53"/>
        <v>0</v>
      </c>
      <c r="M154">
        <v>22100</v>
      </c>
      <c r="N154">
        <f t="shared" si="54"/>
        <v>0.10343359214205618</v>
      </c>
      <c r="O154" s="10">
        <v>0.70643578500000004</v>
      </c>
      <c r="P154">
        <f t="shared" si="55"/>
        <v>0.68252401293059306</v>
      </c>
      <c r="Q154" s="23">
        <v>0.15720000000000001</v>
      </c>
      <c r="R154" s="13">
        <f t="shared" si="56"/>
        <v>0.34040710264183632</v>
      </c>
      <c r="S154">
        <f t="shared" si="57"/>
        <v>0.11282903741755794</v>
      </c>
      <c r="T154" s="14">
        <f t="shared" si="45"/>
        <v>0.201337913151243</v>
      </c>
      <c r="U154" t="str">
        <f t="shared" si="58"/>
        <v>Low</v>
      </c>
      <c r="V154">
        <f t="shared" si="59"/>
        <v>7.509363071761746E-2</v>
      </c>
      <c r="W154">
        <f t="shared" si="46"/>
        <v>0.12147394151945755</v>
      </c>
      <c r="X154" t="s">
        <v>1170</v>
      </c>
      <c r="Y154">
        <f t="shared" si="47"/>
        <v>0.15056444411749842</v>
      </c>
      <c r="Z154">
        <f t="shared" si="60"/>
        <v>0.27408825612852017</v>
      </c>
      <c r="AA154" t="str">
        <f t="shared" si="61"/>
        <v>Low</v>
      </c>
      <c r="AB154">
        <f t="shared" si="48"/>
        <v>7.9438192905070204E-2</v>
      </c>
      <c r="AC154">
        <f t="shared" si="62"/>
        <v>0.19416113659761389</v>
      </c>
      <c r="AD154" t="str">
        <f t="shared" si="63"/>
        <v>Low</v>
      </c>
      <c r="AE154">
        <f t="shared" si="49"/>
        <v>2.2817396910441635E-2</v>
      </c>
      <c r="AF154">
        <f t="shared" si="64"/>
        <v>0.1377674136552029</v>
      </c>
      <c r="AG154" t="s">
        <v>1170</v>
      </c>
    </row>
    <row r="155" spans="1:33" customFormat="1" x14ac:dyDescent="0.3">
      <c r="A155">
        <v>302605</v>
      </c>
      <c r="B155" t="s">
        <v>43</v>
      </c>
      <c r="C155" t="s">
        <v>705</v>
      </c>
      <c r="D155" t="s">
        <v>707</v>
      </c>
      <c r="E155" s="21">
        <v>5.8</v>
      </c>
      <c r="F155" s="2">
        <f t="shared" si="50"/>
        <v>0.57777777777777772</v>
      </c>
      <c r="G155" s="26">
        <v>63.919079999999994</v>
      </c>
      <c r="H155">
        <f t="shared" si="51"/>
        <v>0.65527142282468687</v>
      </c>
      <c r="I155" s="12">
        <v>156.6</v>
      </c>
      <c r="J155" s="2">
        <f t="shared" si="52"/>
        <v>0.65853658536585358</v>
      </c>
      <c r="K155" s="10">
        <v>0</v>
      </c>
      <c r="L155" s="2">
        <f t="shared" si="53"/>
        <v>0</v>
      </c>
      <c r="M155">
        <v>763</v>
      </c>
      <c r="N155">
        <f t="shared" si="54"/>
        <v>2.4792645479363908E-3</v>
      </c>
      <c r="O155" s="10">
        <v>0.59461408699999996</v>
      </c>
      <c r="P155">
        <f t="shared" si="55"/>
        <v>0.55937602883776705</v>
      </c>
      <c r="Q155" s="23">
        <v>0</v>
      </c>
      <c r="R155" s="13">
        <f t="shared" si="56"/>
        <v>0</v>
      </c>
      <c r="S155">
        <f t="shared" si="57"/>
        <v>7.4307840301329073E-2</v>
      </c>
      <c r="T155" s="14">
        <f t="shared" si="45"/>
        <v>0.13259871607056065</v>
      </c>
      <c r="U155" t="str">
        <f t="shared" si="58"/>
        <v>No Impact</v>
      </c>
      <c r="V155">
        <f t="shared" si="59"/>
        <v>0</v>
      </c>
      <c r="W155">
        <f t="shared" si="46"/>
        <v>0</v>
      </c>
      <c r="X155" t="s">
        <v>1170</v>
      </c>
      <c r="Y155">
        <f t="shared" si="47"/>
        <v>0.14861568060265815</v>
      </c>
      <c r="Z155">
        <f t="shared" si="60"/>
        <v>0.27054071742162183</v>
      </c>
      <c r="AA155" t="str">
        <f t="shared" si="61"/>
        <v>Low</v>
      </c>
      <c r="AB155">
        <f t="shared" si="48"/>
        <v>4.4815247052169514E-2</v>
      </c>
      <c r="AC155">
        <f t="shared" si="62"/>
        <v>0.10953647088813277</v>
      </c>
      <c r="AD155" t="str">
        <f t="shared" si="63"/>
        <v>No Impact</v>
      </c>
      <c r="AE155">
        <f t="shared" si="49"/>
        <v>6.5869391820590542E-4</v>
      </c>
      <c r="AF155">
        <f t="shared" si="64"/>
        <v>3.9770775718991919E-3</v>
      </c>
      <c r="AG155" t="s">
        <v>1170</v>
      </c>
    </row>
    <row r="156" spans="1:33" customFormat="1" x14ac:dyDescent="0.3">
      <c r="A156">
        <v>302606</v>
      </c>
      <c r="B156" t="s">
        <v>76</v>
      </c>
      <c r="C156" t="s">
        <v>705</v>
      </c>
      <c r="D156" t="s">
        <v>1134</v>
      </c>
      <c r="E156" s="21">
        <v>5.8</v>
      </c>
      <c r="F156" s="2">
        <f t="shared" si="50"/>
        <v>0.57777777777777772</v>
      </c>
      <c r="G156" s="26">
        <v>57.268439999999998</v>
      </c>
      <c r="H156">
        <f t="shared" si="51"/>
        <v>0.58709186930960533</v>
      </c>
      <c r="I156" s="12">
        <v>119.8</v>
      </c>
      <c r="J156" s="2">
        <f t="shared" si="52"/>
        <v>0.50378469301934392</v>
      </c>
      <c r="K156" s="10">
        <v>0</v>
      </c>
      <c r="L156" s="2">
        <f t="shared" si="53"/>
        <v>0</v>
      </c>
      <c r="M156">
        <v>2282</v>
      </c>
      <c r="N156">
        <f t="shared" si="54"/>
        <v>9.6662928844161184E-3</v>
      </c>
      <c r="O156" s="10">
        <v>0.72934481699999998</v>
      </c>
      <c r="P156">
        <f t="shared" si="55"/>
        <v>0.70775347339110262</v>
      </c>
      <c r="Q156" s="23">
        <v>0.18229999999999999</v>
      </c>
      <c r="R156" s="13">
        <f t="shared" si="56"/>
        <v>0.39475963620614984</v>
      </c>
      <c r="S156">
        <f t="shared" si="57"/>
        <v>0.12160691077080511</v>
      </c>
      <c r="T156" s="14">
        <f t="shared" si="45"/>
        <v>0.21700159994055943</v>
      </c>
      <c r="U156" t="str">
        <f t="shared" si="58"/>
        <v>Low</v>
      </c>
      <c r="V156">
        <f t="shared" si="59"/>
        <v>8.7083771500137783E-2</v>
      </c>
      <c r="W156">
        <f t="shared" si="46"/>
        <v>0.14086958994272969</v>
      </c>
      <c r="X156" t="s">
        <v>1170</v>
      </c>
      <c r="Y156">
        <f t="shared" si="47"/>
        <v>0.15613005004147243</v>
      </c>
      <c r="Z156">
        <f t="shared" si="60"/>
        <v>0.28421991258261731</v>
      </c>
      <c r="AA156" t="str">
        <f t="shared" si="61"/>
        <v>Low</v>
      </c>
      <c r="AB156">
        <f t="shared" si="48"/>
        <v>7.806466776064129E-2</v>
      </c>
      <c r="AC156">
        <f t="shared" si="62"/>
        <v>0.19080399573834972</v>
      </c>
      <c r="AD156" t="str">
        <f t="shared" si="63"/>
        <v>Low</v>
      </c>
      <c r="AE156">
        <f t="shared" si="49"/>
        <v>2.1323792090038084E-3</v>
      </c>
      <c r="AF156">
        <f t="shared" si="64"/>
        <v>1.2874929147686724E-2</v>
      </c>
      <c r="AG156" t="s">
        <v>1170</v>
      </c>
    </row>
    <row r="157" spans="1:33" customFormat="1" x14ac:dyDescent="0.3">
      <c r="A157">
        <v>302608</v>
      </c>
      <c r="B157" t="s">
        <v>92</v>
      </c>
      <c r="C157" t="s">
        <v>705</v>
      </c>
      <c r="D157" t="s">
        <v>708</v>
      </c>
      <c r="E157" s="21">
        <v>5.8</v>
      </c>
      <c r="F157" s="2">
        <f t="shared" si="50"/>
        <v>0.57777777777777772</v>
      </c>
      <c r="G157" s="26">
        <v>57.268439999999998</v>
      </c>
      <c r="H157">
        <f t="shared" si="51"/>
        <v>0.58709186930960533</v>
      </c>
      <c r="I157" s="12">
        <v>119.8</v>
      </c>
      <c r="J157" s="2">
        <f t="shared" si="52"/>
        <v>0.50378469301934392</v>
      </c>
      <c r="K157" s="10">
        <v>0</v>
      </c>
      <c r="L157" s="2">
        <f t="shared" si="53"/>
        <v>0</v>
      </c>
      <c r="M157">
        <v>5168</v>
      </c>
      <c r="N157">
        <f t="shared" si="54"/>
        <v>2.3321173581638301E-2</v>
      </c>
      <c r="O157" s="10">
        <v>0.74978494500000004</v>
      </c>
      <c r="P157">
        <f t="shared" si="55"/>
        <v>0.73026395751735274</v>
      </c>
      <c r="Q157" s="23">
        <v>0.20530000000000001</v>
      </c>
      <c r="R157" s="13">
        <f t="shared" si="56"/>
        <v>0.44456474664356865</v>
      </c>
      <c r="S157">
        <f t="shared" si="57"/>
        <v>0.12958330214328889</v>
      </c>
      <c r="T157" s="14">
        <f t="shared" si="45"/>
        <v>0.23123508123376729</v>
      </c>
      <c r="U157" t="str">
        <f t="shared" si="58"/>
        <v>Low</v>
      </c>
      <c r="V157">
        <f t="shared" si="59"/>
        <v>9.8070753093682336E-2</v>
      </c>
      <c r="W157">
        <f t="shared" si="46"/>
        <v>0.15864249487242132</v>
      </c>
      <c r="X157" t="s">
        <v>1170</v>
      </c>
      <c r="Y157">
        <f t="shared" si="47"/>
        <v>0.16109585119289549</v>
      </c>
      <c r="Z157">
        <f t="shared" si="60"/>
        <v>0.29325968147262416</v>
      </c>
      <c r="AA157" t="str">
        <f t="shared" si="61"/>
        <v>Low</v>
      </c>
      <c r="AB157">
        <f t="shared" si="48"/>
        <v>8.4454142529699502E-2</v>
      </c>
      <c r="AC157">
        <f t="shared" si="62"/>
        <v>0.20642101367460414</v>
      </c>
      <c r="AD157" t="str">
        <f t="shared" si="63"/>
        <v>Low</v>
      </c>
      <c r="AE157">
        <f t="shared" si="49"/>
        <v>5.144638825834446E-3</v>
      </c>
      <c r="AF157">
        <f t="shared" si="64"/>
        <v>3.1062420836489413E-2</v>
      </c>
      <c r="AG157" t="s">
        <v>1170</v>
      </c>
    </row>
    <row r="158" spans="1:33" customFormat="1" x14ac:dyDescent="0.3">
      <c r="A158">
        <v>302609</v>
      </c>
      <c r="B158" t="s">
        <v>93</v>
      </c>
      <c r="C158" t="s">
        <v>705</v>
      </c>
      <c r="D158" t="s">
        <v>1135</v>
      </c>
      <c r="E158" s="21">
        <v>5.8</v>
      </c>
      <c r="F158" s="2">
        <f t="shared" si="50"/>
        <v>0.57777777777777772</v>
      </c>
      <c r="G158" s="26">
        <v>63.919079999999994</v>
      </c>
      <c r="H158">
        <f t="shared" si="51"/>
        <v>0.65527142282468687</v>
      </c>
      <c r="I158" s="12">
        <v>156.6</v>
      </c>
      <c r="J158" s="2">
        <f t="shared" si="52"/>
        <v>0.65853658536585358</v>
      </c>
      <c r="K158" s="10">
        <v>0</v>
      </c>
      <c r="L158" s="2">
        <f t="shared" si="53"/>
        <v>0</v>
      </c>
      <c r="M158">
        <v>943</v>
      </c>
      <c r="N158">
        <f t="shared" si="54"/>
        <v>3.330920308677899E-3</v>
      </c>
      <c r="O158" s="10">
        <v>0.54199917099999995</v>
      </c>
      <c r="P158">
        <f t="shared" si="55"/>
        <v>0.5014318109042013</v>
      </c>
      <c r="Q158" s="23">
        <v>0</v>
      </c>
      <c r="R158" s="13">
        <f t="shared" si="56"/>
        <v>0</v>
      </c>
      <c r="S158">
        <f t="shared" si="57"/>
        <v>6.6610496349106249E-2</v>
      </c>
      <c r="T158" s="14">
        <f t="shared" si="45"/>
        <v>0.11886318128608399</v>
      </c>
      <c r="U158" t="str">
        <f t="shared" si="58"/>
        <v>No Impact</v>
      </c>
      <c r="V158">
        <f t="shared" si="59"/>
        <v>0</v>
      </c>
      <c r="W158">
        <f t="shared" si="46"/>
        <v>0</v>
      </c>
      <c r="X158" t="s">
        <v>1170</v>
      </c>
      <c r="Y158">
        <f t="shared" si="47"/>
        <v>0.1332209926982125</v>
      </c>
      <c r="Z158">
        <f t="shared" si="60"/>
        <v>0.24251615168763296</v>
      </c>
      <c r="AA158" t="str">
        <f t="shared" si="61"/>
        <v>Low</v>
      </c>
      <c r="AB158">
        <f t="shared" si="48"/>
        <v>4.0276034796955976E-2</v>
      </c>
      <c r="AC158">
        <f t="shared" si="62"/>
        <v>9.8441825120154508E-2</v>
      </c>
      <c r="AD158" t="str">
        <f t="shared" si="63"/>
        <v>No Impact</v>
      </c>
      <c r="AE158">
        <f t="shared" si="49"/>
        <v>8.8496282140640718E-4</v>
      </c>
      <c r="AF158">
        <f t="shared" si="64"/>
        <v>5.3432492569027304E-3</v>
      </c>
      <c r="AG158" t="s">
        <v>1170</v>
      </c>
    </row>
    <row r="159" spans="1:33" customFormat="1" x14ac:dyDescent="0.3">
      <c r="A159">
        <v>302610</v>
      </c>
      <c r="B159" t="s">
        <v>125</v>
      </c>
      <c r="C159" t="s">
        <v>705</v>
      </c>
      <c r="D159" t="s">
        <v>709</v>
      </c>
      <c r="E159" s="21">
        <v>5.8</v>
      </c>
      <c r="F159" s="2">
        <f t="shared" si="50"/>
        <v>0.57777777777777772</v>
      </c>
      <c r="G159" s="26">
        <v>57.268439999999998</v>
      </c>
      <c r="H159">
        <f t="shared" si="51"/>
        <v>0.58709186930960533</v>
      </c>
      <c r="I159" s="12">
        <v>119.8</v>
      </c>
      <c r="J159" s="2">
        <f t="shared" si="52"/>
        <v>0.50378469301934392</v>
      </c>
      <c r="K159" s="10">
        <v>0</v>
      </c>
      <c r="L159" s="2">
        <f t="shared" si="53"/>
        <v>0</v>
      </c>
      <c r="M159">
        <v>9039</v>
      </c>
      <c r="N159">
        <f t="shared" si="54"/>
        <v>4.1636503858473735E-2</v>
      </c>
      <c r="O159" s="10">
        <v>0.87399733599999996</v>
      </c>
      <c r="P159">
        <f t="shared" si="55"/>
        <v>0.86705767308944015</v>
      </c>
      <c r="Q159" s="23">
        <v>0.20499999999999999</v>
      </c>
      <c r="R159" s="13">
        <f t="shared" si="56"/>
        <v>0.44391511476829792</v>
      </c>
      <c r="S159">
        <f t="shared" si="57"/>
        <v>0.14459995935486597</v>
      </c>
      <c r="T159" s="14">
        <f t="shared" si="45"/>
        <v>0.25803157347270578</v>
      </c>
      <c r="U159" t="str">
        <f t="shared" si="58"/>
        <v>Low</v>
      </c>
      <c r="V159">
        <f t="shared" si="59"/>
        <v>9.7927444638114342E-2</v>
      </c>
      <c r="W159">
        <f t="shared" si="46"/>
        <v>0.15841067437333836</v>
      </c>
      <c r="X159" t="s">
        <v>1170</v>
      </c>
      <c r="Y159">
        <f t="shared" si="47"/>
        <v>0.19127247407161757</v>
      </c>
      <c r="Z159">
        <f t="shared" si="60"/>
        <v>0.34819335448656841</v>
      </c>
      <c r="AA159" t="str">
        <f t="shared" si="61"/>
        <v>Moderate</v>
      </c>
      <c r="AB159">
        <f t="shared" si="48"/>
        <v>9.4871094767846206E-2</v>
      </c>
      <c r="AC159">
        <f t="shared" si="62"/>
        <v>0.23188190613043602</v>
      </c>
      <c r="AD159" t="str">
        <f t="shared" si="63"/>
        <v>Low</v>
      </c>
      <c r="AE159">
        <f t="shared" si="49"/>
        <v>9.1849912086311887E-3</v>
      </c>
      <c r="AF159">
        <f t="shared" si="64"/>
        <v>5.5457355114852273E-2</v>
      </c>
      <c r="AG159" t="s">
        <v>1170</v>
      </c>
    </row>
    <row r="160" spans="1:33" customFormat="1" x14ac:dyDescent="0.3">
      <c r="A160">
        <v>302611</v>
      </c>
      <c r="B160" t="s">
        <v>128</v>
      </c>
      <c r="C160" t="s">
        <v>705</v>
      </c>
      <c r="D160" t="s">
        <v>710</v>
      </c>
      <c r="E160" s="21">
        <v>5.8</v>
      </c>
      <c r="F160" s="2">
        <f t="shared" si="50"/>
        <v>0.57777777777777772</v>
      </c>
      <c r="G160" s="26">
        <v>46.770479999999999</v>
      </c>
      <c r="H160">
        <f t="shared" si="51"/>
        <v>0.47947121541476445</v>
      </c>
      <c r="I160" s="12">
        <v>68.099999999999994</v>
      </c>
      <c r="J160" s="2">
        <f t="shared" si="52"/>
        <v>0.28637510513036163</v>
      </c>
      <c r="K160" s="10">
        <v>0</v>
      </c>
      <c r="L160" s="2">
        <f t="shared" si="53"/>
        <v>0</v>
      </c>
      <c r="M160">
        <v>3309</v>
      </c>
      <c r="N160">
        <f t="shared" si="54"/>
        <v>1.4525462141535725E-2</v>
      </c>
      <c r="O160" s="10">
        <v>0.58542256299999995</v>
      </c>
      <c r="P160">
        <f t="shared" si="55"/>
        <v>0.54925350636148673</v>
      </c>
      <c r="Q160" s="23">
        <v>9.8299999999999998E-2</v>
      </c>
      <c r="R160" s="13">
        <f t="shared" si="56"/>
        <v>0.21286271113035946</v>
      </c>
      <c r="S160">
        <f t="shared" si="57"/>
        <v>5.9014905544938712E-2</v>
      </c>
      <c r="T160" s="14">
        <f t="shared" si="45"/>
        <v>0.1053092200305049</v>
      </c>
      <c r="U160" t="str">
        <f t="shared" si="58"/>
        <v>No Impact</v>
      </c>
      <c r="V160">
        <f t="shared" si="59"/>
        <v>3.29662917625346E-2</v>
      </c>
      <c r="W160">
        <f t="shared" si="46"/>
        <v>5.332736424390265E-2</v>
      </c>
      <c r="X160" t="s">
        <v>1170</v>
      </c>
      <c r="Y160">
        <f t="shared" si="47"/>
        <v>8.5063519327342837E-2</v>
      </c>
      <c r="Z160">
        <f t="shared" si="60"/>
        <v>0.1548500498191421</v>
      </c>
      <c r="AA160" t="str">
        <f t="shared" si="61"/>
        <v>Low</v>
      </c>
      <c r="AB160">
        <f t="shared" si="48"/>
        <v>3.7844609147911532E-2</v>
      </c>
      <c r="AC160">
        <f t="shared" si="62"/>
        <v>9.2498986413649523E-2</v>
      </c>
      <c r="AD160" t="str">
        <f t="shared" si="63"/>
        <v>No Impact</v>
      </c>
      <c r="AE160">
        <f t="shared" si="49"/>
        <v>2.2495749509187824E-3</v>
      </c>
      <c r="AF160">
        <f t="shared" si="64"/>
        <v>1.3582536344002796E-2</v>
      </c>
      <c r="AG160" t="s">
        <v>1170</v>
      </c>
    </row>
    <row r="161" spans="1:33" customFormat="1" x14ac:dyDescent="0.3">
      <c r="A161">
        <v>302612</v>
      </c>
      <c r="B161" t="s">
        <v>139</v>
      </c>
      <c r="C161" t="s">
        <v>705</v>
      </c>
      <c r="D161" t="s">
        <v>711</v>
      </c>
      <c r="E161" s="21">
        <v>5.8</v>
      </c>
      <c r="F161" s="2">
        <f t="shared" si="50"/>
        <v>0.57777777777777772</v>
      </c>
      <c r="G161" s="26">
        <v>63.919079999999994</v>
      </c>
      <c r="H161">
        <f t="shared" si="51"/>
        <v>0.65527142282468687</v>
      </c>
      <c r="I161" s="12">
        <v>156.6</v>
      </c>
      <c r="J161" s="2">
        <f t="shared" si="52"/>
        <v>0.65853658536585358</v>
      </c>
      <c r="K161" s="10">
        <v>0</v>
      </c>
      <c r="L161" s="2">
        <f t="shared" si="53"/>
        <v>0</v>
      </c>
      <c r="M161">
        <v>15140</v>
      </c>
      <c r="N161">
        <f t="shared" si="54"/>
        <v>7.0502902726717859E-2</v>
      </c>
      <c r="O161" s="10">
        <v>0.68918116200000001</v>
      </c>
      <c r="P161">
        <f t="shared" si="55"/>
        <v>0.66352168979710147</v>
      </c>
      <c r="Q161" s="23">
        <v>0.16800000000000001</v>
      </c>
      <c r="R161" s="13">
        <f t="shared" si="56"/>
        <v>0.36379385015158078</v>
      </c>
      <c r="S161">
        <f t="shared" si="57"/>
        <v>0.1364691998693425</v>
      </c>
      <c r="T161" s="14">
        <f t="shared" si="45"/>
        <v>0.24352262981229289</v>
      </c>
      <c r="U161" t="str">
        <f t="shared" si="58"/>
        <v>Low</v>
      </c>
      <c r="V161">
        <f t="shared" si="59"/>
        <v>9.6653177562277939E-2</v>
      </c>
      <c r="W161">
        <f t="shared" si="46"/>
        <v>0.15634937779237537</v>
      </c>
      <c r="X161" t="s">
        <v>1170</v>
      </c>
      <c r="Y161">
        <f t="shared" si="47"/>
        <v>0.17628522217640705</v>
      </c>
      <c r="Z161">
        <f t="shared" si="60"/>
        <v>0.32091048727183996</v>
      </c>
      <c r="AA161" t="str">
        <f t="shared" si="61"/>
        <v>Moderate</v>
      </c>
      <c r="AB161">
        <f t="shared" si="48"/>
        <v>9.3270131712534607E-2</v>
      </c>
      <c r="AC161">
        <f t="shared" si="62"/>
        <v>0.22796886638088443</v>
      </c>
      <c r="AD161" t="str">
        <f t="shared" si="63"/>
        <v>Low</v>
      </c>
      <c r="AE161">
        <f t="shared" si="49"/>
        <v>1.8731294036614877E-2</v>
      </c>
      <c r="AF161">
        <f t="shared" si="64"/>
        <v>0.11309624599020965</v>
      </c>
      <c r="AG161" t="s">
        <v>1170</v>
      </c>
    </row>
    <row r="162" spans="1:33" customFormat="1" x14ac:dyDescent="0.3">
      <c r="A162">
        <v>302614</v>
      </c>
      <c r="B162" t="s">
        <v>143</v>
      </c>
      <c r="C162" t="s">
        <v>705</v>
      </c>
      <c r="D162" t="s">
        <v>712</v>
      </c>
      <c r="E162" s="21">
        <v>5.6</v>
      </c>
      <c r="F162" s="2">
        <f t="shared" si="50"/>
        <v>0.53333333333333321</v>
      </c>
      <c r="G162" s="26">
        <v>46.189439999999998</v>
      </c>
      <c r="H162">
        <f t="shared" si="51"/>
        <v>0.47351463863803273</v>
      </c>
      <c r="I162" s="12">
        <v>52.699999999999996</v>
      </c>
      <c r="J162" s="2">
        <f t="shared" si="52"/>
        <v>0.22161480235492007</v>
      </c>
      <c r="K162" s="10">
        <v>0</v>
      </c>
      <c r="L162" s="2">
        <f t="shared" si="53"/>
        <v>0</v>
      </c>
      <c r="M162">
        <v>70768</v>
      </c>
      <c r="N162">
        <f t="shared" si="54"/>
        <v>0.33370238416298798</v>
      </c>
      <c r="O162" s="10">
        <v>0.89261666200000001</v>
      </c>
      <c r="P162">
        <f t="shared" si="55"/>
        <v>0.88756292835811934</v>
      </c>
      <c r="Q162" s="23">
        <v>0.26879999999999998</v>
      </c>
      <c r="R162" s="13">
        <f t="shared" si="56"/>
        <v>0.58207016024252922</v>
      </c>
      <c r="S162">
        <f t="shared" si="57"/>
        <v>9.5347954552080103E-2</v>
      </c>
      <c r="T162" s="14">
        <f t="shared" si="45"/>
        <v>0.17014377355459026</v>
      </c>
      <c r="U162" t="str">
        <f t="shared" si="58"/>
        <v>Low</v>
      </c>
      <c r="V162">
        <f t="shared" si="59"/>
        <v>7.5527966286839304E-2</v>
      </c>
      <c r="W162">
        <f t="shared" si="46"/>
        <v>0.12217653710621078</v>
      </c>
      <c r="X162" t="s">
        <v>1170</v>
      </c>
      <c r="Y162">
        <f t="shared" si="47"/>
        <v>0.11516794281732089</v>
      </c>
      <c r="Z162">
        <f t="shared" si="60"/>
        <v>0.20965229070998195</v>
      </c>
      <c r="AA162" t="str">
        <f t="shared" si="61"/>
        <v>Low</v>
      </c>
      <c r="AB162">
        <f t="shared" si="48"/>
        <v>7.6140306027323926E-2</v>
      </c>
      <c r="AC162">
        <f t="shared" si="62"/>
        <v>0.18610051183845341</v>
      </c>
      <c r="AD162" t="str">
        <f t="shared" si="63"/>
        <v>Low</v>
      </c>
      <c r="AE162">
        <f t="shared" si="49"/>
        <v>4.3300385662096895E-2</v>
      </c>
      <c r="AF162">
        <f t="shared" si="64"/>
        <v>0.26144008303638078</v>
      </c>
      <c r="AG162" t="s">
        <v>1169</v>
      </c>
    </row>
    <row r="163" spans="1:33" customFormat="1" x14ac:dyDescent="0.3">
      <c r="A163">
        <v>302616</v>
      </c>
      <c r="B163" t="s">
        <v>145</v>
      </c>
      <c r="C163" t="s">
        <v>705</v>
      </c>
      <c r="D163" t="s">
        <v>713</v>
      </c>
      <c r="E163" s="21">
        <v>5.8</v>
      </c>
      <c r="F163" s="2">
        <f t="shared" si="50"/>
        <v>0.57777777777777772</v>
      </c>
      <c r="G163" s="26">
        <v>63.919079999999994</v>
      </c>
      <c r="H163">
        <f t="shared" si="51"/>
        <v>0.65527142282468687</v>
      </c>
      <c r="I163" s="12">
        <v>156.6</v>
      </c>
      <c r="J163" s="2">
        <f t="shared" si="52"/>
        <v>0.65853658536585358</v>
      </c>
      <c r="K163" s="10">
        <v>0</v>
      </c>
      <c r="L163" s="2">
        <f t="shared" si="53"/>
        <v>0</v>
      </c>
      <c r="M163">
        <v>1742</v>
      </c>
      <c r="N163">
        <f t="shared" si="54"/>
        <v>7.1113256021915943E-3</v>
      </c>
      <c r="O163" s="10">
        <v>0.68543173899999998</v>
      </c>
      <c r="P163">
        <f t="shared" si="55"/>
        <v>0.65939249222436136</v>
      </c>
      <c r="Q163" s="23">
        <v>0</v>
      </c>
      <c r="R163" s="13">
        <f t="shared" si="56"/>
        <v>0</v>
      </c>
      <c r="S163">
        <f t="shared" si="57"/>
        <v>8.7594086056758544E-2</v>
      </c>
      <c r="T163" s="14">
        <f t="shared" si="45"/>
        <v>0.1563073734803814</v>
      </c>
      <c r="U163" t="str">
        <f t="shared" si="58"/>
        <v>Low</v>
      </c>
      <c r="V163">
        <f t="shared" si="59"/>
        <v>0</v>
      </c>
      <c r="W163">
        <f t="shared" si="46"/>
        <v>0</v>
      </c>
      <c r="X163" t="s">
        <v>1170</v>
      </c>
      <c r="Y163">
        <f t="shared" si="47"/>
        <v>0.17518817211351709</v>
      </c>
      <c r="Z163">
        <f t="shared" si="60"/>
        <v>0.31891341193054268</v>
      </c>
      <c r="AA163" t="str">
        <f t="shared" si="61"/>
        <v>Moderate</v>
      </c>
      <c r="AB163">
        <f t="shared" si="48"/>
        <v>5.3217722503658589E-2</v>
      </c>
      <c r="AC163">
        <f t="shared" si="62"/>
        <v>0.13007362215294382</v>
      </c>
      <c r="AD163" t="str">
        <f t="shared" si="63"/>
        <v>No Impact</v>
      </c>
      <c r="AE163">
        <f t="shared" si="49"/>
        <v>1.8893453417241904E-3</v>
      </c>
      <c r="AF163">
        <f t="shared" si="64"/>
        <v>1.1407533569779551E-2</v>
      </c>
      <c r="AG163" t="s">
        <v>1170</v>
      </c>
    </row>
    <row r="164" spans="1:33" customFormat="1" x14ac:dyDescent="0.3">
      <c r="A164">
        <v>302618</v>
      </c>
      <c r="B164" t="s">
        <v>154</v>
      </c>
      <c r="C164" t="s">
        <v>705</v>
      </c>
      <c r="D164" t="s">
        <v>714</v>
      </c>
      <c r="E164" s="21">
        <v>5.8</v>
      </c>
      <c r="F164" s="2">
        <f t="shared" si="50"/>
        <v>0.57777777777777772</v>
      </c>
      <c r="G164" s="26">
        <v>49.416480000000007</v>
      </c>
      <c r="H164">
        <f t="shared" si="51"/>
        <v>0.5065968903273903</v>
      </c>
      <c r="I164" s="12">
        <v>94.7</v>
      </c>
      <c r="J164" s="2">
        <f t="shared" si="52"/>
        <v>0.39823380992430613</v>
      </c>
      <c r="K164" s="10">
        <v>0</v>
      </c>
      <c r="L164" s="2">
        <f t="shared" si="53"/>
        <v>0</v>
      </c>
      <c r="M164">
        <v>27219</v>
      </c>
      <c r="N164">
        <f t="shared" si="54"/>
        <v>0.12765373569336608</v>
      </c>
      <c r="O164" s="10">
        <v>0.71492299500000001</v>
      </c>
      <c r="P164">
        <f t="shared" si="55"/>
        <v>0.69187088228391369</v>
      </c>
      <c r="Q164" s="23">
        <v>0.26579999999999998</v>
      </c>
      <c r="R164" s="13">
        <f t="shared" si="56"/>
        <v>0.57557384148982238</v>
      </c>
      <c r="S164">
        <f t="shared" si="57"/>
        <v>0.11595653735752018</v>
      </c>
      <c r="T164" s="14">
        <f t="shared" si="45"/>
        <v>0.20691878422579005</v>
      </c>
      <c r="U164" t="str">
        <f t="shared" si="58"/>
        <v>Low</v>
      </c>
      <c r="V164">
        <f t="shared" si="59"/>
        <v>0.10531670281289626</v>
      </c>
      <c r="W164">
        <f t="shared" si="46"/>
        <v>0.17036378287026244</v>
      </c>
      <c r="X164" t="s">
        <v>1170</v>
      </c>
      <c r="Y164">
        <f t="shared" si="47"/>
        <v>0.12659637190214407</v>
      </c>
      <c r="Z164">
        <f t="shared" si="60"/>
        <v>0.23045665934101919</v>
      </c>
      <c r="AA164" t="str">
        <f t="shared" si="61"/>
        <v>Low</v>
      </c>
      <c r="AB164">
        <f t="shared" si="48"/>
        <v>8.3014946126203512E-2</v>
      </c>
      <c r="AC164">
        <f t="shared" si="62"/>
        <v>0.20290336052476587</v>
      </c>
      <c r="AD164" t="str">
        <f t="shared" si="63"/>
        <v>Low</v>
      </c>
      <c r="AE164">
        <f t="shared" si="49"/>
        <v>2.3357681631561728E-2</v>
      </c>
      <c r="AF164">
        <f t="shared" si="64"/>
        <v>0.14102955740272544</v>
      </c>
      <c r="AG164" t="s">
        <v>1170</v>
      </c>
    </row>
    <row r="165" spans="1:33" customFormat="1" x14ac:dyDescent="0.3">
      <c r="A165">
        <v>302624</v>
      </c>
      <c r="B165" t="s">
        <v>182</v>
      </c>
      <c r="C165" t="s">
        <v>705</v>
      </c>
      <c r="D165" t="s">
        <v>715</v>
      </c>
      <c r="E165" s="21">
        <v>5.7</v>
      </c>
      <c r="F165" s="2">
        <f t="shared" si="50"/>
        <v>0.55555555555555558</v>
      </c>
      <c r="G165" s="26">
        <v>63.919079999999994</v>
      </c>
      <c r="H165">
        <f t="shared" si="51"/>
        <v>0.65527142282468687</v>
      </c>
      <c r="I165" s="12">
        <v>156.6</v>
      </c>
      <c r="J165" s="2">
        <f t="shared" si="52"/>
        <v>0.65853658536585358</v>
      </c>
      <c r="K165" s="10">
        <v>0</v>
      </c>
      <c r="L165" s="2">
        <f t="shared" si="53"/>
        <v>0</v>
      </c>
      <c r="M165">
        <v>1598</v>
      </c>
      <c r="N165">
        <f t="shared" si="54"/>
        <v>6.4300009935983875E-3</v>
      </c>
      <c r="O165" s="10">
        <v>0.68262042700000003</v>
      </c>
      <c r="P165">
        <f t="shared" si="55"/>
        <v>0.65629642579317582</v>
      </c>
      <c r="Q165" s="23">
        <v>0</v>
      </c>
      <c r="R165" s="13">
        <f t="shared" si="56"/>
        <v>0</v>
      </c>
      <c r="S165">
        <f t="shared" si="57"/>
        <v>8.3829618051073931E-2</v>
      </c>
      <c r="T165" s="14">
        <f t="shared" si="45"/>
        <v>0.14958986396566126</v>
      </c>
      <c r="U165" t="str">
        <f t="shared" si="58"/>
        <v>No Impact</v>
      </c>
      <c r="V165">
        <f t="shared" si="59"/>
        <v>0</v>
      </c>
      <c r="W165">
        <f t="shared" si="46"/>
        <v>0</v>
      </c>
      <c r="X165" t="s">
        <v>1170</v>
      </c>
      <c r="Y165">
        <f t="shared" si="47"/>
        <v>0.16765923610214786</v>
      </c>
      <c r="Z165">
        <f t="shared" si="60"/>
        <v>0.30520769970907685</v>
      </c>
      <c r="AA165" t="str">
        <f t="shared" si="61"/>
        <v>Moderate</v>
      </c>
      <c r="AB165">
        <f t="shared" si="48"/>
        <v>5.08726896544014E-2</v>
      </c>
      <c r="AC165">
        <f t="shared" si="62"/>
        <v>0.12434194288482876</v>
      </c>
      <c r="AD165" t="str">
        <f t="shared" si="63"/>
        <v>No Impact</v>
      </c>
      <c r="AE165">
        <f t="shared" si="49"/>
        <v>1.6426252107344128E-3</v>
      </c>
      <c r="AF165">
        <f t="shared" si="64"/>
        <v>9.9178809824776188E-3</v>
      </c>
      <c r="AG165" t="s">
        <v>1170</v>
      </c>
    </row>
    <row r="166" spans="1:33" customFormat="1" x14ac:dyDescent="0.3">
      <c r="A166">
        <v>302626</v>
      </c>
      <c r="B166" t="s">
        <v>195</v>
      </c>
      <c r="C166" t="s">
        <v>705</v>
      </c>
      <c r="D166" t="s">
        <v>716</v>
      </c>
      <c r="E166" s="21">
        <v>5.7</v>
      </c>
      <c r="F166" s="2">
        <f t="shared" si="50"/>
        <v>0.55555555555555558</v>
      </c>
      <c r="G166" s="26">
        <v>57.268439999999998</v>
      </c>
      <c r="H166">
        <f t="shared" si="51"/>
        <v>0.58709186930960533</v>
      </c>
      <c r="I166" s="12">
        <v>119.8</v>
      </c>
      <c r="J166" s="2">
        <f t="shared" si="52"/>
        <v>0.50378469301934392</v>
      </c>
      <c r="K166" s="10">
        <v>0</v>
      </c>
      <c r="L166" s="2">
        <f t="shared" si="53"/>
        <v>0</v>
      </c>
      <c r="M166">
        <v>6565</v>
      </c>
      <c r="N166">
        <f t="shared" si="54"/>
        <v>2.9930968569171008E-2</v>
      </c>
      <c r="O166" s="10">
        <v>0.66813441399999995</v>
      </c>
      <c r="P166">
        <f t="shared" si="55"/>
        <v>0.64034314185634567</v>
      </c>
      <c r="Q166" s="23">
        <v>0</v>
      </c>
      <c r="R166" s="13">
        <f t="shared" si="56"/>
        <v>0</v>
      </c>
      <c r="S166">
        <f t="shared" si="57"/>
        <v>6.7913156626308105E-2</v>
      </c>
      <c r="T166" s="14">
        <f t="shared" si="45"/>
        <v>0.1211877150032885</v>
      </c>
      <c r="U166" t="str">
        <f t="shared" si="58"/>
        <v>No Impact</v>
      </c>
      <c r="V166">
        <f t="shared" si="59"/>
        <v>0</v>
      </c>
      <c r="W166">
        <f t="shared" si="46"/>
        <v>0</v>
      </c>
      <c r="X166" t="s">
        <v>1170</v>
      </c>
      <c r="Y166">
        <f t="shared" si="47"/>
        <v>0.13582631325261621</v>
      </c>
      <c r="Z166">
        <f t="shared" si="60"/>
        <v>0.24725889006519464</v>
      </c>
      <c r="AA166" t="str">
        <f t="shared" si="61"/>
        <v>Low</v>
      </c>
      <c r="AB166">
        <f t="shared" si="48"/>
        <v>4.2969975382584492E-2</v>
      </c>
      <c r="AC166">
        <f t="shared" si="62"/>
        <v>0.10502629723493608</v>
      </c>
      <c r="AD166" t="str">
        <f t="shared" si="63"/>
        <v>No Impact</v>
      </c>
      <c r="AE166">
        <f t="shared" si="49"/>
        <v>6.3488040194275459E-3</v>
      </c>
      <c r="AF166">
        <f t="shared" si="64"/>
        <v>3.8332957654780973E-2</v>
      </c>
      <c r="AG166" t="s">
        <v>1170</v>
      </c>
    </row>
    <row r="167" spans="1:33" customFormat="1" x14ac:dyDescent="0.3">
      <c r="A167">
        <v>302628</v>
      </c>
      <c r="B167" t="s">
        <v>209</v>
      </c>
      <c r="C167" t="s">
        <v>705</v>
      </c>
      <c r="D167" t="s">
        <v>717</v>
      </c>
      <c r="E167" s="21">
        <v>5.9</v>
      </c>
      <c r="F167" s="2">
        <f t="shared" si="50"/>
        <v>0.60000000000000009</v>
      </c>
      <c r="G167" s="26">
        <v>51.642000000000003</v>
      </c>
      <c r="H167">
        <f t="shared" si="51"/>
        <v>0.52941198179811855</v>
      </c>
      <c r="I167" s="12">
        <v>106.30000000000001</v>
      </c>
      <c r="J167" s="2">
        <f t="shared" si="52"/>
        <v>0.44701429772918422</v>
      </c>
      <c r="K167" s="10">
        <v>0</v>
      </c>
      <c r="L167" s="2">
        <f t="shared" si="53"/>
        <v>0</v>
      </c>
      <c r="M167">
        <v>4547</v>
      </c>
      <c r="N167">
        <f t="shared" si="54"/>
        <v>2.0382961207080098E-2</v>
      </c>
      <c r="O167" s="10">
        <v>0.74273034199999999</v>
      </c>
      <c r="P167">
        <f t="shared" si="55"/>
        <v>0.72249480221419138</v>
      </c>
      <c r="Q167" s="23">
        <v>0.1132</v>
      </c>
      <c r="R167" s="13">
        <f t="shared" si="56"/>
        <v>0.2451277609354699</v>
      </c>
      <c r="S167">
        <f t="shared" si="57"/>
        <v>9.9205270428904133E-2</v>
      </c>
      <c r="T167" s="14">
        <f t="shared" si="45"/>
        <v>0.17702696556597625</v>
      </c>
      <c r="U167" t="str">
        <f t="shared" si="58"/>
        <v>Low</v>
      </c>
      <c r="V167">
        <f t="shared" si="59"/>
        <v>5.0263329400006586E-2</v>
      </c>
      <c r="W167">
        <f t="shared" si="46"/>
        <v>8.1307624598276312E-2</v>
      </c>
      <c r="X167" t="s">
        <v>1170</v>
      </c>
      <c r="Y167">
        <f t="shared" si="47"/>
        <v>0.14814721145780166</v>
      </c>
      <c r="Z167">
        <f t="shared" si="60"/>
        <v>0.26968791388147439</v>
      </c>
      <c r="AA167" t="str">
        <f t="shared" si="61"/>
        <v>Low</v>
      </c>
      <c r="AB167">
        <f t="shared" si="48"/>
        <v>6.3499159462165417E-2</v>
      </c>
      <c r="AC167">
        <f t="shared" si="62"/>
        <v>0.15520329105296468</v>
      </c>
      <c r="AD167" t="str">
        <f t="shared" si="63"/>
        <v>Low</v>
      </c>
      <c r="AE167">
        <f t="shared" si="49"/>
        <v>4.1795163852074982E-3</v>
      </c>
      <c r="AF167">
        <f t="shared" si="64"/>
        <v>2.5235181952595262E-2</v>
      </c>
      <c r="AG167" t="s">
        <v>1170</v>
      </c>
    </row>
    <row r="168" spans="1:33" customFormat="1" x14ac:dyDescent="0.3">
      <c r="A168">
        <v>302629</v>
      </c>
      <c r="B168" t="s">
        <v>222</v>
      </c>
      <c r="C168" t="s">
        <v>705</v>
      </c>
      <c r="D168" t="s">
        <v>718</v>
      </c>
      <c r="E168" s="21">
        <v>5.8</v>
      </c>
      <c r="F168" s="2">
        <f t="shared" si="50"/>
        <v>0.57777777777777772</v>
      </c>
      <c r="G168" s="26">
        <v>63.919079999999994</v>
      </c>
      <c r="H168">
        <f t="shared" si="51"/>
        <v>0.65527142282468687</v>
      </c>
      <c r="I168" s="12">
        <v>156.6</v>
      </c>
      <c r="J168" s="2">
        <f t="shared" si="52"/>
        <v>0.65853658536585358</v>
      </c>
      <c r="K168" s="10">
        <v>0</v>
      </c>
      <c r="L168" s="2">
        <f t="shared" si="53"/>
        <v>0</v>
      </c>
      <c r="M168">
        <v>7826</v>
      </c>
      <c r="N168">
        <f t="shared" si="54"/>
        <v>3.5897290315254571E-2</v>
      </c>
      <c r="O168" s="10">
        <v>0.64920389700000003</v>
      </c>
      <c r="P168">
        <f t="shared" si="55"/>
        <v>0.61949517542334653</v>
      </c>
      <c r="Q168" s="23">
        <v>0.1537</v>
      </c>
      <c r="R168" s="13">
        <f t="shared" si="56"/>
        <v>0.33282806409701171</v>
      </c>
      <c r="S168">
        <f t="shared" si="57"/>
        <v>0.12650717862285582</v>
      </c>
      <c r="T168" s="14">
        <f t="shared" si="45"/>
        <v>0.22574588887358263</v>
      </c>
      <c r="U168" t="str">
        <f t="shared" si="58"/>
        <v>Low</v>
      </c>
      <c r="V168">
        <f t="shared" si="59"/>
        <v>8.8426151138822157E-2</v>
      </c>
      <c r="W168">
        <f t="shared" si="46"/>
        <v>0.14304106765885774</v>
      </c>
      <c r="X168" t="s">
        <v>1170</v>
      </c>
      <c r="Y168">
        <f t="shared" si="47"/>
        <v>0.16458820610688948</v>
      </c>
      <c r="Z168">
        <f t="shared" si="60"/>
        <v>0.29961718157013384</v>
      </c>
      <c r="AA168" t="str">
        <f t="shared" si="61"/>
        <v>Low</v>
      </c>
      <c r="AB168">
        <f t="shared" si="48"/>
        <v>8.3663646725119986E-2</v>
      </c>
      <c r="AC168">
        <f t="shared" si="62"/>
        <v>0.20448890069116529</v>
      </c>
      <c r="AD168" t="str">
        <f t="shared" si="63"/>
        <v>Low</v>
      </c>
      <c r="AE168">
        <f t="shared" si="49"/>
        <v>9.5372342699011521E-3</v>
      </c>
      <c r="AF168">
        <f t="shared" si="64"/>
        <v>5.7584136522899169E-2</v>
      </c>
      <c r="AG168" t="s">
        <v>1170</v>
      </c>
    </row>
    <row r="169" spans="1:33" customFormat="1" x14ac:dyDescent="0.3">
      <c r="A169">
        <v>302630</v>
      </c>
      <c r="B169" t="s">
        <v>235</v>
      </c>
      <c r="C169" t="s">
        <v>705</v>
      </c>
      <c r="D169" t="s">
        <v>719</v>
      </c>
      <c r="E169" s="21">
        <v>5.8</v>
      </c>
      <c r="F169" s="2">
        <f t="shared" si="50"/>
        <v>0.57777777777777772</v>
      </c>
      <c r="G169" s="26">
        <v>57.268439999999998</v>
      </c>
      <c r="H169">
        <f t="shared" si="51"/>
        <v>0.58709186930960533</v>
      </c>
      <c r="I169" s="12">
        <v>119.8</v>
      </c>
      <c r="J169" s="2">
        <f t="shared" si="52"/>
        <v>0.50378469301934392</v>
      </c>
      <c r="K169" s="10">
        <v>0</v>
      </c>
      <c r="L169" s="2">
        <f t="shared" si="53"/>
        <v>0</v>
      </c>
      <c r="M169">
        <v>6991</v>
      </c>
      <c r="N169">
        <f t="shared" si="54"/>
        <v>3.1946553869592574E-2</v>
      </c>
      <c r="O169" s="10">
        <v>0.79098264299999999</v>
      </c>
      <c r="P169">
        <f t="shared" si="55"/>
        <v>0.77563452109048892</v>
      </c>
      <c r="Q169" s="23">
        <v>0.11</v>
      </c>
      <c r="R169" s="13">
        <f t="shared" si="56"/>
        <v>0.23819835426591598</v>
      </c>
      <c r="S169">
        <f t="shared" si="57"/>
        <v>0.11182550387542563</v>
      </c>
      <c r="T169" s="14">
        <f t="shared" si="45"/>
        <v>0.19954715650051974</v>
      </c>
      <c r="U169" t="str">
        <f t="shared" si="58"/>
        <v>Low</v>
      </c>
      <c r="V169">
        <f t="shared" si="59"/>
        <v>5.2546433708256485E-2</v>
      </c>
      <c r="W169">
        <f t="shared" si="46"/>
        <v>8.500084966374255E-2</v>
      </c>
      <c r="X169" t="s">
        <v>1170</v>
      </c>
      <c r="Y169">
        <f t="shared" si="47"/>
        <v>0.17110457404259477</v>
      </c>
      <c r="Z169">
        <f t="shared" si="60"/>
        <v>0.31147960987621814</v>
      </c>
      <c r="AA169" t="str">
        <f t="shared" si="61"/>
        <v>Moderate</v>
      </c>
      <c r="AB169">
        <f t="shared" si="48"/>
        <v>7.2189211649786061E-2</v>
      </c>
      <c r="AC169">
        <f t="shared" si="62"/>
        <v>0.17644333124191156</v>
      </c>
      <c r="AD169" t="str">
        <f t="shared" si="63"/>
        <v>Low</v>
      </c>
      <c r="AE169">
        <f t="shared" si="49"/>
        <v>7.047393254622474E-3</v>
      </c>
      <c r="AF169">
        <f t="shared" si="64"/>
        <v>4.2550916106304827E-2</v>
      </c>
      <c r="AG169" t="s">
        <v>1170</v>
      </c>
    </row>
    <row r="170" spans="1:33" customFormat="1" x14ac:dyDescent="0.3">
      <c r="A170">
        <v>302632</v>
      </c>
      <c r="B170" t="s">
        <v>234</v>
      </c>
      <c r="C170" t="s">
        <v>705</v>
      </c>
      <c r="D170" t="s">
        <v>720</v>
      </c>
      <c r="E170" s="21">
        <v>5.8</v>
      </c>
      <c r="F170" s="2">
        <f t="shared" si="50"/>
        <v>0.57777777777777772</v>
      </c>
      <c r="G170" s="26">
        <v>63.919079999999994</v>
      </c>
      <c r="H170">
        <f t="shared" si="51"/>
        <v>0.65527142282468687</v>
      </c>
      <c r="I170" s="12">
        <v>156.6</v>
      </c>
      <c r="J170" s="2">
        <f t="shared" si="52"/>
        <v>0.65853658536585358</v>
      </c>
      <c r="K170" s="10">
        <v>0</v>
      </c>
      <c r="L170" s="2">
        <f t="shared" si="53"/>
        <v>0</v>
      </c>
      <c r="M170">
        <v>4323</v>
      </c>
      <c r="N170">
        <f t="shared" si="54"/>
        <v>1.9323122927046223E-2</v>
      </c>
      <c r="O170" s="10">
        <v>0.69893141800000003</v>
      </c>
      <c r="P170">
        <f t="shared" si="55"/>
        <v>0.67425953756962398</v>
      </c>
      <c r="Q170" s="23">
        <v>9.0200000000000002E-2</v>
      </c>
      <c r="R170" s="13">
        <f t="shared" si="56"/>
        <v>0.19532265049805111</v>
      </c>
      <c r="S170">
        <f t="shared" si="57"/>
        <v>0.11551580873794212</v>
      </c>
      <c r="T170" s="14">
        <f t="shared" si="45"/>
        <v>0.20613232550414481</v>
      </c>
      <c r="U170" t="str">
        <f t="shared" si="58"/>
        <v>Low</v>
      </c>
      <c r="V170">
        <f t="shared" si="59"/>
        <v>5.1893551286413521E-2</v>
      </c>
      <c r="W170">
        <f t="shared" si="46"/>
        <v>8.3944725457572977E-2</v>
      </c>
      <c r="X170" t="s">
        <v>1170</v>
      </c>
      <c r="Y170">
        <f t="shared" si="47"/>
        <v>0.17913806618947076</v>
      </c>
      <c r="Z170">
        <f t="shared" si="60"/>
        <v>0.32610381857346599</v>
      </c>
      <c r="AA170" t="str">
        <f t="shared" si="61"/>
        <v>Moderate</v>
      </c>
      <c r="AB170">
        <f t="shared" si="48"/>
        <v>7.3700989308390377E-2</v>
      </c>
      <c r="AC170">
        <f t="shared" si="62"/>
        <v>0.1801383859472504</v>
      </c>
      <c r="AD170" t="str">
        <f t="shared" si="63"/>
        <v>Low</v>
      </c>
      <c r="AE170">
        <f t="shared" si="49"/>
        <v>5.1337900037269424E-3</v>
      </c>
      <c r="AF170">
        <f t="shared" si="64"/>
        <v>3.0996917564191415E-2</v>
      </c>
      <c r="AG170" t="s">
        <v>1170</v>
      </c>
    </row>
    <row r="171" spans="1:33" customFormat="1" x14ac:dyDescent="0.3">
      <c r="A171">
        <v>302633</v>
      </c>
      <c r="B171" t="s">
        <v>239</v>
      </c>
      <c r="C171" t="s">
        <v>705</v>
      </c>
      <c r="D171" t="s">
        <v>721</v>
      </c>
      <c r="E171" s="21">
        <v>5.7</v>
      </c>
      <c r="F171" s="2">
        <f t="shared" si="50"/>
        <v>0.55555555555555558</v>
      </c>
      <c r="G171" s="26">
        <v>63.919079999999994</v>
      </c>
      <c r="H171">
        <f t="shared" si="51"/>
        <v>0.65527142282468687</v>
      </c>
      <c r="I171" s="12">
        <v>156.6</v>
      </c>
      <c r="J171" s="2">
        <f t="shared" si="52"/>
        <v>0.65853658536585358</v>
      </c>
      <c r="K171" s="10">
        <v>0</v>
      </c>
      <c r="L171" s="2">
        <f t="shared" si="53"/>
        <v>0</v>
      </c>
      <c r="M171">
        <v>731</v>
      </c>
      <c r="N171">
        <f t="shared" si="54"/>
        <v>2.3278590793601225E-3</v>
      </c>
      <c r="O171" s="10">
        <v>0.62907357699999999</v>
      </c>
      <c r="P171">
        <f t="shared" si="55"/>
        <v>0.59732587937900017</v>
      </c>
      <c r="Q171" s="23">
        <v>0</v>
      </c>
      <c r="R171" s="13">
        <f t="shared" si="56"/>
        <v>0</v>
      </c>
      <c r="S171">
        <f t="shared" si="57"/>
        <v>7.6297231483237637E-2</v>
      </c>
      <c r="T171" s="14">
        <f t="shared" si="45"/>
        <v>0.1361486875865334</v>
      </c>
      <c r="U171" t="str">
        <f t="shared" si="58"/>
        <v>No Impact</v>
      </c>
      <c r="V171">
        <f t="shared" si="59"/>
        <v>0</v>
      </c>
      <c r="W171">
        <f t="shared" si="46"/>
        <v>0</v>
      </c>
      <c r="X171" t="s">
        <v>1170</v>
      </c>
      <c r="Y171">
        <f t="shared" si="47"/>
        <v>0.15259446296647527</v>
      </c>
      <c r="Z171">
        <f t="shared" si="60"/>
        <v>0.27778371244614775</v>
      </c>
      <c r="AA171" t="str">
        <f t="shared" si="61"/>
        <v>Low</v>
      </c>
      <c r="AB171">
        <f t="shared" si="48"/>
        <v>4.5986477272053301E-2</v>
      </c>
      <c r="AC171">
        <f t="shared" si="62"/>
        <v>0.11239916680798917</v>
      </c>
      <c r="AD171" t="str">
        <f t="shared" si="63"/>
        <v>No Impact</v>
      </c>
      <c r="AE171">
        <f t="shared" si="49"/>
        <v>5.9468109174490877E-4</v>
      </c>
      <c r="AF171">
        <f t="shared" si="64"/>
        <v>3.5905794285349432E-3</v>
      </c>
      <c r="AG171" t="s">
        <v>1170</v>
      </c>
    </row>
    <row r="172" spans="1:33" customFormat="1" x14ac:dyDescent="0.3">
      <c r="A172">
        <v>302634</v>
      </c>
      <c r="B172" t="s">
        <v>255</v>
      </c>
      <c r="C172" t="s">
        <v>705</v>
      </c>
      <c r="D172" t="s">
        <v>722</v>
      </c>
      <c r="E172" s="21">
        <v>3.7</v>
      </c>
      <c r="F172" s="2">
        <f t="shared" si="50"/>
        <v>0.1111111111111111</v>
      </c>
      <c r="G172" s="26">
        <v>63.919079999999994</v>
      </c>
      <c r="H172">
        <f t="shared" si="51"/>
        <v>0.65527142282468687</v>
      </c>
      <c r="I172" s="12">
        <v>156.6</v>
      </c>
      <c r="J172" s="2">
        <f t="shared" si="52"/>
        <v>0.65853658536585358</v>
      </c>
      <c r="K172" s="10">
        <v>0</v>
      </c>
      <c r="L172" s="2">
        <f t="shared" si="53"/>
        <v>0</v>
      </c>
      <c r="M172">
        <v>2173</v>
      </c>
      <c r="N172">
        <f t="shared" si="54"/>
        <v>9.1505680070782056E-3</v>
      </c>
      <c r="O172" s="10">
        <v>0.54825125100000005</v>
      </c>
      <c r="P172">
        <f t="shared" si="55"/>
        <v>0.50831715661221488</v>
      </c>
      <c r="Q172" s="23">
        <v>8.2500000000000004E-2</v>
      </c>
      <c r="R172" s="13">
        <f t="shared" si="56"/>
        <v>0.178648765699437</v>
      </c>
      <c r="S172">
        <f t="shared" si="57"/>
        <v>1.7549414751692617E-2</v>
      </c>
      <c r="T172" s="14">
        <f t="shared" si="45"/>
        <v>3.1316074514179851E-2</v>
      </c>
      <c r="U172" t="str">
        <f t="shared" si="58"/>
        <v>No Impact</v>
      </c>
      <c r="V172">
        <f t="shared" si="59"/>
        <v>9.1276180733607278E-3</v>
      </c>
      <c r="W172">
        <f t="shared" si="46"/>
        <v>1.4765136982453035E-2</v>
      </c>
      <c r="X172" t="s">
        <v>1170</v>
      </c>
      <c r="Y172">
        <f t="shared" si="47"/>
        <v>2.5971211430024507E-2</v>
      </c>
      <c r="Z172">
        <f t="shared" si="60"/>
        <v>4.7278121286360296E-2</v>
      </c>
      <c r="AA172" t="str">
        <f t="shared" si="61"/>
        <v>No Impact</v>
      </c>
      <c r="AB172">
        <f t="shared" si="48"/>
        <v>1.1149663751025935E-2</v>
      </c>
      <c r="AC172">
        <f t="shared" si="62"/>
        <v>2.7251770306097163E-2</v>
      </c>
      <c r="AD172" t="str">
        <f t="shared" si="63"/>
        <v>No Impact</v>
      </c>
      <c r="AE172">
        <f t="shared" si="49"/>
        <v>4.6752570383522501E-4</v>
      </c>
      <c r="AF172">
        <f t="shared" si="64"/>
        <v>2.8228376482872276E-3</v>
      </c>
      <c r="AG172" t="s">
        <v>1170</v>
      </c>
    </row>
    <row r="173" spans="1:33" customFormat="1" x14ac:dyDescent="0.3">
      <c r="A173">
        <v>302636</v>
      </c>
      <c r="B173" t="s">
        <v>277</v>
      </c>
      <c r="C173" t="s">
        <v>705</v>
      </c>
      <c r="D173" t="s">
        <v>723</v>
      </c>
      <c r="E173" s="21">
        <v>5.9</v>
      </c>
      <c r="F173" s="2">
        <f t="shared" si="50"/>
        <v>0.60000000000000009</v>
      </c>
      <c r="G173" s="26">
        <v>63.919079999999994</v>
      </c>
      <c r="H173">
        <f t="shared" si="51"/>
        <v>0.65527142282468687</v>
      </c>
      <c r="I173" s="12">
        <v>156.6</v>
      </c>
      <c r="J173" s="2">
        <f t="shared" si="52"/>
        <v>0.65853658536585358</v>
      </c>
      <c r="K173" s="10">
        <v>0</v>
      </c>
      <c r="L173" s="2">
        <f t="shared" si="53"/>
        <v>0</v>
      </c>
      <c r="M173">
        <v>13317</v>
      </c>
      <c r="N173">
        <f t="shared" si="54"/>
        <v>6.1877522438763585E-2</v>
      </c>
      <c r="O173" s="10">
        <v>0.67128717500000001</v>
      </c>
      <c r="P173">
        <f t="shared" si="55"/>
        <v>0.64381524224849396</v>
      </c>
      <c r="Q173" s="23">
        <v>0.16489999999999999</v>
      </c>
      <c r="R173" s="13">
        <f t="shared" si="56"/>
        <v>0.35708098744045041</v>
      </c>
      <c r="S173">
        <f t="shared" si="57"/>
        <v>0.13807347560297065</v>
      </c>
      <c r="T173" s="14">
        <f t="shared" si="45"/>
        <v>0.24638538159783285</v>
      </c>
      <c r="U173" t="str">
        <f t="shared" si="58"/>
        <v>Low</v>
      </c>
      <c r="V173">
        <f t="shared" si="59"/>
        <v>9.851853078308842E-2</v>
      </c>
      <c r="W173">
        <f t="shared" si="46"/>
        <v>0.15936683487751674</v>
      </c>
      <c r="X173" t="s">
        <v>1170</v>
      </c>
      <c r="Y173">
        <f t="shared" si="47"/>
        <v>0.17762842042285287</v>
      </c>
      <c r="Z173">
        <f t="shared" si="60"/>
        <v>0.32335565197962396</v>
      </c>
      <c r="AA173" t="str">
        <f t="shared" si="61"/>
        <v>Moderate</v>
      </c>
      <c r="AB173">
        <f t="shared" si="48"/>
        <v>9.374520796220405E-2</v>
      </c>
      <c r="AC173">
        <f t="shared" si="62"/>
        <v>0.2291300376164459</v>
      </c>
      <c r="AD173" t="str">
        <f t="shared" si="63"/>
        <v>Low</v>
      </c>
      <c r="AE173">
        <f t="shared" si="49"/>
        <v>1.7071988746477869E-2</v>
      </c>
      <c r="AF173">
        <f t="shared" si="64"/>
        <v>0.10307765363351706</v>
      </c>
      <c r="AG173" t="s">
        <v>1170</v>
      </c>
    </row>
    <row r="174" spans="1:33" customFormat="1" x14ac:dyDescent="0.3">
      <c r="A174">
        <v>302637</v>
      </c>
      <c r="B174" t="s">
        <v>278</v>
      </c>
      <c r="C174" t="s">
        <v>705</v>
      </c>
      <c r="D174" t="s">
        <v>724</v>
      </c>
      <c r="E174" s="21">
        <v>5.8</v>
      </c>
      <c r="F174" s="2">
        <f t="shared" si="50"/>
        <v>0.57777777777777772</v>
      </c>
      <c r="G174" s="26">
        <v>57.268439999999998</v>
      </c>
      <c r="H174">
        <f t="shared" si="51"/>
        <v>0.58709186930960533</v>
      </c>
      <c r="I174" s="12">
        <v>119.8</v>
      </c>
      <c r="J174" s="2">
        <f t="shared" si="52"/>
        <v>0.50378469301934392</v>
      </c>
      <c r="K174" s="10">
        <v>0</v>
      </c>
      <c r="L174" s="2">
        <f t="shared" si="53"/>
        <v>0</v>
      </c>
      <c r="M174">
        <v>9630</v>
      </c>
      <c r="N174">
        <f t="shared" si="54"/>
        <v>4.4432773606241691E-2</v>
      </c>
      <c r="O174" s="10">
        <v>0.630962676</v>
      </c>
      <c r="P174">
        <f t="shared" si="55"/>
        <v>0.59940632295804308</v>
      </c>
      <c r="Q174" s="23">
        <v>0.1953</v>
      </c>
      <c r="R174" s="13">
        <f t="shared" si="56"/>
        <v>0.42291035080121264</v>
      </c>
      <c r="S174">
        <f t="shared" si="57"/>
        <v>0.11276126464451965</v>
      </c>
      <c r="T174" s="14">
        <f t="shared" si="45"/>
        <v>0.20121697594390422</v>
      </c>
      <c r="U174" t="str">
        <f t="shared" si="58"/>
        <v>Low</v>
      </c>
      <c r="V174">
        <f t="shared" si="59"/>
        <v>9.3293804574749922E-2</v>
      </c>
      <c r="W174">
        <f t="shared" si="46"/>
        <v>0.15091514490299018</v>
      </c>
      <c r="X174" t="s">
        <v>1170</v>
      </c>
      <c r="Y174">
        <f t="shared" si="47"/>
        <v>0.1322287247142894</v>
      </c>
      <c r="Z174">
        <f t="shared" si="60"/>
        <v>0.2407098221593055</v>
      </c>
      <c r="AA174" t="str">
        <f t="shared" si="61"/>
        <v>Low</v>
      </c>
      <c r="AB174">
        <f t="shared" si="48"/>
        <v>7.5752095419323096E-2</v>
      </c>
      <c r="AC174">
        <f t="shared" si="62"/>
        <v>0.18515165575132206</v>
      </c>
      <c r="AD174" t="str">
        <f t="shared" si="63"/>
        <v>Low</v>
      </c>
      <c r="AE174">
        <f t="shared" si="49"/>
        <v>9.8018468682108516E-3</v>
      </c>
      <c r="AF174">
        <f t="shared" si="64"/>
        <v>5.9181820668588375E-2</v>
      </c>
      <c r="AG174" t="s">
        <v>1170</v>
      </c>
    </row>
    <row r="175" spans="1:33" customFormat="1" x14ac:dyDescent="0.3">
      <c r="A175">
        <v>302638</v>
      </c>
      <c r="B175" t="s">
        <v>269</v>
      </c>
      <c r="C175" t="s">
        <v>705</v>
      </c>
      <c r="D175" t="s">
        <v>725</v>
      </c>
      <c r="E175" s="21">
        <v>5.6</v>
      </c>
      <c r="F175" s="2">
        <f t="shared" si="50"/>
        <v>0.53333333333333321</v>
      </c>
      <c r="G175" s="26">
        <v>65.888639999999995</v>
      </c>
      <c r="H175">
        <f t="shared" si="51"/>
        <v>0.67546252043652033</v>
      </c>
      <c r="I175" s="12">
        <v>156.6</v>
      </c>
      <c r="J175" s="2">
        <f t="shared" si="52"/>
        <v>0.65853658536585358</v>
      </c>
      <c r="K175" s="10">
        <v>0</v>
      </c>
      <c r="L175" s="2">
        <f t="shared" si="53"/>
        <v>0</v>
      </c>
      <c r="M175">
        <v>88374</v>
      </c>
      <c r="N175">
        <f t="shared" si="54"/>
        <v>0.41700378040529351</v>
      </c>
      <c r="O175" s="10">
        <v>0.70952502799999995</v>
      </c>
      <c r="P175">
        <f t="shared" si="55"/>
        <v>0.68592616166046538</v>
      </c>
      <c r="Q175" s="23">
        <v>0.2223</v>
      </c>
      <c r="R175" s="13">
        <f t="shared" si="56"/>
        <v>0.48137721957557383</v>
      </c>
      <c r="S175">
        <f t="shared" si="57"/>
        <v>0.14533695556510326</v>
      </c>
      <c r="T175" s="14">
        <f t="shared" si="45"/>
        <v>0.25934670725710923</v>
      </c>
      <c r="U175" t="str">
        <f t="shared" si="58"/>
        <v>Low</v>
      </c>
      <c r="V175">
        <f t="shared" si="59"/>
        <v>0.11986926568725702</v>
      </c>
      <c r="W175">
        <f t="shared" si="46"/>
        <v>0.19390449004695778</v>
      </c>
      <c r="X175" t="s">
        <v>1170</v>
      </c>
      <c r="Y175">
        <f t="shared" si="47"/>
        <v>0.17080464544294949</v>
      </c>
      <c r="Z175">
        <f t="shared" si="60"/>
        <v>0.31093361837522548</v>
      </c>
      <c r="AA175" t="str">
        <f t="shared" si="61"/>
        <v>Moderate</v>
      </c>
      <c r="AB175">
        <f t="shared" si="48"/>
        <v>0.12953943774164703</v>
      </c>
      <c r="AC175">
        <f t="shared" si="62"/>
        <v>0.31661753051445246</v>
      </c>
      <c r="AD175" t="str">
        <f t="shared" si="63"/>
        <v>Moderate</v>
      </c>
      <c r="AE175">
        <f t="shared" si="49"/>
        <v>0.10383943176634923</v>
      </c>
      <c r="AF175">
        <f t="shared" si="64"/>
        <v>0.62696415397539573</v>
      </c>
      <c r="AG175" t="str">
        <f t="shared" si="66"/>
        <v>Moderate</v>
      </c>
    </row>
    <row r="176" spans="1:33" customFormat="1" x14ac:dyDescent="0.3">
      <c r="A176">
        <v>302640</v>
      </c>
      <c r="B176" t="s">
        <v>287</v>
      </c>
      <c r="C176" t="s">
        <v>705</v>
      </c>
      <c r="D176" t="s">
        <v>1129</v>
      </c>
      <c r="E176" s="21">
        <v>5.7</v>
      </c>
      <c r="F176" s="2">
        <f t="shared" si="50"/>
        <v>0.55555555555555558</v>
      </c>
      <c r="G176" s="26">
        <v>63.919079999999994</v>
      </c>
      <c r="H176">
        <f t="shared" si="51"/>
        <v>0.65527142282468687</v>
      </c>
      <c r="I176" s="12">
        <v>156.6</v>
      </c>
      <c r="J176" s="2">
        <f t="shared" si="52"/>
        <v>0.65853658536585358</v>
      </c>
      <c r="K176" s="10">
        <v>0</v>
      </c>
      <c r="L176" s="2">
        <f t="shared" si="53"/>
        <v>0</v>
      </c>
      <c r="M176">
        <v>383</v>
      </c>
      <c r="N176">
        <f t="shared" si="54"/>
        <v>6.8132460859320662E-4</v>
      </c>
      <c r="O176" s="10">
        <v>0.43857410099999999</v>
      </c>
      <c r="P176">
        <f t="shared" si="55"/>
        <v>0.38753093922221882</v>
      </c>
      <c r="Q176" s="23">
        <v>0.1</v>
      </c>
      <c r="R176" s="13">
        <f t="shared" si="56"/>
        <v>0.21654395842356</v>
      </c>
      <c r="S176">
        <f t="shared" si="57"/>
        <v>7.7159292590518569E-2</v>
      </c>
      <c r="T176" s="14">
        <f t="shared" si="45"/>
        <v>0.13768699357869091</v>
      </c>
      <c r="U176" t="str">
        <f t="shared" si="58"/>
        <v>No Impact</v>
      </c>
      <c r="V176">
        <f t="shared" si="59"/>
        <v>5.5318897414307448E-2</v>
      </c>
      <c r="W176">
        <f t="shared" si="46"/>
        <v>8.9485678681533565E-2</v>
      </c>
      <c r="X176" t="s">
        <v>1170</v>
      </c>
      <c r="Y176">
        <f t="shared" si="47"/>
        <v>9.8999687766729683E-2</v>
      </c>
      <c r="Z176">
        <f t="shared" si="60"/>
        <v>0.18021951953062318</v>
      </c>
      <c r="AA176" t="str">
        <f t="shared" si="61"/>
        <v>Low</v>
      </c>
      <c r="AB176">
        <f t="shared" si="48"/>
        <v>4.912243897588818E-2</v>
      </c>
      <c r="AC176">
        <f t="shared" si="62"/>
        <v>0.12006401751111119</v>
      </c>
      <c r="AD176" t="str">
        <f t="shared" si="63"/>
        <v>No Impact</v>
      </c>
      <c r="AE176">
        <f t="shared" si="49"/>
        <v>1.7405300246192451E-4</v>
      </c>
      <c r="AF176">
        <f t="shared" si="64"/>
        <v>1.0509012961565686E-3</v>
      </c>
      <c r="AG176" t="s">
        <v>1170</v>
      </c>
    </row>
    <row r="177" spans="1:33" customFormat="1" x14ac:dyDescent="0.3">
      <c r="A177">
        <v>302642</v>
      </c>
      <c r="B177" t="s">
        <v>300</v>
      </c>
      <c r="C177" t="s">
        <v>705</v>
      </c>
      <c r="D177" t="s">
        <v>726</v>
      </c>
      <c r="E177" s="21">
        <v>5.8</v>
      </c>
      <c r="F177" s="2">
        <f t="shared" si="50"/>
        <v>0.57777777777777772</v>
      </c>
      <c r="G177" s="26">
        <v>63.919079999999994</v>
      </c>
      <c r="H177">
        <f t="shared" si="51"/>
        <v>0.65527142282468687</v>
      </c>
      <c r="I177" s="12">
        <v>156.6</v>
      </c>
      <c r="J177" s="2">
        <f t="shared" si="52"/>
        <v>0.65853658536585358</v>
      </c>
      <c r="K177" s="10">
        <v>0</v>
      </c>
      <c r="L177" s="2">
        <f t="shared" si="53"/>
        <v>0</v>
      </c>
      <c r="M177">
        <v>3930</v>
      </c>
      <c r="N177">
        <f t="shared" si="54"/>
        <v>1.7463674516093926E-2</v>
      </c>
      <c r="O177" s="10">
        <v>0.71664690200000003</v>
      </c>
      <c r="P177">
        <f t="shared" si="55"/>
        <v>0.69376940176278545</v>
      </c>
      <c r="Q177" s="23">
        <v>0.1</v>
      </c>
      <c r="R177" s="13">
        <f t="shared" si="56"/>
        <v>0.21654395842356</v>
      </c>
      <c r="S177">
        <f t="shared" si="57"/>
        <v>0.120926561571539</v>
      </c>
      <c r="T177" s="14">
        <f t="shared" si="45"/>
        <v>0.21578754998383221</v>
      </c>
      <c r="U177" t="str">
        <f t="shared" si="58"/>
        <v>Low</v>
      </c>
      <c r="V177">
        <f t="shared" si="59"/>
        <v>5.7531653310879741E-2</v>
      </c>
      <c r="W177">
        <f t="shared" si="46"/>
        <v>9.3065105828794889E-2</v>
      </c>
      <c r="X177" t="s">
        <v>1170</v>
      </c>
      <c r="Y177">
        <f t="shared" si="47"/>
        <v>0.18432146983219827</v>
      </c>
      <c r="Z177">
        <f t="shared" si="60"/>
        <v>0.33553971211109762</v>
      </c>
      <c r="AA177" t="str">
        <f t="shared" si="61"/>
        <v>Moderate</v>
      </c>
      <c r="AB177">
        <f t="shared" si="48"/>
        <v>7.7056438956242757E-2</v>
      </c>
      <c r="AC177">
        <f t="shared" si="62"/>
        <v>0.18833970440122921</v>
      </c>
      <c r="AD177" t="str">
        <f t="shared" si="63"/>
        <v>Low</v>
      </c>
      <c r="AE177">
        <f t="shared" si="49"/>
        <v>4.6397695650725124E-3</v>
      </c>
      <c r="AF177">
        <f t="shared" si="64"/>
        <v>2.8014109385267015E-2</v>
      </c>
      <c r="AG177" t="s">
        <v>1170</v>
      </c>
    </row>
    <row r="178" spans="1:33" customFormat="1" x14ac:dyDescent="0.3">
      <c r="A178">
        <v>302648</v>
      </c>
      <c r="B178" t="s">
        <v>337</v>
      </c>
      <c r="C178" t="s">
        <v>705</v>
      </c>
      <c r="D178" t="s">
        <v>1136</v>
      </c>
      <c r="E178" s="21">
        <v>5.7</v>
      </c>
      <c r="F178" s="2">
        <f t="shared" si="50"/>
        <v>0.55555555555555558</v>
      </c>
      <c r="G178" s="26">
        <v>46.770479999999999</v>
      </c>
      <c r="H178">
        <f t="shared" si="51"/>
        <v>0.47947121541476445</v>
      </c>
      <c r="I178" s="12">
        <v>68.099999999999994</v>
      </c>
      <c r="J178" s="2">
        <f t="shared" si="52"/>
        <v>0.28637510513036163</v>
      </c>
      <c r="K178" s="10">
        <v>0</v>
      </c>
      <c r="L178" s="2">
        <f t="shared" si="53"/>
        <v>0</v>
      </c>
      <c r="M178">
        <v>5661</v>
      </c>
      <c r="N178">
        <f t="shared" si="54"/>
        <v>2.5653764081891434E-2</v>
      </c>
      <c r="O178" s="10">
        <v>0.71504660099999995</v>
      </c>
      <c r="P178">
        <f t="shared" si="55"/>
        <v>0.69200700818786631</v>
      </c>
      <c r="Q178" s="23">
        <v>0.30959999999999999</v>
      </c>
      <c r="R178" s="13">
        <f t="shared" si="56"/>
        <v>0.67042009527934165</v>
      </c>
      <c r="S178">
        <f t="shared" si="57"/>
        <v>0.10144261790846118</v>
      </c>
      <c r="T178" s="14">
        <f t="shared" si="45"/>
        <v>0.18101940299909142</v>
      </c>
      <c r="U178" t="str">
        <f t="shared" si="58"/>
        <v>Low</v>
      </c>
      <c r="V178">
        <f t="shared" si="59"/>
        <v>9.9835315064566013E-2</v>
      </c>
      <c r="W178">
        <f t="shared" si="46"/>
        <v>0.16149690869700545</v>
      </c>
      <c r="X178" t="s">
        <v>1170</v>
      </c>
      <c r="Y178">
        <f t="shared" si="47"/>
        <v>0.10304992075235635</v>
      </c>
      <c r="Z178">
        <f t="shared" si="60"/>
        <v>0.18759258361923561</v>
      </c>
      <c r="AA178" t="str">
        <f t="shared" si="61"/>
        <v>Low</v>
      </c>
      <c r="AB178">
        <f t="shared" si="48"/>
        <v>6.719441316591919E-2</v>
      </c>
      <c r="AC178">
        <f t="shared" si="62"/>
        <v>0.16423515133199657</v>
      </c>
      <c r="AD178" t="str">
        <f t="shared" si="63"/>
        <v>Low</v>
      </c>
      <c r="AE178">
        <f t="shared" si="49"/>
        <v>3.8202190503262468E-3</v>
      </c>
      <c r="AF178">
        <f t="shared" si="64"/>
        <v>2.3065808086063386E-2</v>
      </c>
      <c r="AG178" t="s">
        <v>1170</v>
      </c>
    </row>
    <row r="179" spans="1:33" customFormat="1" x14ac:dyDescent="0.3">
      <c r="A179">
        <v>302650</v>
      </c>
      <c r="B179" t="s">
        <v>344</v>
      </c>
      <c r="C179" t="s">
        <v>705</v>
      </c>
      <c r="D179" t="s">
        <v>1137</v>
      </c>
      <c r="E179" s="21">
        <v>5.8</v>
      </c>
      <c r="F179" s="2">
        <f t="shared" si="50"/>
        <v>0.57777777777777772</v>
      </c>
      <c r="G179" s="26">
        <v>57.268439999999998</v>
      </c>
      <c r="H179">
        <f t="shared" si="51"/>
        <v>0.58709186930960533</v>
      </c>
      <c r="I179" s="12">
        <v>119.8</v>
      </c>
      <c r="J179" s="2">
        <f t="shared" si="52"/>
        <v>0.50378469301934392</v>
      </c>
      <c r="K179" s="10">
        <v>0</v>
      </c>
      <c r="L179" s="2">
        <f t="shared" si="53"/>
        <v>0</v>
      </c>
      <c r="M179">
        <v>4452</v>
      </c>
      <c r="N179">
        <f t="shared" si="54"/>
        <v>1.9933476222244301E-2</v>
      </c>
      <c r="O179" s="10">
        <v>0.75734058299999996</v>
      </c>
      <c r="P179">
        <f t="shared" si="55"/>
        <v>0.73858489705661046</v>
      </c>
      <c r="Q179" s="23">
        <v>0.28249999999999997</v>
      </c>
      <c r="R179" s="13">
        <f t="shared" si="56"/>
        <v>0.61173668254655689</v>
      </c>
      <c r="S179">
        <f t="shared" si="57"/>
        <v>0.14894012090493894</v>
      </c>
      <c r="T179" s="14">
        <f t="shared" si="45"/>
        <v>0.26577638003342341</v>
      </c>
      <c r="U179" t="str">
        <f t="shared" si="58"/>
        <v>Low</v>
      </c>
      <c r="V179">
        <f t="shared" si="59"/>
        <v>0.1349487956598405</v>
      </c>
      <c r="W179">
        <f t="shared" si="46"/>
        <v>0.21829763663642968</v>
      </c>
      <c r="X179" t="s">
        <v>1170</v>
      </c>
      <c r="Y179">
        <f t="shared" si="47"/>
        <v>0.16293144615003741</v>
      </c>
      <c r="Z179">
        <f t="shared" si="60"/>
        <v>0.29660120757933706</v>
      </c>
      <c r="AA179" t="str">
        <f t="shared" si="61"/>
        <v>Low</v>
      </c>
      <c r="AB179">
        <f t="shared" si="48"/>
        <v>9.7650572415351647E-2</v>
      </c>
      <c r="AC179">
        <f t="shared" si="62"/>
        <v>0.23867544610726088</v>
      </c>
      <c r="AD179" t="str">
        <f t="shared" si="63"/>
        <v>Low</v>
      </c>
      <c r="AE179">
        <f t="shared" si="49"/>
        <v>4.397314541132181E-3</v>
      </c>
      <c r="AF179">
        <f t="shared" si="64"/>
        <v>2.6550208761235521E-2</v>
      </c>
      <c r="AG179" t="s">
        <v>1170</v>
      </c>
    </row>
    <row r="180" spans="1:33" customFormat="1" x14ac:dyDescent="0.3">
      <c r="A180">
        <v>302654</v>
      </c>
      <c r="B180" t="s">
        <v>351</v>
      </c>
      <c r="C180" t="s">
        <v>705</v>
      </c>
      <c r="D180" t="s">
        <v>727</v>
      </c>
      <c r="E180" s="21">
        <v>5.8</v>
      </c>
      <c r="F180" s="2">
        <f t="shared" si="50"/>
        <v>0.57777777777777772</v>
      </c>
      <c r="G180" s="26">
        <v>63.919079999999994</v>
      </c>
      <c r="H180">
        <f t="shared" si="51"/>
        <v>0.65527142282468687</v>
      </c>
      <c r="I180" s="12">
        <v>156.6</v>
      </c>
      <c r="J180" s="2">
        <f t="shared" si="52"/>
        <v>0.65853658536585358</v>
      </c>
      <c r="K180" s="10">
        <v>0</v>
      </c>
      <c r="L180" s="2">
        <f t="shared" si="53"/>
        <v>0</v>
      </c>
      <c r="M180">
        <v>2689</v>
      </c>
      <c r="N180">
        <f t="shared" si="54"/>
        <v>1.1591981187870529E-2</v>
      </c>
      <c r="O180" s="10">
        <v>0.780226368</v>
      </c>
      <c r="P180">
        <f t="shared" si="55"/>
        <v>0.76378875585628492</v>
      </c>
      <c r="Q180" s="23">
        <v>0</v>
      </c>
      <c r="R180" s="13">
        <f t="shared" si="56"/>
        <v>0</v>
      </c>
      <c r="S180">
        <f t="shared" si="57"/>
        <v>0.10146214704988753</v>
      </c>
      <c r="T180" s="14">
        <f t="shared" si="45"/>
        <v>0.18105425179927984</v>
      </c>
      <c r="U180" t="str">
        <f t="shared" si="58"/>
        <v>Low</v>
      </c>
      <c r="V180">
        <f t="shared" si="59"/>
        <v>0</v>
      </c>
      <c r="W180">
        <f t="shared" si="46"/>
        <v>0</v>
      </c>
      <c r="X180" t="s">
        <v>1170</v>
      </c>
      <c r="Y180">
        <f t="shared" si="47"/>
        <v>0.20292429409977505</v>
      </c>
      <c r="Z180">
        <f t="shared" si="60"/>
        <v>0.36940438509183393</v>
      </c>
      <c r="AA180" t="str">
        <f t="shared" si="61"/>
        <v>Moderate</v>
      </c>
      <c r="AB180">
        <f t="shared" si="48"/>
        <v>6.1955208143790456E-2</v>
      </c>
      <c r="AC180">
        <f t="shared" si="62"/>
        <v>0.15142959817471274</v>
      </c>
      <c r="AD180" t="str">
        <f t="shared" si="63"/>
        <v>Low</v>
      </c>
      <c r="AE180">
        <f t="shared" si="49"/>
        <v>3.0797711824512753E-3</v>
      </c>
      <c r="AF180">
        <f t="shared" si="64"/>
        <v>1.8595114601437063E-2</v>
      </c>
      <c r="AG180" t="s">
        <v>1170</v>
      </c>
    </row>
    <row r="181" spans="1:33" customFormat="1" x14ac:dyDescent="0.3">
      <c r="A181">
        <v>302662</v>
      </c>
      <c r="B181" t="s">
        <v>380</v>
      </c>
      <c r="C181" t="s">
        <v>705</v>
      </c>
      <c r="D181" t="s">
        <v>728</v>
      </c>
      <c r="E181" s="21">
        <v>5.6</v>
      </c>
      <c r="F181" s="2">
        <f t="shared" si="50"/>
        <v>0.53333333333333321</v>
      </c>
      <c r="G181" s="26">
        <v>51.642000000000003</v>
      </c>
      <c r="H181">
        <f t="shared" si="51"/>
        <v>0.52941198179811855</v>
      </c>
      <c r="I181" s="12">
        <v>106.30000000000001</v>
      </c>
      <c r="J181" s="2">
        <f t="shared" si="52"/>
        <v>0.44701429772918422</v>
      </c>
      <c r="K181" s="10">
        <v>0</v>
      </c>
      <c r="L181" s="2">
        <f t="shared" si="53"/>
        <v>0</v>
      </c>
      <c r="M181">
        <v>31650</v>
      </c>
      <c r="N181">
        <f t="shared" si="54"/>
        <v>0.1486186616702862</v>
      </c>
      <c r="O181" s="10">
        <v>0.79457865299999997</v>
      </c>
      <c r="P181">
        <f t="shared" si="55"/>
        <v>0.7795947666438845</v>
      </c>
      <c r="Q181" s="23">
        <v>0.31040000000000001</v>
      </c>
      <c r="R181" s="13">
        <f t="shared" si="56"/>
        <v>0.67215244694673026</v>
      </c>
      <c r="S181">
        <f t="shared" si="57"/>
        <v>0.1323022521875051</v>
      </c>
      <c r="T181" s="14">
        <f t="shared" si="45"/>
        <v>0.23608691494957798</v>
      </c>
      <c r="U181" t="str">
        <f t="shared" si="58"/>
        <v>Low</v>
      </c>
      <c r="V181">
        <f t="shared" si="59"/>
        <v>0.12251069843550876</v>
      </c>
      <c r="W181">
        <f t="shared" si="46"/>
        <v>0.19817735905225725</v>
      </c>
      <c r="X181" t="s">
        <v>1170</v>
      </c>
      <c r="Y181">
        <f t="shared" si="47"/>
        <v>0.14209380593950149</v>
      </c>
      <c r="Z181">
        <f t="shared" si="60"/>
        <v>0.25866826464174514</v>
      </c>
      <c r="AA181" t="str">
        <f t="shared" si="61"/>
        <v>Low</v>
      </c>
      <c r="AB181">
        <f t="shared" si="48"/>
        <v>9.4987743803970737E-2</v>
      </c>
      <c r="AC181">
        <f t="shared" si="62"/>
        <v>0.23216701721628388</v>
      </c>
      <c r="AD181" t="str">
        <f t="shared" si="63"/>
        <v>Low</v>
      </c>
      <c r="AE181">
        <f t="shared" si="49"/>
        <v>2.7088164484834969E-2</v>
      </c>
      <c r="AF181">
        <f t="shared" si="64"/>
        <v>0.16355355417579068</v>
      </c>
      <c r="AG181" t="s">
        <v>1170</v>
      </c>
    </row>
    <row r="182" spans="1:33" customFormat="1" x14ac:dyDescent="0.3">
      <c r="A182">
        <v>302663</v>
      </c>
      <c r="B182" t="s">
        <v>386</v>
      </c>
      <c r="C182" t="s">
        <v>705</v>
      </c>
      <c r="D182" t="s">
        <v>729</v>
      </c>
      <c r="E182" s="21">
        <v>5.8</v>
      </c>
      <c r="F182" s="2">
        <f t="shared" si="50"/>
        <v>0.57777777777777772</v>
      </c>
      <c r="G182" s="26">
        <v>63.919079999999994</v>
      </c>
      <c r="H182">
        <f t="shared" si="51"/>
        <v>0.65527142282468687</v>
      </c>
      <c r="I182" s="12">
        <v>156.6</v>
      </c>
      <c r="J182" s="2">
        <f t="shared" si="52"/>
        <v>0.65853658536585358</v>
      </c>
      <c r="K182" s="10">
        <v>0</v>
      </c>
      <c r="L182" s="2">
        <f t="shared" si="53"/>
        <v>0</v>
      </c>
      <c r="M182">
        <v>580</v>
      </c>
      <c r="N182">
        <f t="shared" si="54"/>
        <v>1.6134145245158573E-3</v>
      </c>
      <c r="O182" s="10">
        <v>0.46205987799999998</v>
      </c>
      <c r="P182">
        <f t="shared" si="55"/>
        <v>0.41339556249420362</v>
      </c>
      <c r="Q182" s="23">
        <v>0</v>
      </c>
      <c r="R182" s="13">
        <f t="shared" si="56"/>
        <v>0</v>
      </c>
      <c r="S182">
        <f t="shared" si="57"/>
        <v>5.491570938948212E-2</v>
      </c>
      <c r="T182" s="14">
        <f t="shared" si="45"/>
        <v>9.7994404461504966E-2</v>
      </c>
      <c r="U182" t="str">
        <f t="shared" si="58"/>
        <v>No Impact</v>
      </c>
      <c r="V182">
        <f t="shared" si="59"/>
        <v>0</v>
      </c>
      <c r="W182">
        <f t="shared" si="46"/>
        <v>0</v>
      </c>
      <c r="X182" t="s">
        <v>1170</v>
      </c>
      <c r="Y182">
        <f t="shared" si="47"/>
        <v>0.10983141877896424</v>
      </c>
      <c r="Z182">
        <f t="shared" si="60"/>
        <v>0.19993765604949301</v>
      </c>
      <c r="AA182" t="str">
        <f t="shared" si="61"/>
        <v>Low</v>
      </c>
      <c r="AB182">
        <f t="shared" si="48"/>
        <v>3.3099454487005825E-2</v>
      </c>
      <c r="AC182">
        <f t="shared" si="62"/>
        <v>8.0900980610648529E-2</v>
      </c>
      <c r="AD182" t="str">
        <f t="shared" si="63"/>
        <v>No Impact</v>
      </c>
      <c r="AE182">
        <f t="shared" si="49"/>
        <v>4.2865386661872847E-4</v>
      </c>
      <c r="AF182">
        <f t="shared" si="64"/>
        <v>2.5881363588122603E-3</v>
      </c>
      <c r="AG182" t="s">
        <v>1170</v>
      </c>
    </row>
    <row r="183" spans="1:33" customFormat="1" x14ac:dyDescent="0.3">
      <c r="A183">
        <v>302664</v>
      </c>
      <c r="B183" t="s">
        <v>398</v>
      </c>
      <c r="C183" t="s">
        <v>705</v>
      </c>
      <c r="D183" t="s">
        <v>730</v>
      </c>
      <c r="E183" s="21">
        <v>5.4</v>
      </c>
      <c r="F183" s="2">
        <f t="shared" si="50"/>
        <v>0.48888888888888893</v>
      </c>
      <c r="G183" s="26">
        <v>57.268439999999998</v>
      </c>
      <c r="H183">
        <f t="shared" si="51"/>
        <v>0.58709186930960533</v>
      </c>
      <c r="I183" s="12">
        <v>119.8</v>
      </c>
      <c r="J183" s="2">
        <f t="shared" si="52"/>
        <v>0.50378469301934392</v>
      </c>
      <c r="K183" s="10">
        <v>0</v>
      </c>
      <c r="L183" s="2">
        <f t="shared" si="53"/>
        <v>0</v>
      </c>
      <c r="M183">
        <v>9521</v>
      </c>
      <c r="N183">
        <f t="shared" si="54"/>
        <v>4.3917048728903778E-2</v>
      </c>
      <c r="O183" s="10">
        <v>0.56633476400000005</v>
      </c>
      <c r="P183">
        <f t="shared" si="55"/>
        <v>0.52823232702275913</v>
      </c>
      <c r="Q183" s="23">
        <v>0.15140000000000001</v>
      </c>
      <c r="R183" s="13">
        <f t="shared" si="56"/>
        <v>0.32784755305326985</v>
      </c>
      <c r="S183">
        <f t="shared" si="57"/>
        <v>7.9898406336151612E-2</v>
      </c>
      <c r="T183" s="14">
        <f t="shared" si="45"/>
        <v>0.14257480843603737</v>
      </c>
      <c r="U183" t="str">
        <f t="shared" si="58"/>
        <v>No Impact</v>
      </c>
      <c r="V183">
        <f t="shared" si="59"/>
        <v>6.1196385103307951E-2</v>
      </c>
      <c r="W183">
        <f t="shared" si="46"/>
        <v>9.8993297223774035E-2</v>
      </c>
      <c r="X183" t="s">
        <v>1170</v>
      </c>
      <c r="Y183">
        <f t="shared" si="47"/>
        <v>9.8600427568995286E-2</v>
      </c>
      <c r="Z183">
        <f t="shared" si="60"/>
        <v>0.17949270429891317</v>
      </c>
      <c r="AA183" t="str">
        <f t="shared" si="61"/>
        <v>Low</v>
      </c>
      <c r="AB183">
        <f t="shared" si="48"/>
        <v>5.3868024685652528E-2</v>
      </c>
      <c r="AC183">
        <f t="shared" si="62"/>
        <v>0.13166307687453774</v>
      </c>
      <c r="AD183" t="str">
        <f t="shared" si="63"/>
        <v>No Impact</v>
      </c>
      <c r="AE183">
        <f t="shared" si="49"/>
        <v>8.1976046537033369E-3</v>
      </c>
      <c r="AF183">
        <f t="shared" si="64"/>
        <v>4.9495689440005659E-2</v>
      </c>
      <c r="AG183" t="s">
        <v>1170</v>
      </c>
    </row>
    <row r="184" spans="1:33" customFormat="1" x14ac:dyDescent="0.3">
      <c r="A184">
        <v>302665</v>
      </c>
      <c r="B184" t="s">
        <v>399</v>
      </c>
      <c r="C184" t="s">
        <v>705</v>
      </c>
      <c r="D184" t="s">
        <v>731</v>
      </c>
      <c r="E184" s="21">
        <v>5.7</v>
      </c>
      <c r="F184" s="2">
        <f t="shared" si="50"/>
        <v>0.55555555555555558</v>
      </c>
      <c r="G184" s="26">
        <v>63.919079999999994</v>
      </c>
      <c r="H184">
        <f t="shared" si="51"/>
        <v>0.65527142282468687</v>
      </c>
      <c r="I184" s="12">
        <v>156.6</v>
      </c>
      <c r="J184" s="2">
        <f t="shared" si="52"/>
        <v>0.65853658536585358</v>
      </c>
      <c r="K184" s="10">
        <v>0</v>
      </c>
      <c r="L184" s="2">
        <f t="shared" si="53"/>
        <v>0</v>
      </c>
      <c r="M184">
        <v>723</v>
      </c>
      <c r="N184">
        <f t="shared" si="54"/>
        <v>2.2900077122160558E-3</v>
      </c>
      <c r="O184" s="10">
        <v>0.70669813999999997</v>
      </c>
      <c r="P184">
        <f t="shared" si="55"/>
        <v>0.68281294155486305</v>
      </c>
      <c r="Q184" s="23">
        <v>0</v>
      </c>
      <c r="R184" s="13">
        <f t="shared" si="56"/>
        <v>0</v>
      </c>
      <c r="S184">
        <f t="shared" si="57"/>
        <v>8.7216607985783748E-2</v>
      </c>
      <c r="T184" s="14">
        <f t="shared" si="45"/>
        <v>0.15563378227717758</v>
      </c>
      <c r="U184" t="str">
        <f t="shared" si="58"/>
        <v>Low</v>
      </c>
      <c r="V184">
        <f t="shared" si="59"/>
        <v>0</v>
      </c>
      <c r="W184">
        <f t="shared" si="46"/>
        <v>0</v>
      </c>
      <c r="X184" t="s">
        <v>1170</v>
      </c>
      <c r="Y184">
        <f t="shared" si="47"/>
        <v>0.1744332159715675</v>
      </c>
      <c r="Z184">
        <f t="shared" si="60"/>
        <v>0.31753908604893549</v>
      </c>
      <c r="AA184" t="str">
        <f t="shared" si="61"/>
        <v>Moderate</v>
      </c>
      <c r="AB184">
        <f t="shared" si="48"/>
        <v>5.2534718809644207E-2</v>
      </c>
      <c r="AC184">
        <f t="shared" si="62"/>
        <v>0.12840423909322751</v>
      </c>
      <c r="AD184" t="str">
        <f t="shared" si="63"/>
        <v>No Impact</v>
      </c>
      <c r="AE184">
        <f t="shared" si="49"/>
        <v>5.8501148049702409E-4</v>
      </c>
      <c r="AF184">
        <f t="shared" si="64"/>
        <v>3.5321960231929116E-3</v>
      </c>
      <c r="AG184" t="s">
        <v>1170</v>
      </c>
    </row>
    <row r="185" spans="1:33" customFormat="1" x14ac:dyDescent="0.3">
      <c r="A185">
        <v>302666</v>
      </c>
      <c r="B185" t="s">
        <v>434</v>
      </c>
      <c r="C185" t="s">
        <v>705</v>
      </c>
      <c r="D185" t="s">
        <v>732</v>
      </c>
      <c r="E185" s="21">
        <v>5.7</v>
      </c>
      <c r="F185" s="2">
        <f t="shared" si="50"/>
        <v>0.55555555555555558</v>
      </c>
      <c r="G185" s="26">
        <v>63.919079999999994</v>
      </c>
      <c r="H185">
        <f t="shared" si="51"/>
        <v>0.65527142282468687</v>
      </c>
      <c r="I185" s="12">
        <v>156.6</v>
      </c>
      <c r="J185" s="2">
        <f t="shared" si="52"/>
        <v>0.65853658536585358</v>
      </c>
      <c r="K185" s="10">
        <v>0</v>
      </c>
      <c r="L185" s="2">
        <f t="shared" si="53"/>
        <v>0</v>
      </c>
      <c r="M185">
        <v>2576</v>
      </c>
      <c r="N185">
        <f t="shared" si="54"/>
        <v>1.1057330626960583E-2</v>
      </c>
      <c r="O185" s="10">
        <v>0.81574973799999995</v>
      </c>
      <c r="P185">
        <f t="shared" si="55"/>
        <v>0.802910245530709</v>
      </c>
      <c r="Q185" s="23">
        <v>0</v>
      </c>
      <c r="R185" s="13">
        <f t="shared" si="56"/>
        <v>0</v>
      </c>
      <c r="S185">
        <f t="shared" si="57"/>
        <v>0.10255679684799097</v>
      </c>
      <c r="T185" s="14">
        <f t="shared" si="45"/>
        <v>0.18300760096387425</v>
      </c>
      <c r="U185" t="str">
        <f t="shared" si="58"/>
        <v>Low</v>
      </c>
      <c r="V185">
        <f t="shared" si="59"/>
        <v>0</v>
      </c>
      <c r="W185">
        <f t="shared" si="46"/>
        <v>0</v>
      </c>
      <c r="X185" t="s">
        <v>1170</v>
      </c>
      <c r="Y185">
        <f t="shared" si="47"/>
        <v>0.20511359369598195</v>
      </c>
      <c r="Z185">
        <f t="shared" si="60"/>
        <v>0.3733897968667344</v>
      </c>
      <c r="AA185" t="str">
        <f t="shared" si="61"/>
        <v>Moderate</v>
      </c>
      <c r="AB185">
        <f t="shared" si="48"/>
        <v>6.2522735423820502E-2</v>
      </c>
      <c r="AC185">
        <f t="shared" si="62"/>
        <v>0.15281673624660302</v>
      </c>
      <c r="AD185" t="str">
        <f t="shared" si="63"/>
        <v>Low</v>
      </c>
      <c r="AE185">
        <f t="shared" si="49"/>
        <v>2.8247351857883171E-3</v>
      </c>
      <c r="AF185">
        <f t="shared" si="64"/>
        <v>1.7055252285540983E-2</v>
      </c>
      <c r="AG185" t="s">
        <v>1170</v>
      </c>
    </row>
    <row r="186" spans="1:33" customFormat="1" x14ac:dyDescent="0.3">
      <c r="A186">
        <v>302667</v>
      </c>
      <c r="B186" t="s">
        <v>436</v>
      </c>
      <c r="C186" t="s">
        <v>705</v>
      </c>
      <c r="D186" t="s">
        <v>733</v>
      </c>
      <c r="E186" s="21">
        <v>5.8</v>
      </c>
      <c r="F186" s="2">
        <f t="shared" si="50"/>
        <v>0.57777777777777772</v>
      </c>
      <c r="G186" s="26">
        <v>57.268439999999998</v>
      </c>
      <c r="H186">
        <f t="shared" si="51"/>
        <v>0.58709186930960533</v>
      </c>
      <c r="I186" s="12">
        <v>119.8</v>
      </c>
      <c r="J186" s="2">
        <f t="shared" si="52"/>
        <v>0.50378469301934392</v>
      </c>
      <c r="K186" s="10">
        <v>0</v>
      </c>
      <c r="L186" s="2">
        <f t="shared" si="53"/>
        <v>0</v>
      </c>
      <c r="M186">
        <v>3584</v>
      </c>
      <c r="N186">
        <f t="shared" si="54"/>
        <v>1.5826602887113028E-2</v>
      </c>
      <c r="O186" s="10">
        <v>0.65307780100000001</v>
      </c>
      <c r="P186">
        <f t="shared" si="55"/>
        <v>0.62376146252774312</v>
      </c>
      <c r="Q186" s="23">
        <v>7.8299999999999995E-2</v>
      </c>
      <c r="R186" s="13">
        <f t="shared" si="56"/>
        <v>0.16955391944564746</v>
      </c>
      <c r="S186">
        <f t="shared" si="57"/>
        <v>8.7502481402680729E-2</v>
      </c>
      <c r="T186" s="14">
        <f t="shared" si="45"/>
        <v>0.15614390944391432</v>
      </c>
      <c r="U186" t="str">
        <f t="shared" si="58"/>
        <v>Low</v>
      </c>
      <c r="V186">
        <f t="shared" si="59"/>
        <v>3.7403506903240749E-2</v>
      </c>
      <c r="W186">
        <f t="shared" si="46"/>
        <v>6.0505150260645825E-2</v>
      </c>
      <c r="X186" t="s">
        <v>1170</v>
      </c>
      <c r="Y186">
        <f t="shared" si="47"/>
        <v>0.13760145590212072</v>
      </c>
      <c r="Z186">
        <f t="shared" si="60"/>
        <v>0.25049036849314515</v>
      </c>
      <c r="AA186" t="str">
        <f t="shared" si="61"/>
        <v>Low</v>
      </c>
      <c r="AB186">
        <f t="shared" si="48"/>
        <v>5.5593633329668775E-2</v>
      </c>
      <c r="AC186">
        <f t="shared" si="62"/>
        <v>0.13588077271317858</v>
      </c>
      <c r="AD186" t="str">
        <f t="shared" si="63"/>
        <v>No Impact</v>
      </c>
      <c r="AE186">
        <f t="shared" si="49"/>
        <v>3.4913404082808322E-3</v>
      </c>
      <c r="AF186">
        <f t="shared" si="64"/>
        <v>2.1080096915816006E-2</v>
      </c>
      <c r="AG186" t="s">
        <v>1170</v>
      </c>
    </row>
    <row r="187" spans="1:33" customFormat="1" x14ac:dyDescent="0.3">
      <c r="A187">
        <v>302668</v>
      </c>
      <c r="B187" t="s">
        <v>452</v>
      </c>
      <c r="C187" t="s">
        <v>705</v>
      </c>
      <c r="D187" t="s">
        <v>734</v>
      </c>
      <c r="E187" s="21">
        <v>5.8</v>
      </c>
      <c r="F187" s="2">
        <f t="shared" si="50"/>
        <v>0.57777777777777772</v>
      </c>
      <c r="G187" s="26">
        <v>63.919079999999994</v>
      </c>
      <c r="H187">
        <f t="shared" si="51"/>
        <v>0.65527142282468687</v>
      </c>
      <c r="I187" s="12">
        <v>156.6</v>
      </c>
      <c r="J187" s="2">
        <f t="shared" si="52"/>
        <v>0.65853658536585358</v>
      </c>
      <c r="K187" s="10">
        <v>0</v>
      </c>
      <c r="L187" s="2">
        <f t="shared" si="53"/>
        <v>0</v>
      </c>
      <c r="M187">
        <v>8555</v>
      </c>
      <c r="N187">
        <f t="shared" si="54"/>
        <v>3.9346496146257681E-2</v>
      </c>
      <c r="O187" s="10">
        <v>0.81426305499999996</v>
      </c>
      <c r="P187">
        <f t="shared" si="55"/>
        <v>0.8012729781871647</v>
      </c>
      <c r="Q187" s="23">
        <v>0.17649999999999999</v>
      </c>
      <c r="R187" s="13">
        <f t="shared" si="56"/>
        <v>0.38220008661758337</v>
      </c>
      <c r="S187">
        <f t="shared" si="57"/>
        <v>0.15721325721295942</v>
      </c>
      <c r="T187" s="14">
        <f t="shared" si="45"/>
        <v>0.28053938818803714</v>
      </c>
      <c r="U187" t="str">
        <f t="shared" si="58"/>
        <v>Low</v>
      </c>
      <c r="V187">
        <f t="shared" si="59"/>
        <v>0.10154336809370273</v>
      </c>
      <c r="W187">
        <f t="shared" si="46"/>
        <v>0.16425991178782298</v>
      </c>
      <c r="X187" t="s">
        <v>1170</v>
      </c>
      <c r="Y187">
        <f t="shared" si="47"/>
        <v>0.21288314633221619</v>
      </c>
      <c r="Z187">
        <f t="shared" si="60"/>
        <v>0.3875335287779838</v>
      </c>
      <c r="AA187" t="str">
        <f t="shared" si="61"/>
        <v>Moderate</v>
      </c>
      <c r="AB187">
        <f t="shared" si="48"/>
        <v>0.10306389089721292</v>
      </c>
      <c r="AC187">
        <f t="shared" si="62"/>
        <v>0.2519065636687981</v>
      </c>
      <c r="AD187" t="str">
        <f t="shared" si="63"/>
        <v>Low</v>
      </c>
      <c r="AE187">
        <f t="shared" si="49"/>
        <v>1.0453623327863185E-2</v>
      </c>
      <c r="AF187">
        <f t="shared" si="64"/>
        <v>6.3117131847163513E-2</v>
      </c>
      <c r="AG187" t="s">
        <v>1170</v>
      </c>
    </row>
    <row r="188" spans="1:33" customFormat="1" x14ac:dyDescent="0.3">
      <c r="A188">
        <v>302672</v>
      </c>
      <c r="B188" t="s">
        <v>469</v>
      </c>
      <c r="C188" t="s">
        <v>705</v>
      </c>
      <c r="D188" t="s">
        <v>735</v>
      </c>
      <c r="E188" s="21">
        <v>5.7</v>
      </c>
      <c r="F188" s="2">
        <f t="shared" si="50"/>
        <v>0.55555555555555558</v>
      </c>
      <c r="G188" s="26">
        <v>46.770479999999999</v>
      </c>
      <c r="H188">
        <f t="shared" si="51"/>
        <v>0.47947121541476445</v>
      </c>
      <c r="I188" s="12">
        <v>68.099999999999994</v>
      </c>
      <c r="J188" s="2">
        <f t="shared" si="52"/>
        <v>0.28637510513036163</v>
      </c>
      <c r="K188" s="10">
        <v>0</v>
      </c>
      <c r="L188" s="2">
        <f t="shared" si="53"/>
        <v>0</v>
      </c>
      <c r="M188">
        <v>146872</v>
      </c>
      <c r="N188">
        <f t="shared" si="54"/>
        <v>0.69378243980449772</v>
      </c>
      <c r="O188" s="10">
        <v>0.72891504399999996</v>
      </c>
      <c r="P188">
        <f t="shared" si="55"/>
        <v>0.70728016919778292</v>
      </c>
      <c r="Q188" s="23">
        <v>0.21959999999999999</v>
      </c>
      <c r="R188" s="13">
        <f t="shared" si="56"/>
        <v>0.47553053269813772</v>
      </c>
      <c r="S188">
        <f t="shared" si="57"/>
        <v>8.806886899498223E-2</v>
      </c>
      <c r="T188" s="14">
        <f t="shared" si="45"/>
        <v>0.15715460047238353</v>
      </c>
      <c r="U188" t="str">
        <f t="shared" si="58"/>
        <v>Low</v>
      </c>
      <c r="V188">
        <f t="shared" si="59"/>
        <v>7.0813421150448003E-2</v>
      </c>
      <c r="W188">
        <f t="shared" si="46"/>
        <v>0.11455013291299226</v>
      </c>
      <c r="X188" t="s">
        <v>1170</v>
      </c>
      <c r="Y188">
        <f t="shared" si="47"/>
        <v>0.10532431683951649</v>
      </c>
      <c r="Z188">
        <f t="shared" si="60"/>
        <v>0.19173290546566552</v>
      </c>
      <c r="AA188" t="str">
        <f t="shared" si="61"/>
        <v>Low</v>
      </c>
      <c r="AB188">
        <f t="shared" si="48"/>
        <v>9.2542000385583467E-2</v>
      </c>
      <c r="AC188">
        <f t="shared" si="62"/>
        <v>0.22618918332336438</v>
      </c>
      <c r="AD188" t="str">
        <f t="shared" si="63"/>
        <v>Low</v>
      </c>
      <c r="AE188">
        <f t="shared" si="49"/>
        <v>0.1033143083744907</v>
      </c>
      <c r="AF188">
        <f t="shared" si="64"/>
        <v>0.62379355165690376</v>
      </c>
      <c r="AG188" t="str">
        <f t="shared" si="66"/>
        <v>Moderate</v>
      </c>
    </row>
    <row r="189" spans="1:33" customFormat="1" x14ac:dyDescent="0.3">
      <c r="A189">
        <v>302674</v>
      </c>
      <c r="B189" t="s">
        <v>472</v>
      </c>
      <c r="C189" t="s">
        <v>705</v>
      </c>
      <c r="D189" t="s">
        <v>736</v>
      </c>
      <c r="E189" s="21">
        <v>5.8</v>
      </c>
      <c r="F189" s="2">
        <f t="shared" si="50"/>
        <v>0.57777777777777772</v>
      </c>
      <c r="G189" s="26">
        <v>46.770479999999999</v>
      </c>
      <c r="H189">
        <f t="shared" si="51"/>
        <v>0.47947121541476445</v>
      </c>
      <c r="I189" s="12">
        <v>68.099999999999994</v>
      </c>
      <c r="J189" s="2">
        <f t="shared" si="52"/>
        <v>0.28637510513036163</v>
      </c>
      <c r="K189" s="10">
        <v>0</v>
      </c>
      <c r="L189" s="2">
        <f t="shared" si="53"/>
        <v>0</v>
      </c>
      <c r="M189">
        <v>2058</v>
      </c>
      <c r="N189">
        <f t="shared" si="54"/>
        <v>8.6064546043822417E-3</v>
      </c>
      <c r="O189" s="10">
        <v>0.39071708700000002</v>
      </c>
      <c r="P189">
        <f t="shared" si="55"/>
        <v>0.33482654549353347</v>
      </c>
      <c r="Q189" s="23">
        <v>0.217</v>
      </c>
      <c r="R189" s="13">
        <f t="shared" si="56"/>
        <v>0.46990038977912518</v>
      </c>
      <c r="S189">
        <f t="shared" si="57"/>
        <v>6.2314490867125608E-2</v>
      </c>
      <c r="T189" s="14">
        <f t="shared" si="45"/>
        <v>0.11119716907481893</v>
      </c>
      <c r="U189" t="str">
        <f t="shared" si="58"/>
        <v>No Impact</v>
      </c>
      <c r="V189">
        <f t="shared" si="59"/>
        <v>7.2774011317090631E-2</v>
      </c>
      <c r="W189">
        <f t="shared" si="46"/>
        <v>0.11772164843262337</v>
      </c>
      <c r="X189" t="s">
        <v>1170</v>
      </c>
      <c r="Y189">
        <f t="shared" si="47"/>
        <v>5.1854970417160584E-2</v>
      </c>
      <c r="Z189">
        <f t="shared" si="60"/>
        <v>9.439704371467704E-2</v>
      </c>
      <c r="AA189" t="str">
        <f t="shared" si="61"/>
        <v>No Impact</v>
      </c>
      <c r="AB189">
        <f t="shared" si="48"/>
        <v>4.149390710323167E-2</v>
      </c>
      <c r="AC189">
        <f t="shared" si="62"/>
        <v>0.10141852263264479</v>
      </c>
      <c r="AD189" t="str">
        <f t="shared" si="63"/>
        <v>No Impact</v>
      </c>
      <c r="AE189">
        <f t="shared" si="49"/>
        <v>1.332891477433637E-3</v>
      </c>
      <c r="AF189">
        <f t="shared" si="64"/>
        <v>8.0477633907951422E-3</v>
      </c>
      <c r="AG189" t="s">
        <v>1170</v>
      </c>
    </row>
    <row r="190" spans="1:33" customFormat="1" x14ac:dyDescent="0.3">
      <c r="A190">
        <v>302675</v>
      </c>
      <c r="B190" t="s">
        <v>474</v>
      </c>
      <c r="C190" t="s">
        <v>705</v>
      </c>
      <c r="D190" t="s">
        <v>737</v>
      </c>
      <c r="E190" s="21">
        <v>5.8</v>
      </c>
      <c r="F190" s="2">
        <f t="shared" si="50"/>
        <v>0.57777777777777772</v>
      </c>
      <c r="G190" s="26">
        <v>63.919079999999994</v>
      </c>
      <c r="H190">
        <f t="shared" si="51"/>
        <v>0.65527142282468687</v>
      </c>
      <c r="I190" s="12">
        <v>156.6</v>
      </c>
      <c r="J190" s="2">
        <f t="shared" si="52"/>
        <v>0.65853658536585358</v>
      </c>
      <c r="K190" s="10">
        <v>0</v>
      </c>
      <c r="L190" s="2">
        <f t="shared" si="53"/>
        <v>0</v>
      </c>
      <c r="M190">
        <v>1343</v>
      </c>
      <c r="N190">
        <f t="shared" si="54"/>
        <v>5.2234886658812504E-3</v>
      </c>
      <c r="O190" s="10">
        <v>0.82661689500000002</v>
      </c>
      <c r="P190">
        <f t="shared" si="55"/>
        <v>0.81487812387011893</v>
      </c>
      <c r="Q190" s="23">
        <v>0</v>
      </c>
      <c r="R190" s="13">
        <f t="shared" si="56"/>
        <v>0</v>
      </c>
      <c r="S190">
        <f t="shared" si="57"/>
        <v>0.10824888871158436</v>
      </c>
      <c r="T190" s="14">
        <f t="shared" si="45"/>
        <v>0.19316486121807475</v>
      </c>
      <c r="U190" t="str">
        <f t="shared" si="58"/>
        <v>Low</v>
      </c>
      <c r="V190">
        <f t="shared" si="59"/>
        <v>0</v>
      </c>
      <c r="W190">
        <f t="shared" si="46"/>
        <v>0</v>
      </c>
      <c r="X190" t="s">
        <v>1170</v>
      </c>
      <c r="Y190">
        <f t="shared" si="47"/>
        <v>0.21649777742316872</v>
      </c>
      <c r="Z190">
        <f t="shared" si="60"/>
        <v>0.39411362103066705</v>
      </c>
      <c r="AA190" t="str">
        <f t="shared" si="61"/>
        <v>Moderate</v>
      </c>
      <c r="AB190">
        <f t="shared" si="48"/>
        <v>6.5435057139154346E-2</v>
      </c>
      <c r="AC190">
        <f t="shared" si="62"/>
        <v>0.15993497086030911</v>
      </c>
      <c r="AD190" t="str">
        <f t="shared" si="63"/>
        <v>Low</v>
      </c>
      <c r="AE190">
        <f t="shared" si="49"/>
        <v>1.3877826062964112E-3</v>
      </c>
      <c r="AF190">
        <f t="shared" si="64"/>
        <v>8.3791863346883728E-3</v>
      </c>
      <c r="AG190" t="s">
        <v>1170</v>
      </c>
    </row>
    <row r="191" spans="1:33" customFormat="1" x14ac:dyDescent="0.3">
      <c r="A191">
        <v>302676</v>
      </c>
      <c r="B191" t="s">
        <v>490</v>
      </c>
      <c r="C191" t="s">
        <v>705</v>
      </c>
      <c r="D191" t="s">
        <v>738</v>
      </c>
      <c r="E191" s="21">
        <v>5.8</v>
      </c>
      <c r="F191" s="2">
        <f t="shared" si="50"/>
        <v>0.57777777777777772</v>
      </c>
      <c r="G191" s="26">
        <v>63.919079999999994</v>
      </c>
      <c r="H191">
        <f t="shared" si="51"/>
        <v>0.65527142282468687</v>
      </c>
      <c r="I191" s="12">
        <v>156.6</v>
      </c>
      <c r="J191" s="2">
        <f t="shared" si="52"/>
        <v>0.65853658536585358</v>
      </c>
      <c r="K191" s="10">
        <v>0.1</v>
      </c>
      <c r="L191" s="2">
        <f t="shared" si="53"/>
        <v>5.8823529411764712E-2</v>
      </c>
      <c r="M191">
        <v>2470</v>
      </c>
      <c r="N191">
        <f t="shared" si="54"/>
        <v>1.0555800012301695E-2</v>
      </c>
      <c r="O191" s="10">
        <v>0.34470895800000001</v>
      </c>
      <c r="P191">
        <f t="shared" si="55"/>
        <v>0.28415830811591214</v>
      </c>
      <c r="Q191" s="23">
        <v>0</v>
      </c>
      <c r="R191" s="13">
        <f t="shared" si="56"/>
        <v>0</v>
      </c>
      <c r="S191">
        <f t="shared" si="57"/>
        <v>3.9196406789890198E-2</v>
      </c>
      <c r="T191" s="14">
        <f t="shared" si="45"/>
        <v>6.9944075804688463E-2</v>
      </c>
      <c r="U191" t="str">
        <f t="shared" si="58"/>
        <v>No Impact</v>
      </c>
      <c r="V191">
        <f t="shared" si="59"/>
        <v>0</v>
      </c>
      <c r="W191">
        <f t="shared" si="46"/>
        <v>0</v>
      </c>
      <c r="X191" t="s">
        <v>1170</v>
      </c>
      <c r="Y191">
        <f t="shared" si="47"/>
        <v>7.8392813579780396E-2</v>
      </c>
      <c r="Z191">
        <f t="shared" si="60"/>
        <v>0.14270666419969893</v>
      </c>
      <c r="AA191" t="str">
        <f t="shared" si="61"/>
        <v>No Impact</v>
      </c>
      <c r="AB191">
        <f t="shared" si="48"/>
        <v>2.4537080864203479E-2</v>
      </c>
      <c r="AC191">
        <f t="shared" si="62"/>
        <v>5.9973009646311248E-2</v>
      </c>
      <c r="AD191" t="str">
        <f t="shared" si="63"/>
        <v>No Impact</v>
      </c>
      <c r="AE191">
        <f t="shared" si="49"/>
        <v>2.9121051150553094E-3</v>
      </c>
      <c r="AF191">
        <f t="shared" si="64"/>
        <v>1.7582776491461394E-2</v>
      </c>
      <c r="AG191" t="s">
        <v>1170</v>
      </c>
    </row>
    <row r="192" spans="1:33" customFormat="1" x14ac:dyDescent="0.3">
      <c r="A192">
        <v>302680</v>
      </c>
      <c r="B192" t="s">
        <v>482</v>
      </c>
      <c r="C192" t="s">
        <v>705</v>
      </c>
      <c r="D192" t="s">
        <v>1138</v>
      </c>
      <c r="E192" s="21">
        <v>5.8</v>
      </c>
      <c r="F192" s="2">
        <f t="shared" si="50"/>
        <v>0.57777777777777772</v>
      </c>
      <c r="G192" s="26">
        <v>57.268439999999998</v>
      </c>
      <c r="H192">
        <f t="shared" si="51"/>
        <v>0.58709186930960533</v>
      </c>
      <c r="I192" s="12">
        <v>119.8</v>
      </c>
      <c r="J192" s="2">
        <f t="shared" si="52"/>
        <v>0.50378469301934392</v>
      </c>
      <c r="K192" s="10">
        <v>0</v>
      </c>
      <c r="L192" s="2">
        <f t="shared" si="53"/>
        <v>0</v>
      </c>
      <c r="M192">
        <v>2247</v>
      </c>
      <c r="N192">
        <f t="shared" si="54"/>
        <v>9.5006931531608253E-3</v>
      </c>
      <c r="O192" s="10">
        <v>0.74695859200000003</v>
      </c>
      <c r="P192">
        <f t="shared" si="55"/>
        <v>0.72715132660126058</v>
      </c>
      <c r="Q192" s="23">
        <v>0</v>
      </c>
      <c r="R192" s="13">
        <f t="shared" si="56"/>
        <v>0</v>
      </c>
      <c r="S192">
        <f t="shared" si="57"/>
        <v>8.020460321163371E-2</v>
      </c>
      <c r="T192" s="14">
        <f t="shared" si="45"/>
        <v>0.14312120182318333</v>
      </c>
      <c r="U192" t="str">
        <f t="shared" si="58"/>
        <v>No Impact</v>
      </c>
      <c r="V192">
        <f t="shared" si="59"/>
        <v>0</v>
      </c>
      <c r="W192">
        <f t="shared" si="46"/>
        <v>0</v>
      </c>
      <c r="X192" t="s">
        <v>1170</v>
      </c>
      <c r="Y192">
        <f t="shared" si="47"/>
        <v>0.16040920642326742</v>
      </c>
      <c r="Z192">
        <f t="shared" si="60"/>
        <v>0.29200970994986375</v>
      </c>
      <c r="AA192" t="str">
        <f t="shared" si="61"/>
        <v>Low</v>
      </c>
      <c r="AB192">
        <f t="shared" si="48"/>
        <v>4.885630872486954E-2</v>
      </c>
      <c r="AC192">
        <f t="shared" si="62"/>
        <v>0.11941354762841211</v>
      </c>
      <c r="AD192" t="str">
        <f t="shared" si="63"/>
        <v>No Impact</v>
      </c>
      <c r="AE192">
        <f t="shared" si="49"/>
        <v>2.0958479939694801E-3</v>
      </c>
      <c r="AF192">
        <f t="shared" si="64"/>
        <v>1.2654360121661745E-2</v>
      </c>
      <c r="AG192" t="s">
        <v>1170</v>
      </c>
    </row>
    <row r="193" spans="1:33" customFormat="1" x14ac:dyDescent="0.3">
      <c r="A193">
        <v>302688</v>
      </c>
      <c r="B193" t="s">
        <v>510</v>
      </c>
      <c r="C193" t="s">
        <v>705</v>
      </c>
      <c r="D193" t="s">
        <v>739</v>
      </c>
      <c r="E193" s="21">
        <v>5.7</v>
      </c>
      <c r="F193" s="2">
        <f t="shared" si="50"/>
        <v>0.55555555555555558</v>
      </c>
      <c r="G193" s="26">
        <v>63.919079999999994</v>
      </c>
      <c r="H193">
        <f t="shared" si="51"/>
        <v>0.65527142282468687</v>
      </c>
      <c r="I193" s="12">
        <v>156.6</v>
      </c>
      <c r="J193" s="2">
        <f t="shared" si="52"/>
        <v>0.65853658536585358</v>
      </c>
      <c r="K193" s="10">
        <v>0</v>
      </c>
      <c r="L193" s="2">
        <f t="shared" si="53"/>
        <v>0</v>
      </c>
      <c r="M193">
        <v>1739</v>
      </c>
      <c r="N193">
        <f t="shared" si="54"/>
        <v>7.0971313395125687E-3</v>
      </c>
      <c r="O193" s="10">
        <v>0.80234277700000001</v>
      </c>
      <c r="P193">
        <f t="shared" si="55"/>
        <v>0.78814530948080985</v>
      </c>
      <c r="Q193" s="23">
        <v>0.04</v>
      </c>
      <c r="R193" s="13">
        <f t="shared" si="56"/>
        <v>8.6617583369424003E-2</v>
      </c>
      <c r="S193">
        <f t="shared" si="57"/>
        <v>0.11173463135086011</v>
      </c>
      <c r="T193" s="14">
        <f t="shared" si="45"/>
        <v>0.19938499891345202</v>
      </c>
      <c r="U193" t="str">
        <f t="shared" si="58"/>
        <v>Low</v>
      </c>
      <c r="V193">
        <f t="shared" si="59"/>
        <v>2.2127558965722979E-2</v>
      </c>
      <c r="W193">
        <f t="shared" si="46"/>
        <v>3.5794271472613423E-2</v>
      </c>
      <c r="X193" t="s">
        <v>1170</v>
      </c>
      <c r="Y193">
        <f t="shared" si="47"/>
        <v>0.20134170373599722</v>
      </c>
      <c r="Z193">
        <f t="shared" si="60"/>
        <v>0.36652342979381447</v>
      </c>
      <c r="AA193" t="str">
        <f t="shared" si="61"/>
        <v>Moderate</v>
      </c>
      <c r="AB193">
        <f t="shared" si="48"/>
        <v>6.8781724996944626E-2</v>
      </c>
      <c r="AC193">
        <f t="shared" si="62"/>
        <v>0.16811482505034303</v>
      </c>
      <c r="AD193" t="str">
        <f t="shared" si="63"/>
        <v>Low</v>
      </c>
      <c r="AE193">
        <f t="shared" si="49"/>
        <v>1.8130521089783802E-3</v>
      </c>
      <c r="AF193">
        <f t="shared" si="64"/>
        <v>1.0946888501630923E-2</v>
      </c>
      <c r="AG193" t="s">
        <v>1170</v>
      </c>
    </row>
    <row r="194" spans="1:33" customFormat="1" x14ac:dyDescent="0.3">
      <c r="A194">
        <v>302690</v>
      </c>
      <c r="B194" t="s">
        <v>520</v>
      </c>
      <c r="C194" t="s">
        <v>705</v>
      </c>
      <c r="D194" t="s">
        <v>740</v>
      </c>
      <c r="E194" s="21">
        <v>5.8</v>
      </c>
      <c r="F194" s="2">
        <f t="shared" si="50"/>
        <v>0.57777777777777772</v>
      </c>
      <c r="G194" s="26">
        <v>57.268439999999998</v>
      </c>
      <c r="H194">
        <f t="shared" si="51"/>
        <v>0.58709186930960533</v>
      </c>
      <c r="I194" s="12">
        <v>119.8</v>
      </c>
      <c r="J194" s="2">
        <f t="shared" si="52"/>
        <v>0.50378469301934392</v>
      </c>
      <c r="K194" s="10">
        <v>0</v>
      </c>
      <c r="L194" s="2">
        <f t="shared" si="53"/>
        <v>0</v>
      </c>
      <c r="M194">
        <v>1906</v>
      </c>
      <c r="N194">
        <f t="shared" si="54"/>
        <v>7.8872786286449687E-3</v>
      </c>
      <c r="O194" s="10">
        <v>0.79507423399999999</v>
      </c>
      <c r="P194">
        <f t="shared" si="55"/>
        <v>0.78014054445084202</v>
      </c>
      <c r="Q194" s="23">
        <v>0</v>
      </c>
      <c r="R194" s="13">
        <f t="shared" si="56"/>
        <v>0</v>
      </c>
      <c r="S194">
        <f t="shared" si="57"/>
        <v>8.6049300232245773E-2</v>
      </c>
      <c r="T194" s="14">
        <f t="shared" ref="T194:T257" si="67">(S194-$AJ$10)/$AK$10</f>
        <v>0.15355077853557136</v>
      </c>
      <c r="U194" t="str">
        <f t="shared" si="58"/>
        <v>Low</v>
      </c>
      <c r="V194">
        <f t="shared" si="59"/>
        <v>0</v>
      </c>
      <c r="W194">
        <f t="shared" ref="W194:W257" si="68">(V194-$AJ$13)/$AK$13</f>
        <v>0</v>
      </c>
      <c r="X194" t="s">
        <v>1170</v>
      </c>
      <c r="Y194">
        <f t="shared" ref="Y194:Y257" si="69">F194*(P194*1)*(H194*0.35+J194*0.35+L194*0.3)</f>
        <v>0.17209860046449155</v>
      </c>
      <c r="Z194">
        <f t="shared" si="60"/>
        <v>0.31328914047369938</v>
      </c>
      <c r="AA194" t="str">
        <f t="shared" si="61"/>
        <v>Moderate</v>
      </c>
      <c r="AB194">
        <f t="shared" ref="AB194:AB257" si="70">F194*(R194*0.35+P194*0.3+N194*0.35)*(H194*0.35+J194*0.35+L194*0.3)</f>
        <v>5.2238555493969725E-2</v>
      </c>
      <c r="AC194">
        <f t="shared" si="62"/>
        <v>0.12768036303453378</v>
      </c>
      <c r="AD194" t="str">
        <f t="shared" si="63"/>
        <v>No Impact</v>
      </c>
      <c r="AE194">
        <f t="shared" ref="AE194:AE257" si="71">F194*(N194*1)*(H194*0.35+J194*0.35+L194*0.3)</f>
        <v>1.7399295846350217E-3</v>
      </c>
      <c r="AF194">
        <f t="shared" si="64"/>
        <v>1.0505387610961221E-2</v>
      </c>
      <c r="AG194" t="s">
        <v>1170</v>
      </c>
    </row>
    <row r="195" spans="1:33" customFormat="1" x14ac:dyDescent="0.3">
      <c r="A195">
        <v>302692</v>
      </c>
      <c r="B195" t="s">
        <v>521</v>
      </c>
      <c r="C195" t="s">
        <v>705</v>
      </c>
      <c r="D195" t="s">
        <v>741</v>
      </c>
      <c r="E195" s="21">
        <v>5.7</v>
      </c>
      <c r="F195" s="2">
        <f t="shared" ref="F195:F258" si="72">(E195-$AJ$5)/$AK$5</f>
        <v>0.55555555555555558</v>
      </c>
      <c r="G195" s="26">
        <v>57.268439999999998</v>
      </c>
      <c r="H195">
        <f t="shared" ref="H195:H258" si="73">(G195-$AJ$6)/$AK$6</f>
        <v>0.58709186930960533</v>
      </c>
      <c r="I195" s="12">
        <v>119.8</v>
      </c>
      <c r="J195" s="2">
        <f t="shared" ref="J195:J258" si="74">(I195-$AJ$7)/$AK$7</f>
        <v>0.50378469301934392</v>
      </c>
      <c r="K195" s="10">
        <v>0</v>
      </c>
      <c r="L195" s="2">
        <f t="shared" ref="L195:L258" si="75">(K195-$AJ$8)/$AK$8</f>
        <v>0</v>
      </c>
      <c r="M195">
        <v>1942</v>
      </c>
      <c r="N195">
        <f t="shared" ref="N195:N258" si="76">(M195-$AJ$9)/$AK$9</f>
        <v>8.0576097807932706E-3</v>
      </c>
      <c r="O195" s="10">
        <v>0.62585864599999996</v>
      </c>
      <c r="P195">
        <f t="shared" ref="P195:P258" si="77">(O195-$AJ$11)/$AK$11</f>
        <v>0.59378531186188432</v>
      </c>
      <c r="Q195" s="23">
        <v>0</v>
      </c>
      <c r="R195" s="13">
        <f t="shared" ref="R195:R258" si="78">(Q195-$AJ$12)/$AK$12</f>
        <v>0</v>
      </c>
      <c r="S195">
        <f t="shared" ref="S195:S258" si="79">F195*(R195*0.5+P195*0.5)*(H195*0.35+J195*0.35+L195*0.3)</f>
        <v>6.2975352199405657E-2</v>
      </c>
      <c r="T195" s="14">
        <f t="shared" si="67"/>
        <v>0.11237644388358291</v>
      </c>
      <c r="U195" t="str">
        <f t="shared" ref="U195:U258" si="80">IF(T195&gt;0.7,"High",IF(T195&gt;0.3,"Moderate",IF(T195&gt;0.15,"Low","No Impact")))</f>
        <v>No Impact</v>
      </c>
      <c r="V195">
        <f t="shared" ref="V195:V258" si="81">F195*(R195*1)*(H195*0.35+J195*0.35+L195*0.3)</f>
        <v>0</v>
      </c>
      <c r="W195">
        <f t="shared" si="68"/>
        <v>0</v>
      </c>
      <c r="X195" t="s">
        <v>1170</v>
      </c>
      <c r="Y195">
        <f t="shared" si="69"/>
        <v>0.12595070439881131</v>
      </c>
      <c r="Z195">
        <f t="shared" ref="Z195:Z258" si="82">(Y195-$AJ$14)/$AK$14</f>
        <v>0.22928128303577927</v>
      </c>
      <c r="AA195" t="str">
        <f t="shared" ref="AA195:AA258" si="83">IF(Z195&gt;0.7,"High",IF(Z195&gt;0.3,"Moderate",IF(Z195&gt;0.15,"Low","No Impact")))</f>
        <v>Low</v>
      </c>
      <c r="AB195">
        <f t="shared" si="70"/>
        <v>3.8383409965830527E-2</v>
      </c>
      <c r="AC195">
        <f t="shared" ref="AC195:AC258" si="84">(AB195-$AJ$15)/$AK$15</f>
        <v>9.3815911879613884E-2</v>
      </c>
      <c r="AD195" t="str">
        <f t="shared" ref="AD195:AD258" si="85">IF(AC195&gt;0.7,"High",IF(AC195&gt;0.3,"Moderate",IF(AC195&gt;0.15,"Low","No Impact")))</f>
        <v>No Impact</v>
      </c>
      <c r="AE195">
        <f t="shared" si="71"/>
        <v>1.7091389891060879E-3</v>
      </c>
      <c r="AF195">
        <f t="shared" ref="AF195:AF258" si="86">(AE195-$AJ$16)/$AK$16</f>
        <v>1.0319479431883024E-2</v>
      </c>
      <c r="AG195" t="s">
        <v>1170</v>
      </c>
    </row>
    <row r="196" spans="1:33" customFormat="1" x14ac:dyDescent="0.3">
      <c r="A196">
        <v>302693</v>
      </c>
      <c r="B196" t="s">
        <v>531</v>
      </c>
      <c r="C196" t="s">
        <v>705</v>
      </c>
      <c r="D196" t="s">
        <v>742</v>
      </c>
      <c r="E196" s="21">
        <v>5.8</v>
      </c>
      <c r="F196" s="2">
        <f t="shared" si="72"/>
        <v>0.57777777777777772</v>
      </c>
      <c r="G196" s="26">
        <v>57.268439999999998</v>
      </c>
      <c r="H196">
        <f t="shared" si="73"/>
        <v>0.58709186930960533</v>
      </c>
      <c r="I196" s="12">
        <v>119.8</v>
      </c>
      <c r="J196" s="2">
        <f t="shared" si="74"/>
        <v>0.50378469301934392</v>
      </c>
      <c r="K196" s="10">
        <v>0</v>
      </c>
      <c r="L196" s="2">
        <f t="shared" si="75"/>
        <v>0</v>
      </c>
      <c r="M196">
        <v>15432</v>
      </c>
      <c r="N196">
        <f t="shared" si="76"/>
        <v>7.1884477627476309E-2</v>
      </c>
      <c r="O196" s="10">
        <v>0.70445228500000001</v>
      </c>
      <c r="P196">
        <f t="shared" si="77"/>
        <v>0.680339606587129</v>
      </c>
      <c r="Q196" s="23">
        <v>0.16</v>
      </c>
      <c r="R196" s="13">
        <f t="shared" si="78"/>
        <v>0.34647033347769601</v>
      </c>
      <c r="S196">
        <f t="shared" si="79"/>
        <v>0.11325687075562561</v>
      </c>
      <c r="T196" s="14">
        <f t="shared" si="67"/>
        <v>0.20210136087210134</v>
      </c>
      <c r="U196" t="str">
        <f t="shared" si="80"/>
        <v>Low</v>
      </c>
      <c r="V196">
        <f t="shared" si="81"/>
        <v>7.6431176302918527E-2</v>
      </c>
      <c r="W196">
        <f t="shared" si="68"/>
        <v>0.12363759951089826</v>
      </c>
      <c r="X196" t="s">
        <v>1170</v>
      </c>
      <c r="Y196">
        <f t="shared" si="69"/>
        <v>0.15008256520833269</v>
      </c>
      <c r="Z196">
        <f t="shared" si="82"/>
        <v>0.27321104138733415</v>
      </c>
      <c r="AA196" t="str">
        <f t="shared" si="83"/>
        <v>Low</v>
      </c>
      <c r="AB196">
        <f t="shared" si="70"/>
        <v>7.7325868768686828E-2</v>
      </c>
      <c r="AC196">
        <f t="shared" si="84"/>
        <v>0.18899823900158116</v>
      </c>
      <c r="AD196" t="str">
        <f t="shared" si="85"/>
        <v>Low</v>
      </c>
      <c r="AE196">
        <f t="shared" si="71"/>
        <v>1.585767857190155E-2</v>
      </c>
      <c r="AF196">
        <f t="shared" si="86"/>
        <v>9.5745863211358015E-2</v>
      </c>
      <c r="AG196" t="s">
        <v>1170</v>
      </c>
    </row>
    <row r="197" spans="1:33" customFormat="1" x14ac:dyDescent="0.3">
      <c r="A197">
        <v>302695</v>
      </c>
      <c r="B197" t="s">
        <v>536</v>
      </c>
      <c r="C197" t="s">
        <v>705</v>
      </c>
      <c r="D197" t="s">
        <v>743</v>
      </c>
      <c r="E197" s="21">
        <v>5.7</v>
      </c>
      <c r="F197" s="2">
        <f t="shared" si="72"/>
        <v>0.55555555555555558</v>
      </c>
      <c r="G197" s="26">
        <v>57.268439999999998</v>
      </c>
      <c r="H197">
        <f t="shared" si="73"/>
        <v>0.58709186930960533</v>
      </c>
      <c r="I197" s="12">
        <v>119.8</v>
      </c>
      <c r="J197" s="2">
        <f t="shared" si="74"/>
        <v>0.50378469301934392</v>
      </c>
      <c r="K197" s="10">
        <v>0</v>
      </c>
      <c r="L197" s="2">
        <f t="shared" si="75"/>
        <v>0</v>
      </c>
      <c r="M197">
        <v>7916</v>
      </c>
      <c r="N197">
        <f t="shared" si="76"/>
        <v>3.632311819562533E-2</v>
      </c>
      <c r="O197" s="10">
        <v>0.81122422100000002</v>
      </c>
      <c r="P197">
        <f t="shared" si="77"/>
        <v>0.79792634432463172</v>
      </c>
      <c r="Q197" s="23">
        <v>0.1075</v>
      </c>
      <c r="R197" s="13">
        <f t="shared" si="78"/>
        <v>0.232784755305327</v>
      </c>
      <c r="S197">
        <f t="shared" si="79"/>
        <v>0.10931458427542141</v>
      </c>
      <c r="T197" s="14">
        <f t="shared" si="67"/>
        <v>0.19506654296409043</v>
      </c>
      <c r="U197" t="str">
        <f t="shared" si="80"/>
        <v>Low</v>
      </c>
      <c r="V197">
        <f t="shared" si="81"/>
        <v>4.9377112094734034E-2</v>
      </c>
      <c r="W197">
        <f t="shared" si="68"/>
        <v>7.9874050164793056E-2</v>
      </c>
      <c r="X197" t="s">
        <v>1170</v>
      </c>
      <c r="Y197">
        <f t="shared" si="69"/>
        <v>0.16925205645610883</v>
      </c>
      <c r="Z197">
        <f t="shared" si="82"/>
        <v>0.3081072777316442</v>
      </c>
      <c r="AA197" t="str">
        <f t="shared" si="83"/>
        <v>Moderate</v>
      </c>
      <c r="AB197">
        <f t="shared" si="70"/>
        <v>7.0754242110552451E-2</v>
      </c>
      <c r="AC197">
        <f t="shared" si="84"/>
        <v>0.17293600930353992</v>
      </c>
      <c r="AD197" t="str">
        <f t="shared" si="85"/>
        <v>Low</v>
      </c>
      <c r="AE197">
        <f t="shared" si="71"/>
        <v>7.7046741158939731E-3</v>
      </c>
      <c r="AF197">
        <f t="shared" si="86"/>
        <v>4.6519461889938912E-2</v>
      </c>
      <c r="AG197" t="s">
        <v>1170</v>
      </c>
    </row>
    <row r="198" spans="1:33" customFormat="1" x14ac:dyDescent="0.3">
      <c r="A198">
        <v>302696</v>
      </c>
      <c r="B198" t="s">
        <v>535</v>
      </c>
      <c r="C198" t="s">
        <v>705</v>
      </c>
      <c r="D198" t="s">
        <v>744</v>
      </c>
      <c r="E198" s="21">
        <v>5.8</v>
      </c>
      <c r="F198" s="2">
        <f t="shared" si="72"/>
        <v>0.57777777777777772</v>
      </c>
      <c r="G198" s="26">
        <v>57.268439999999998</v>
      </c>
      <c r="H198">
        <f t="shared" si="73"/>
        <v>0.58709186930960533</v>
      </c>
      <c r="I198" s="12">
        <v>119.8</v>
      </c>
      <c r="J198" s="2">
        <f t="shared" si="74"/>
        <v>0.50378469301934392</v>
      </c>
      <c r="K198" s="10">
        <v>0</v>
      </c>
      <c r="L198" s="2">
        <f t="shared" si="75"/>
        <v>0</v>
      </c>
      <c r="M198">
        <v>14687</v>
      </c>
      <c r="N198">
        <f t="shared" si="76"/>
        <v>6.8359569062185072E-2</v>
      </c>
      <c r="O198" s="10">
        <v>0.76579187400000004</v>
      </c>
      <c r="P198">
        <f t="shared" si="77"/>
        <v>0.7478922092173671</v>
      </c>
      <c r="Q198" s="23">
        <v>0.24560000000000001</v>
      </c>
      <c r="R198" s="13">
        <f t="shared" si="78"/>
        <v>0.53183196188826332</v>
      </c>
      <c r="S198">
        <f t="shared" si="79"/>
        <v>0.14115324501105847</v>
      </c>
      <c r="T198" s="14">
        <f t="shared" si="67"/>
        <v>0.25188107986668068</v>
      </c>
      <c r="U198" t="str">
        <f t="shared" si="80"/>
        <v>Low</v>
      </c>
      <c r="V198">
        <f t="shared" si="81"/>
        <v>0.11732185562497992</v>
      </c>
      <c r="W198">
        <f t="shared" si="68"/>
        <v>0.1897837152492288</v>
      </c>
      <c r="X198" t="s">
        <v>1170</v>
      </c>
      <c r="Y198">
        <f t="shared" si="69"/>
        <v>0.16498463439713701</v>
      </c>
      <c r="Z198">
        <f t="shared" si="82"/>
        <v>0.30033884158349766</v>
      </c>
      <c r="AA198" t="str">
        <f t="shared" si="83"/>
        <v>Moderate</v>
      </c>
      <c r="AB198">
        <f t="shared" si="70"/>
        <v>9.5836069736043875E-2</v>
      </c>
      <c r="AC198">
        <f t="shared" si="84"/>
        <v>0.23424047736376463</v>
      </c>
      <c r="AD198" t="str">
        <f t="shared" si="85"/>
        <v>Low</v>
      </c>
      <c r="AE198">
        <f t="shared" si="71"/>
        <v>1.5080085566170843E-2</v>
      </c>
      <c r="AF198">
        <f t="shared" si="86"/>
        <v>9.1050893943112013E-2</v>
      </c>
      <c r="AG198" t="s">
        <v>1170</v>
      </c>
    </row>
    <row r="199" spans="1:33" customFormat="1" x14ac:dyDescent="0.3">
      <c r="A199">
        <v>302903</v>
      </c>
      <c r="B199" t="s">
        <v>9</v>
      </c>
      <c r="C199" t="s">
        <v>746</v>
      </c>
      <c r="D199" t="s">
        <v>745</v>
      </c>
      <c r="E199" s="21">
        <v>5.4</v>
      </c>
      <c r="F199" s="2">
        <f t="shared" si="72"/>
        <v>0.48888888888888893</v>
      </c>
      <c r="G199" s="26">
        <v>52.329599999999999</v>
      </c>
      <c r="H199">
        <f t="shared" si="73"/>
        <v>0.53646096670738586</v>
      </c>
      <c r="I199" s="12">
        <v>94.2</v>
      </c>
      <c r="J199" s="2">
        <f t="shared" si="74"/>
        <v>0.39613120269133723</v>
      </c>
      <c r="K199" s="10">
        <v>0</v>
      </c>
      <c r="L199" s="2">
        <f t="shared" si="75"/>
        <v>0</v>
      </c>
      <c r="M199">
        <v>9951</v>
      </c>
      <c r="N199">
        <f t="shared" si="76"/>
        <v>4.5951559712897383E-2</v>
      </c>
      <c r="O199" s="10">
        <v>0.92279505299999998</v>
      </c>
      <c r="P199">
        <f t="shared" si="77"/>
        <v>0.92079805250026103</v>
      </c>
      <c r="Q199" s="23">
        <v>0.25619999999999998</v>
      </c>
      <c r="R199" s="13">
        <f t="shared" si="78"/>
        <v>0.55478562148116062</v>
      </c>
      <c r="S199">
        <f t="shared" si="79"/>
        <v>0.11773452114763418</v>
      </c>
      <c r="T199" s="14">
        <f t="shared" si="67"/>
        <v>0.21009150956415745</v>
      </c>
      <c r="U199" t="str">
        <f t="shared" si="80"/>
        <v>Low</v>
      </c>
      <c r="V199">
        <f t="shared" si="81"/>
        <v>8.8530959831559453E-2</v>
      </c>
      <c r="W199">
        <f t="shared" si="68"/>
        <v>0.1432106096678222</v>
      </c>
      <c r="X199" t="s">
        <v>1170</v>
      </c>
      <c r="Y199">
        <f t="shared" si="69"/>
        <v>0.1469380824637089</v>
      </c>
      <c r="Z199">
        <f t="shared" si="82"/>
        <v>0.26748680950143439</v>
      </c>
      <c r="AA199" t="str">
        <f t="shared" si="83"/>
        <v>Low</v>
      </c>
      <c r="AB199">
        <f t="shared" si="70"/>
        <v>7.7633743003001729E-2</v>
      </c>
      <c r="AC199">
        <f t="shared" si="84"/>
        <v>0.1897507386378095</v>
      </c>
      <c r="AD199" t="str">
        <f t="shared" si="85"/>
        <v>Low</v>
      </c>
      <c r="AE199">
        <f t="shared" si="71"/>
        <v>7.3328066366950152E-3</v>
      </c>
      <c r="AF199">
        <f t="shared" si="86"/>
        <v>4.4274191711539373E-2</v>
      </c>
      <c r="AG199" t="s">
        <v>1170</v>
      </c>
    </row>
    <row r="200" spans="1:33" customFormat="1" x14ac:dyDescent="0.3">
      <c r="A200">
        <v>302910</v>
      </c>
      <c r="B200" t="s">
        <v>67</v>
      </c>
      <c r="C200" t="s">
        <v>746</v>
      </c>
      <c r="D200" t="s">
        <v>747</v>
      </c>
      <c r="E200" s="21">
        <v>5.4</v>
      </c>
      <c r="F200" s="2">
        <f t="shared" si="72"/>
        <v>0.48888888888888893</v>
      </c>
      <c r="G200" s="26">
        <v>60.058440000000004</v>
      </c>
      <c r="H200">
        <f t="shared" si="73"/>
        <v>0.61569377142836057</v>
      </c>
      <c r="I200" s="12">
        <v>129.20000000000002</v>
      </c>
      <c r="J200" s="2">
        <f t="shared" si="74"/>
        <v>0.54331370899915898</v>
      </c>
      <c r="K200" s="10">
        <v>0</v>
      </c>
      <c r="L200" s="2">
        <f t="shared" si="75"/>
        <v>0</v>
      </c>
      <c r="M200">
        <v>18588</v>
      </c>
      <c r="N200">
        <f t="shared" si="76"/>
        <v>8.6816841965810757E-2</v>
      </c>
      <c r="O200" s="10">
        <v>0.93174542000000005</v>
      </c>
      <c r="P200">
        <f t="shared" si="77"/>
        <v>0.93065499147234643</v>
      </c>
      <c r="Q200" s="23">
        <v>0.26469999999999999</v>
      </c>
      <c r="R200" s="13">
        <f t="shared" si="78"/>
        <v>0.57319185794716332</v>
      </c>
      <c r="S200">
        <f t="shared" si="79"/>
        <v>0.1491207450976465</v>
      </c>
      <c r="T200" s="14">
        <f t="shared" si="67"/>
        <v>0.26609869509394973</v>
      </c>
      <c r="U200" t="str">
        <f t="shared" si="80"/>
        <v>Low</v>
      </c>
      <c r="V200">
        <f t="shared" si="81"/>
        <v>0.1136748691849558</v>
      </c>
      <c r="W200">
        <f t="shared" si="68"/>
        <v>0.18388422932340298</v>
      </c>
      <c r="X200" t="s">
        <v>1170</v>
      </c>
      <c r="Y200">
        <f t="shared" si="69"/>
        <v>0.18456662101033722</v>
      </c>
      <c r="Z200">
        <f t="shared" si="82"/>
        <v>0.33598598652400957</v>
      </c>
      <c r="AA200" t="str">
        <f t="shared" si="83"/>
        <v>Moderate</v>
      </c>
      <c r="AB200">
        <f t="shared" si="70"/>
        <v>0.1011822925216232</v>
      </c>
      <c r="AC200">
        <f t="shared" si="84"/>
        <v>0.2473076010556719</v>
      </c>
      <c r="AD200" t="str">
        <f t="shared" si="85"/>
        <v>Low</v>
      </c>
      <c r="AE200">
        <f t="shared" si="71"/>
        <v>1.7217434296535716E-2</v>
      </c>
      <c r="AF200">
        <f t="shared" si="86"/>
        <v>0.10395582818330361</v>
      </c>
      <c r="AG200" t="s">
        <v>1170</v>
      </c>
    </row>
    <row r="201" spans="1:33" customFormat="1" x14ac:dyDescent="0.3">
      <c r="A201">
        <v>302918</v>
      </c>
      <c r="B201" t="s">
        <v>84</v>
      </c>
      <c r="C201" t="s">
        <v>746</v>
      </c>
      <c r="D201" t="s">
        <v>748</v>
      </c>
      <c r="E201" s="21">
        <v>5.5</v>
      </c>
      <c r="F201" s="2">
        <f t="shared" si="72"/>
        <v>0.51111111111111107</v>
      </c>
      <c r="G201" s="26">
        <v>52.5366</v>
      </c>
      <c r="H201">
        <f t="shared" si="73"/>
        <v>0.53858304331619677</v>
      </c>
      <c r="I201" s="12">
        <v>88.9</v>
      </c>
      <c r="J201" s="2">
        <f t="shared" si="74"/>
        <v>0.37384356602186714</v>
      </c>
      <c r="K201" s="10">
        <v>0</v>
      </c>
      <c r="L201" s="2">
        <f t="shared" si="75"/>
        <v>0</v>
      </c>
      <c r="M201">
        <v>27398</v>
      </c>
      <c r="N201">
        <f t="shared" si="76"/>
        <v>0.12850066003321459</v>
      </c>
      <c r="O201" s="10">
        <v>0.96372172199999995</v>
      </c>
      <c r="P201">
        <f t="shared" si="77"/>
        <v>0.96587013487003814</v>
      </c>
      <c r="Q201" s="23">
        <v>0.28249999999999997</v>
      </c>
      <c r="R201" s="13">
        <f t="shared" si="78"/>
        <v>0.61173668254655689</v>
      </c>
      <c r="S201">
        <f t="shared" si="79"/>
        <v>0.12875084484707228</v>
      </c>
      <c r="T201" s="14">
        <f t="shared" si="67"/>
        <v>0.22974960179829623</v>
      </c>
      <c r="U201" t="str">
        <f t="shared" si="80"/>
        <v>Low</v>
      </c>
      <c r="V201">
        <f t="shared" si="81"/>
        <v>9.9849485730278839E-2</v>
      </c>
      <c r="W201">
        <f t="shared" si="68"/>
        <v>0.1615198316346986</v>
      </c>
      <c r="X201" t="s">
        <v>1170</v>
      </c>
      <c r="Y201">
        <f t="shared" si="69"/>
        <v>0.15765220396386573</v>
      </c>
      <c r="Z201">
        <f t="shared" si="82"/>
        <v>0.28699084908487932</v>
      </c>
      <c r="AA201" t="str">
        <f t="shared" si="83"/>
        <v>Low</v>
      </c>
      <c r="AB201">
        <f t="shared" si="70"/>
        <v>8.958397253177669E-2</v>
      </c>
      <c r="AC201">
        <f t="shared" si="84"/>
        <v>0.21895923474096318</v>
      </c>
      <c r="AD201" t="str">
        <f t="shared" si="85"/>
        <v>Low</v>
      </c>
      <c r="AE201">
        <f t="shared" si="71"/>
        <v>2.0974260962912543E-2</v>
      </c>
      <c r="AF201">
        <f t="shared" si="86"/>
        <v>0.1266388842483355</v>
      </c>
      <c r="AG201" t="s">
        <v>1170</v>
      </c>
    </row>
    <row r="202" spans="1:33" customFormat="1" x14ac:dyDescent="0.3">
      <c r="A202">
        <v>302921</v>
      </c>
      <c r="B202" t="s">
        <v>99</v>
      </c>
      <c r="C202" t="s">
        <v>746</v>
      </c>
      <c r="D202" t="s">
        <v>749</v>
      </c>
      <c r="E202" s="21">
        <v>5.4</v>
      </c>
      <c r="F202" s="2">
        <f t="shared" si="72"/>
        <v>0.48888888888888893</v>
      </c>
      <c r="G202" s="26">
        <v>51.824159999999999</v>
      </c>
      <c r="H202">
        <f t="shared" si="73"/>
        <v>0.53127940921387207</v>
      </c>
      <c r="I202" s="12">
        <v>67.900000000000006</v>
      </c>
      <c r="J202" s="2">
        <f t="shared" si="74"/>
        <v>0.28553406223717409</v>
      </c>
      <c r="K202" s="10">
        <v>0</v>
      </c>
      <c r="L202" s="2">
        <f t="shared" si="75"/>
        <v>0</v>
      </c>
      <c r="M202">
        <v>8877</v>
      </c>
      <c r="N202">
        <f t="shared" si="76"/>
        <v>4.0870013673806382E-2</v>
      </c>
      <c r="O202" s="10">
        <v>0.64947396999999996</v>
      </c>
      <c r="P202">
        <f t="shared" si="77"/>
        <v>0.61979260379460854</v>
      </c>
      <c r="Q202" s="23">
        <v>0.22500000000000001</v>
      </c>
      <c r="R202" s="13">
        <f t="shared" si="78"/>
        <v>0.48722390645301</v>
      </c>
      <c r="S202">
        <f t="shared" si="79"/>
        <v>7.7361557665612729E-2</v>
      </c>
      <c r="T202" s="14">
        <f t="shared" si="67"/>
        <v>0.13804792573813252</v>
      </c>
      <c r="U202" t="str">
        <f t="shared" si="80"/>
        <v>No Impact</v>
      </c>
      <c r="V202">
        <f t="shared" si="81"/>
        <v>6.8097268624654136E-2</v>
      </c>
      <c r="W202">
        <f t="shared" si="68"/>
        <v>0.11015639472343894</v>
      </c>
      <c r="X202" t="s">
        <v>1170</v>
      </c>
      <c r="Y202">
        <f t="shared" si="69"/>
        <v>8.6625846706571336E-2</v>
      </c>
      <c r="Z202">
        <f t="shared" si="82"/>
        <v>0.15769411828022184</v>
      </c>
      <c r="AA202" t="str">
        <f t="shared" si="83"/>
        <v>Low</v>
      </c>
      <c r="AB202">
        <f t="shared" si="70"/>
        <v>5.1821079453457645E-2</v>
      </c>
      <c r="AC202">
        <f t="shared" si="84"/>
        <v>0.12665997700152115</v>
      </c>
      <c r="AD202" t="str">
        <f t="shared" si="85"/>
        <v>No Impact</v>
      </c>
      <c r="AE202">
        <f t="shared" si="71"/>
        <v>5.712232636735157E-3</v>
      </c>
      <c r="AF202">
        <f t="shared" si="86"/>
        <v>3.4489452046114706E-2</v>
      </c>
      <c r="AG202" t="s">
        <v>1170</v>
      </c>
    </row>
    <row r="203" spans="1:33" customFormat="1" x14ac:dyDescent="0.3">
      <c r="A203">
        <v>302947</v>
      </c>
      <c r="B203" t="s">
        <v>165</v>
      </c>
      <c r="C203" t="s">
        <v>746</v>
      </c>
      <c r="D203" t="s">
        <v>750</v>
      </c>
      <c r="E203" s="21">
        <v>5.5</v>
      </c>
      <c r="F203" s="2">
        <f t="shared" si="72"/>
        <v>0.51111111111111107</v>
      </c>
      <c r="G203" s="26">
        <v>51.824159999999999</v>
      </c>
      <c r="H203">
        <f t="shared" si="73"/>
        <v>0.53127940921387207</v>
      </c>
      <c r="I203" s="12">
        <v>52.6</v>
      </c>
      <c r="J203" s="2">
        <f t="shared" si="74"/>
        <v>0.22119428090832632</v>
      </c>
      <c r="K203" s="10">
        <v>0</v>
      </c>
      <c r="L203" s="2">
        <f t="shared" si="75"/>
        <v>0</v>
      </c>
      <c r="M203">
        <v>53061</v>
      </c>
      <c r="N203">
        <f t="shared" si="76"/>
        <v>0.24992311441048862</v>
      </c>
      <c r="O203" s="10">
        <v>0.72030687100000002</v>
      </c>
      <c r="P203">
        <f t="shared" si="77"/>
        <v>0.69780008464681953</v>
      </c>
      <c r="Q203" s="23">
        <v>0.26669999999999999</v>
      </c>
      <c r="R203" s="13">
        <f t="shared" si="78"/>
        <v>0.57752273711563451</v>
      </c>
      <c r="S203">
        <f t="shared" si="79"/>
        <v>8.5835081131095767E-2</v>
      </c>
      <c r="T203" s="14">
        <f t="shared" si="67"/>
        <v>0.15316851499978437</v>
      </c>
      <c r="U203" t="str">
        <f t="shared" si="80"/>
        <v>Low</v>
      </c>
      <c r="V203">
        <f t="shared" si="81"/>
        <v>7.7739863428251857E-2</v>
      </c>
      <c r="W203">
        <f t="shared" si="68"/>
        <v>0.12575457510271382</v>
      </c>
      <c r="X203" t="s">
        <v>1170</v>
      </c>
      <c r="Y203">
        <f t="shared" si="69"/>
        <v>9.3930298833939663E-2</v>
      </c>
      <c r="Z203">
        <f t="shared" si="82"/>
        <v>0.17099117893288338</v>
      </c>
      <c r="AA203" t="str">
        <f t="shared" si="83"/>
        <v>Low</v>
      </c>
      <c r="AB203">
        <f t="shared" si="70"/>
        <v>6.7162722977958889E-2</v>
      </c>
      <c r="AC203">
        <f t="shared" si="84"/>
        <v>0.16415769485056933</v>
      </c>
      <c r="AD203" t="str">
        <f t="shared" si="85"/>
        <v>Low</v>
      </c>
      <c r="AE203">
        <f t="shared" si="71"/>
        <v>3.3641946079682364E-2</v>
      </c>
      <c r="AF203">
        <f t="shared" si="86"/>
        <v>0.20312413023786613</v>
      </c>
      <c r="AG203" t="s">
        <v>1169</v>
      </c>
    </row>
    <row r="204" spans="1:33" customFormat="1" x14ac:dyDescent="0.3">
      <c r="A204">
        <v>302956</v>
      </c>
      <c r="B204" t="s">
        <v>313</v>
      </c>
      <c r="C204" t="s">
        <v>746</v>
      </c>
      <c r="D204" t="s">
        <v>751</v>
      </c>
      <c r="E204" s="21">
        <v>5.5</v>
      </c>
      <c r="F204" s="2">
        <f t="shared" si="72"/>
        <v>0.51111111111111107</v>
      </c>
      <c r="G204" s="26">
        <v>49.165199999999999</v>
      </c>
      <c r="H204">
        <f t="shared" si="73"/>
        <v>0.50402087385269456</v>
      </c>
      <c r="I204" s="12">
        <v>33.700000000000003</v>
      </c>
      <c r="J204" s="2">
        <f t="shared" si="74"/>
        <v>0.14171572750210262</v>
      </c>
      <c r="K204" s="10">
        <v>0</v>
      </c>
      <c r="L204" s="2">
        <f t="shared" si="75"/>
        <v>0</v>
      </c>
      <c r="M204">
        <v>19899</v>
      </c>
      <c r="N204">
        <f t="shared" si="76"/>
        <v>9.3019734756544736E-2</v>
      </c>
      <c r="O204" s="10">
        <v>0.96441881799999996</v>
      </c>
      <c r="P204">
        <f t="shared" si="77"/>
        <v>0.96663783889040789</v>
      </c>
      <c r="Q204" s="23">
        <v>0.2848</v>
      </c>
      <c r="R204" s="13">
        <f t="shared" si="78"/>
        <v>0.61671719359029886</v>
      </c>
      <c r="S204">
        <f t="shared" si="79"/>
        <v>9.1450709935193913E-2</v>
      </c>
      <c r="T204" s="14">
        <f t="shared" si="67"/>
        <v>0.1631893306544005</v>
      </c>
      <c r="U204" t="str">
        <f t="shared" si="80"/>
        <v>Low</v>
      </c>
      <c r="V204">
        <f t="shared" si="81"/>
        <v>7.124015022039662E-2</v>
      </c>
      <c r="W204">
        <f t="shared" si="68"/>
        <v>0.11524042397486031</v>
      </c>
      <c r="X204" t="s">
        <v>1170</v>
      </c>
      <c r="Y204">
        <f t="shared" si="69"/>
        <v>0.11166126964999122</v>
      </c>
      <c r="Z204">
        <f t="shared" si="82"/>
        <v>0.20326872559353254</v>
      </c>
      <c r="AA204" t="str">
        <f t="shared" si="83"/>
        <v>Low</v>
      </c>
      <c r="AB204">
        <f t="shared" si="70"/>
        <v>6.2193247960911406E-2</v>
      </c>
      <c r="AC204">
        <f t="shared" si="84"/>
        <v>0.15201141001807786</v>
      </c>
      <c r="AD204" t="str">
        <f t="shared" si="85"/>
        <v>Low</v>
      </c>
      <c r="AE204">
        <f t="shared" si="71"/>
        <v>1.074518425364351E-2</v>
      </c>
      <c r="AF204">
        <f t="shared" si="86"/>
        <v>6.4877525235827863E-2</v>
      </c>
      <c r="AG204" t="s">
        <v>1170</v>
      </c>
    </row>
    <row r="205" spans="1:33" customFormat="1" x14ac:dyDescent="0.3">
      <c r="A205">
        <v>302962</v>
      </c>
      <c r="B205" t="s">
        <v>362</v>
      </c>
      <c r="C205" t="s">
        <v>746</v>
      </c>
      <c r="D205" t="s">
        <v>752</v>
      </c>
      <c r="E205" s="21">
        <v>5.4</v>
      </c>
      <c r="F205" s="2">
        <f t="shared" si="72"/>
        <v>0.48888888888888893</v>
      </c>
      <c r="G205" s="26">
        <v>54.432360000000003</v>
      </c>
      <c r="H205">
        <f t="shared" si="73"/>
        <v>0.55801757448488898</v>
      </c>
      <c r="I205" s="12">
        <v>119.2</v>
      </c>
      <c r="J205" s="2">
        <f t="shared" si="74"/>
        <v>0.50126156433978131</v>
      </c>
      <c r="K205" s="10">
        <v>0</v>
      </c>
      <c r="L205" s="2">
        <f t="shared" si="75"/>
        <v>0</v>
      </c>
      <c r="M205">
        <v>16580</v>
      </c>
      <c r="N205">
        <f t="shared" si="76"/>
        <v>7.7316148812649921E-2</v>
      </c>
      <c r="O205" s="10">
        <v>0.96128024199999995</v>
      </c>
      <c r="P205">
        <f t="shared" si="77"/>
        <v>0.96318136027994961</v>
      </c>
      <c r="Q205" s="23">
        <v>0.24690000000000001</v>
      </c>
      <c r="R205" s="13">
        <f t="shared" si="78"/>
        <v>0.53464703334776964</v>
      </c>
      <c r="S205">
        <f t="shared" si="79"/>
        <v>0.1357440161777794</v>
      </c>
      <c r="T205" s="14">
        <f t="shared" si="67"/>
        <v>0.24222857489121535</v>
      </c>
      <c r="U205" t="str">
        <f t="shared" si="80"/>
        <v>Low</v>
      </c>
      <c r="V205">
        <f t="shared" si="81"/>
        <v>9.6907143505786317E-2</v>
      </c>
      <c r="W205">
        <f t="shared" si="68"/>
        <v>0.15676020150505054</v>
      </c>
      <c r="X205" t="s">
        <v>1170</v>
      </c>
      <c r="Y205">
        <f t="shared" si="69"/>
        <v>0.17458088884977244</v>
      </c>
      <c r="Z205">
        <f t="shared" si="82"/>
        <v>0.31780791048422569</v>
      </c>
      <c r="AA205" t="str">
        <f t="shared" si="83"/>
        <v>Moderate</v>
      </c>
      <c r="AB205">
        <f t="shared" si="70"/>
        <v>9.1196629962343678E-2</v>
      </c>
      <c r="AC205">
        <f t="shared" si="84"/>
        <v>0.22290085763306058</v>
      </c>
      <c r="AD205" t="str">
        <f t="shared" si="85"/>
        <v>Low</v>
      </c>
      <c r="AE205">
        <f t="shared" si="71"/>
        <v>1.401389451539066E-2</v>
      </c>
      <c r="AF205">
        <f t="shared" si="86"/>
        <v>8.4613420636895767E-2</v>
      </c>
      <c r="AG205" t="s">
        <v>1170</v>
      </c>
    </row>
    <row r="206" spans="1:33" customFormat="1" x14ac:dyDescent="0.3">
      <c r="A206">
        <v>302984</v>
      </c>
      <c r="B206" t="s">
        <v>453</v>
      </c>
      <c r="C206" t="s">
        <v>746</v>
      </c>
      <c r="D206" t="s">
        <v>753</v>
      </c>
      <c r="E206" s="21">
        <v>5.4</v>
      </c>
      <c r="F206" s="2">
        <f t="shared" si="72"/>
        <v>0.48888888888888893</v>
      </c>
      <c r="G206" s="26">
        <v>63.339480000000002</v>
      </c>
      <c r="H206">
        <f t="shared" si="73"/>
        <v>0.64932960832001652</v>
      </c>
      <c r="I206" s="12">
        <v>146.30000000000001</v>
      </c>
      <c r="J206" s="2">
        <f t="shared" si="74"/>
        <v>0.6152228763666947</v>
      </c>
      <c r="K206" s="10">
        <v>0</v>
      </c>
      <c r="L206" s="2">
        <f t="shared" si="75"/>
        <v>0</v>
      </c>
      <c r="M206">
        <v>32677</v>
      </c>
      <c r="N206">
        <f t="shared" si="76"/>
        <v>0.1534778309274058</v>
      </c>
      <c r="O206" s="10">
        <v>0.71021932499999996</v>
      </c>
      <c r="P206">
        <f t="shared" si="77"/>
        <v>0.68669078317347176</v>
      </c>
      <c r="Q206" s="23">
        <v>0.25030000000000002</v>
      </c>
      <c r="R206" s="13">
        <f t="shared" si="78"/>
        <v>0.54200952793417068</v>
      </c>
      <c r="S206">
        <f t="shared" si="79"/>
        <v>0.13293246045964538</v>
      </c>
      <c r="T206" s="14">
        <f t="shared" si="67"/>
        <v>0.23721149086786572</v>
      </c>
      <c r="U206" t="str">
        <f t="shared" si="80"/>
        <v>Low</v>
      </c>
      <c r="V206">
        <f t="shared" si="81"/>
        <v>0.11727946919116239</v>
      </c>
      <c r="W206">
        <f t="shared" si="68"/>
        <v>0.1897151495515316</v>
      </c>
      <c r="X206" t="s">
        <v>1170</v>
      </c>
      <c r="Y206">
        <f t="shared" si="69"/>
        <v>0.14858545172812834</v>
      </c>
      <c r="Z206">
        <f t="shared" si="82"/>
        <v>0.27048568862944472</v>
      </c>
      <c r="AA206" t="str">
        <f t="shared" si="83"/>
        <v>Low</v>
      </c>
      <c r="AB206">
        <f t="shared" si="70"/>
        <v>9.7246731551688489E-2</v>
      </c>
      <c r="AC206">
        <f t="shared" si="84"/>
        <v>0.23768838688264959</v>
      </c>
      <c r="AD206" t="str">
        <f t="shared" si="85"/>
        <v>Low</v>
      </c>
      <c r="AE206">
        <f t="shared" si="71"/>
        <v>3.3209376618123343E-2</v>
      </c>
      <c r="AF206">
        <f t="shared" si="86"/>
        <v>0.20051235220818481</v>
      </c>
      <c r="AG206" t="s">
        <v>1169</v>
      </c>
    </row>
    <row r="207" spans="1:33" customFormat="1" x14ac:dyDescent="0.3">
      <c r="A207">
        <v>302990</v>
      </c>
      <c r="B207" t="s">
        <v>458</v>
      </c>
      <c r="C207" t="s">
        <v>746</v>
      </c>
      <c r="D207" t="s">
        <v>754</v>
      </c>
      <c r="E207" s="21">
        <v>5.4</v>
      </c>
      <c r="F207" s="2">
        <f t="shared" si="72"/>
        <v>0.48888888888888893</v>
      </c>
      <c r="G207" s="26">
        <v>54.432360000000003</v>
      </c>
      <c r="H207">
        <f t="shared" si="73"/>
        <v>0.55801757448488898</v>
      </c>
      <c r="I207" s="12">
        <v>119.2</v>
      </c>
      <c r="J207" s="2">
        <f t="shared" si="74"/>
        <v>0.50126156433978131</v>
      </c>
      <c r="K207" s="10">
        <v>0</v>
      </c>
      <c r="L207" s="2">
        <f t="shared" si="75"/>
        <v>0</v>
      </c>
      <c r="M207">
        <v>15640</v>
      </c>
      <c r="N207">
        <f t="shared" si="76"/>
        <v>7.2868613173222047E-2</v>
      </c>
      <c r="O207" s="10">
        <v>0.946430463</v>
      </c>
      <c r="P207">
        <f t="shared" si="77"/>
        <v>0.94682746491990988</v>
      </c>
      <c r="Q207" s="23">
        <v>0.2477</v>
      </c>
      <c r="R207" s="13">
        <f t="shared" si="78"/>
        <v>0.53637938501515814</v>
      </c>
      <c r="S207">
        <f t="shared" si="79"/>
        <v>0.13441890639083495</v>
      </c>
      <c r="T207" s="14">
        <f t="shared" si="67"/>
        <v>0.23986398111902596</v>
      </c>
      <c r="U207" t="str">
        <f t="shared" si="80"/>
        <v>Low</v>
      </c>
      <c r="V207">
        <f t="shared" si="81"/>
        <v>9.7221139920547872E-2</v>
      </c>
      <c r="W207">
        <f t="shared" si="68"/>
        <v>0.15726813249413132</v>
      </c>
      <c r="X207" t="s">
        <v>1170</v>
      </c>
      <c r="Y207">
        <f t="shared" si="69"/>
        <v>0.171616672861122</v>
      </c>
      <c r="Z207">
        <f t="shared" si="82"/>
        <v>0.31241183708934472</v>
      </c>
      <c r="AA207" t="str">
        <f t="shared" si="83"/>
        <v>Moderate</v>
      </c>
      <c r="AB207">
        <f t="shared" si="70"/>
        <v>9.0135116472229368E-2</v>
      </c>
      <c r="AC207">
        <f t="shared" si="84"/>
        <v>0.22030632900373248</v>
      </c>
      <c r="AD207" t="str">
        <f t="shared" si="85"/>
        <v>Low</v>
      </c>
      <c r="AE207">
        <f t="shared" si="71"/>
        <v>1.3207758976288573E-2</v>
      </c>
      <c r="AF207">
        <f t="shared" si="86"/>
        <v>7.9746116591936339E-2</v>
      </c>
      <c r="AG207" t="s">
        <v>1170</v>
      </c>
    </row>
    <row r="208" spans="1:33" customFormat="1" x14ac:dyDescent="0.3">
      <c r="A208">
        <v>303330</v>
      </c>
      <c r="B208" t="s">
        <v>181</v>
      </c>
      <c r="C208" t="s">
        <v>756</v>
      </c>
      <c r="D208" t="s">
        <v>755</v>
      </c>
      <c r="E208" s="21">
        <v>4.8</v>
      </c>
      <c r="F208" s="2">
        <f t="shared" si="72"/>
        <v>0.35555555555555546</v>
      </c>
      <c r="G208" s="26">
        <v>56.042279999999998</v>
      </c>
      <c r="H208">
        <f t="shared" si="73"/>
        <v>0.57452179464941444</v>
      </c>
      <c r="I208" s="12">
        <v>110.3</v>
      </c>
      <c r="J208" s="2">
        <f t="shared" si="74"/>
        <v>0.4638351555929352</v>
      </c>
      <c r="K208" s="10">
        <v>0</v>
      </c>
      <c r="L208" s="2">
        <f t="shared" si="75"/>
        <v>0</v>
      </c>
      <c r="M208">
        <v>211592</v>
      </c>
      <c r="N208">
        <f t="shared" si="76"/>
        <v>1</v>
      </c>
      <c r="O208" s="10">
        <v>0.84649196599999998</v>
      </c>
      <c r="P208">
        <f t="shared" si="77"/>
        <v>0.83676631704843918</v>
      </c>
      <c r="Q208" s="23">
        <v>0.2616</v>
      </c>
      <c r="R208" s="13">
        <f t="shared" si="78"/>
        <v>0.56647899523603296</v>
      </c>
      <c r="S208">
        <f t="shared" si="79"/>
        <v>9.066210364745815E-2</v>
      </c>
      <c r="T208" s="14">
        <f t="shared" si="67"/>
        <v>0.16178210120438696</v>
      </c>
      <c r="U208" t="str">
        <f t="shared" si="80"/>
        <v>Low</v>
      </c>
      <c r="V208">
        <f t="shared" si="81"/>
        <v>7.3199143343777098E-2</v>
      </c>
      <c r="W208">
        <f t="shared" si="68"/>
        <v>0.11840935606447242</v>
      </c>
      <c r="X208" t="s">
        <v>1170</v>
      </c>
      <c r="Y208">
        <f t="shared" si="69"/>
        <v>0.1081250639511392</v>
      </c>
      <c r="Z208">
        <f t="shared" si="82"/>
        <v>0.19683139931114868</v>
      </c>
      <c r="AA208" t="str">
        <f t="shared" si="83"/>
        <v>Low</v>
      </c>
      <c r="AB208">
        <f t="shared" si="70"/>
        <v>0.10328343318844162</v>
      </c>
      <c r="AC208">
        <f t="shared" si="84"/>
        <v>0.25244316425394919</v>
      </c>
      <c r="AD208" t="str">
        <f t="shared" si="85"/>
        <v>Low</v>
      </c>
      <c r="AE208">
        <f>F208*(N208*1)*(H208*0.35+J208*0.35+L208*0.3)</f>
        <v>0.12921775380793679</v>
      </c>
      <c r="AF208">
        <f t="shared" si="86"/>
        <v>0.7801939813874077</v>
      </c>
      <c r="AG208" t="str">
        <f t="shared" ref="AG208:AG251" si="87">IF(AF208&gt;0.7,"High",IF(AF208&gt;0.3,"Moderate",IF(AF208&gt;0.15,"Low","No Impact")))</f>
        <v>High</v>
      </c>
    </row>
    <row r="209" spans="1:33" customFormat="1" x14ac:dyDescent="0.3">
      <c r="A209">
        <v>303332</v>
      </c>
      <c r="B209" t="s">
        <v>243</v>
      </c>
      <c r="C209" t="s">
        <v>756</v>
      </c>
      <c r="D209" t="s">
        <v>757</v>
      </c>
      <c r="E209" s="21">
        <v>4.8</v>
      </c>
      <c r="F209" s="2">
        <f t="shared" si="72"/>
        <v>0.35555555555555546</v>
      </c>
      <c r="G209" s="26">
        <v>45.633240000000001</v>
      </c>
      <c r="H209">
        <f t="shared" si="73"/>
        <v>0.46781271105435834</v>
      </c>
      <c r="I209" s="12">
        <v>38.199999999999996</v>
      </c>
      <c r="J209" s="2">
        <f t="shared" si="74"/>
        <v>0.16063919259882251</v>
      </c>
      <c r="K209" s="10">
        <v>0</v>
      </c>
      <c r="L209" s="2">
        <f t="shared" si="75"/>
        <v>0</v>
      </c>
      <c r="M209">
        <v>85598</v>
      </c>
      <c r="N209">
        <f t="shared" si="76"/>
        <v>0.40386935600630225</v>
      </c>
      <c r="O209" s="10">
        <v>0.85164215099999996</v>
      </c>
      <c r="P209">
        <f t="shared" si="77"/>
        <v>0.8424381581293634</v>
      </c>
      <c r="Q209" s="23">
        <v>0.26490000000000002</v>
      </c>
      <c r="R209" s="13">
        <f t="shared" si="78"/>
        <v>0.57362494586401047</v>
      </c>
      <c r="S209">
        <f t="shared" si="79"/>
        <v>5.5373269989188206E-2</v>
      </c>
      <c r="T209" s="14">
        <f t="shared" si="67"/>
        <v>9.8810899030576951E-2</v>
      </c>
      <c r="U209" t="str">
        <f t="shared" si="80"/>
        <v>No Impact</v>
      </c>
      <c r="V209">
        <f t="shared" si="81"/>
        <v>4.4861685768503655E-2</v>
      </c>
      <c r="W209">
        <f t="shared" si="68"/>
        <v>7.2569747146731034E-2</v>
      </c>
      <c r="X209" t="s">
        <v>1170</v>
      </c>
      <c r="Y209">
        <f t="shared" si="69"/>
        <v>6.5884854209872765E-2</v>
      </c>
      <c r="Z209">
        <f t="shared" si="82"/>
        <v>0.11993711331722777</v>
      </c>
      <c r="AA209" t="str">
        <f t="shared" si="83"/>
        <v>No Impact</v>
      </c>
      <c r="AB209">
        <f t="shared" si="70"/>
        <v>4.6521989228478451E-2</v>
      </c>
      <c r="AC209">
        <f t="shared" si="84"/>
        <v>0.11370805370884517</v>
      </c>
      <c r="AD209" t="str">
        <f t="shared" si="85"/>
        <v>No Impact</v>
      </c>
      <c r="AE209">
        <f t="shared" si="71"/>
        <v>3.1585551275829571E-2</v>
      </c>
      <c r="AF209">
        <f t="shared" si="86"/>
        <v>0.19070798151184068</v>
      </c>
      <c r="AG209" t="s">
        <v>1169</v>
      </c>
    </row>
    <row r="210" spans="1:33" customFormat="1" x14ac:dyDescent="0.3">
      <c r="A210">
        <v>303334</v>
      </c>
      <c r="B210" t="s">
        <v>244</v>
      </c>
      <c r="C210" t="s">
        <v>756</v>
      </c>
      <c r="D210" t="s">
        <v>1139</v>
      </c>
      <c r="E210" s="21">
        <v>4.8</v>
      </c>
      <c r="F210" s="2">
        <f t="shared" si="72"/>
        <v>0.35555555555555546</v>
      </c>
      <c r="G210" s="26">
        <v>61.517880000000005</v>
      </c>
      <c r="H210">
        <f t="shared" si="73"/>
        <v>0.63065533416248098</v>
      </c>
      <c r="I210" s="12">
        <v>180.5</v>
      </c>
      <c r="J210" s="2">
        <f t="shared" si="74"/>
        <v>0.75904121110176614</v>
      </c>
      <c r="K210" s="10">
        <v>0</v>
      </c>
      <c r="L210" s="2">
        <f t="shared" si="75"/>
        <v>0</v>
      </c>
      <c r="M210">
        <v>42892</v>
      </c>
      <c r="N210">
        <f t="shared" si="76"/>
        <v>0.20180929534948641</v>
      </c>
      <c r="O210" s="10">
        <v>0.92763556300000005</v>
      </c>
      <c r="P210">
        <f t="shared" si="77"/>
        <v>0.92612885197069272</v>
      </c>
      <c r="Q210" s="23">
        <v>0.2959</v>
      </c>
      <c r="R210" s="13">
        <f t="shared" si="78"/>
        <v>0.64075357297531399</v>
      </c>
      <c r="S210">
        <f t="shared" si="79"/>
        <v>0.13548833466203658</v>
      </c>
      <c r="T210" s="14">
        <f t="shared" si="67"/>
        <v>0.24177232369924168</v>
      </c>
      <c r="U210" t="str">
        <f t="shared" si="80"/>
        <v>Low</v>
      </c>
      <c r="V210">
        <f t="shared" si="81"/>
        <v>0.11081193221522868</v>
      </c>
      <c r="W210">
        <f t="shared" si="68"/>
        <v>0.17925304776098408</v>
      </c>
      <c r="X210" t="s">
        <v>1170</v>
      </c>
      <c r="Y210">
        <f t="shared" si="69"/>
        <v>0.16016473710884449</v>
      </c>
      <c r="Z210">
        <f t="shared" si="82"/>
        <v>0.29156467680502096</v>
      </c>
      <c r="AA210" t="str">
        <f t="shared" si="83"/>
        <v>Low</v>
      </c>
      <c r="AB210">
        <f t="shared" si="70"/>
        <v>9.9048913271912481E-2</v>
      </c>
      <c r="AC210">
        <f t="shared" si="84"/>
        <v>0.2420932410007724</v>
      </c>
      <c r="AD210" t="str">
        <f t="shared" si="85"/>
        <v>Low</v>
      </c>
      <c r="AE210">
        <f t="shared" si="71"/>
        <v>3.4900902468368938E-2</v>
      </c>
      <c r="AF210">
        <f t="shared" si="86"/>
        <v>0.2107254866175973</v>
      </c>
      <c r="AG210" t="s">
        <v>1169</v>
      </c>
    </row>
    <row r="211" spans="1:33" customFormat="1" x14ac:dyDescent="0.3">
      <c r="A211">
        <v>303336</v>
      </c>
      <c r="B211" t="s">
        <v>258</v>
      </c>
      <c r="C211" t="s">
        <v>756</v>
      </c>
      <c r="D211" t="s">
        <v>758</v>
      </c>
      <c r="E211" s="21">
        <v>4.8</v>
      </c>
      <c r="F211" s="2">
        <f t="shared" si="72"/>
        <v>0.35555555555555546</v>
      </c>
      <c r="G211" s="26">
        <v>52.180199999999999</v>
      </c>
      <c r="H211">
        <f t="shared" si="73"/>
        <v>0.53492938098102671</v>
      </c>
      <c r="I211" s="12">
        <v>105.5</v>
      </c>
      <c r="J211" s="2">
        <f t="shared" si="74"/>
        <v>0.44365012615643395</v>
      </c>
      <c r="K211" s="10">
        <v>0</v>
      </c>
      <c r="L211" s="2">
        <f t="shared" si="75"/>
        <v>0</v>
      </c>
      <c r="M211">
        <v>53557</v>
      </c>
      <c r="N211">
        <f t="shared" si="76"/>
        <v>0.2522698991734208</v>
      </c>
      <c r="O211" s="10">
        <v>0.96333890600000005</v>
      </c>
      <c r="P211">
        <f t="shared" si="77"/>
        <v>0.96544854389510537</v>
      </c>
      <c r="Q211" s="23">
        <v>0.311</v>
      </c>
      <c r="R211" s="13">
        <f t="shared" si="78"/>
        <v>0.67345171069727161</v>
      </c>
      <c r="S211">
        <f t="shared" si="79"/>
        <v>9.9791639321824596E-2</v>
      </c>
      <c r="T211" s="14">
        <f t="shared" si="67"/>
        <v>0.17807331225065548</v>
      </c>
      <c r="U211" t="str">
        <f t="shared" si="80"/>
        <v>Low</v>
      </c>
      <c r="V211">
        <f t="shared" si="81"/>
        <v>8.2012129812357504E-2</v>
      </c>
      <c r="W211">
        <f t="shared" si="68"/>
        <v>0.13266553455345509</v>
      </c>
      <c r="X211" t="s">
        <v>1170</v>
      </c>
      <c r="Y211">
        <f t="shared" si="69"/>
        <v>0.11757114883129169</v>
      </c>
      <c r="Z211">
        <f t="shared" si="82"/>
        <v>0.21402709878201784</v>
      </c>
      <c r="AA211" t="str">
        <f t="shared" si="83"/>
        <v>Low</v>
      </c>
      <c r="AB211">
        <f t="shared" si="70"/>
        <v>7.4727982551568969E-2</v>
      </c>
      <c r="AC211">
        <f t="shared" si="84"/>
        <v>0.18264854092537172</v>
      </c>
      <c r="AD211" t="str">
        <f t="shared" si="85"/>
        <v>Low</v>
      </c>
      <c r="AE211">
        <f t="shared" si="71"/>
        <v>3.0721121336732455E-2</v>
      </c>
      <c r="AF211">
        <f t="shared" si="86"/>
        <v>0.18548870617281035</v>
      </c>
      <c r="AG211" t="s">
        <v>1169</v>
      </c>
    </row>
    <row r="212" spans="1:33" customFormat="1" x14ac:dyDescent="0.3">
      <c r="A212">
        <v>303386</v>
      </c>
      <c r="B212" t="s">
        <v>503</v>
      </c>
      <c r="C212" t="s">
        <v>756</v>
      </c>
      <c r="D212" t="s">
        <v>1140</v>
      </c>
      <c r="E212" s="21">
        <v>4.7</v>
      </c>
      <c r="F212" s="2">
        <f t="shared" si="72"/>
        <v>0.33333333333333331</v>
      </c>
      <c r="G212" s="26">
        <v>47.602800000000002</v>
      </c>
      <c r="H212">
        <f t="shared" si="73"/>
        <v>0.48800380866619181</v>
      </c>
      <c r="I212" s="12">
        <v>69.599999999999994</v>
      </c>
      <c r="J212" s="2">
        <f t="shared" si="74"/>
        <v>0.29268292682926828</v>
      </c>
      <c r="K212" s="10">
        <v>0</v>
      </c>
      <c r="L212" s="2">
        <f t="shared" si="75"/>
        <v>0</v>
      </c>
      <c r="M212">
        <v>93377</v>
      </c>
      <c r="N212">
        <f t="shared" si="76"/>
        <v>0.44067507913301446</v>
      </c>
      <c r="O212" s="10">
        <v>0.95399844199999995</v>
      </c>
      <c r="P212">
        <f t="shared" si="77"/>
        <v>0.95516199546430236</v>
      </c>
      <c r="Q212" s="23">
        <v>0.31040000000000001</v>
      </c>
      <c r="R212" s="13">
        <f t="shared" si="78"/>
        <v>0.67215244694673026</v>
      </c>
      <c r="S212">
        <f t="shared" si="79"/>
        <v>7.4107996647444885E-2</v>
      </c>
      <c r="T212" s="14">
        <f t="shared" si="67"/>
        <v>0.13224210481914442</v>
      </c>
      <c r="U212" t="str">
        <f t="shared" si="80"/>
        <v>No Impact</v>
      </c>
      <c r="V212">
        <f t="shared" si="81"/>
        <v>6.1219724948914964E-2</v>
      </c>
      <c r="W212">
        <f t="shared" si="68"/>
        <v>9.9031052530226066E-2</v>
      </c>
      <c r="X212" t="s">
        <v>1170</v>
      </c>
      <c r="Y212">
        <f t="shared" si="69"/>
        <v>8.699626834597482E-2</v>
      </c>
      <c r="Z212">
        <f t="shared" si="82"/>
        <v>0.1583684356582154</v>
      </c>
      <c r="AA212" t="str">
        <f t="shared" si="83"/>
        <v>Low</v>
      </c>
      <c r="AB212">
        <f t="shared" si="70"/>
        <v>6.1573642784400411E-2</v>
      </c>
      <c r="AC212">
        <f t="shared" si="84"/>
        <v>0.15049698426248567</v>
      </c>
      <c r="AD212" t="str">
        <f t="shared" si="85"/>
        <v>Low</v>
      </c>
      <c r="AE212">
        <f t="shared" si="71"/>
        <v>4.0136738709964932E-2</v>
      </c>
      <c r="AF212">
        <f t="shared" si="86"/>
        <v>0.24233854134763824</v>
      </c>
      <c r="AG212" t="s">
        <v>1169</v>
      </c>
    </row>
    <row r="213" spans="1:33" customFormat="1" x14ac:dyDescent="0.3">
      <c r="A213">
        <v>303532</v>
      </c>
      <c r="B213" t="s">
        <v>191</v>
      </c>
      <c r="C213" t="s">
        <v>760</v>
      </c>
      <c r="D213" t="s">
        <v>759</v>
      </c>
      <c r="E213" s="21">
        <v>6</v>
      </c>
      <c r="F213" s="2">
        <f t="shared" si="72"/>
        <v>0.62222222222222223</v>
      </c>
      <c r="G213" s="26">
        <v>72.066240000000008</v>
      </c>
      <c r="H213">
        <f t="shared" si="73"/>
        <v>0.73879266757946715</v>
      </c>
      <c r="I213" s="12">
        <v>143</v>
      </c>
      <c r="J213" s="2">
        <f t="shared" si="74"/>
        <v>0.60134566862910011</v>
      </c>
      <c r="K213" s="10">
        <v>0</v>
      </c>
      <c r="L213" s="2">
        <f t="shared" si="75"/>
        <v>0</v>
      </c>
      <c r="M213">
        <v>31655</v>
      </c>
      <c r="N213">
        <f t="shared" si="76"/>
        <v>0.14864231877475126</v>
      </c>
      <c r="O213" s="10">
        <v>0.81147459</v>
      </c>
      <c r="P213">
        <f t="shared" si="77"/>
        <v>0.79820207290129253</v>
      </c>
      <c r="Q213" s="23">
        <v>0.25580000000000003</v>
      </c>
      <c r="R213" s="13">
        <f t="shared" si="78"/>
        <v>0.55391944564746654</v>
      </c>
      <c r="S213">
        <f t="shared" si="79"/>
        <v>0.19730992050837115</v>
      </c>
      <c r="T213" s="14">
        <f t="shared" si="67"/>
        <v>0.35208992780976361</v>
      </c>
      <c r="U213" t="str">
        <f t="shared" si="80"/>
        <v>Moderate</v>
      </c>
      <c r="V213">
        <f t="shared" si="81"/>
        <v>0.16166269124397697</v>
      </c>
      <c r="W213">
        <f t="shared" si="68"/>
        <v>0.26151091796180553</v>
      </c>
      <c r="X213" t="s">
        <v>1170</v>
      </c>
      <c r="Y213">
        <f t="shared" si="69"/>
        <v>0.23295714977276541</v>
      </c>
      <c r="Z213">
        <f t="shared" si="82"/>
        <v>0.42407634357590734</v>
      </c>
      <c r="AA213" t="str">
        <f t="shared" si="83"/>
        <v>Moderate</v>
      </c>
      <c r="AB213">
        <f t="shared" si="70"/>
        <v>0.14165265031880639</v>
      </c>
      <c r="AC213">
        <f t="shared" si="84"/>
        <v>0.34622438630786595</v>
      </c>
      <c r="AD213" t="str">
        <f t="shared" si="85"/>
        <v>Moderate</v>
      </c>
      <c r="AE213">
        <f t="shared" si="71"/>
        <v>4.3381609861670903E-2</v>
      </c>
      <c r="AF213">
        <f t="shared" si="86"/>
        <v>0.2619305004115724</v>
      </c>
      <c r="AG213" t="s">
        <v>1169</v>
      </c>
    </row>
    <row r="214" spans="1:33" customFormat="1" x14ac:dyDescent="0.3">
      <c r="A214">
        <v>303543</v>
      </c>
      <c r="B214" t="s">
        <v>262</v>
      </c>
      <c r="C214" t="s">
        <v>760</v>
      </c>
      <c r="D214" t="s">
        <v>761</v>
      </c>
      <c r="E214" s="21">
        <v>6</v>
      </c>
      <c r="F214" s="2">
        <f t="shared" si="72"/>
        <v>0.62222222222222223</v>
      </c>
      <c r="G214" s="26">
        <v>62.236440000000002</v>
      </c>
      <c r="H214">
        <f t="shared" si="73"/>
        <v>0.63802170792106605</v>
      </c>
      <c r="I214" s="12">
        <v>125</v>
      </c>
      <c r="J214" s="2">
        <f t="shared" si="74"/>
        <v>0.52565180824222035</v>
      </c>
      <c r="K214" s="10">
        <v>0</v>
      </c>
      <c r="L214" s="2">
        <f t="shared" si="75"/>
        <v>0</v>
      </c>
      <c r="M214">
        <v>27057</v>
      </c>
      <c r="N214">
        <f t="shared" si="76"/>
        <v>0.1268872455086987</v>
      </c>
      <c r="O214" s="10">
        <v>0.94520886900000001</v>
      </c>
      <c r="P214">
        <f t="shared" si="77"/>
        <v>0.94548213712422668</v>
      </c>
      <c r="Q214" s="23">
        <v>0.28220000000000001</v>
      </c>
      <c r="R214" s="13">
        <f t="shared" si="78"/>
        <v>0.61108705067128632</v>
      </c>
      <c r="S214">
        <f t="shared" si="79"/>
        <v>0.19723461923501853</v>
      </c>
      <c r="T214" s="14">
        <f t="shared" si="67"/>
        <v>0.3519555563608755</v>
      </c>
      <c r="U214" t="str">
        <f t="shared" si="80"/>
        <v>Moderate</v>
      </c>
      <c r="V214">
        <f t="shared" si="81"/>
        <v>0.154863044577284</v>
      </c>
      <c r="W214">
        <f t="shared" si="68"/>
        <v>0.25051158454764616</v>
      </c>
      <c r="X214" t="s">
        <v>1170</v>
      </c>
      <c r="Y214">
        <f t="shared" si="69"/>
        <v>0.23960619389275306</v>
      </c>
      <c r="Z214">
        <f t="shared" si="82"/>
        <v>0.43618029626175397</v>
      </c>
      <c r="AA214" t="str">
        <f t="shared" si="83"/>
        <v>Moderate</v>
      </c>
      <c r="AB214">
        <f t="shared" si="70"/>
        <v>0.13733854092723574</v>
      </c>
      <c r="AC214">
        <f t="shared" si="84"/>
        <v>0.33567993215752062</v>
      </c>
      <c r="AD214" t="str">
        <f t="shared" si="85"/>
        <v>Moderate</v>
      </c>
      <c r="AE214">
        <f t="shared" si="71"/>
        <v>3.2156049021029767E-2</v>
      </c>
      <c r="AF214">
        <f t="shared" si="86"/>
        <v>0.19415254616401573</v>
      </c>
      <c r="AG214" t="s">
        <v>1169</v>
      </c>
    </row>
    <row r="215" spans="1:33" customFormat="1" x14ac:dyDescent="0.3">
      <c r="A215">
        <v>303551</v>
      </c>
      <c r="B215" t="s">
        <v>284</v>
      </c>
      <c r="C215" t="s">
        <v>760</v>
      </c>
      <c r="D215" t="s">
        <v>1141</v>
      </c>
      <c r="E215" s="21">
        <v>5.9</v>
      </c>
      <c r="F215" s="2">
        <f t="shared" si="72"/>
        <v>0.60000000000000009</v>
      </c>
      <c r="G215" s="26">
        <v>81.707400000000007</v>
      </c>
      <c r="H215">
        <f t="shared" si="73"/>
        <v>0.83762976959783886</v>
      </c>
      <c r="I215" s="12">
        <v>181.79999999999998</v>
      </c>
      <c r="J215" s="2">
        <f t="shared" si="74"/>
        <v>0.76450798990748514</v>
      </c>
      <c r="K215" s="10">
        <v>0</v>
      </c>
      <c r="L215" s="2">
        <f t="shared" si="75"/>
        <v>0</v>
      </c>
      <c r="M215">
        <v>16777</v>
      </c>
      <c r="N215">
        <f t="shared" si="76"/>
        <v>7.8248238728572575E-2</v>
      </c>
      <c r="O215" s="10">
        <v>0.68702795100000003</v>
      </c>
      <c r="P215">
        <f t="shared" si="77"/>
        <v>0.66115038262935932</v>
      </c>
      <c r="Q215" s="23">
        <v>0.248</v>
      </c>
      <c r="R215" s="13">
        <f t="shared" si="78"/>
        <v>0.53702901689042881</v>
      </c>
      <c r="S215">
        <f t="shared" si="79"/>
        <v>0.20156308815636709</v>
      </c>
      <c r="T215" s="14">
        <f t="shared" si="67"/>
        <v>0.35967949799603399</v>
      </c>
      <c r="U215" t="str">
        <f t="shared" si="80"/>
        <v>Moderate</v>
      </c>
      <c r="V215">
        <f t="shared" si="81"/>
        <v>0.18068283784113745</v>
      </c>
      <c r="W215">
        <f t="shared" si="68"/>
        <v>0.2922785363783823</v>
      </c>
      <c r="X215" t="s">
        <v>1169</v>
      </c>
      <c r="Y215">
        <f t="shared" si="69"/>
        <v>0.22244333847159675</v>
      </c>
      <c r="Z215">
        <f t="shared" si="82"/>
        <v>0.40493694966592952</v>
      </c>
      <c r="AA215" t="str">
        <f t="shared" si="83"/>
        <v>Moderate</v>
      </c>
      <c r="AB215">
        <f t="shared" si="70"/>
        <v>0.13918628244019185</v>
      </c>
      <c r="AC215">
        <f t="shared" si="84"/>
        <v>0.34019614254920055</v>
      </c>
      <c r="AD215" t="str">
        <f t="shared" si="85"/>
        <v>Moderate</v>
      </c>
      <c r="AE215">
        <f t="shared" si="71"/>
        <v>2.6326536155184928E-2</v>
      </c>
      <c r="AF215">
        <f t="shared" si="86"/>
        <v>0.15895497680282131</v>
      </c>
      <c r="AG215" t="s">
        <v>1170</v>
      </c>
    </row>
    <row r="216" spans="1:33" customFormat="1" x14ac:dyDescent="0.3">
      <c r="A216">
        <v>303558</v>
      </c>
      <c r="B216" t="s">
        <v>353</v>
      </c>
      <c r="C216" t="s">
        <v>760</v>
      </c>
      <c r="D216" t="s">
        <v>762</v>
      </c>
      <c r="E216" s="21">
        <v>6</v>
      </c>
      <c r="F216" s="2">
        <f t="shared" si="72"/>
        <v>0.62222222222222223</v>
      </c>
      <c r="G216" s="26">
        <v>74.009519999999995</v>
      </c>
      <c r="H216">
        <f t="shared" si="73"/>
        <v>0.7587143537261819</v>
      </c>
      <c r="I216" s="12">
        <v>129.20000000000002</v>
      </c>
      <c r="J216" s="2">
        <f t="shared" si="74"/>
        <v>0.54331370899915898</v>
      </c>
      <c r="K216" s="10">
        <v>0</v>
      </c>
      <c r="L216" s="2">
        <f t="shared" si="75"/>
        <v>0</v>
      </c>
      <c r="M216">
        <v>27947</v>
      </c>
      <c r="N216">
        <f t="shared" si="76"/>
        <v>0.13109821010347616</v>
      </c>
      <c r="O216" s="10">
        <v>0.91718571999999998</v>
      </c>
      <c r="P216">
        <f t="shared" si="77"/>
        <v>0.91462055686738875</v>
      </c>
      <c r="Q216" s="23">
        <v>0.28560000000000002</v>
      </c>
      <c r="R216" s="13">
        <f t="shared" si="78"/>
        <v>0.61844954525768736</v>
      </c>
      <c r="S216">
        <f t="shared" si="79"/>
        <v>0.21735314324335689</v>
      </c>
      <c r="T216" s="14">
        <f t="shared" si="67"/>
        <v>0.38785608101510505</v>
      </c>
      <c r="U216" t="str">
        <f t="shared" si="80"/>
        <v>Moderate</v>
      </c>
      <c r="V216">
        <f t="shared" si="81"/>
        <v>0.17536308667536221</v>
      </c>
      <c r="W216">
        <f t="shared" si="68"/>
        <v>0.28367313088880802</v>
      </c>
      <c r="X216" t="s">
        <v>1170</v>
      </c>
      <c r="Y216">
        <f t="shared" si="69"/>
        <v>0.25934319981135162</v>
      </c>
      <c r="Z216">
        <f t="shared" si="82"/>
        <v>0.4721096391098259</v>
      </c>
      <c r="AA216" t="str">
        <f t="shared" si="83"/>
        <v>Moderate</v>
      </c>
      <c r="AB216">
        <f t="shared" si="70"/>
        <v>0.15219068186756704</v>
      </c>
      <c r="AC216">
        <f t="shared" si="84"/>
        <v>0.37198121823195024</v>
      </c>
      <c r="AD216" t="str">
        <f t="shared" si="85"/>
        <v>Moderate</v>
      </c>
      <c r="AE216">
        <f t="shared" si="71"/>
        <v>3.717326167938511E-2</v>
      </c>
      <c r="AF216">
        <f t="shared" si="86"/>
        <v>0.22444559030102909</v>
      </c>
      <c r="AG216" t="s">
        <v>1169</v>
      </c>
    </row>
    <row r="217" spans="1:33" customFormat="1" x14ac:dyDescent="0.3">
      <c r="A217">
        <v>303591</v>
      </c>
      <c r="B217" t="s">
        <v>530</v>
      </c>
      <c r="C217" t="s">
        <v>760</v>
      </c>
      <c r="D217" t="s">
        <v>1142</v>
      </c>
      <c r="E217" s="21">
        <v>6</v>
      </c>
      <c r="F217" s="2">
        <f t="shared" si="72"/>
        <v>0.62222222222222223</v>
      </c>
      <c r="G217" s="26">
        <v>75.857759999999999</v>
      </c>
      <c r="H217">
        <f t="shared" si="73"/>
        <v>0.77766172991685145</v>
      </c>
      <c r="I217" s="12">
        <v>143</v>
      </c>
      <c r="J217" s="2">
        <f t="shared" si="74"/>
        <v>0.60134566862910011</v>
      </c>
      <c r="K217" s="10">
        <v>0</v>
      </c>
      <c r="L217" s="2">
        <f t="shared" si="75"/>
        <v>0</v>
      </c>
      <c r="M217">
        <v>5557</v>
      </c>
      <c r="N217">
        <f t="shared" si="76"/>
        <v>2.5161696309018561E-2</v>
      </c>
      <c r="O217" s="10">
        <v>0.32568014200000001</v>
      </c>
      <c r="P217">
        <f t="shared" si="77"/>
        <v>0.26320208609473239</v>
      </c>
      <c r="Q217" s="23">
        <v>0.24540000000000001</v>
      </c>
      <c r="R217" s="13">
        <f t="shared" si="78"/>
        <v>0.53139887397141627</v>
      </c>
      <c r="S217">
        <f t="shared" si="79"/>
        <v>0.11931615452960849</v>
      </c>
      <c r="T217" s="14">
        <f t="shared" si="67"/>
        <v>0.21291385717772929</v>
      </c>
      <c r="U217" t="str">
        <f t="shared" si="80"/>
        <v>Low</v>
      </c>
      <c r="V217">
        <f t="shared" si="81"/>
        <v>0.15958820426885764</v>
      </c>
      <c r="W217">
        <f t="shared" si="68"/>
        <v>0.25815515919650989</v>
      </c>
      <c r="X217" t="s">
        <v>1170</v>
      </c>
      <c r="Y217">
        <f t="shared" si="69"/>
        <v>7.9044104790359379E-2</v>
      </c>
      <c r="Z217">
        <f t="shared" si="82"/>
        <v>0.14389227792932635</v>
      </c>
      <c r="AA217" t="str">
        <f t="shared" si="83"/>
        <v>No Impact</v>
      </c>
      <c r="AB217">
        <f t="shared" si="70"/>
        <v>8.2213874202751391E-2</v>
      </c>
      <c r="AC217">
        <f t="shared" si="84"/>
        <v>0.20094539761717847</v>
      </c>
      <c r="AD217" t="str">
        <f t="shared" si="85"/>
        <v>Low</v>
      </c>
      <c r="AE217">
        <f t="shared" si="71"/>
        <v>7.5564893472668659E-3</v>
      </c>
      <c r="AF217">
        <f t="shared" si="86"/>
        <v>4.5624748422097676E-2</v>
      </c>
      <c r="AG217" t="s">
        <v>1170</v>
      </c>
    </row>
    <row r="218" spans="1:33" customFormat="1" x14ac:dyDescent="0.3">
      <c r="A218">
        <v>304802</v>
      </c>
      <c r="B218" t="s">
        <v>19</v>
      </c>
      <c r="C218" t="s">
        <v>764</v>
      </c>
      <c r="D218" t="s">
        <v>763</v>
      </c>
      <c r="E218" s="21">
        <v>6.2</v>
      </c>
      <c r="F218" s="2">
        <f t="shared" si="72"/>
        <v>0.66666666666666663</v>
      </c>
      <c r="G218" s="26">
        <v>66.187080000000009</v>
      </c>
      <c r="H218">
        <f t="shared" si="73"/>
        <v>0.67852200132122342</v>
      </c>
      <c r="I218" s="12">
        <v>175.8</v>
      </c>
      <c r="J218" s="2">
        <f t="shared" si="74"/>
        <v>0.73927670311185867</v>
      </c>
      <c r="K218" s="10">
        <v>0</v>
      </c>
      <c r="L218" s="2">
        <f t="shared" si="75"/>
        <v>0</v>
      </c>
      <c r="M218">
        <v>7200</v>
      </c>
      <c r="N218">
        <f t="shared" si="76"/>
        <v>3.2935420836231327E-2</v>
      </c>
      <c r="O218" s="10">
        <v>0.209250879</v>
      </c>
      <c r="P218">
        <f t="shared" si="77"/>
        <v>0.13497984225200838</v>
      </c>
      <c r="Q218" s="23">
        <v>0.1673</v>
      </c>
      <c r="R218" s="13">
        <f t="shared" si="78"/>
        <v>0.36227804244261586</v>
      </c>
      <c r="S218">
        <f t="shared" si="79"/>
        <v>8.2251351547070195E-2</v>
      </c>
      <c r="T218" s="14">
        <f t="shared" si="67"/>
        <v>0.14677352438158206</v>
      </c>
      <c r="U218" t="str">
        <f t="shared" si="80"/>
        <v>No Impact</v>
      </c>
      <c r="V218">
        <f t="shared" si="81"/>
        <v>0.11984871248459522</v>
      </c>
      <c r="W218">
        <f t="shared" si="68"/>
        <v>0.19387124250632995</v>
      </c>
      <c r="X218" t="s">
        <v>1170</v>
      </c>
      <c r="Y218">
        <f t="shared" si="69"/>
        <v>4.4653990609545155E-2</v>
      </c>
      <c r="Z218">
        <f t="shared" si="82"/>
        <v>8.1288344582857122E-2</v>
      </c>
      <c r="AA218" t="str">
        <f t="shared" si="83"/>
        <v>No Impact</v>
      </c>
      <c r="AB218">
        <f t="shared" si="70"/>
        <v>5.9156736640116524E-2</v>
      </c>
      <c r="AC218">
        <f t="shared" si="84"/>
        <v>0.1445896338198</v>
      </c>
      <c r="AD218" t="str">
        <f t="shared" si="85"/>
        <v>No Impact</v>
      </c>
      <c r="AE218">
        <f t="shared" si="71"/>
        <v>1.0895685964698991E-2</v>
      </c>
      <c r="AF218">
        <f t="shared" si="86"/>
        <v>6.5786227992946839E-2</v>
      </c>
      <c r="AG218" t="s">
        <v>1170</v>
      </c>
    </row>
    <row r="219" spans="1:33" customFormat="1" x14ac:dyDescent="0.3">
      <c r="A219">
        <v>304806</v>
      </c>
      <c r="B219" t="s">
        <v>31</v>
      </c>
      <c r="C219" t="s">
        <v>764</v>
      </c>
      <c r="D219" t="s">
        <v>765</v>
      </c>
      <c r="E219" s="21">
        <v>6.3</v>
      </c>
      <c r="F219" s="2">
        <f t="shared" si="72"/>
        <v>0.68888888888888877</v>
      </c>
      <c r="G219" s="26">
        <v>66.187080000000009</v>
      </c>
      <c r="H219">
        <f t="shared" si="73"/>
        <v>0.67852200132122342</v>
      </c>
      <c r="I219" s="12">
        <v>175.2</v>
      </c>
      <c r="J219" s="2">
        <f t="shared" si="74"/>
        <v>0.73675357443229594</v>
      </c>
      <c r="K219" s="10">
        <v>0</v>
      </c>
      <c r="L219" s="2">
        <f t="shared" si="75"/>
        <v>0</v>
      </c>
      <c r="M219">
        <v>27557</v>
      </c>
      <c r="N219">
        <f t="shared" si="76"/>
        <v>0.12925295595520292</v>
      </c>
      <c r="O219" s="10">
        <v>0.51745865099999999</v>
      </c>
      <c r="P219">
        <f t="shared" si="77"/>
        <v>0.47440561097483103</v>
      </c>
      <c r="Q219" s="23">
        <v>0.30230000000000001</v>
      </c>
      <c r="R219" s="13">
        <f t="shared" si="78"/>
        <v>0.65461238631442187</v>
      </c>
      <c r="S219">
        <f t="shared" si="79"/>
        <v>0.19263229798026121</v>
      </c>
      <c r="T219" s="14">
        <f t="shared" si="67"/>
        <v>0.34374293859604244</v>
      </c>
      <c r="U219" t="str">
        <f t="shared" si="80"/>
        <v>Moderate</v>
      </c>
      <c r="V219">
        <f t="shared" si="81"/>
        <v>0.22337905784469628</v>
      </c>
      <c r="W219">
        <f t="shared" si="68"/>
        <v>0.36134535445936528</v>
      </c>
      <c r="X219" t="str">
        <f t="shared" ref="X219:X264" si="88">IF(W219&gt;0.7,"High",IF(W219&gt;0.3,"Moderate",IF(W219&gt;0.15,"Low","No Impact")))</f>
        <v>Moderate</v>
      </c>
      <c r="Y219">
        <f t="shared" si="69"/>
        <v>0.16188553811582615</v>
      </c>
      <c r="Z219">
        <f t="shared" si="82"/>
        <v>0.29469723143909998</v>
      </c>
      <c r="AA219" t="str">
        <f t="shared" si="83"/>
        <v>Low</v>
      </c>
      <c r="AB219">
        <f t="shared" si="70"/>
        <v>0.14218546890080852</v>
      </c>
      <c r="AC219">
        <f t="shared" si="84"/>
        <v>0.34752669012040971</v>
      </c>
      <c r="AD219" t="str">
        <f t="shared" si="85"/>
        <v>Moderate</v>
      </c>
      <c r="AE219">
        <f t="shared" si="71"/>
        <v>4.4106106344048504E-2</v>
      </c>
      <c r="AF219">
        <f t="shared" si="86"/>
        <v>0.26630488224711735</v>
      </c>
      <c r="AG219" t="s">
        <v>1169</v>
      </c>
    </row>
    <row r="220" spans="1:33" customFormat="1" x14ac:dyDescent="0.3">
      <c r="A220">
        <v>304811</v>
      </c>
      <c r="B220" t="s">
        <v>64</v>
      </c>
      <c r="C220" t="s">
        <v>764</v>
      </c>
      <c r="D220" t="s">
        <v>766</v>
      </c>
      <c r="E220" s="21">
        <v>6.2</v>
      </c>
      <c r="F220" s="2">
        <f t="shared" si="72"/>
        <v>0.66666666666666663</v>
      </c>
      <c r="G220" s="26">
        <v>65.296080000000003</v>
      </c>
      <c r="H220">
        <f t="shared" si="73"/>
        <v>0.66938784548329833</v>
      </c>
      <c r="I220" s="12">
        <v>171.7</v>
      </c>
      <c r="J220" s="2">
        <f t="shared" si="74"/>
        <v>0.72203532380151381</v>
      </c>
      <c r="K220" s="10">
        <v>0</v>
      </c>
      <c r="L220" s="2">
        <f t="shared" si="75"/>
        <v>0</v>
      </c>
      <c r="M220">
        <v>22574</v>
      </c>
      <c r="N220">
        <f t="shared" si="76"/>
        <v>0.10567628564534215</v>
      </c>
      <c r="O220" s="10">
        <v>0.66802993899999996</v>
      </c>
      <c r="P220">
        <f t="shared" si="77"/>
        <v>0.64022808470850934</v>
      </c>
      <c r="Q220" s="23">
        <v>0.28449999999999998</v>
      </c>
      <c r="R220" s="13">
        <f t="shared" si="78"/>
        <v>0.61606756171502808</v>
      </c>
      <c r="S220">
        <f t="shared" si="79"/>
        <v>0.2039378681556242</v>
      </c>
      <c r="T220" s="14">
        <f t="shared" si="67"/>
        <v>0.36391717705620591</v>
      </c>
      <c r="U220" t="str">
        <f t="shared" si="80"/>
        <v>Moderate</v>
      </c>
      <c r="V220">
        <f t="shared" si="81"/>
        <v>0.20001582515018787</v>
      </c>
      <c r="W220">
        <f t="shared" si="68"/>
        <v>0.3235522162808383</v>
      </c>
      <c r="X220" t="str">
        <f t="shared" si="88"/>
        <v>Moderate</v>
      </c>
      <c r="Y220">
        <f t="shared" si="69"/>
        <v>0.20785991116106048</v>
      </c>
      <c r="Z220">
        <f t="shared" si="82"/>
        <v>0.37838920671539195</v>
      </c>
      <c r="AA220" t="str">
        <f t="shared" si="83"/>
        <v>Moderate</v>
      </c>
      <c r="AB220">
        <f t="shared" si="70"/>
        <v>0.14437181412130648</v>
      </c>
      <c r="AC220">
        <f t="shared" si="84"/>
        <v>0.35287050847128704</v>
      </c>
      <c r="AD220" t="str">
        <f t="shared" si="85"/>
        <v>Moderate</v>
      </c>
      <c r="AE220">
        <f t="shared" si="71"/>
        <v>3.4309434201207446E-2</v>
      </c>
      <c r="AF220">
        <f t="shared" si="86"/>
        <v>0.20715430565660545</v>
      </c>
      <c r="AG220" t="s">
        <v>1169</v>
      </c>
    </row>
    <row r="221" spans="1:33" customFormat="1" x14ac:dyDescent="0.3">
      <c r="A221">
        <v>304827</v>
      </c>
      <c r="B221" t="s">
        <v>212</v>
      </c>
      <c r="C221" t="s">
        <v>764</v>
      </c>
      <c r="D221" t="s">
        <v>767</v>
      </c>
      <c r="E221" s="21">
        <v>6.3</v>
      </c>
      <c r="F221" s="2">
        <f t="shared" si="72"/>
        <v>0.68888888888888877</v>
      </c>
      <c r="G221" s="26">
        <v>43.911360000000002</v>
      </c>
      <c r="H221">
        <f t="shared" si="73"/>
        <v>0.45016072423706732</v>
      </c>
      <c r="I221" s="12">
        <v>38.9</v>
      </c>
      <c r="J221" s="2">
        <f t="shared" si="74"/>
        <v>0.16358284272497897</v>
      </c>
      <c r="K221" s="10">
        <v>0</v>
      </c>
      <c r="L221" s="2">
        <f t="shared" si="75"/>
        <v>0</v>
      </c>
      <c r="M221">
        <v>17728</v>
      </c>
      <c r="N221">
        <f t="shared" si="76"/>
        <v>8.2747819997823546E-2</v>
      </c>
      <c r="O221" s="10">
        <v>0.89023456000000001</v>
      </c>
      <c r="P221">
        <f t="shared" si="77"/>
        <v>0.88493954609465653</v>
      </c>
      <c r="Q221" s="23">
        <v>0.2923</v>
      </c>
      <c r="R221" s="13">
        <f t="shared" si="78"/>
        <v>0.6329579904720658</v>
      </c>
      <c r="S221">
        <f t="shared" si="79"/>
        <v>0.11230953727636321</v>
      </c>
      <c r="T221" s="14">
        <f t="shared" si="67"/>
        <v>0.20041089049197103</v>
      </c>
      <c r="U221" t="str">
        <f t="shared" si="80"/>
        <v>Low</v>
      </c>
      <c r="V221">
        <f t="shared" si="81"/>
        <v>9.366537241516848E-2</v>
      </c>
      <c r="W221">
        <f t="shared" si="68"/>
        <v>0.15151620533496268</v>
      </c>
      <c r="X221" t="s">
        <v>1170</v>
      </c>
      <c r="Y221">
        <f t="shared" si="69"/>
        <v>0.13095370213755797</v>
      </c>
      <c r="Z221">
        <f t="shared" si="82"/>
        <v>0.23838876477667345</v>
      </c>
      <c r="AA221" t="str">
        <f t="shared" si="83"/>
        <v>Low</v>
      </c>
      <c r="AB221">
        <f t="shared" si="70"/>
        <v>7.6354760220330151E-2</v>
      </c>
      <c r="AC221">
        <f t="shared" si="84"/>
        <v>0.1866246762024637</v>
      </c>
      <c r="AD221" t="str">
        <f t="shared" si="85"/>
        <v>Low</v>
      </c>
      <c r="AE221">
        <f t="shared" si="71"/>
        <v>1.2245054953582302E-2</v>
      </c>
      <c r="AF221">
        <f t="shared" si="86"/>
        <v>7.3933479688424827E-2</v>
      </c>
      <c r="AG221" t="s">
        <v>1170</v>
      </c>
    </row>
    <row r="222" spans="1:33" customFormat="1" x14ac:dyDescent="0.3">
      <c r="A222">
        <v>304833</v>
      </c>
      <c r="B222" t="s">
        <v>216</v>
      </c>
      <c r="C222" t="s">
        <v>764</v>
      </c>
      <c r="D222" t="s">
        <v>768</v>
      </c>
      <c r="E222" s="21">
        <v>5.8</v>
      </c>
      <c r="F222" s="2">
        <f t="shared" si="72"/>
        <v>0.57777777777777772</v>
      </c>
      <c r="G222" s="26">
        <v>56.840040000000002</v>
      </c>
      <c r="H222">
        <f t="shared" si="73"/>
        <v>0.58270009337137074</v>
      </c>
      <c r="I222" s="12">
        <v>130.70000000000002</v>
      </c>
      <c r="J222" s="2">
        <f t="shared" si="74"/>
        <v>0.54962153069806563</v>
      </c>
      <c r="K222" s="10">
        <v>0</v>
      </c>
      <c r="L222" s="2">
        <f t="shared" si="75"/>
        <v>0</v>
      </c>
      <c r="M222">
        <v>5943</v>
      </c>
      <c r="N222">
        <f t="shared" si="76"/>
        <v>2.6988024773719796E-2</v>
      </c>
      <c r="O222" s="10">
        <v>8.6685533999999995E-2</v>
      </c>
      <c r="P222">
        <f t="shared" si="77"/>
        <v>0</v>
      </c>
      <c r="Q222" s="23">
        <v>0.12609999999999999</v>
      </c>
      <c r="R222" s="13">
        <f t="shared" si="78"/>
        <v>0.27306193157210912</v>
      </c>
      <c r="S222">
        <f t="shared" si="79"/>
        <v>3.1262941793848191E-2</v>
      </c>
      <c r="T222" s="14">
        <f t="shared" si="67"/>
        <v>5.5787194536170565E-2</v>
      </c>
      <c r="U222" t="str">
        <f t="shared" si="80"/>
        <v>No Impact</v>
      </c>
      <c r="V222">
        <f t="shared" si="81"/>
        <v>6.2525883587696382E-2</v>
      </c>
      <c r="W222">
        <f t="shared" si="68"/>
        <v>0.10114393795854036</v>
      </c>
      <c r="X222" t="s">
        <v>1170</v>
      </c>
      <c r="Y222">
        <f t="shared" si="69"/>
        <v>0</v>
      </c>
      <c r="Z222">
        <f t="shared" si="82"/>
        <v>0</v>
      </c>
      <c r="AA222" t="str">
        <f t="shared" si="83"/>
        <v>No Impact</v>
      </c>
      <c r="AB222">
        <f t="shared" si="70"/>
        <v>2.4046966146236439E-2</v>
      </c>
      <c r="AC222">
        <f t="shared" si="84"/>
        <v>5.8775081707323283E-2</v>
      </c>
      <c r="AD222" t="str">
        <f t="shared" si="85"/>
        <v>No Impact</v>
      </c>
      <c r="AE222">
        <f t="shared" si="71"/>
        <v>6.1797339729791484E-3</v>
      </c>
      <c r="AF222">
        <f t="shared" si="86"/>
        <v>3.7312142567188677E-2</v>
      </c>
      <c r="AG222" t="s">
        <v>1170</v>
      </c>
    </row>
    <row r="223" spans="1:33" customFormat="1" x14ac:dyDescent="0.3">
      <c r="A223">
        <v>304842</v>
      </c>
      <c r="B223" t="s">
        <v>260</v>
      </c>
      <c r="C223" t="s">
        <v>764</v>
      </c>
      <c r="D223" t="s">
        <v>769</v>
      </c>
      <c r="E223" s="21">
        <v>5.7</v>
      </c>
      <c r="F223" s="2">
        <f t="shared" si="72"/>
        <v>0.55555555555555558</v>
      </c>
      <c r="G223" s="26">
        <v>56.840040000000002</v>
      </c>
      <c r="H223">
        <f t="shared" si="73"/>
        <v>0.58270009337137074</v>
      </c>
      <c r="I223" s="12">
        <v>80.400000000000006</v>
      </c>
      <c r="J223" s="2">
        <f t="shared" si="74"/>
        <v>0.33809924306139616</v>
      </c>
      <c r="K223" s="10">
        <v>0</v>
      </c>
      <c r="L223" s="2">
        <f t="shared" si="75"/>
        <v>0</v>
      </c>
      <c r="M223">
        <v>9163</v>
      </c>
      <c r="N223">
        <f t="shared" si="76"/>
        <v>4.222320004920678E-2</v>
      </c>
      <c r="O223" s="10">
        <v>0.60753610700000005</v>
      </c>
      <c r="P223">
        <f t="shared" si="77"/>
        <v>0.57360690479358734</v>
      </c>
      <c r="Q223" s="23">
        <v>0.27450000000000002</v>
      </c>
      <c r="R223" s="13">
        <f t="shared" si="78"/>
        <v>0.59441316587267223</v>
      </c>
      <c r="S223">
        <f t="shared" si="79"/>
        <v>0.10456367697315996</v>
      </c>
      <c r="T223" s="14">
        <f t="shared" si="67"/>
        <v>0.18658878064593498</v>
      </c>
      <c r="U223" t="str">
        <f t="shared" si="80"/>
        <v>Low</v>
      </c>
      <c r="V223">
        <f t="shared" si="81"/>
        <v>0.10642629835881104</v>
      </c>
      <c r="W223">
        <f t="shared" si="68"/>
        <v>0.17215870133627131</v>
      </c>
      <c r="X223" t="s">
        <v>1170</v>
      </c>
      <c r="Y223">
        <f t="shared" si="69"/>
        <v>0.10270105558750887</v>
      </c>
      <c r="Z223">
        <f t="shared" si="82"/>
        <v>0.18695750775376493</v>
      </c>
      <c r="AA223" t="str">
        <f t="shared" si="83"/>
        <v>Low</v>
      </c>
      <c r="AB223">
        <f t="shared" si="70"/>
        <v>7.0705459483477492E-2</v>
      </c>
      <c r="AC223">
        <f t="shared" si="84"/>
        <v>0.17281677584702851</v>
      </c>
      <c r="AD223" t="str">
        <f t="shared" si="85"/>
        <v>Low</v>
      </c>
      <c r="AE223">
        <f t="shared" si="71"/>
        <v>7.5598239475456394E-3</v>
      </c>
      <c r="AF223">
        <f t="shared" si="86"/>
        <v>4.5644882149787284E-2</v>
      </c>
      <c r="AG223" t="s">
        <v>1170</v>
      </c>
    </row>
    <row r="224" spans="1:33" customFormat="1" x14ac:dyDescent="0.3">
      <c r="A224">
        <v>304845</v>
      </c>
      <c r="B224" t="s">
        <v>263</v>
      </c>
      <c r="C224" t="s">
        <v>764</v>
      </c>
      <c r="D224" t="s">
        <v>770</v>
      </c>
      <c r="E224" s="21">
        <v>6.3</v>
      </c>
      <c r="F224" s="2">
        <f t="shared" si="72"/>
        <v>0.68888888888888877</v>
      </c>
      <c r="G224" s="26">
        <v>55.974960000000003</v>
      </c>
      <c r="H224">
        <f t="shared" si="73"/>
        <v>0.57383165843054906</v>
      </c>
      <c r="I224" s="12">
        <v>123.30000000000001</v>
      </c>
      <c r="J224" s="2">
        <f t="shared" si="74"/>
        <v>0.51850294365012617</v>
      </c>
      <c r="K224" s="10">
        <v>0</v>
      </c>
      <c r="L224" s="2">
        <f t="shared" si="75"/>
        <v>0</v>
      </c>
      <c r="M224">
        <v>30895</v>
      </c>
      <c r="N224">
        <f t="shared" si="76"/>
        <v>0.14504643889606489</v>
      </c>
      <c r="O224" s="10">
        <v>0.82721904700000004</v>
      </c>
      <c r="P224">
        <f t="shared" si="77"/>
        <v>0.81554126712624686</v>
      </c>
      <c r="Q224" s="23">
        <v>0.29780000000000001</v>
      </c>
      <c r="R224" s="13">
        <f t="shared" si="78"/>
        <v>0.64486790818536166</v>
      </c>
      <c r="S224">
        <f t="shared" si="79"/>
        <v>0.19231691008855947</v>
      </c>
      <c r="T224" s="14">
        <f t="shared" si="67"/>
        <v>0.34318014428881638</v>
      </c>
      <c r="U224" t="str">
        <f t="shared" si="80"/>
        <v>Moderate</v>
      </c>
      <c r="V224">
        <f t="shared" si="81"/>
        <v>0.16984144664938797</v>
      </c>
      <c r="W224">
        <f t="shared" si="68"/>
        <v>0.27474114329948868</v>
      </c>
      <c r="X224" t="s">
        <v>1170</v>
      </c>
      <c r="Y224">
        <f t="shared" si="69"/>
        <v>0.21479237352773095</v>
      </c>
      <c r="Z224">
        <f t="shared" si="82"/>
        <v>0.39100909537432721</v>
      </c>
      <c r="AA224" t="str">
        <f t="shared" si="83"/>
        <v>Moderate</v>
      </c>
      <c r="AB224">
        <f t="shared" si="70"/>
        <v>0.13725273015284439</v>
      </c>
      <c r="AC224">
        <f t="shared" si="84"/>
        <v>0.33547019529318817</v>
      </c>
      <c r="AD224" t="str">
        <f t="shared" si="85"/>
        <v>Moderate</v>
      </c>
      <c r="AE224">
        <f t="shared" si="71"/>
        <v>3.8201462192112415E-2</v>
      </c>
      <c r="AF224">
        <f t="shared" si="86"/>
        <v>0.23065368344650844</v>
      </c>
      <c r="AG224" t="s">
        <v>1169</v>
      </c>
    </row>
    <row r="225" spans="1:33" customFormat="1" x14ac:dyDescent="0.3">
      <c r="A225">
        <v>304849</v>
      </c>
      <c r="B225" t="s">
        <v>283</v>
      </c>
      <c r="C225" t="s">
        <v>764</v>
      </c>
      <c r="D225" t="s">
        <v>771</v>
      </c>
      <c r="E225" s="21">
        <v>6.3</v>
      </c>
      <c r="F225" s="2">
        <f t="shared" si="72"/>
        <v>0.68888888888888877</v>
      </c>
      <c r="G225" s="26">
        <v>55.974960000000003</v>
      </c>
      <c r="H225">
        <f t="shared" si="73"/>
        <v>0.57383165843054906</v>
      </c>
      <c r="I225" s="12">
        <v>123.30000000000001</v>
      </c>
      <c r="J225" s="2">
        <f t="shared" si="74"/>
        <v>0.51850294365012617</v>
      </c>
      <c r="K225" s="10">
        <v>0</v>
      </c>
      <c r="L225" s="2">
        <f t="shared" si="75"/>
        <v>0</v>
      </c>
      <c r="M225">
        <v>49962</v>
      </c>
      <c r="N225">
        <f t="shared" si="76"/>
        <v>0.23526044106305566</v>
      </c>
      <c r="O225" s="10">
        <v>0.80412546600000001</v>
      </c>
      <c r="P225">
        <f t="shared" si="77"/>
        <v>0.79010856491817993</v>
      </c>
      <c r="Q225" s="23">
        <v>0.26929999999999998</v>
      </c>
      <c r="R225" s="13">
        <f t="shared" si="78"/>
        <v>0.58315288003464705</v>
      </c>
      <c r="S225">
        <f t="shared" si="79"/>
        <v>0.18084068650193638</v>
      </c>
      <c r="T225" s="14">
        <f t="shared" si="67"/>
        <v>0.3227013831412166</v>
      </c>
      <c r="U225" t="str">
        <f t="shared" si="80"/>
        <v>Moderate</v>
      </c>
      <c r="V225">
        <f t="shared" si="81"/>
        <v>0.15358731223196836</v>
      </c>
      <c r="W225">
        <f t="shared" si="68"/>
        <v>0.24844791769829516</v>
      </c>
      <c r="X225" t="s">
        <v>1170</v>
      </c>
      <c r="Y225">
        <f t="shared" si="69"/>
        <v>0.20809406077190443</v>
      </c>
      <c r="Z225">
        <f t="shared" si="82"/>
        <v>0.37881545382097892</v>
      </c>
      <c r="AA225" t="str">
        <f t="shared" si="83"/>
        <v>Moderate</v>
      </c>
      <c r="AB225">
        <f t="shared" si="70"/>
        <v>0.13787029749587748</v>
      </c>
      <c r="AC225">
        <f t="shared" si="84"/>
        <v>0.33697964021966287</v>
      </c>
      <c r="AD225" t="str">
        <f t="shared" si="85"/>
        <v>Moderate</v>
      </c>
      <c r="AE225">
        <f t="shared" si="71"/>
        <v>6.1961485666049247E-2</v>
      </c>
      <c r="AF225">
        <f t="shared" si="86"/>
        <v>0.37411250985160294</v>
      </c>
      <c r="AG225" t="str">
        <f t="shared" si="87"/>
        <v>Moderate</v>
      </c>
    </row>
    <row r="226" spans="1:33" customFormat="1" x14ac:dyDescent="0.3">
      <c r="A226">
        <v>304854</v>
      </c>
      <c r="B226" t="s">
        <v>291</v>
      </c>
      <c r="C226" t="s">
        <v>764</v>
      </c>
      <c r="D226" t="s">
        <v>772</v>
      </c>
      <c r="E226" s="21">
        <v>6.3</v>
      </c>
      <c r="F226" s="2">
        <f t="shared" si="72"/>
        <v>0.68888888888888877</v>
      </c>
      <c r="G226" s="26">
        <v>65.296080000000003</v>
      </c>
      <c r="H226">
        <f t="shared" si="73"/>
        <v>0.66938784548329833</v>
      </c>
      <c r="I226" s="12">
        <v>171.7</v>
      </c>
      <c r="J226" s="2">
        <f t="shared" si="74"/>
        <v>0.72203532380151381</v>
      </c>
      <c r="K226" s="10">
        <v>0</v>
      </c>
      <c r="L226" s="2">
        <f t="shared" si="75"/>
        <v>0</v>
      </c>
      <c r="M226">
        <v>20678</v>
      </c>
      <c r="N226">
        <f t="shared" si="76"/>
        <v>9.670551163219826E-2</v>
      </c>
      <c r="O226" s="10">
        <v>0.85548379799999996</v>
      </c>
      <c r="P226">
        <f t="shared" si="77"/>
        <v>0.8466689209607976</v>
      </c>
      <c r="Q226" s="23">
        <v>0.3392</v>
      </c>
      <c r="R226" s="13">
        <f t="shared" si="78"/>
        <v>0.73451710697271544</v>
      </c>
      <c r="S226">
        <f t="shared" si="79"/>
        <v>0.26523414205827567</v>
      </c>
      <c r="T226" s="14">
        <f t="shared" si="67"/>
        <v>0.47329738762943152</v>
      </c>
      <c r="U226" t="str">
        <f t="shared" si="80"/>
        <v>Moderate</v>
      </c>
      <c r="V226">
        <f t="shared" si="81"/>
        <v>0.24642137136722381</v>
      </c>
      <c r="W226">
        <f t="shared" si="68"/>
        <v>0.39861936316769425</v>
      </c>
      <c r="X226" t="str">
        <f t="shared" si="88"/>
        <v>Moderate</v>
      </c>
      <c r="Y226">
        <f t="shared" si="69"/>
        <v>0.28404691274932753</v>
      </c>
      <c r="Z226">
        <f t="shared" si="82"/>
        <v>0.51708039989439325</v>
      </c>
      <c r="AA226" t="str">
        <f t="shared" si="83"/>
        <v>Moderate</v>
      </c>
      <c r="AB226">
        <f t="shared" si="70"/>
        <v>0.18281677834355123</v>
      </c>
      <c r="AC226">
        <f t="shared" si="84"/>
        <v>0.44683686995141092</v>
      </c>
      <c r="AD226" t="str">
        <f t="shared" si="85"/>
        <v>Moderate</v>
      </c>
      <c r="AE226">
        <f t="shared" si="71"/>
        <v>3.2443498686356008E-2</v>
      </c>
      <c r="AF226">
        <f t="shared" si="86"/>
        <v>0.1958881164879876</v>
      </c>
      <c r="AG226" t="s">
        <v>1169</v>
      </c>
    </row>
    <row r="227" spans="1:33" customFormat="1" x14ac:dyDescent="0.3">
      <c r="A227">
        <v>304859</v>
      </c>
      <c r="B227" t="s">
        <v>343</v>
      </c>
      <c r="C227" t="s">
        <v>764</v>
      </c>
      <c r="D227" t="s">
        <v>773</v>
      </c>
      <c r="E227" s="21">
        <v>5.9</v>
      </c>
      <c r="F227" s="2">
        <f t="shared" si="72"/>
        <v>0.60000000000000009</v>
      </c>
      <c r="G227" s="26">
        <v>66.187080000000009</v>
      </c>
      <c r="H227">
        <f t="shared" si="73"/>
        <v>0.67852200132122342</v>
      </c>
      <c r="I227" s="12">
        <v>175.2</v>
      </c>
      <c r="J227" s="2">
        <f t="shared" si="74"/>
        <v>0.73675357443229594</v>
      </c>
      <c r="K227" s="10">
        <v>0</v>
      </c>
      <c r="L227" s="2">
        <f t="shared" si="75"/>
        <v>0</v>
      </c>
      <c r="M227">
        <v>2267</v>
      </c>
      <c r="N227">
        <f t="shared" si="76"/>
        <v>9.595321571020993E-3</v>
      </c>
      <c r="O227" s="10">
        <v>0.23310546700000001</v>
      </c>
      <c r="P227">
        <f t="shared" si="77"/>
        <v>0.16125063294922098</v>
      </c>
      <c r="Q227" s="23">
        <v>0.15620000000000001</v>
      </c>
      <c r="R227" s="13">
        <f t="shared" si="78"/>
        <v>0.33824166305760073</v>
      </c>
      <c r="S227">
        <f t="shared" si="79"/>
        <v>7.4226520915627703E-2</v>
      </c>
      <c r="T227" s="14">
        <f t="shared" si="67"/>
        <v>0.13245360559376676</v>
      </c>
      <c r="U227" t="str">
        <f t="shared" si="80"/>
        <v>No Impact</v>
      </c>
      <c r="V227">
        <f t="shared" si="81"/>
        <v>0.10052808452981149</v>
      </c>
      <c r="W227">
        <f t="shared" si="68"/>
        <v>0.16261755550424462</v>
      </c>
      <c r="X227" t="s">
        <v>1170</v>
      </c>
      <c r="Y227">
        <f t="shared" si="69"/>
        <v>4.7924957301443909E-2</v>
      </c>
      <c r="Z227">
        <f t="shared" si="82"/>
        <v>8.7242828469752495E-2</v>
      </c>
      <c r="AA227" t="str">
        <f t="shared" si="83"/>
        <v>No Impact</v>
      </c>
      <c r="AB227">
        <f t="shared" si="70"/>
        <v>5.056044855904826E-2</v>
      </c>
      <c r="AC227">
        <f t="shared" si="84"/>
        <v>0.12357876986000055</v>
      </c>
      <c r="AD227" t="str">
        <f t="shared" si="85"/>
        <v>No Impact</v>
      </c>
      <c r="AE227">
        <f t="shared" si="71"/>
        <v>2.8518050948030489E-3</v>
      </c>
      <c r="AF227">
        <f t="shared" si="86"/>
        <v>1.7218695616411678E-2</v>
      </c>
      <c r="AG227" t="s">
        <v>1170</v>
      </c>
    </row>
    <row r="228" spans="1:33" customFormat="1" x14ac:dyDescent="0.3">
      <c r="A228">
        <v>304876</v>
      </c>
      <c r="B228" t="s">
        <v>388</v>
      </c>
      <c r="C228" t="s">
        <v>764</v>
      </c>
      <c r="D228" t="s">
        <v>774</v>
      </c>
      <c r="E228" s="21">
        <v>6.2</v>
      </c>
      <c r="F228" s="2">
        <f t="shared" si="72"/>
        <v>0.66666666666666663</v>
      </c>
      <c r="G228" s="26">
        <v>66.187080000000009</v>
      </c>
      <c r="H228">
        <f t="shared" si="73"/>
        <v>0.67852200132122342</v>
      </c>
      <c r="I228" s="12">
        <v>175.2</v>
      </c>
      <c r="J228" s="2">
        <f t="shared" si="74"/>
        <v>0.73675357443229594</v>
      </c>
      <c r="K228" s="10">
        <v>0</v>
      </c>
      <c r="L228" s="2">
        <f t="shared" si="75"/>
        <v>0</v>
      </c>
      <c r="M228">
        <v>6692</v>
      </c>
      <c r="N228">
        <f t="shared" si="76"/>
        <v>3.0531859022583072E-2</v>
      </c>
      <c r="O228" s="10">
        <v>0.15062205200000001</v>
      </c>
      <c r="P228">
        <f t="shared" si="77"/>
        <v>7.0412571463676757E-2</v>
      </c>
      <c r="Q228" s="23">
        <v>0.18310000000000001</v>
      </c>
      <c r="R228" s="13">
        <f t="shared" si="78"/>
        <v>0.39649198787353834</v>
      </c>
      <c r="S228">
        <f t="shared" si="79"/>
        <v>7.7093172221090689E-2</v>
      </c>
      <c r="T228" s="14">
        <f t="shared" si="67"/>
        <v>0.13756900500498598</v>
      </c>
      <c r="U228" t="str">
        <f t="shared" si="80"/>
        <v>No Impact</v>
      </c>
      <c r="V228">
        <f t="shared" si="81"/>
        <v>0.13093393283118851</v>
      </c>
      <c r="W228">
        <f t="shared" si="68"/>
        <v>0.21180306169317958</v>
      </c>
      <c r="X228" t="s">
        <v>1170</v>
      </c>
      <c r="Y228">
        <f t="shared" si="69"/>
        <v>2.3252411610992885E-2</v>
      </c>
      <c r="Z228">
        <f t="shared" si="82"/>
        <v>4.2328804696187279E-2</v>
      </c>
      <c r="AA228" t="str">
        <f t="shared" si="83"/>
        <v>No Impact</v>
      </c>
      <c r="AB228">
        <f t="shared" si="70"/>
        <v>5.6331497846703105E-2</v>
      </c>
      <c r="AC228">
        <f t="shared" si="84"/>
        <v>0.13768424542628066</v>
      </c>
      <c r="AD228" t="str">
        <f t="shared" si="85"/>
        <v>No Impact</v>
      </c>
      <c r="AE228">
        <f t="shared" si="71"/>
        <v>1.0082565349969359E-2</v>
      </c>
      <c r="AF228">
        <f t="shared" si="86"/>
        <v>6.0876749294709917E-2</v>
      </c>
      <c r="AG228" t="s">
        <v>1170</v>
      </c>
    </row>
    <row r="229" spans="1:33" customFormat="1" x14ac:dyDescent="0.3">
      <c r="A229">
        <v>304879</v>
      </c>
      <c r="B229" t="s">
        <v>395</v>
      </c>
      <c r="C229" t="s">
        <v>764</v>
      </c>
      <c r="D229" t="s">
        <v>775</v>
      </c>
      <c r="E229" s="21">
        <v>6.3</v>
      </c>
      <c r="F229" s="2">
        <f t="shared" si="72"/>
        <v>0.68888888888888877</v>
      </c>
      <c r="G229" s="26">
        <v>47.612520000000004</v>
      </c>
      <c r="H229">
        <f t="shared" si="73"/>
        <v>0.48810345400260552</v>
      </c>
      <c r="I229" s="12">
        <v>72.099999999999994</v>
      </c>
      <c r="J229" s="2">
        <f t="shared" si="74"/>
        <v>0.30319596299411267</v>
      </c>
      <c r="K229" s="10">
        <v>0</v>
      </c>
      <c r="L229" s="2">
        <f t="shared" si="75"/>
        <v>0</v>
      </c>
      <c r="M229">
        <v>22012</v>
      </c>
      <c r="N229">
        <f t="shared" si="76"/>
        <v>0.10301722710347144</v>
      </c>
      <c r="O229" s="10">
        <v>0.88355955600000002</v>
      </c>
      <c r="P229">
        <f t="shared" si="77"/>
        <v>0.87758843892034455</v>
      </c>
      <c r="Q229" s="23">
        <v>0.30270000000000002</v>
      </c>
      <c r="R229" s="13">
        <f t="shared" si="78"/>
        <v>0.65547856214811617</v>
      </c>
      <c r="S229">
        <f t="shared" si="79"/>
        <v>0.1462477556906869</v>
      </c>
      <c r="T229" s="14">
        <f t="shared" si="67"/>
        <v>0.2609719856498004</v>
      </c>
      <c r="U229" t="str">
        <f t="shared" si="80"/>
        <v>Low</v>
      </c>
      <c r="V229">
        <f t="shared" si="81"/>
        <v>0.12505946387302039</v>
      </c>
      <c r="W229">
        <f t="shared" si="68"/>
        <v>0.20230032634980818</v>
      </c>
      <c r="X229" t="s">
        <v>1170</v>
      </c>
      <c r="Y229">
        <f t="shared" si="69"/>
        <v>0.16743604750835342</v>
      </c>
      <c r="Z229">
        <f t="shared" si="82"/>
        <v>0.3048014060929482</v>
      </c>
      <c r="AA229" t="str">
        <f t="shared" si="83"/>
        <v>Moderate</v>
      </c>
      <c r="AB229">
        <f t="shared" si="70"/>
        <v>0.10088079547387414</v>
      </c>
      <c r="AC229">
        <f t="shared" si="84"/>
        <v>0.24657068840281565</v>
      </c>
      <c r="AD229" t="str">
        <f t="shared" si="85"/>
        <v>Low</v>
      </c>
      <c r="AE229">
        <f t="shared" si="71"/>
        <v>1.965476818803135E-2</v>
      </c>
      <c r="AF229">
        <f t="shared" si="86"/>
        <v>0.11867201985773003</v>
      </c>
      <c r="AG229" t="s">
        <v>1170</v>
      </c>
    </row>
    <row r="230" spans="1:33" customFormat="1" x14ac:dyDescent="0.3">
      <c r="A230">
        <v>304892</v>
      </c>
      <c r="B230" t="s">
        <v>517</v>
      </c>
      <c r="C230" t="s">
        <v>764</v>
      </c>
      <c r="D230" t="s">
        <v>776</v>
      </c>
      <c r="E230" s="21">
        <v>6.3</v>
      </c>
      <c r="F230" s="2">
        <f t="shared" si="72"/>
        <v>0.68888888888888877</v>
      </c>
      <c r="G230" s="26">
        <v>48.3264</v>
      </c>
      <c r="H230">
        <f t="shared" si="73"/>
        <v>0.49542185037699149</v>
      </c>
      <c r="I230" s="12">
        <v>62.7</v>
      </c>
      <c r="J230" s="2">
        <f t="shared" si="74"/>
        <v>0.26366694701429771</v>
      </c>
      <c r="K230" s="10">
        <v>0</v>
      </c>
      <c r="L230" s="2">
        <f t="shared" si="75"/>
        <v>0</v>
      </c>
      <c r="M230">
        <v>17053</v>
      </c>
      <c r="N230">
        <f t="shared" si="76"/>
        <v>7.9554110895042884E-2</v>
      </c>
      <c r="O230" s="10">
        <v>0.73197743400000004</v>
      </c>
      <c r="P230">
        <f t="shared" si="77"/>
        <v>0.71065274501939169</v>
      </c>
      <c r="Q230" s="23">
        <v>0.2404</v>
      </c>
      <c r="R230" s="13">
        <f t="shared" si="78"/>
        <v>0.52057167605023824</v>
      </c>
      <c r="S230">
        <f t="shared" si="79"/>
        <v>0.11267226684919519</v>
      </c>
      <c r="T230" s="14">
        <f t="shared" si="67"/>
        <v>0.20105816371971255</v>
      </c>
      <c r="U230" t="str">
        <f t="shared" si="80"/>
        <v>Low</v>
      </c>
      <c r="V230">
        <f t="shared" si="81"/>
        <v>9.5277497415311829E-2</v>
      </c>
      <c r="W230">
        <f t="shared" si="68"/>
        <v>0.15412403207230441</v>
      </c>
      <c r="X230" t="s">
        <v>1170</v>
      </c>
      <c r="Y230">
        <f t="shared" si="69"/>
        <v>0.13006703628307853</v>
      </c>
      <c r="Z230">
        <f t="shared" si="82"/>
        <v>0.23677467388524548</v>
      </c>
      <c r="AA230" t="str">
        <f t="shared" si="83"/>
        <v>Low</v>
      </c>
      <c r="AB230">
        <f t="shared" si="70"/>
        <v>7.7463364736018656E-2</v>
      </c>
      <c r="AC230">
        <f t="shared" si="84"/>
        <v>0.18933430371199872</v>
      </c>
      <c r="AD230" t="str">
        <f t="shared" si="85"/>
        <v>Low</v>
      </c>
      <c r="AE230">
        <f t="shared" si="71"/>
        <v>1.456037073067416E-2</v>
      </c>
      <c r="AF230">
        <f t="shared" si="86"/>
        <v>8.7912947532938809E-2</v>
      </c>
      <c r="AG230" t="s">
        <v>1170</v>
      </c>
    </row>
    <row r="231" spans="1:33" customFormat="1" x14ac:dyDescent="0.3">
      <c r="A231">
        <v>305440</v>
      </c>
      <c r="B231" t="s">
        <v>249</v>
      </c>
      <c r="C231" t="s">
        <v>778</v>
      </c>
      <c r="D231" t="s">
        <v>777</v>
      </c>
      <c r="E231" s="21">
        <v>6.4</v>
      </c>
      <c r="F231" s="2">
        <f t="shared" si="72"/>
        <v>0.71111111111111114</v>
      </c>
      <c r="G231" s="26">
        <v>88.86348000000001</v>
      </c>
      <c r="H231">
        <f t="shared" si="73"/>
        <v>0.91099088060643418</v>
      </c>
      <c r="I231" s="12">
        <v>226.1</v>
      </c>
      <c r="J231" s="2">
        <f t="shared" si="74"/>
        <v>0.95079899074852814</v>
      </c>
      <c r="K231" s="10">
        <v>0</v>
      </c>
      <c r="L231" s="2">
        <f t="shared" si="75"/>
        <v>0</v>
      </c>
      <c r="M231">
        <v>17400</v>
      </c>
      <c r="N231">
        <f t="shared" si="76"/>
        <v>8.1195913944916792E-2</v>
      </c>
      <c r="O231" s="10">
        <v>0.87484448500000001</v>
      </c>
      <c r="P231">
        <f t="shared" si="77"/>
        <v>0.86799062879877187</v>
      </c>
      <c r="Q231" s="23">
        <v>0.29370000000000002</v>
      </c>
      <c r="R231" s="13">
        <f t="shared" si="78"/>
        <v>0.63598960588999576</v>
      </c>
      <c r="S231">
        <f t="shared" si="79"/>
        <v>0.34845628753122215</v>
      </c>
      <c r="T231" s="14">
        <f t="shared" si="67"/>
        <v>0.62180324641365936</v>
      </c>
      <c r="U231" t="str">
        <f t="shared" si="80"/>
        <v>Moderate</v>
      </c>
      <c r="V231">
        <f t="shared" si="81"/>
        <v>0.29470410829266486</v>
      </c>
      <c r="W231">
        <f t="shared" si="68"/>
        <v>0.47672311585126759</v>
      </c>
      <c r="X231" t="str">
        <f t="shared" si="88"/>
        <v>Moderate</v>
      </c>
      <c r="Y231">
        <f t="shared" si="69"/>
        <v>0.4022084667697795</v>
      </c>
      <c r="Z231">
        <f t="shared" si="82"/>
        <v>0.73218227519257106</v>
      </c>
      <c r="AA231" t="str">
        <f t="shared" si="83"/>
        <v>High</v>
      </c>
      <c r="AB231">
        <f t="shared" si="70"/>
        <v>0.23697754109554375</v>
      </c>
      <c r="AC231">
        <f t="shared" si="84"/>
        <v>0.57921545096328331</v>
      </c>
      <c r="AD231" t="str">
        <f t="shared" si="85"/>
        <v>Moderate</v>
      </c>
      <c r="AE231">
        <f t="shared" si="71"/>
        <v>3.76244661776493E-2</v>
      </c>
      <c r="AF231">
        <f t="shared" si="86"/>
        <v>0.22716988339192962</v>
      </c>
      <c r="AG231" t="s">
        <v>1169</v>
      </c>
    </row>
    <row r="232" spans="1:33" customFormat="1" x14ac:dyDescent="0.3">
      <c r="A232">
        <v>305454</v>
      </c>
      <c r="B232" t="s">
        <v>311</v>
      </c>
      <c r="C232" t="s">
        <v>778</v>
      </c>
      <c r="D232" t="s">
        <v>779</v>
      </c>
      <c r="E232" s="21">
        <v>6.4</v>
      </c>
      <c r="F232" s="2">
        <f t="shared" si="72"/>
        <v>0.71111111111111114</v>
      </c>
      <c r="G232" s="26">
        <v>81.169200000000004</v>
      </c>
      <c r="H232">
        <f t="shared" si="73"/>
        <v>0.83211237041493058</v>
      </c>
      <c r="I232" s="12">
        <v>177.7</v>
      </c>
      <c r="J232" s="2">
        <f t="shared" si="74"/>
        <v>0.74726661059714039</v>
      </c>
      <c r="K232" s="10">
        <v>0</v>
      </c>
      <c r="L232" s="2">
        <f t="shared" si="75"/>
        <v>0</v>
      </c>
      <c r="M232">
        <v>27938</v>
      </c>
      <c r="N232">
        <f t="shared" si="76"/>
        <v>0.1310556273154391</v>
      </c>
      <c r="O232" s="10">
        <v>0.77323142600000005</v>
      </c>
      <c r="P232">
        <f t="shared" si="77"/>
        <v>0.75608530454448108</v>
      </c>
      <c r="Q232" s="23">
        <v>0.25740000000000002</v>
      </c>
      <c r="R232" s="13">
        <f t="shared" si="78"/>
        <v>0.55738414898224342</v>
      </c>
      <c r="S232">
        <f t="shared" si="79"/>
        <v>0.2581557747504114</v>
      </c>
      <c r="T232" s="14">
        <f t="shared" si="67"/>
        <v>0.46066638647137681</v>
      </c>
      <c r="U232" t="str">
        <f t="shared" si="80"/>
        <v>Moderate</v>
      </c>
      <c r="V232">
        <f t="shared" si="81"/>
        <v>0.21910206808046195</v>
      </c>
      <c r="W232">
        <f t="shared" si="68"/>
        <v>0.35442675431265491</v>
      </c>
      <c r="X232" t="str">
        <f t="shared" si="88"/>
        <v>Moderate</v>
      </c>
      <c r="Y232">
        <f t="shared" si="69"/>
        <v>0.29720948142036085</v>
      </c>
      <c r="Z232">
        <f t="shared" si="82"/>
        <v>0.54104160477487628</v>
      </c>
      <c r="AA232" t="str">
        <f t="shared" si="83"/>
        <v>Moderate</v>
      </c>
      <c r="AB232">
        <f t="shared" si="70"/>
        <v>0.18387939252652316</v>
      </c>
      <c r="AC232">
        <f t="shared" si="84"/>
        <v>0.44943408887074271</v>
      </c>
      <c r="AD232" t="str">
        <f t="shared" si="85"/>
        <v>Moderate</v>
      </c>
      <c r="AE232">
        <f t="shared" si="71"/>
        <v>5.1516640777866371E-2</v>
      </c>
      <c r="AF232">
        <f t="shared" si="86"/>
        <v>0.3110483806732115</v>
      </c>
      <c r="AG232" t="str">
        <f t="shared" si="87"/>
        <v>Moderate</v>
      </c>
    </row>
    <row r="233" spans="1:33" customFormat="1" x14ac:dyDescent="0.3">
      <c r="A233">
        <v>305480</v>
      </c>
      <c r="B233" t="s">
        <v>429</v>
      </c>
      <c r="C233" t="s">
        <v>778</v>
      </c>
      <c r="D233" t="s">
        <v>780</v>
      </c>
      <c r="E233" s="21">
        <v>6.4</v>
      </c>
      <c r="F233" s="2">
        <f t="shared" si="72"/>
        <v>0.71111111111111114</v>
      </c>
      <c r="G233" s="26">
        <v>77.563079999999999</v>
      </c>
      <c r="H233">
        <f t="shared" si="73"/>
        <v>0.79514395060543763</v>
      </c>
      <c r="I233" s="12">
        <v>157</v>
      </c>
      <c r="J233" s="2">
        <f t="shared" si="74"/>
        <v>0.66021867115222876</v>
      </c>
      <c r="K233" s="10">
        <v>0</v>
      </c>
      <c r="L233" s="2">
        <f t="shared" si="75"/>
        <v>0</v>
      </c>
      <c r="M233">
        <v>12683</v>
      </c>
      <c r="N233">
        <f t="shared" si="76"/>
        <v>5.8877801592596271E-2</v>
      </c>
      <c r="O233" s="10">
        <v>0.79979732400000003</v>
      </c>
      <c r="P233">
        <f t="shared" si="77"/>
        <v>0.78534203058986474</v>
      </c>
      <c r="Q233" s="23">
        <v>0.27060000000000001</v>
      </c>
      <c r="R233" s="13">
        <f t="shared" si="78"/>
        <v>0.58596795149415337</v>
      </c>
      <c r="S233">
        <f t="shared" si="79"/>
        <v>0.24836040951782734</v>
      </c>
      <c r="T233" s="14">
        <f t="shared" si="67"/>
        <v>0.44318703505952284</v>
      </c>
      <c r="U233" t="str">
        <f t="shared" si="80"/>
        <v>Moderate</v>
      </c>
      <c r="V233">
        <f t="shared" si="81"/>
        <v>0.21225141258906671</v>
      </c>
      <c r="W233">
        <f t="shared" si="68"/>
        <v>0.34334490733603162</v>
      </c>
      <c r="X233" t="str">
        <f t="shared" si="88"/>
        <v>Moderate</v>
      </c>
      <c r="Y233">
        <f t="shared" si="69"/>
        <v>0.28446940644658791</v>
      </c>
      <c r="Z233">
        <f t="shared" si="82"/>
        <v>0.51784950950314668</v>
      </c>
      <c r="AA233" t="str">
        <f t="shared" si="83"/>
        <v>Moderate</v>
      </c>
      <c r="AB233">
        <f t="shared" si="70"/>
        <v>0.16709324128729158</v>
      </c>
      <c r="AC233">
        <f t="shared" si="84"/>
        <v>0.40840573607823316</v>
      </c>
      <c r="AD233" t="str">
        <f t="shared" si="85"/>
        <v>Moderate</v>
      </c>
      <c r="AE233">
        <f t="shared" si="71"/>
        <v>2.1326928420405344E-2</v>
      </c>
      <c r="AF233">
        <f t="shared" si="86"/>
        <v>0.12876822808583985</v>
      </c>
      <c r="AG233" t="s">
        <v>1170</v>
      </c>
    </row>
    <row r="234" spans="1:33" customFormat="1" x14ac:dyDescent="0.3">
      <c r="A234">
        <v>305487</v>
      </c>
      <c r="B234" t="s">
        <v>485</v>
      </c>
      <c r="C234" t="s">
        <v>778</v>
      </c>
      <c r="D234" t="s">
        <v>781</v>
      </c>
      <c r="E234" s="21">
        <v>6.4</v>
      </c>
      <c r="F234" s="2">
        <f t="shared" si="72"/>
        <v>0.71111111111111114</v>
      </c>
      <c r="G234" s="26">
        <v>73.945800000000006</v>
      </c>
      <c r="H234">
        <f t="shared" si="73"/>
        <v>0.75806112318746977</v>
      </c>
      <c r="I234" s="12">
        <v>146.30000000000001</v>
      </c>
      <c r="J234" s="2">
        <f t="shared" si="74"/>
        <v>0.6152228763666947</v>
      </c>
      <c r="K234" s="10">
        <v>0</v>
      </c>
      <c r="L234" s="2">
        <f t="shared" si="75"/>
        <v>0</v>
      </c>
      <c r="M234">
        <v>29231</v>
      </c>
      <c r="N234">
        <f t="shared" si="76"/>
        <v>0.13717335453009893</v>
      </c>
      <c r="O234" s="10">
        <v>0.70977384899999996</v>
      </c>
      <c r="P234">
        <f t="shared" si="77"/>
        <v>0.68620018544205708</v>
      </c>
      <c r="Q234" s="23">
        <v>0.24440000000000001</v>
      </c>
      <c r="R234" s="13">
        <f t="shared" si="78"/>
        <v>0.52923343438718062</v>
      </c>
      <c r="S234">
        <f t="shared" si="79"/>
        <v>0.20771464530527714</v>
      </c>
      <c r="T234" s="14">
        <f t="shared" si="67"/>
        <v>0.37065665163786254</v>
      </c>
      <c r="U234" t="str">
        <f t="shared" si="80"/>
        <v>Moderate</v>
      </c>
      <c r="V234">
        <f t="shared" si="81"/>
        <v>0.18088940985995011</v>
      </c>
      <c r="W234">
        <f t="shared" si="68"/>
        <v>0.29261269411044305</v>
      </c>
      <c r="X234" t="s">
        <v>1169</v>
      </c>
      <c r="Y234">
        <f t="shared" si="69"/>
        <v>0.23453988075060417</v>
      </c>
      <c r="Z234">
        <f t="shared" si="82"/>
        <v>0.42695755484845632</v>
      </c>
      <c r="AA234" t="str">
        <f t="shared" si="83"/>
        <v>Moderate</v>
      </c>
      <c r="AB234">
        <f t="shared" si="70"/>
        <v>0.15008307220794409</v>
      </c>
      <c r="AC234">
        <f t="shared" si="84"/>
        <v>0.36682984365945059</v>
      </c>
      <c r="AD234" t="str">
        <f t="shared" si="85"/>
        <v>Moderate</v>
      </c>
      <c r="AE234">
        <f t="shared" si="71"/>
        <v>4.6885184376515184E-2</v>
      </c>
      <c r="AF234">
        <f t="shared" si="86"/>
        <v>0.28308446470263038</v>
      </c>
      <c r="AG234" t="s">
        <v>1169</v>
      </c>
    </row>
    <row r="235" spans="1:33" customFormat="1" x14ac:dyDescent="0.3">
      <c r="A235">
        <v>305610</v>
      </c>
      <c r="B235" t="s">
        <v>132</v>
      </c>
      <c r="C235" t="s">
        <v>859</v>
      </c>
      <c r="D235" t="s">
        <v>1143</v>
      </c>
      <c r="E235" s="21">
        <v>5.2</v>
      </c>
      <c r="F235" s="2">
        <f t="shared" si="72"/>
        <v>0.44444444444444442</v>
      </c>
      <c r="G235" s="26">
        <v>45.024120000000003</v>
      </c>
      <c r="H235">
        <f t="shared" si="73"/>
        <v>0.46156826997243144</v>
      </c>
      <c r="I235" s="12">
        <v>11.299999999999999</v>
      </c>
      <c r="J235" s="2">
        <f t="shared" si="74"/>
        <v>4.7518923465096716E-2</v>
      </c>
      <c r="K235" s="10">
        <v>0</v>
      </c>
      <c r="L235" s="2">
        <f t="shared" si="75"/>
        <v>0</v>
      </c>
      <c r="M235">
        <v>16413</v>
      </c>
      <c r="N235">
        <f t="shared" si="76"/>
        <v>7.6526001523517531E-2</v>
      </c>
      <c r="O235" s="10">
        <v>0.71263319599999997</v>
      </c>
      <c r="P235">
        <f t="shared" si="77"/>
        <v>0.6893491522809605</v>
      </c>
      <c r="Q235" s="23">
        <v>0.28360000000000002</v>
      </c>
      <c r="R235" s="13">
        <f t="shared" si="78"/>
        <v>0.61411866608921617</v>
      </c>
      <c r="S235">
        <f t="shared" si="79"/>
        <v>5.1611682374794188E-2</v>
      </c>
      <c r="T235" s="14">
        <f t="shared" si="67"/>
        <v>9.2098529433601209E-2</v>
      </c>
      <c r="U235" t="str">
        <f t="shared" si="80"/>
        <v>No Impact</v>
      </c>
      <c r="V235">
        <f t="shared" si="81"/>
        <v>4.8632880824415615E-2</v>
      </c>
      <c r="W235">
        <f t="shared" si="68"/>
        <v>7.8670157039055541E-2</v>
      </c>
      <c r="X235" t="s">
        <v>1170</v>
      </c>
      <c r="Y235">
        <f t="shared" si="69"/>
        <v>5.4590483925172753E-2</v>
      </c>
      <c r="Z235">
        <f t="shared" si="82"/>
        <v>9.9376785986643679E-2</v>
      </c>
      <c r="AA235" t="str">
        <f t="shared" si="83"/>
        <v>No Impact</v>
      </c>
      <c r="AB235">
        <f t="shared" si="70"/>
        <v>3.5519722310196816E-2</v>
      </c>
      <c r="AC235">
        <f t="shared" si="84"/>
        <v>8.6816547597210761E-2</v>
      </c>
      <c r="AD235" t="str">
        <f t="shared" si="85"/>
        <v>No Impact</v>
      </c>
      <c r="AE235">
        <f t="shared" si="71"/>
        <v>6.0601966974272179E-3</v>
      </c>
      <c r="AF235">
        <f t="shared" si="86"/>
        <v>3.6590397604219539E-2</v>
      </c>
      <c r="AG235" t="s">
        <v>1170</v>
      </c>
    </row>
    <row r="236" spans="1:33" customFormat="1" x14ac:dyDescent="0.3">
      <c r="A236">
        <v>305622</v>
      </c>
      <c r="B236" t="s">
        <v>184</v>
      </c>
      <c r="C236" t="s">
        <v>782</v>
      </c>
      <c r="D236" t="s">
        <v>783</v>
      </c>
      <c r="E236" s="21">
        <v>5.9</v>
      </c>
      <c r="F236" s="2">
        <f t="shared" si="72"/>
        <v>0.60000000000000009</v>
      </c>
      <c r="G236" s="26">
        <v>45.048960000000001</v>
      </c>
      <c r="H236">
        <f t="shared" si="73"/>
        <v>0.46182291916548873</v>
      </c>
      <c r="I236" s="12">
        <v>24.9</v>
      </c>
      <c r="J236" s="2">
        <f t="shared" si="74"/>
        <v>0.10470984020185028</v>
      </c>
      <c r="K236" s="10">
        <v>0</v>
      </c>
      <c r="L236" s="2">
        <f t="shared" si="75"/>
        <v>0</v>
      </c>
      <c r="M236">
        <v>22617</v>
      </c>
      <c r="N236">
        <f t="shared" si="76"/>
        <v>0.10587973674374151</v>
      </c>
      <c r="O236" s="10">
        <v>0.81849543499999999</v>
      </c>
      <c r="P236">
        <f t="shared" si="77"/>
        <v>0.80593405089699599</v>
      </c>
      <c r="Q236" s="23">
        <v>0.25090000000000001</v>
      </c>
      <c r="R236" s="13">
        <f t="shared" si="78"/>
        <v>0.54330879168471202</v>
      </c>
      <c r="S236">
        <f t="shared" si="79"/>
        <v>8.0260978419766968E-2</v>
      </c>
      <c r="T236" s="14">
        <f t="shared" si="67"/>
        <v>0.14322180063195461</v>
      </c>
      <c r="U236" t="str">
        <f t="shared" si="80"/>
        <v>No Impact</v>
      </c>
      <c r="V236">
        <f t="shared" si="81"/>
        <v>6.4638468077751685E-2</v>
      </c>
      <c r="W236">
        <f t="shared" si="68"/>
        <v>0.10456132452445167</v>
      </c>
      <c r="X236" t="s">
        <v>1170</v>
      </c>
      <c r="Y236">
        <f t="shared" si="69"/>
        <v>9.5883488761782251E-2</v>
      </c>
      <c r="Z236">
        <f t="shared" si="82"/>
        <v>0.17454677550382672</v>
      </c>
      <c r="AA236" t="str">
        <f t="shared" si="83"/>
        <v>Low</v>
      </c>
      <c r="AB236">
        <f t="shared" si="70"/>
        <v>5.5797359403008936E-2</v>
      </c>
      <c r="AC236">
        <f t="shared" si="84"/>
        <v>0.13637871563594325</v>
      </c>
      <c r="AD236" t="str">
        <f t="shared" si="85"/>
        <v>No Impact</v>
      </c>
      <c r="AE236">
        <f t="shared" si="71"/>
        <v>1.2596711277889056E-2</v>
      </c>
      <c r="AF236">
        <f t="shared" si="86"/>
        <v>7.6056718482288593E-2</v>
      </c>
      <c r="AG236" t="s">
        <v>1170</v>
      </c>
    </row>
    <row r="237" spans="1:33" customFormat="1" x14ac:dyDescent="0.3">
      <c r="A237">
        <v>305628</v>
      </c>
      <c r="B237" t="s">
        <v>205</v>
      </c>
      <c r="C237" t="s">
        <v>782</v>
      </c>
      <c r="D237" t="s">
        <v>784</v>
      </c>
      <c r="E237" s="21">
        <v>5.9</v>
      </c>
      <c r="F237" s="2">
        <f t="shared" si="72"/>
        <v>0.60000000000000009</v>
      </c>
      <c r="G237" s="26">
        <v>50.074559999999998</v>
      </c>
      <c r="H237">
        <f t="shared" si="73"/>
        <v>0.51334324865940106</v>
      </c>
      <c r="I237" s="12">
        <v>54.9</v>
      </c>
      <c r="J237" s="2">
        <f t="shared" si="74"/>
        <v>0.23086627417998315</v>
      </c>
      <c r="K237" s="10">
        <v>0</v>
      </c>
      <c r="L237" s="2">
        <f t="shared" si="75"/>
        <v>0</v>
      </c>
      <c r="M237">
        <v>12495</v>
      </c>
      <c r="N237">
        <f t="shared" si="76"/>
        <v>5.7988294464710696E-2</v>
      </c>
      <c r="O237" s="10">
        <v>0.71691236599999997</v>
      </c>
      <c r="P237">
        <f t="shared" si="77"/>
        <v>0.69406175429394812</v>
      </c>
      <c r="Q237" s="23">
        <v>0.23949999999999999</v>
      </c>
      <c r="R237" s="13">
        <f t="shared" si="78"/>
        <v>0.51862278042442611</v>
      </c>
      <c r="S237">
        <f t="shared" si="79"/>
        <v>9.4761594788433517E-2</v>
      </c>
      <c r="T237" s="14">
        <f t="shared" si="67"/>
        <v>0.16909744316065492</v>
      </c>
      <c r="U237" t="str">
        <f t="shared" si="80"/>
        <v>Low</v>
      </c>
      <c r="V237">
        <f t="shared" si="81"/>
        <v>8.1052442510192349E-2</v>
      </c>
      <c r="W237">
        <f t="shared" si="68"/>
        <v>0.13111311262224562</v>
      </c>
      <c r="X237" t="s">
        <v>1170</v>
      </c>
      <c r="Y237">
        <f t="shared" si="69"/>
        <v>0.10847074706667466</v>
      </c>
      <c r="Z237">
        <f t="shared" si="82"/>
        <v>0.19746068255836904</v>
      </c>
      <c r="AA237" t="str">
        <f t="shared" si="83"/>
        <v>Low</v>
      </c>
      <c r="AB237">
        <f t="shared" si="70"/>
        <v>6.4081503908677839E-2</v>
      </c>
      <c r="AC237">
        <f t="shared" si="84"/>
        <v>0.15662664492710529</v>
      </c>
      <c r="AD237" t="str">
        <f t="shared" si="85"/>
        <v>Low</v>
      </c>
      <c r="AE237">
        <f t="shared" si="71"/>
        <v>9.0626426003089303E-3</v>
      </c>
      <c r="AF237">
        <f t="shared" si="86"/>
        <v>5.4718635821015667E-2</v>
      </c>
      <c r="AG237" t="s">
        <v>1170</v>
      </c>
    </row>
    <row r="238" spans="1:33" customFormat="1" x14ac:dyDescent="0.3">
      <c r="A238">
        <v>305646</v>
      </c>
      <c r="B238" t="s">
        <v>322</v>
      </c>
      <c r="C238" t="s">
        <v>782</v>
      </c>
      <c r="D238" t="s">
        <v>785</v>
      </c>
      <c r="E238" s="21">
        <v>5.9</v>
      </c>
      <c r="F238" s="2">
        <f t="shared" si="72"/>
        <v>0.60000000000000009</v>
      </c>
      <c r="G238" s="26">
        <v>49.416480000000007</v>
      </c>
      <c r="H238">
        <f t="shared" si="73"/>
        <v>0.5065968903273903</v>
      </c>
      <c r="I238" s="12">
        <v>54.9</v>
      </c>
      <c r="J238" s="2">
        <f t="shared" si="74"/>
        <v>0.23086627417998315</v>
      </c>
      <c r="K238" s="10">
        <v>0</v>
      </c>
      <c r="L238" s="2">
        <f t="shared" si="75"/>
        <v>0</v>
      </c>
      <c r="M238">
        <v>45062</v>
      </c>
      <c r="N238">
        <f t="shared" si="76"/>
        <v>0.21207647868731458</v>
      </c>
      <c r="O238" s="10">
        <v>0.79733383800000002</v>
      </c>
      <c r="P238">
        <f t="shared" si="77"/>
        <v>0.78262902103834731</v>
      </c>
      <c r="Q238" s="23">
        <v>0.25009999999999999</v>
      </c>
      <c r="R238" s="13">
        <f t="shared" si="78"/>
        <v>0.54157644001732352</v>
      </c>
      <c r="S238">
        <f t="shared" si="79"/>
        <v>0.10253803872564636</v>
      </c>
      <c r="T238" s="14">
        <f t="shared" si="67"/>
        <v>0.18297412800962468</v>
      </c>
      <c r="U238" t="str">
        <f t="shared" si="80"/>
        <v>Low</v>
      </c>
      <c r="V238">
        <f t="shared" si="81"/>
        <v>8.3872461808340765E-2</v>
      </c>
      <c r="W238">
        <f t="shared" si="68"/>
        <v>0.13567486913918886</v>
      </c>
      <c r="X238" t="s">
        <v>1170</v>
      </c>
      <c r="Y238">
        <f t="shared" si="69"/>
        <v>0.12120361564295196</v>
      </c>
      <c r="Z238">
        <f t="shared" si="82"/>
        <v>0.22063965926858081</v>
      </c>
      <c r="AA238" t="str">
        <f t="shared" si="83"/>
        <v>Low</v>
      </c>
      <c r="AB238">
        <f t="shared" si="70"/>
        <v>7.7211742770943906E-2</v>
      </c>
      <c r="AC238">
        <f t="shared" si="84"/>
        <v>0.18871929467232657</v>
      </c>
      <c r="AD238" t="str">
        <f t="shared" si="85"/>
        <v>Low</v>
      </c>
      <c r="AE238">
        <f t="shared" si="71"/>
        <v>3.2843704128968788E-2</v>
      </c>
      <c r="AF238">
        <f t="shared" si="86"/>
        <v>0.19830448628581795</v>
      </c>
      <c r="AG238" t="s">
        <v>1169</v>
      </c>
    </row>
    <row r="239" spans="1:33" customFormat="1" x14ac:dyDescent="0.3">
      <c r="A239">
        <v>305670</v>
      </c>
      <c r="B239" t="s">
        <v>468</v>
      </c>
      <c r="C239" t="s">
        <v>782</v>
      </c>
      <c r="D239" t="s">
        <v>786</v>
      </c>
      <c r="E239" s="21">
        <v>5.9</v>
      </c>
      <c r="F239" s="2">
        <f t="shared" si="72"/>
        <v>0.60000000000000009</v>
      </c>
      <c r="G239" s="26">
        <v>44.879759999999997</v>
      </c>
      <c r="H239">
        <f t="shared" si="73"/>
        <v>0.46008835219828675</v>
      </c>
      <c r="I239" s="12">
        <v>21.1</v>
      </c>
      <c r="J239" s="2">
        <f t="shared" si="74"/>
        <v>8.8730025231286799E-2</v>
      </c>
      <c r="K239" s="10">
        <v>0</v>
      </c>
      <c r="L239" s="2">
        <f t="shared" si="75"/>
        <v>0</v>
      </c>
      <c r="M239">
        <v>15842</v>
      </c>
      <c r="N239">
        <f t="shared" si="76"/>
        <v>7.3824360193609745E-2</v>
      </c>
      <c r="O239" s="10">
        <v>0.81512432999999995</v>
      </c>
      <c r="P239">
        <f t="shared" si="77"/>
        <v>0.80222149070214677</v>
      </c>
      <c r="Q239" s="23">
        <v>0.28170000000000001</v>
      </c>
      <c r="R239" s="13">
        <f t="shared" si="78"/>
        <v>0.6100043308791685</v>
      </c>
      <c r="S239">
        <f t="shared" si="79"/>
        <v>8.1380825816262409E-2</v>
      </c>
      <c r="T239" s="14">
        <f t="shared" si="67"/>
        <v>0.14522011368166923</v>
      </c>
      <c r="U239" t="str">
        <f t="shared" si="80"/>
        <v>No Impact</v>
      </c>
      <c r="V239">
        <f t="shared" si="81"/>
        <v>7.0304133290604781E-2</v>
      </c>
      <c r="W239">
        <f t="shared" si="68"/>
        <v>0.11372629202113549</v>
      </c>
      <c r="X239" t="s">
        <v>1170</v>
      </c>
      <c r="Y239">
        <f t="shared" si="69"/>
        <v>9.245751834192005E-2</v>
      </c>
      <c r="Z239">
        <f t="shared" si="82"/>
        <v>0.16831012206661064</v>
      </c>
      <c r="AA239" t="str">
        <f t="shared" si="83"/>
        <v>Low</v>
      </c>
      <c r="AB239">
        <f t="shared" si="70"/>
        <v>5.5321640324140831E-2</v>
      </c>
      <c r="AC239">
        <f t="shared" si="84"/>
        <v>0.13521597321096662</v>
      </c>
      <c r="AD239" t="str">
        <f t="shared" si="85"/>
        <v>No Impact</v>
      </c>
      <c r="AE239">
        <f t="shared" si="71"/>
        <v>8.5083947710089935E-3</v>
      </c>
      <c r="AF239">
        <f t="shared" si="86"/>
        <v>5.1372185291782849E-2</v>
      </c>
      <c r="AG239" t="s">
        <v>1170</v>
      </c>
    </row>
    <row r="240" spans="1:33" customFormat="1" x14ac:dyDescent="0.3">
      <c r="A240">
        <v>305678</v>
      </c>
      <c r="B240" t="s">
        <v>486</v>
      </c>
      <c r="C240" t="s">
        <v>782</v>
      </c>
      <c r="D240" t="s">
        <v>787</v>
      </c>
      <c r="E240" s="21">
        <v>5.9</v>
      </c>
      <c r="F240" s="2">
        <f t="shared" si="72"/>
        <v>0.60000000000000009</v>
      </c>
      <c r="G240" s="26">
        <v>47.93112</v>
      </c>
      <c r="H240">
        <f t="shared" si="73"/>
        <v>0.49136960669616658</v>
      </c>
      <c r="I240" s="12">
        <v>24.9</v>
      </c>
      <c r="J240" s="2">
        <f t="shared" si="74"/>
        <v>0.10470984020185028</v>
      </c>
      <c r="K240" s="10">
        <v>0</v>
      </c>
      <c r="L240" s="2">
        <f t="shared" si="75"/>
        <v>0</v>
      </c>
      <c r="M240">
        <v>16520</v>
      </c>
      <c r="N240">
        <f t="shared" si="76"/>
        <v>7.7032263559069419E-2</v>
      </c>
      <c r="O240" s="10">
        <v>0.73930435999999999</v>
      </c>
      <c r="P240">
        <f t="shared" si="77"/>
        <v>0.71872180659362483</v>
      </c>
      <c r="Q240" s="23">
        <v>0.22090000000000001</v>
      </c>
      <c r="R240" s="13">
        <f t="shared" si="78"/>
        <v>0.47834560415764404</v>
      </c>
      <c r="S240">
        <f t="shared" si="79"/>
        <v>7.4922464410527051E-2</v>
      </c>
      <c r="T240" s="14">
        <f t="shared" si="67"/>
        <v>0.13369548281031751</v>
      </c>
      <c r="U240" t="str">
        <f t="shared" si="80"/>
        <v>No Impact</v>
      </c>
      <c r="V240">
        <f t="shared" si="81"/>
        <v>5.9877716462001102E-2</v>
      </c>
      <c r="W240">
        <f t="shared" si="68"/>
        <v>9.6860175201481533E-2</v>
      </c>
      <c r="X240" t="s">
        <v>1170</v>
      </c>
      <c r="Y240">
        <f t="shared" si="69"/>
        <v>8.9967212359053E-2</v>
      </c>
      <c r="Z240">
        <f t="shared" si="82"/>
        <v>0.16377675678192372</v>
      </c>
      <c r="AA240" t="str">
        <f t="shared" si="83"/>
        <v>Low</v>
      </c>
      <c r="AB240">
        <f t="shared" si="70"/>
        <v>5.1322289625002314E-2</v>
      </c>
      <c r="AC240">
        <f t="shared" si="84"/>
        <v>0.12544084554252699</v>
      </c>
      <c r="AD240" t="str">
        <f t="shared" si="85"/>
        <v>No Impact</v>
      </c>
      <c r="AE240">
        <f t="shared" si="71"/>
        <v>9.6426433016743966E-3</v>
      </c>
      <c r="AF240">
        <f t="shared" si="86"/>
        <v>5.82205776445704E-2</v>
      </c>
      <c r="AG240" t="s">
        <v>1170</v>
      </c>
    </row>
    <row r="241" spans="1:33" customFormat="1" x14ac:dyDescent="0.3">
      <c r="A241">
        <v>305682</v>
      </c>
      <c r="B241" t="s">
        <v>491</v>
      </c>
      <c r="C241" t="s">
        <v>782</v>
      </c>
      <c r="D241" t="s">
        <v>788</v>
      </c>
      <c r="E241" s="21">
        <v>5.9</v>
      </c>
      <c r="F241" s="2">
        <f t="shared" si="72"/>
        <v>0.60000000000000009</v>
      </c>
      <c r="G241" s="26">
        <v>51.642000000000003</v>
      </c>
      <c r="H241">
        <f t="shared" si="73"/>
        <v>0.52941198179811855</v>
      </c>
      <c r="I241" s="12">
        <v>106.30000000000001</v>
      </c>
      <c r="J241" s="2">
        <f t="shared" si="74"/>
        <v>0.44701429772918422</v>
      </c>
      <c r="K241" s="10">
        <v>0</v>
      </c>
      <c r="L241" s="2">
        <f t="shared" si="75"/>
        <v>0</v>
      </c>
      <c r="M241">
        <v>54363</v>
      </c>
      <c r="N241">
        <f t="shared" si="76"/>
        <v>0.25608342441318555</v>
      </c>
      <c r="O241" s="10">
        <v>0.78856901499999998</v>
      </c>
      <c r="P241">
        <f t="shared" si="77"/>
        <v>0.77297641959617969</v>
      </c>
      <c r="Q241" s="23">
        <v>0.25219999999999998</v>
      </c>
      <c r="R241" s="13">
        <f t="shared" si="78"/>
        <v>0.54612386314421824</v>
      </c>
      <c r="S241">
        <f t="shared" si="79"/>
        <v>0.13524043904696009</v>
      </c>
      <c r="T241" s="14">
        <f t="shared" si="67"/>
        <v>0.24132996606718873</v>
      </c>
      <c r="U241" t="str">
        <f t="shared" si="80"/>
        <v>Low</v>
      </c>
      <c r="V241">
        <f t="shared" si="81"/>
        <v>0.11198243528870726</v>
      </c>
      <c r="W241">
        <f t="shared" si="68"/>
        <v>0.18114649225870394</v>
      </c>
      <c r="X241" t="s">
        <v>1170</v>
      </c>
      <c r="Y241">
        <f t="shared" si="69"/>
        <v>0.15849844280521294</v>
      </c>
      <c r="Z241">
        <f t="shared" si="82"/>
        <v>0.28853134644235684</v>
      </c>
      <c r="AA241" t="str">
        <f t="shared" si="83"/>
        <v>Low</v>
      </c>
      <c r="AB241">
        <f t="shared" si="70"/>
        <v>0.1051218092157172</v>
      </c>
      <c r="AC241">
        <f t="shared" si="84"/>
        <v>0.25693648372530453</v>
      </c>
      <c r="AD241" t="str">
        <f t="shared" si="85"/>
        <v>Low</v>
      </c>
      <c r="AE241">
        <f t="shared" si="71"/>
        <v>5.250978292315938E-2</v>
      </c>
      <c r="AF241">
        <f t="shared" si="86"/>
        <v>0.31704479758641269</v>
      </c>
      <c r="AG241" t="str">
        <f t="shared" si="87"/>
        <v>Moderate</v>
      </c>
    </row>
    <row r="242" spans="1:33" customFormat="1" x14ac:dyDescent="0.3">
      <c r="A242">
        <v>305924</v>
      </c>
      <c r="B242" t="s">
        <v>180</v>
      </c>
      <c r="C242" t="s">
        <v>790</v>
      </c>
      <c r="D242" t="s">
        <v>789</v>
      </c>
      <c r="E242" s="21">
        <v>5.2</v>
      </c>
      <c r="F242" s="2">
        <f t="shared" si="72"/>
        <v>0.44444444444444442</v>
      </c>
      <c r="G242" s="26">
        <v>62.062559999999998</v>
      </c>
      <c r="H242">
        <f t="shared" si="73"/>
        <v>0.63623916356966492</v>
      </c>
      <c r="I242" s="12">
        <v>113.9</v>
      </c>
      <c r="J242" s="2">
        <f t="shared" si="74"/>
        <v>0.47897392767031116</v>
      </c>
      <c r="K242" s="10">
        <v>0</v>
      </c>
      <c r="L242" s="2">
        <f t="shared" si="75"/>
        <v>0</v>
      </c>
      <c r="M242">
        <v>21467</v>
      </c>
      <c r="N242">
        <f t="shared" si="76"/>
        <v>0.10043860271678187</v>
      </c>
      <c r="O242" s="10">
        <v>0.59665042999999995</v>
      </c>
      <c r="P242">
        <f t="shared" si="77"/>
        <v>0.56161863058552031</v>
      </c>
      <c r="Q242" s="23">
        <v>0.2409</v>
      </c>
      <c r="R242" s="13">
        <f t="shared" si="78"/>
        <v>0.52165439584235607</v>
      </c>
      <c r="S242">
        <f t="shared" si="79"/>
        <v>9.396179803574016E-2</v>
      </c>
      <c r="T242" s="14">
        <f t="shared" si="67"/>
        <v>0.16767024487182716</v>
      </c>
      <c r="U242" t="str">
        <f t="shared" si="80"/>
        <v>Low</v>
      </c>
      <c r="V242">
        <f t="shared" si="81"/>
        <v>9.0495348431642933E-2</v>
      </c>
      <c r="W242">
        <f t="shared" si="68"/>
        <v>0.1463882696590583</v>
      </c>
      <c r="X242" t="s">
        <v>1170</v>
      </c>
      <c r="Y242">
        <f t="shared" si="69"/>
        <v>9.7428247639837373E-2</v>
      </c>
      <c r="Z242">
        <f t="shared" si="82"/>
        <v>0.17735886217878405</v>
      </c>
      <c r="AA242" t="str">
        <f t="shared" si="83"/>
        <v>Low</v>
      </c>
      <c r="AB242">
        <f t="shared" si="70"/>
        <v>6.7000192672098127E-2</v>
      </c>
      <c r="AC242">
        <f t="shared" si="84"/>
        <v>0.16376044174392837</v>
      </c>
      <c r="AD242" t="str">
        <f t="shared" si="85"/>
        <v>Low</v>
      </c>
      <c r="AE242">
        <f t="shared" si="71"/>
        <v>1.7423846940205403E-2</v>
      </c>
      <c r="AF242">
        <f t="shared" si="86"/>
        <v>0.10520211127929921</v>
      </c>
      <c r="AG242" t="s">
        <v>1170</v>
      </c>
    </row>
    <row r="243" spans="1:33" customFormat="1" x14ac:dyDescent="0.3">
      <c r="A243">
        <v>305944</v>
      </c>
      <c r="B243" t="s">
        <v>308</v>
      </c>
      <c r="C243" t="s">
        <v>790</v>
      </c>
      <c r="D243" t="s">
        <v>791</v>
      </c>
      <c r="E243" s="21">
        <v>5.2</v>
      </c>
      <c r="F243" s="2">
        <f t="shared" si="72"/>
        <v>0.44444444444444442</v>
      </c>
      <c r="G243" s="26">
        <v>73.316879999999998</v>
      </c>
      <c r="H243">
        <f t="shared" si="73"/>
        <v>0.75161370086470003</v>
      </c>
      <c r="I243" s="12">
        <v>146.30000000000001</v>
      </c>
      <c r="J243" s="2">
        <f t="shared" si="74"/>
        <v>0.6152228763666947</v>
      </c>
      <c r="K243" s="10">
        <v>0</v>
      </c>
      <c r="L243" s="2">
        <f t="shared" si="75"/>
        <v>0</v>
      </c>
      <c r="M243">
        <v>27501</v>
      </c>
      <c r="N243">
        <f t="shared" si="76"/>
        <v>0.12898799638519443</v>
      </c>
      <c r="O243" s="10">
        <v>0.66358634800000005</v>
      </c>
      <c r="P243">
        <f t="shared" si="77"/>
        <v>0.63533440768901872</v>
      </c>
      <c r="Q243" s="23">
        <v>0.24210000000000001</v>
      </c>
      <c r="R243" s="13">
        <f t="shared" si="78"/>
        <v>0.52425292334343876</v>
      </c>
      <c r="S243">
        <f t="shared" si="79"/>
        <v>0.12327516277605607</v>
      </c>
      <c r="T243" s="14">
        <f t="shared" si="67"/>
        <v>0.21997851426186635</v>
      </c>
      <c r="U243" t="str">
        <f t="shared" si="80"/>
        <v>Low</v>
      </c>
      <c r="V243">
        <f t="shared" si="81"/>
        <v>0.11146614443164643</v>
      </c>
      <c r="W243">
        <f t="shared" si="68"/>
        <v>0.18031132308685402</v>
      </c>
      <c r="X243" t="s">
        <v>1170</v>
      </c>
      <c r="Y243">
        <f t="shared" si="69"/>
        <v>0.13508418112046569</v>
      </c>
      <c r="Z243">
        <f t="shared" si="82"/>
        <v>0.24590790907422883</v>
      </c>
      <c r="AA243" t="str">
        <f t="shared" si="83"/>
        <v>Low</v>
      </c>
      <c r="AB243">
        <f t="shared" si="70"/>
        <v>8.9137260512405586E-2</v>
      </c>
      <c r="AC243">
        <f t="shared" si="84"/>
        <v>0.2178673907520578</v>
      </c>
      <c r="AD243" t="str">
        <f t="shared" si="85"/>
        <v>Low</v>
      </c>
      <c r="AE243">
        <f t="shared" si="71"/>
        <v>2.7425301786256052E-2</v>
      </c>
      <c r="AF243">
        <f t="shared" si="86"/>
        <v>0.16558912967310879</v>
      </c>
      <c r="AG243" t="s">
        <v>1170</v>
      </c>
    </row>
    <row r="244" spans="1:33" customFormat="1" x14ac:dyDescent="0.3">
      <c r="A244">
        <v>305956</v>
      </c>
      <c r="B244" t="s">
        <v>356</v>
      </c>
      <c r="C244" t="s">
        <v>790</v>
      </c>
      <c r="D244" t="s">
        <v>792</v>
      </c>
      <c r="E244" s="21">
        <v>5.3</v>
      </c>
      <c r="F244" s="2">
        <f t="shared" si="72"/>
        <v>0.46666666666666656</v>
      </c>
      <c r="G244" s="26">
        <v>68.242319999999992</v>
      </c>
      <c r="H244">
        <f t="shared" si="73"/>
        <v>0.69959145412070356</v>
      </c>
      <c r="I244" s="12">
        <v>139.80000000000001</v>
      </c>
      <c r="J244" s="2">
        <f t="shared" si="74"/>
        <v>0.58788898233809928</v>
      </c>
      <c r="K244" s="10">
        <v>0</v>
      </c>
      <c r="L244" s="2">
        <f t="shared" si="75"/>
        <v>0</v>
      </c>
      <c r="M244">
        <v>39821</v>
      </c>
      <c r="N244">
        <f t="shared" si="76"/>
        <v>0.18727910178705767</v>
      </c>
      <c r="O244" s="10">
        <v>0.80037910000000001</v>
      </c>
      <c r="P244">
        <f t="shared" si="77"/>
        <v>0.78598273398531482</v>
      </c>
      <c r="Q244" s="23">
        <v>0.22819999999999999</v>
      </c>
      <c r="R244" s="13">
        <f t="shared" si="78"/>
        <v>0.49415331312256389</v>
      </c>
      <c r="S244">
        <f t="shared" si="79"/>
        <v>0.13459892619366298</v>
      </c>
      <c r="T244" s="14">
        <f t="shared" si="67"/>
        <v>0.24018521767529613</v>
      </c>
      <c r="U244" t="str">
        <f t="shared" si="80"/>
        <v>Low</v>
      </c>
      <c r="V244">
        <f t="shared" si="81"/>
        <v>0.1039147447985783</v>
      </c>
      <c r="W244">
        <f t="shared" si="68"/>
        <v>0.16809592920256061</v>
      </c>
      <c r="X244" t="s">
        <v>1170</v>
      </c>
      <c r="Y244">
        <f t="shared" si="69"/>
        <v>0.16528310758874767</v>
      </c>
      <c r="Z244">
        <f t="shared" si="82"/>
        <v>0.30088218365253117</v>
      </c>
      <c r="AA244" t="str">
        <f t="shared" si="83"/>
        <v>Moderate</v>
      </c>
      <c r="AB244">
        <f t="shared" si="70"/>
        <v>9.9739015562791022E-2</v>
      </c>
      <c r="AC244">
        <f t="shared" si="84"/>
        <v>0.2437799742995235</v>
      </c>
      <c r="AD244" t="str">
        <f t="shared" si="85"/>
        <v>Low</v>
      </c>
      <c r="AE244">
        <f t="shared" si="71"/>
        <v>3.9382636019040872E-2</v>
      </c>
      <c r="AF244">
        <f t="shared" si="86"/>
        <v>0.23778540245248694</v>
      </c>
      <c r="AG244" t="s">
        <v>1169</v>
      </c>
    </row>
    <row r="245" spans="1:33" customFormat="1" x14ac:dyDescent="0.3">
      <c r="A245">
        <v>305974</v>
      </c>
      <c r="B245" t="s">
        <v>471</v>
      </c>
      <c r="C245" t="s">
        <v>790</v>
      </c>
      <c r="D245" t="s">
        <v>793</v>
      </c>
      <c r="E245" s="21">
        <v>5.2</v>
      </c>
      <c r="F245" s="2">
        <f t="shared" si="72"/>
        <v>0.44444444444444442</v>
      </c>
      <c r="G245" s="26">
        <v>65.998440000000002</v>
      </c>
      <c r="H245">
        <f t="shared" si="73"/>
        <v>0.67658814368119391</v>
      </c>
      <c r="I245" s="12">
        <v>156.6</v>
      </c>
      <c r="J245" s="2">
        <f t="shared" si="74"/>
        <v>0.65853658536585358</v>
      </c>
      <c r="K245" s="10">
        <v>0</v>
      </c>
      <c r="L245" s="2">
        <f t="shared" si="75"/>
        <v>0</v>
      </c>
      <c r="M245">
        <v>40362</v>
      </c>
      <c r="N245">
        <f t="shared" si="76"/>
        <v>0.18983880049017521</v>
      </c>
      <c r="O245" s="10">
        <v>0.75575219800000004</v>
      </c>
      <c r="P245">
        <f t="shared" si="77"/>
        <v>0.7368356264390844</v>
      </c>
      <c r="Q245" s="23">
        <v>0.23730000000000001</v>
      </c>
      <c r="R245" s="13">
        <f t="shared" si="78"/>
        <v>0.51385881333910788</v>
      </c>
      <c r="S245">
        <f t="shared" si="79"/>
        <v>0.12987590583562836</v>
      </c>
      <c r="T245" s="14">
        <f t="shared" si="67"/>
        <v>0.23175721824870923</v>
      </c>
      <c r="U245" t="str">
        <f t="shared" si="80"/>
        <v>Low</v>
      </c>
      <c r="V245">
        <f t="shared" si="81"/>
        <v>0.10672131694432657</v>
      </c>
      <c r="W245">
        <f t="shared" si="68"/>
        <v>0.17263593316088274</v>
      </c>
      <c r="X245" t="s">
        <v>1170</v>
      </c>
      <c r="Y245">
        <f t="shared" si="69"/>
        <v>0.15303049472693017</v>
      </c>
      <c r="Z245">
        <f t="shared" si="82"/>
        <v>0.27857746681186285</v>
      </c>
      <c r="AA245" t="str">
        <f t="shared" si="83"/>
        <v>Low</v>
      </c>
      <c r="AB245">
        <f t="shared" si="70"/>
        <v>9.7061015322244482E-2</v>
      </c>
      <c r="AC245">
        <f t="shared" si="84"/>
        <v>0.23723446323616681</v>
      </c>
      <c r="AD245" t="str">
        <f t="shared" si="85"/>
        <v>Low</v>
      </c>
      <c r="AE245">
        <f t="shared" si="71"/>
        <v>3.9426874210431812E-2</v>
      </c>
      <c r="AF245">
        <f t="shared" si="86"/>
        <v>0.2380525048409248</v>
      </c>
      <c r="AG245" t="s">
        <v>1169</v>
      </c>
    </row>
    <row r="246" spans="1:33" customFormat="1" x14ac:dyDescent="0.3">
      <c r="A246">
        <v>305984</v>
      </c>
      <c r="B246" t="s">
        <v>502</v>
      </c>
      <c r="C246" t="s">
        <v>790</v>
      </c>
      <c r="D246" t="s">
        <v>794</v>
      </c>
      <c r="E246" s="21">
        <v>5.2</v>
      </c>
      <c r="F246" s="2">
        <f t="shared" si="72"/>
        <v>0.44444444444444442</v>
      </c>
      <c r="G246" s="26">
        <v>65.998440000000002</v>
      </c>
      <c r="H246">
        <f t="shared" si="73"/>
        <v>0.67658814368119391</v>
      </c>
      <c r="I246" s="12">
        <v>146.30000000000001</v>
      </c>
      <c r="J246" s="2">
        <f t="shared" si="74"/>
        <v>0.6152228763666947</v>
      </c>
      <c r="K246" s="10">
        <v>0</v>
      </c>
      <c r="L246" s="2">
        <f t="shared" si="75"/>
        <v>0</v>
      </c>
      <c r="M246">
        <v>39492</v>
      </c>
      <c r="N246">
        <f t="shared" si="76"/>
        <v>0.18572246431325792</v>
      </c>
      <c r="O246" s="10">
        <v>0.42531223400000001</v>
      </c>
      <c r="P246">
        <f t="shared" si="77"/>
        <v>0.37292579357010064</v>
      </c>
      <c r="Q246" s="23">
        <v>0.251</v>
      </c>
      <c r="R246" s="13">
        <f t="shared" si="78"/>
        <v>0.54352533564313554</v>
      </c>
      <c r="S246">
        <f t="shared" si="79"/>
        <v>9.2079685293010333E-2</v>
      </c>
      <c r="T246" s="14">
        <f t="shared" si="67"/>
        <v>0.16431170649722238</v>
      </c>
      <c r="U246" t="str">
        <f t="shared" si="80"/>
        <v>Low</v>
      </c>
      <c r="V246">
        <f t="shared" si="81"/>
        <v>0.10922053617362687</v>
      </c>
      <c r="W246">
        <f t="shared" si="68"/>
        <v>0.17667875287279614</v>
      </c>
      <c r="X246" t="s">
        <v>1170</v>
      </c>
      <c r="Y246">
        <f t="shared" si="69"/>
        <v>7.4938834412393782E-2</v>
      </c>
      <c r="Z246">
        <f t="shared" si="82"/>
        <v>0.13641902350044827</v>
      </c>
      <c r="AA246" t="str">
        <f t="shared" si="83"/>
        <v>No Impact</v>
      </c>
      <c r="AB246">
        <f t="shared" si="70"/>
        <v>7.3771057959427039E-2</v>
      </c>
      <c r="AC246">
        <f t="shared" si="84"/>
        <v>0.18030964624947551</v>
      </c>
      <c r="AD246" t="str">
        <f t="shared" si="85"/>
        <v>Low</v>
      </c>
      <c r="AE246">
        <f t="shared" si="71"/>
        <v>3.7320628499827133E-2</v>
      </c>
      <c r="AF246">
        <f t="shared" si="86"/>
        <v>0.22533536514215471</v>
      </c>
      <c r="AG246" t="s">
        <v>1169</v>
      </c>
    </row>
    <row r="247" spans="1:33" customFormat="1" x14ac:dyDescent="0.3">
      <c r="A247">
        <v>305994</v>
      </c>
      <c r="B247" t="s">
        <v>528</v>
      </c>
      <c r="C247" t="s">
        <v>790</v>
      </c>
      <c r="D247" t="s">
        <v>795</v>
      </c>
      <c r="E247" s="21">
        <v>5.2</v>
      </c>
      <c r="F247" s="2">
        <f t="shared" si="72"/>
        <v>0.44444444444444442</v>
      </c>
      <c r="G247" s="26">
        <v>68.242319999999992</v>
      </c>
      <c r="H247">
        <f t="shared" si="73"/>
        <v>0.69959145412070356</v>
      </c>
      <c r="I247" s="12">
        <v>139.80000000000001</v>
      </c>
      <c r="J247" s="2">
        <f t="shared" si="74"/>
        <v>0.58788898233809928</v>
      </c>
      <c r="K247" s="10">
        <v>0</v>
      </c>
      <c r="L247" s="2">
        <f t="shared" si="75"/>
        <v>0</v>
      </c>
      <c r="M247">
        <v>26166</v>
      </c>
      <c r="N247">
        <f t="shared" si="76"/>
        <v>0.12267154949302825</v>
      </c>
      <c r="O247" s="10">
        <v>0.60841971699999997</v>
      </c>
      <c r="P247">
        <f t="shared" si="77"/>
        <v>0.57458001459401487</v>
      </c>
      <c r="Q247" s="23">
        <v>0.2412</v>
      </c>
      <c r="R247" s="13">
        <f t="shared" si="78"/>
        <v>0.52230402771762674</v>
      </c>
      <c r="S247">
        <f t="shared" si="79"/>
        <v>0.10983908020867351</v>
      </c>
      <c r="T247" s="14">
        <f t="shared" si="67"/>
        <v>0.19600248037057988</v>
      </c>
      <c r="U247" t="str">
        <f t="shared" si="80"/>
        <v>Low</v>
      </c>
      <c r="V247">
        <f t="shared" si="81"/>
        <v>0.10460430051090144</v>
      </c>
      <c r="W247">
        <f t="shared" si="68"/>
        <v>0.16921137733674568</v>
      </c>
      <c r="X247" t="s">
        <v>1170</v>
      </c>
      <c r="Y247">
        <f t="shared" si="69"/>
        <v>0.11507385990644561</v>
      </c>
      <c r="Z247">
        <f t="shared" si="82"/>
        <v>0.20948102171533689</v>
      </c>
      <c r="AA247" t="str">
        <f t="shared" si="83"/>
        <v>Low</v>
      </c>
      <c r="AB247">
        <f t="shared" si="70"/>
        <v>7.973246735523333E-2</v>
      </c>
      <c r="AC247">
        <f t="shared" si="84"/>
        <v>0.19488039593151626</v>
      </c>
      <c r="AD247" t="str">
        <f t="shared" si="85"/>
        <v>Low</v>
      </c>
      <c r="AE247">
        <f t="shared" si="71"/>
        <v>2.4568012012811811E-2</v>
      </c>
      <c r="AF247">
        <f t="shared" si="86"/>
        <v>0.14833731853549667</v>
      </c>
      <c r="AG247" t="s">
        <v>1170</v>
      </c>
    </row>
    <row r="248" spans="1:33" customFormat="1" x14ac:dyDescent="0.3">
      <c r="A248">
        <v>306702</v>
      </c>
      <c r="B248" t="s">
        <v>12</v>
      </c>
      <c r="C248" t="s">
        <v>797</v>
      </c>
      <c r="D248" t="s">
        <v>796</v>
      </c>
      <c r="E248" s="21">
        <v>4.4000000000000004</v>
      </c>
      <c r="F248" s="2">
        <f t="shared" si="72"/>
        <v>0.26666666666666672</v>
      </c>
      <c r="G248" s="26">
        <v>61.517880000000005</v>
      </c>
      <c r="H248">
        <f t="shared" si="73"/>
        <v>0.63065533416248098</v>
      </c>
      <c r="I248" s="12">
        <v>180.5</v>
      </c>
      <c r="J248" s="2">
        <f t="shared" si="74"/>
        <v>0.75904121110176614</v>
      </c>
      <c r="K248" s="10">
        <v>0</v>
      </c>
      <c r="L248" s="2">
        <f t="shared" si="75"/>
        <v>0</v>
      </c>
      <c r="M248">
        <v>60872</v>
      </c>
      <c r="N248">
        <f t="shared" si="76"/>
        <v>0.28688024300577708</v>
      </c>
      <c r="O248" s="10">
        <v>0.79376532399999999</v>
      </c>
      <c r="P248">
        <f t="shared" si="77"/>
        <v>0.77869905652191662</v>
      </c>
      <c r="Q248" s="23">
        <v>0.2626</v>
      </c>
      <c r="R248" s="13">
        <f t="shared" si="78"/>
        <v>0.5686444348202685</v>
      </c>
      <c r="S248">
        <f t="shared" si="79"/>
        <v>8.7378601109450185E-2</v>
      </c>
      <c r="T248" s="14">
        <f t="shared" si="67"/>
        <v>0.15592285110387641</v>
      </c>
      <c r="U248" t="str">
        <f t="shared" si="80"/>
        <v>Low</v>
      </c>
      <c r="V248">
        <f t="shared" si="81"/>
        <v>7.3756032611656974E-2</v>
      </c>
      <c r="W248">
        <f t="shared" si="68"/>
        <v>0.11931019856886052</v>
      </c>
      <c r="X248" t="s">
        <v>1170</v>
      </c>
      <c r="Y248">
        <f t="shared" si="69"/>
        <v>0.1010011696072434</v>
      </c>
      <c r="Z248">
        <f t="shared" si="82"/>
        <v>0.18386302693739978</v>
      </c>
      <c r="AA248" t="str">
        <f t="shared" si="83"/>
        <v>Low</v>
      </c>
      <c r="AB248">
        <f t="shared" si="70"/>
        <v>6.9138394061503031E-2</v>
      </c>
      <c r="AC248">
        <f t="shared" si="84"/>
        <v>0.16898658796980703</v>
      </c>
      <c r="AD248" t="str">
        <f t="shared" si="85"/>
        <v>Low</v>
      </c>
      <c r="AE248">
        <f t="shared" si="71"/>
        <v>3.7209805043571638E-2</v>
      </c>
      <c r="AF248">
        <f t="shared" si="86"/>
        <v>0.22466623268148986</v>
      </c>
      <c r="AG248" t="s">
        <v>1169</v>
      </c>
    </row>
    <row r="249" spans="1:33" customFormat="1" x14ac:dyDescent="0.3">
      <c r="A249">
        <v>306704</v>
      </c>
      <c r="B249" t="s">
        <v>498</v>
      </c>
      <c r="C249" t="s">
        <v>797</v>
      </c>
      <c r="D249" t="s">
        <v>798</v>
      </c>
      <c r="E249" s="21">
        <v>4.3</v>
      </c>
      <c r="F249" s="2">
        <f t="shared" si="72"/>
        <v>0.24444444444444435</v>
      </c>
      <c r="G249" s="26">
        <v>62.989919999999998</v>
      </c>
      <c r="H249">
        <f t="shared" si="73"/>
        <v>0.64574606677713764</v>
      </c>
      <c r="I249" s="12">
        <v>180.5</v>
      </c>
      <c r="J249" s="2">
        <f t="shared" si="74"/>
        <v>0.75904121110176614</v>
      </c>
      <c r="K249" s="10">
        <v>0</v>
      </c>
      <c r="L249" s="2">
        <f t="shared" si="75"/>
        <v>0</v>
      </c>
      <c r="M249">
        <v>54149</v>
      </c>
      <c r="N249">
        <f t="shared" si="76"/>
        <v>0.25507090034208174</v>
      </c>
      <c r="O249" s="10">
        <v>0.74988638299999999</v>
      </c>
      <c r="P249">
        <f t="shared" si="77"/>
        <v>0.73037567005109016</v>
      </c>
      <c r="Q249" s="23">
        <v>0.25009999999999999</v>
      </c>
      <c r="R249" s="13">
        <f t="shared" si="78"/>
        <v>0.54157644001732352</v>
      </c>
      <c r="S249">
        <f t="shared" si="79"/>
        <v>7.6436280531522613E-2</v>
      </c>
      <c r="T249" s="14">
        <f t="shared" si="67"/>
        <v>0.13639681382999105</v>
      </c>
      <c r="U249" t="str">
        <f t="shared" si="80"/>
        <v>No Impact</v>
      </c>
      <c r="V249">
        <f t="shared" si="81"/>
        <v>6.5090640395574217E-2</v>
      </c>
      <c r="W249">
        <f t="shared" si="68"/>
        <v>0.10529277342586969</v>
      </c>
      <c r="X249" t="s">
        <v>1170</v>
      </c>
      <c r="Y249">
        <f t="shared" si="69"/>
        <v>8.7781920667471022E-2</v>
      </c>
      <c r="Z249">
        <f t="shared" si="82"/>
        <v>0.15979864101635541</v>
      </c>
      <c r="AA249" t="str">
        <f t="shared" si="83"/>
        <v>Low</v>
      </c>
      <c r="AB249">
        <f t="shared" si="70"/>
        <v>5.9846004324991521E-2</v>
      </c>
      <c r="AC249">
        <f t="shared" si="84"/>
        <v>0.14627432719236025</v>
      </c>
      <c r="AD249" t="str">
        <f t="shared" si="85"/>
        <v>No Impact</v>
      </c>
      <c r="AE249">
        <f t="shared" si="71"/>
        <v>3.0656297103712111E-2</v>
      </c>
      <c r="AF249">
        <f t="shared" si="86"/>
        <v>0.18509730889991163</v>
      </c>
      <c r="AG249" t="s">
        <v>1169</v>
      </c>
    </row>
    <row r="250" spans="1:33" customFormat="1" x14ac:dyDescent="0.3">
      <c r="A250">
        <v>306706</v>
      </c>
      <c r="B250" t="s">
        <v>41</v>
      </c>
      <c r="C250" t="s">
        <v>797</v>
      </c>
      <c r="D250" t="s">
        <v>799</v>
      </c>
      <c r="E250" s="21">
        <v>4.4000000000000004</v>
      </c>
      <c r="F250" s="2">
        <f t="shared" si="72"/>
        <v>0.26666666666666672</v>
      </c>
      <c r="G250" s="26">
        <v>62.989919999999998</v>
      </c>
      <c r="H250">
        <f t="shared" si="73"/>
        <v>0.64574606677713764</v>
      </c>
      <c r="I250" s="12">
        <v>144.9</v>
      </c>
      <c r="J250" s="2">
        <f t="shared" si="74"/>
        <v>0.60933557611438183</v>
      </c>
      <c r="K250" s="10">
        <v>0</v>
      </c>
      <c r="L250" s="2">
        <f t="shared" si="75"/>
        <v>0</v>
      </c>
      <c r="M250">
        <v>35234</v>
      </c>
      <c r="N250">
        <f t="shared" si="76"/>
        <v>0.16557607415082823</v>
      </c>
      <c r="O250" s="10">
        <v>0.70288455800000005</v>
      </c>
      <c r="P250">
        <f t="shared" si="77"/>
        <v>0.67861308639372353</v>
      </c>
      <c r="Q250" s="23">
        <v>0.22220000000000001</v>
      </c>
      <c r="R250" s="13">
        <f t="shared" si="78"/>
        <v>0.48116067561715031</v>
      </c>
      <c r="S250">
        <f t="shared" si="79"/>
        <v>6.7928502068330676E-2</v>
      </c>
      <c r="T250" s="14">
        <f t="shared" si="67"/>
        <v>0.1212150981959836</v>
      </c>
      <c r="U250" t="str">
        <f t="shared" si="80"/>
        <v>No Impact</v>
      </c>
      <c r="V250">
        <f t="shared" si="81"/>
        <v>5.6363620249847556E-2</v>
      </c>
      <c r="W250">
        <f t="shared" si="68"/>
        <v>9.1175656904928584E-2</v>
      </c>
      <c r="X250" t="s">
        <v>1170</v>
      </c>
      <c r="Y250">
        <f t="shared" si="69"/>
        <v>7.9493383886813804E-2</v>
      </c>
      <c r="Z250">
        <f t="shared" si="82"/>
        <v>0.14471014781078451</v>
      </c>
      <c r="AA250" t="str">
        <f t="shared" si="83"/>
        <v>No Impact</v>
      </c>
      <c r="AB250">
        <f t="shared" si="70"/>
        <v>5.0363790965003263E-2</v>
      </c>
      <c r="AC250">
        <f t="shared" si="84"/>
        <v>0.12309810356355096</v>
      </c>
      <c r="AD250" t="str">
        <f t="shared" si="85"/>
        <v>No Impact</v>
      </c>
      <c r="AE250">
        <f t="shared" si="71"/>
        <v>1.9395739175749962E-2</v>
      </c>
      <c r="AF250">
        <f t="shared" si="86"/>
        <v>0.11710804841858054</v>
      </c>
      <c r="AG250" t="s">
        <v>1170</v>
      </c>
    </row>
    <row r="251" spans="1:33" customFormat="1" x14ac:dyDescent="0.3">
      <c r="A251">
        <v>306758</v>
      </c>
      <c r="B251" t="s">
        <v>375</v>
      </c>
      <c r="C251" t="s">
        <v>797</v>
      </c>
      <c r="D251" t="s">
        <v>800</v>
      </c>
      <c r="E251" s="21">
        <v>4.4000000000000004</v>
      </c>
      <c r="F251" s="2">
        <f t="shared" si="72"/>
        <v>0.26666666666666672</v>
      </c>
      <c r="G251" s="26">
        <v>65.888639999999995</v>
      </c>
      <c r="H251">
        <f t="shared" si="73"/>
        <v>0.67546252043652033</v>
      </c>
      <c r="I251" s="12">
        <v>156.6</v>
      </c>
      <c r="J251" s="2">
        <f t="shared" si="74"/>
        <v>0.65853658536585358</v>
      </c>
      <c r="K251" s="10">
        <v>0</v>
      </c>
      <c r="L251" s="2">
        <f t="shared" si="75"/>
        <v>0</v>
      </c>
      <c r="M251">
        <v>84610</v>
      </c>
      <c r="N251">
        <f t="shared" si="76"/>
        <v>0.39919471216400998</v>
      </c>
      <c r="O251" s="10">
        <v>0.69753527900000001</v>
      </c>
      <c r="P251">
        <f t="shared" si="77"/>
        <v>0.67272198531958238</v>
      </c>
      <c r="Q251" s="23">
        <v>0.16539999999999999</v>
      </c>
      <c r="R251" s="13">
        <f t="shared" si="78"/>
        <v>0.35816370723256818</v>
      </c>
      <c r="S251">
        <f t="shared" si="79"/>
        <v>6.4176027628954732E-2</v>
      </c>
      <c r="T251" s="14">
        <f t="shared" si="67"/>
        <v>0.11451899061526108</v>
      </c>
      <c r="U251" t="str">
        <f t="shared" si="80"/>
        <v>No Impact</v>
      </c>
      <c r="V251">
        <f t="shared" si="81"/>
        <v>4.459373941671687E-2</v>
      </c>
      <c r="W251">
        <f t="shared" si="68"/>
        <v>7.2136308263083301E-2</v>
      </c>
      <c r="X251" t="s">
        <v>1170</v>
      </c>
      <c r="Y251">
        <f t="shared" si="69"/>
        <v>8.3758315841192602E-2</v>
      </c>
      <c r="Z251">
        <f t="shared" si="82"/>
        <v>0.15247405096025743</v>
      </c>
      <c r="AA251" t="str">
        <f t="shared" si="83"/>
        <v>Low</v>
      </c>
      <c r="AB251">
        <f t="shared" si="70"/>
        <v>5.8131132924424303E-2</v>
      </c>
      <c r="AC251">
        <f t="shared" si="84"/>
        <v>0.14208287509512074</v>
      </c>
      <c r="AD251" t="str">
        <f t="shared" si="85"/>
        <v>No Impact</v>
      </c>
      <c r="AE251">
        <f t="shared" si="71"/>
        <v>4.9702369646330374E-2</v>
      </c>
      <c r="AF251">
        <f t="shared" si="86"/>
        <v>0.30009413192862167</v>
      </c>
      <c r="AG251" t="str">
        <f t="shared" si="87"/>
        <v>Moderate</v>
      </c>
    </row>
    <row r="252" spans="1:33" customFormat="1" x14ac:dyDescent="0.3">
      <c r="A252">
        <v>306768</v>
      </c>
      <c r="B252" t="s">
        <v>450</v>
      </c>
      <c r="C252" t="s">
        <v>797</v>
      </c>
      <c r="D252" t="s">
        <v>801</v>
      </c>
      <c r="E252" s="21">
        <v>4.4000000000000004</v>
      </c>
      <c r="F252" s="2">
        <f t="shared" si="72"/>
        <v>0.26666666666666672</v>
      </c>
      <c r="G252" s="26">
        <v>63.919079999999994</v>
      </c>
      <c r="H252">
        <f t="shared" si="73"/>
        <v>0.65527142282468687</v>
      </c>
      <c r="I252" s="12">
        <v>180.5</v>
      </c>
      <c r="J252" s="2">
        <f t="shared" si="74"/>
        <v>0.75904121110176614</v>
      </c>
      <c r="K252" s="10">
        <v>0</v>
      </c>
      <c r="L252" s="2">
        <f t="shared" si="75"/>
        <v>0</v>
      </c>
      <c r="M252">
        <v>72027</v>
      </c>
      <c r="N252">
        <f t="shared" si="76"/>
        <v>0.33965924306728551</v>
      </c>
      <c r="O252" s="10">
        <v>0.80190976400000002</v>
      </c>
      <c r="P252">
        <f t="shared" si="77"/>
        <v>0.78766843711176404</v>
      </c>
      <c r="Q252" s="23">
        <v>0.2339</v>
      </c>
      <c r="R252" s="13">
        <f t="shared" si="78"/>
        <v>0.50649631875270684</v>
      </c>
      <c r="S252">
        <f t="shared" si="79"/>
        <v>8.5416499681401706E-2</v>
      </c>
      <c r="T252" s="14">
        <f t="shared" si="67"/>
        <v>0.1524215768223954</v>
      </c>
      <c r="U252" t="str">
        <f t="shared" si="80"/>
        <v>Low</v>
      </c>
      <c r="V252">
        <f t="shared" si="81"/>
        <v>6.6858786647258028E-2</v>
      </c>
      <c r="W252">
        <f t="shared" si="68"/>
        <v>0.10815298530166194</v>
      </c>
      <c r="X252" t="s">
        <v>1170</v>
      </c>
      <c r="Y252">
        <f t="shared" si="69"/>
        <v>0.10397421271554537</v>
      </c>
      <c r="Z252">
        <f t="shared" si="82"/>
        <v>0.18927516926439886</v>
      </c>
      <c r="AA252" t="str">
        <f t="shared" si="83"/>
        <v>Low</v>
      </c>
      <c r="AB252">
        <f t="shared" si="70"/>
        <v>7.0285394858735889E-2</v>
      </c>
      <c r="AC252">
        <f t="shared" si="84"/>
        <v>0.17179006285165932</v>
      </c>
      <c r="AD252" t="str">
        <f t="shared" si="85"/>
        <v>Low</v>
      </c>
      <c r="AE252">
        <f t="shared" si="71"/>
        <v>4.483587347866274E-2</v>
      </c>
      <c r="AF252">
        <f t="shared" si="86"/>
        <v>0.27071108735022281</v>
      </c>
      <c r="AG252" t="s">
        <v>1169</v>
      </c>
    </row>
    <row r="253" spans="1:33" customFormat="1" x14ac:dyDescent="0.3">
      <c r="A253">
        <v>306807</v>
      </c>
      <c r="B253" t="s">
        <v>59</v>
      </c>
      <c r="C253" t="s">
        <v>803</v>
      </c>
      <c r="D253" t="s">
        <v>802</v>
      </c>
      <c r="E253" s="21">
        <v>4.4000000000000004</v>
      </c>
      <c r="F253" s="2">
        <f t="shared" si="72"/>
        <v>0.26666666666666672</v>
      </c>
      <c r="G253" s="26">
        <v>62.192160000000001</v>
      </c>
      <c r="H253">
        <f t="shared" si="73"/>
        <v>0.63756776805518134</v>
      </c>
      <c r="I253" s="12">
        <v>142.1</v>
      </c>
      <c r="J253" s="2">
        <f t="shared" si="74"/>
        <v>0.59756097560975607</v>
      </c>
      <c r="K253" s="10">
        <v>0</v>
      </c>
      <c r="L253" s="2">
        <f t="shared" si="75"/>
        <v>0</v>
      </c>
      <c r="M253">
        <v>27160</v>
      </c>
      <c r="N253">
        <f t="shared" si="76"/>
        <v>0.12737458186067857</v>
      </c>
      <c r="O253" s="10">
        <v>0.92547345299999995</v>
      </c>
      <c r="P253">
        <f t="shared" si="77"/>
        <v>0.92374774443388041</v>
      </c>
      <c r="Q253" s="23">
        <v>0.34399999999999997</v>
      </c>
      <c r="R253" s="13">
        <f t="shared" si="78"/>
        <v>0.74491121697704632</v>
      </c>
      <c r="S253">
        <f t="shared" si="79"/>
        <v>9.6180403508593471E-2</v>
      </c>
      <c r="T253" s="14">
        <f t="shared" si="67"/>
        <v>0.17162923810826772</v>
      </c>
      <c r="U253" t="str">
        <f t="shared" si="80"/>
        <v>Low</v>
      </c>
      <c r="V253">
        <f t="shared" si="81"/>
        <v>8.5872383852899373E-2</v>
      </c>
      <c r="W253">
        <f t="shared" si="68"/>
        <v>0.13891000920583091</v>
      </c>
      <c r="X253" t="s">
        <v>1170</v>
      </c>
      <c r="Y253">
        <f t="shared" si="69"/>
        <v>0.1064884231642876</v>
      </c>
      <c r="Z253">
        <f t="shared" si="82"/>
        <v>0.19385205035657813</v>
      </c>
      <c r="AA253" t="str">
        <f t="shared" si="83"/>
        <v>Low</v>
      </c>
      <c r="AB253">
        <f t="shared" si="70"/>
        <v>6.7141112201902997E-2</v>
      </c>
      <c r="AC253">
        <f t="shared" si="84"/>
        <v>0.16410487425271431</v>
      </c>
      <c r="AD253" t="str">
        <f t="shared" si="85"/>
        <v>Low</v>
      </c>
      <c r="AE253">
        <f t="shared" si="71"/>
        <v>1.4683574011719823E-2</v>
      </c>
      <c r="AF253">
        <f t="shared" si="86"/>
        <v>8.865682718976893E-2</v>
      </c>
      <c r="AG253" t="s">
        <v>1170</v>
      </c>
    </row>
    <row r="254" spans="1:33" customFormat="1" x14ac:dyDescent="0.3">
      <c r="A254">
        <v>306852</v>
      </c>
      <c r="B254" t="s">
        <v>324</v>
      </c>
      <c r="C254" t="s">
        <v>803</v>
      </c>
      <c r="D254" t="s">
        <v>804</v>
      </c>
      <c r="E254" s="21">
        <v>4.5</v>
      </c>
      <c r="F254" s="2">
        <f t="shared" si="72"/>
        <v>0.28888888888888886</v>
      </c>
      <c r="G254" s="26">
        <v>62.192160000000001</v>
      </c>
      <c r="H254">
        <f t="shared" si="73"/>
        <v>0.63756776805518134</v>
      </c>
      <c r="I254" s="12">
        <v>142.1</v>
      </c>
      <c r="J254" s="2">
        <f t="shared" si="74"/>
        <v>0.59756097560975607</v>
      </c>
      <c r="K254" s="10">
        <v>0</v>
      </c>
      <c r="L254" s="2">
        <f t="shared" si="75"/>
        <v>0</v>
      </c>
      <c r="M254">
        <v>22807</v>
      </c>
      <c r="N254">
        <f t="shared" si="76"/>
        <v>0.10677870671341311</v>
      </c>
      <c r="O254" s="10">
        <v>0.95467453800000002</v>
      </c>
      <c r="P254">
        <f t="shared" si="77"/>
        <v>0.95590657241978039</v>
      </c>
      <c r="Q254" s="23">
        <v>0.32450000000000001</v>
      </c>
      <c r="R254" s="13">
        <f t="shared" si="78"/>
        <v>0.70268514508445223</v>
      </c>
      <c r="S254">
        <f t="shared" si="79"/>
        <v>0.10356681205042259</v>
      </c>
      <c r="T254" s="14">
        <f t="shared" si="67"/>
        <v>0.18480992382120784</v>
      </c>
      <c r="U254" t="str">
        <f t="shared" si="80"/>
        <v>Low</v>
      </c>
      <c r="V254">
        <f t="shared" si="81"/>
        <v>8.7755002733395329E-2</v>
      </c>
      <c r="W254">
        <f t="shared" si="68"/>
        <v>0.14195539579331337</v>
      </c>
      <c r="X254" t="s">
        <v>1170</v>
      </c>
      <c r="Y254">
        <f t="shared" si="69"/>
        <v>0.11937862136744987</v>
      </c>
      <c r="Z254">
        <f t="shared" si="82"/>
        <v>0.21731743069497056</v>
      </c>
      <c r="AA254" t="str">
        <f t="shared" si="83"/>
        <v>Low</v>
      </c>
      <c r="AB254">
        <f t="shared" si="70"/>
        <v>7.1195116898543756E-2</v>
      </c>
      <c r="AC254">
        <f t="shared" si="84"/>
        <v>0.17401358605602116</v>
      </c>
      <c r="AD254" t="str">
        <f t="shared" si="85"/>
        <v>Low</v>
      </c>
      <c r="AE254">
        <f t="shared" si="71"/>
        <v>1.3335084376058367E-2</v>
      </c>
      <c r="AF254">
        <f t="shared" si="86"/>
        <v>8.0514884873776255E-2</v>
      </c>
      <c r="AG254" t="s">
        <v>1170</v>
      </c>
    </row>
    <row r="255" spans="1:33" customFormat="1" x14ac:dyDescent="0.3">
      <c r="A255">
        <v>306860</v>
      </c>
      <c r="B255" t="s">
        <v>377</v>
      </c>
      <c r="C255" t="s">
        <v>803</v>
      </c>
      <c r="D255" t="s">
        <v>805</v>
      </c>
      <c r="E255" s="21">
        <v>4.4000000000000004</v>
      </c>
      <c r="F255" s="2">
        <f t="shared" si="72"/>
        <v>0.26666666666666672</v>
      </c>
      <c r="G255" s="26">
        <v>61.517880000000005</v>
      </c>
      <c r="H255">
        <f t="shared" si="73"/>
        <v>0.63065533416248098</v>
      </c>
      <c r="I255" s="12">
        <v>180.5</v>
      </c>
      <c r="J255" s="2">
        <f t="shared" si="74"/>
        <v>0.75904121110176614</v>
      </c>
      <c r="K255" s="10">
        <v>0</v>
      </c>
      <c r="L255" s="2">
        <f t="shared" si="75"/>
        <v>0</v>
      </c>
      <c r="M255">
        <v>70583</v>
      </c>
      <c r="N255">
        <f t="shared" si="76"/>
        <v>0.33282707129778144</v>
      </c>
      <c r="O255" s="10">
        <v>0.81197894699999995</v>
      </c>
      <c r="P255">
        <f t="shared" si="77"/>
        <v>0.79875751561879715</v>
      </c>
      <c r="Q255" s="23">
        <v>0.25750000000000001</v>
      </c>
      <c r="R255" s="13">
        <f t="shared" si="78"/>
        <v>0.55760069294066694</v>
      </c>
      <c r="S255">
        <f t="shared" si="79"/>
        <v>8.7963228106874902E-2</v>
      </c>
      <c r="T255" s="14">
        <f t="shared" si="67"/>
        <v>0.15696608946101809</v>
      </c>
      <c r="U255" t="str">
        <f t="shared" si="80"/>
        <v>Low</v>
      </c>
      <c r="V255">
        <f t="shared" si="81"/>
        <v>7.232360395088222E-2</v>
      </c>
      <c r="W255">
        <f t="shared" si="68"/>
        <v>0.11699305457532971</v>
      </c>
      <c r="X255" t="s">
        <v>1170</v>
      </c>
      <c r="Y255">
        <f t="shared" si="69"/>
        <v>0.10360285226286757</v>
      </c>
      <c r="Z255">
        <f t="shared" si="82"/>
        <v>0.18859914286609381</v>
      </c>
      <c r="AA255" t="str">
        <f t="shared" si="83"/>
        <v>Low</v>
      </c>
      <c r="AB255">
        <f t="shared" si="70"/>
        <v>7.1503385679331885E-2</v>
      </c>
      <c r="AC255">
        <f t="shared" si="84"/>
        <v>0.17476705003432325</v>
      </c>
      <c r="AD255" t="str">
        <f t="shared" si="85"/>
        <v>Low</v>
      </c>
      <c r="AE255">
        <f t="shared" si="71"/>
        <v>4.3169338907608122E-2</v>
      </c>
      <c r="AF255">
        <f t="shared" si="86"/>
        <v>0.2606488458718309</v>
      </c>
      <c r="AG255" t="s">
        <v>1169</v>
      </c>
    </row>
    <row r="256" spans="1:33" customFormat="1" x14ac:dyDescent="0.3">
      <c r="A256">
        <v>306863</v>
      </c>
      <c r="B256" t="s">
        <v>396</v>
      </c>
      <c r="C256" t="s">
        <v>803</v>
      </c>
      <c r="D256" t="s">
        <v>806</v>
      </c>
      <c r="E256" s="21">
        <v>4</v>
      </c>
      <c r="F256" s="2">
        <f t="shared" si="72"/>
        <v>0.17777777777777773</v>
      </c>
      <c r="G256" s="26">
        <v>61.517880000000005</v>
      </c>
      <c r="H256">
        <f t="shared" si="73"/>
        <v>0.63065533416248098</v>
      </c>
      <c r="I256" s="12">
        <v>166.5</v>
      </c>
      <c r="J256" s="2">
        <f t="shared" si="74"/>
        <v>0.70016820857863749</v>
      </c>
      <c r="K256" s="10">
        <v>0</v>
      </c>
      <c r="L256" s="2">
        <f t="shared" si="75"/>
        <v>0</v>
      </c>
      <c r="M256">
        <v>31340</v>
      </c>
      <c r="N256">
        <f t="shared" si="76"/>
        <v>0.14715192119345361</v>
      </c>
      <c r="O256" s="10">
        <v>0.89756435099999998</v>
      </c>
      <c r="P256">
        <f t="shared" si="77"/>
        <v>0.89301176286131423</v>
      </c>
      <c r="Q256" s="23">
        <v>0.29330000000000001</v>
      </c>
      <c r="R256" s="13">
        <f t="shared" si="78"/>
        <v>0.63512343005630145</v>
      </c>
      <c r="S256">
        <f t="shared" si="79"/>
        <v>6.3269991282586771E-2</v>
      </c>
      <c r="T256" s="14">
        <f t="shared" si="67"/>
        <v>0.11290221295418963</v>
      </c>
      <c r="U256" t="str">
        <f t="shared" si="80"/>
        <v>No Impact</v>
      </c>
      <c r="V256">
        <f t="shared" si="81"/>
        <v>5.2592537714292668E-2</v>
      </c>
      <c r="W256">
        <f t="shared" si="68"/>
        <v>8.5075429029256411E-2</v>
      </c>
      <c r="X256" t="s">
        <v>1170</v>
      </c>
      <c r="Y256">
        <f t="shared" si="69"/>
        <v>7.3947444850880867E-2</v>
      </c>
      <c r="Z256">
        <f t="shared" si="82"/>
        <v>0.13461429305660563</v>
      </c>
      <c r="AA256" t="str">
        <f t="shared" si="83"/>
        <v>No Impact</v>
      </c>
      <c r="AB256">
        <f t="shared" si="70"/>
        <v>4.4856434461092401E-2</v>
      </c>
      <c r="AC256">
        <f t="shared" si="84"/>
        <v>0.10963714027445096</v>
      </c>
      <c r="AD256" t="str">
        <f t="shared" si="85"/>
        <v>No Impact</v>
      </c>
      <c r="AE256">
        <f t="shared" si="71"/>
        <v>1.2185179445216321E-2</v>
      </c>
      <c r="AF256">
        <f t="shared" si="86"/>
        <v>7.3571961941187994E-2</v>
      </c>
      <c r="AG256" t="s">
        <v>1170</v>
      </c>
    </row>
    <row r="257" spans="1:33" customFormat="1" x14ac:dyDescent="0.3">
      <c r="A257">
        <v>306864</v>
      </c>
      <c r="B257" t="s">
        <v>448</v>
      </c>
      <c r="C257" t="s">
        <v>803</v>
      </c>
      <c r="D257" t="s">
        <v>807</v>
      </c>
      <c r="E257" s="21">
        <v>4.5</v>
      </c>
      <c r="F257" s="2">
        <f t="shared" si="72"/>
        <v>0.28888888888888886</v>
      </c>
      <c r="G257" s="26">
        <v>62.192160000000001</v>
      </c>
      <c r="H257">
        <f t="shared" si="73"/>
        <v>0.63756776805518134</v>
      </c>
      <c r="I257" s="12">
        <v>166.5</v>
      </c>
      <c r="J257" s="2">
        <f t="shared" si="74"/>
        <v>0.70016820857863749</v>
      </c>
      <c r="K257" s="10">
        <v>0</v>
      </c>
      <c r="L257" s="2">
        <f t="shared" si="75"/>
        <v>0</v>
      </c>
      <c r="M257">
        <v>38383</v>
      </c>
      <c r="N257">
        <f t="shared" si="76"/>
        <v>0.18047531854291163</v>
      </c>
      <c r="O257" s="10">
        <v>0.74746294499999999</v>
      </c>
      <c r="P257">
        <f t="shared" si="77"/>
        <v>0.72770676491360997</v>
      </c>
      <c r="Q257" s="23">
        <v>0.30299999999999999</v>
      </c>
      <c r="R257" s="13">
        <f t="shared" si="78"/>
        <v>0.65612819402338673</v>
      </c>
      <c r="S257">
        <f t="shared" si="79"/>
        <v>9.3588738187065507E-2</v>
      </c>
      <c r="T257" s="14">
        <f t="shared" si="67"/>
        <v>0.16700453777078453</v>
      </c>
      <c r="U257" t="str">
        <f t="shared" si="80"/>
        <v>Low</v>
      </c>
      <c r="V257">
        <f t="shared" si="81"/>
        <v>8.874788047669574E-2</v>
      </c>
      <c r="W257">
        <f t="shared" si="68"/>
        <v>0.14356150768020806</v>
      </c>
      <c r="X257" t="s">
        <v>1170</v>
      </c>
      <c r="Y257">
        <f t="shared" si="69"/>
        <v>9.8429595897435301E-2</v>
      </c>
      <c r="Z257">
        <f t="shared" si="82"/>
        <v>0.1791817214820613</v>
      </c>
      <c r="AA257" t="str">
        <f t="shared" si="83"/>
        <v>Low</v>
      </c>
      <c r="AB257">
        <f t="shared" si="70"/>
        <v>6.9134517157542152E-2</v>
      </c>
      <c r="AC257">
        <f t="shared" si="84"/>
        <v>0.16897711212384434</v>
      </c>
      <c r="AD257" t="str">
        <f t="shared" si="85"/>
        <v>Low</v>
      </c>
      <c r="AE257">
        <f t="shared" si="71"/>
        <v>2.4411086347051587E-2</v>
      </c>
      <c r="AF257">
        <f t="shared" si="86"/>
        <v>0.1473898290741544</v>
      </c>
      <c r="AG257" t="s">
        <v>1170</v>
      </c>
    </row>
    <row r="258" spans="1:33" customFormat="1" x14ac:dyDescent="0.3">
      <c r="A258">
        <v>306876</v>
      </c>
      <c r="B258" t="s">
        <v>489</v>
      </c>
      <c r="C258" t="s">
        <v>803</v>
      </c>
      <c r="D258" t="s">
        <v>808</v>
      </c>
      <c r="E258" s="21">
        <v>4.4000000000000004</v>
      </c>
      <c r="F258" s="2">
        <f t="shared" si="72"/>
        <v>0.26666666666666672</v>
      </c>
      <c r="G258" s="26">
        <v>62.192160000000001</v>
      </c>
      <c r="H258">
        <f t="shared" si="73"/>
        <v>0.63756776805518134</v>
      </c>
      <c r="I258" s="12">
        <v>166.5</v>
      </c>
      <c r="J258" s="2">
        <f t="shared" si="74"/>
        <v>0.70016820857863749</v>
      </c>
      <c r="K258" s="10">
        <v>0</v>
      </c>
      <c r="L258" s="2">
        <f t="shared" si="75"/>
        <v>0</v>
      </c>
      <c r="M258">
        <v>46047</v>
      </c>
      <c r="N258">
        <f t="shared" si="76"/>
        <v>0.21673692826692784</v>
      </c>
      <c r="O258" s="10">
        <v>0.957699203</v>
      </c>
      <c r="P258">
        <f t="shared" si="77"/>
        <v>0.95923760212124431</v>
      </c>
      <c r="Q258" s="23">
        <v>0.3322</v>
      </c>
      <c r="R258" s="13">
        <f t="shared" si="78"/>
        <v>0.71935902988306633</v>
      </c>
      <c r="S258">
        <f t="shared" si="79"/>
        <v>0.10479089156146454</v>
      </c>
      <c r="T258" s="14">
        <f t="shared" ref="T258:T321" si="89">(S258-$AJ$10)/$AK$10</f>
        <v>0.18699423399459258</v>
      </c>
      <c r="U258" t="str">
        <f t="shared" si="80"/>
        <v>Low</v>
      </c>
      <c r="V258">
        <f t="shared" si="81"/>
        <v>8.9815829076491507E-2</v>
      </c>
      <c r="W258">
        <f t="shared" ref="W258:W321" si="90">(V258-$AJ$13)/$AK$13</f>
        <v>0.14528905666828679</v>
      </c>
      <c r="X258" t="s">
        <v>1170</v>
      </c>
      <c r="Y258">
        <f t="shared" ref="Y258:Y321" si="91">F258*(P258*1)*(H258*0.35+J258*0.35+L258*0.3)</f>
        <v>0.11976595404643757</v>
      </c>
      <c r="Z258">
        <f t="shared" si="82"/>
        <v>0.2180225330127693</v>
      </c>
      <c r="AA258" t="str">
        <f t="shared" si="83"/>
        <v>Low</v>
      </c>
      <c r="AB258">
        <f t="shared" ref="AB258:AB321" si="92">F258*(R258*0.35+P258*0.3+N258*0.35)*(H258*0.35+J258*0.35+L258*0.3)</f>
        <v>7.6836594746690551E-2</v>
      </c>
      <c r="AC258">
        <f t="shared" si="84"/>
        <v>0.18780236587375201</v>
      </c>
      <c r="AD258" t="str">
        <f t="shared" si="85"/>
        <v>Low</v>
      </c>
      <c r="AE258">
        <f t="shared" ref="AE258:AE321" si="93">F258*(N258*1)*(H258*0.35+J258*0.35+L258*0.3)</f>
        <v>2.7060766731392117E-2</v>
      </c>
      <c r="AF258">
        <f t="shared" si="86"/>
        <v>0.16338813137815081</v>
      </c>
      <c r="AG258" t="s">
        <v>1170</v>
      </c>
    </row>
    <row r="259" spans="1:33" customFormat="1" x14ac:dyDescent="0.3">
      <c r="A259">
        <v>308207</v>
      </c>
      <c r="B259" t="s">
        <v>36</v>
      </c>
      <c r="C259" t="s">
        <v>1057</v>
      </c>
      <c r="D259" t="s">
        <v>1056</v>
      </c>
      <c r="E259" s="21">
        <v>5.4</v>
      </c>
      <c r="F259" s="2">
        <f t="shared" ref="F259:F322" si="94">(E259-$AJ$5)/$AK$5</f>
        <v>0.48888888888888893</v>
      </c>
      <c r="G259" s="26">
        <v>50.195880000000002</v>
      </c>
      <c r="H259">
        <f t="shared" ref="H259:H322" si="95">(G259-$AJ$6)/$AK$6</f>
        <v>0.51458697008056509</v>
      </c>
      <c r="I259" s="12">
        <v>24.1</v>
      </c>
      <c r="J259" s="2">
        <f t="shared" ref="J259:J322" si="96">(I259-$AJ$7)/$AK$7</f>
        <v>0.10134566862910009</v>
      </c>
      <c r="K259" s="10">
        <v>0</v>
      </c>
      <c r="L259" s="2">
        <f t="shared" ref="L259:L322" si="97">(K259-$AJ$8)/$AK$8</f>
        <v>0</v>
      </c>
      <c r="M259">
        <v>27077</v>
      </c>
      <c r="N259">
        <f t="shared" ref="N259:N322" si="98">(M259-$AJ$9)/$AK$9</f>
        <v>0.12698187392655888</v>
      </c>
      <c r="O259" s="10">
        <v>0.48314523500000001</v>
      </c>
      <c r="P259">
        <f t="shared" ref="P259:P322" si="99">(O259-$AJ$11)/$AK$11</f>
        <v>0.43661663009440727</v>
      </c>
      <c r="Q259" s="23">
        <v>0.27929999999999999</v>
      </c>
      <c r="R259" s="13">
        <f t="shared" ref="R259:R322" si="100">(Q259-$AJ$12)/$AK$12</f>
        <v>0.604807275877003</v>
      </c>
      <c r="S259">
        <f t="shared" ref="S259:S322" si="101">F259*(R259*0.5+P259*0.5)*(H259*0.35+J259*0.35+L259*0.3)</f>
        <v>5.487935225595874E-2</v>
      </c>
      <c r="T259" s="14">
        <f t="shared" si="89"/>
        <v>9.7929526930336575E-2</v>
      </c>
      <c r="U259" t="str">
        <f t="shared" ref="U259:U322" si="102">IF(T259&gt;0.7,"High",IF(T259&gt;0.3,"Moderate",IF(T259&gt;0.15,"Low","No Impact")))</f>
        <v>No Impact</v>
      </c>
      <c r="V259">
        <f t="shared" ref="V259:V322" si="103">F259*(R259*1)*(H259*0.35+J259*0.35+L259*0.3)</f>
        <v>6.3742403740695494E-2</v>
      </c>
      <c r="W259">
        <f t="shared" si="90"/>
        <v>0.10311182120656644</v>
      </c>
      <c r="X259" t="s">
        <v>1170</v>
      </c>
      <c r="Y259">
        <f t="shared" si="91"/>
        <v>4.6016300771221992E-2</v>
      </c>
      <c r="Z259">
        <f t="shared" ref="Z259:Z322" si="104">(Y259-$AJ$14)/$AK$14</f>
        <v>8.3768300715320751E-2</v>
      </c>
      <c r="AA259" t="str">
        <f t="shared" ref="AA259:AA322" si="105">IF(Z259&gt;0.7,"High",IF(Z259&gt;0.3,"Moderate",IF(Z259&gt;0.15,"Low","No Impact")))</f>
        <v>No Impact</v>
      </c>
      <c r="AB259">
        <f t="shared" si="92"/>
        <v>4.0798778127754592E-2</v>
      </c>
      <c r="AC259">
        <f t="shared" ref="AC259:AC322" si="106">(AB259-$AJ$15)/$AK$15</f>
        <v>9.9719503218622468E-2</v>
      </c>
      <c r="AD259" t="str">
        <f t="shared" ref="AD259:AD322" si="107">IF(AC259&gt;0.7,"High",IF(AC259&gt;0.3,"Moderate",IF(AC259&gt;0.15,"Low","No Impact")))</f>
        <v>No Impact</v>
      </c>
      <c r="AE259">
        <f t="shared" si="93"/>
        <v>1.3382990248984501E-2</v>
      </c>
      <c r="AF259">
        <f t="shared" ref="AF259:AF322" si="108">(AE259-$AJ$16)/$AK$16</f>
        <v>8.0804132075717502E-2</v>
      </c>
      <c r="AG259" t="s">
        <v>1170</v>
      </c>
    </row>
    <row r="260" spans="1:33" customFormat="1" x14ac:dyDescent="0.3">
      <c r="A260">
        <v>308229</v>
      </c>
      <c r="B260" t="s">
        <v>186</v>
      </c>
      <c r="C260" t="s">
        <v>809</v>
      </c>
      <c r="D260" t="s">
        <v>1144</v>
      </c>
      <c r="E260" s="21">
        <v>5.4</v>
      </c>
      <c r="F260" s="2">
        <f t="shared" si="94"/>
        <v>0.48888888888888893</v>
      </c>
      <c r="G260" s="26">
        <v>50.195880000000002</v>
      </c>
      <c r="H260">
        <f t="shared" si="95"/>
        <v>0.51458697008056509</v>
      </c>
      <c r="I260" s="12">
        <v>24.9</v>
      </c>
      <c r="J260" s="2">
        <f t="shared" si="96"/>
        <v>0.10470984020185028</v>
      </c>
      <c r="K260" s="10">
        <v>0</v>
      </c>
      <c r="L260" s="2">
        <f t="shared" si="97"/>
        <v>0</v>
      </c>
      <c r="M260">
        <v>14728</v>
      </c>
      <c r="N260">
        <f t="shared" si="98"/>
        <v>6.8553557318798405E-2</v>
      </c>
      <c r="O260" s="10">
        <v>0.59395510500000004</v>
      </c>
      <c r="P260">
        <f t="shared" si="99"/>
        <v>0.5586502993388871</v>
      </c>
      <c r="Q260" s="23">
        <v>0.22500000000000001</v>
      </c>
      <c r="R260" s="13">
        <f t="shared" si="100"/>
        <v>0.48722390645301</v>
      </c>
      <c r="S260">
        <f t="shared" si="101"/>
        <v>5.5414894543861525E-2</v>
      </c>
      <c r="T260" s="14">
        <f t="shared" si="89"/>
        <v>9.8885176017827675E-2</v>
      </c>
      <c r="U260" t="str">
        <f t="shared" si="102"/>
        <v>No Impact</v>
      </c>
      <c r="V260">
        <f t="shared" si="103"/>
        <v>5.163041835399089E-2</v>
      </c>
      <c r="W260">
        <f t="shared" si="90"/>
        <v>8.351907292034054E-2</v>
      </c>
      <c r="X260" t="s">
        <v>1170</v>
      </c>
      <c r="Y260">
        <f t="shared" si="91"/>
        <v>5.9199370733732173E-2</v>
      </c>
      <c r="Z260">
        <f t="shared" si="104"/>
        <v>0.10776682624784888</v>
      </c>
      <c r="AA260" t="str">
        <f t="shared" si="105"/>
        <v>No Impact</v>
      </c>
      <c r="AB260">
        <f t="shared" si="92"/>
        <v>3.8373040384725686E-2</v>
      </c>
      <c r="AC260">
        <f t="shared" si="106"/>
        <v>9.3790566770671602E-2</v>
      </c>
      <c r="AD260" t="str">
        <f t="shared" si="107"/>
        <v>No Impact</v>
      </c>
      <c r="AE260">
        <f t="shared" si="93"/>
        <v>7.2645221163120726E-3</v>
      </c>
      <c r="AF260">
        <f t="shared" si="108"/>
        <v>4.3861901834531584E-2</v>
      </c>
      <c r="AG260" t="s">
        <v>1170</v>
      </c>
    </row>
    <row r="261" spans="1:33" customFormat="1" x14ac:dyDescent="0.3">
      <c r="A261">
        <v>308247</v>
      </c>
      <c r="B261" t="s">
        <v>251</v>
      </c>
      <c r="C261" t="s">
        <v>809</v>
      </c>
      <c r="D261" t="s">
        <v>810</v>
      </c>
      <c r="E261" s="21">
        <v>5.6</v>
      </c>
      <c r="F261" s="2">
        <f t="shared" si="94"/>
        <v>0.53333333333333321</v>
      </c>
      <c r="G261" s="26">
        <v>43.88832</v>
      </c>
      <c r="H261">
        <f t="shared" si="95"/>
        <v>0.4499245278840866</v>
      </c>
      <c r="I261" s="12">
        <v>15.100000000000001</v>
      </c>
      <c r="J261" s="2">
        <f t="shared" si="96"/>
        <v>6.3498738435660215E-2</v>
      </c>
      <c r="K261" s="10">
        <v>0</v>
      </c>
      <c r="L261" s="2">
        <f t="shared" si="97"/>
        <v>0</v>
      </c>
      <c r="M261">
        <v>15025</v>
      </c>
      <c r="N261">
        <f t="shared" si="98"/>
        <v>6.99587893240219E-2</v>
      </c>
      <c r="O261" s="10">
        <v>0.84675784899999995</v>
      </c>
      <c r="P261">
        <f t="shared" si="99"/>
        <v>0.83705913101961094</v>
      </c>
      <c r="Q261" s="23">
        <v>0.2505</v>
      </c>
      <c r="R261" s="13">
        <f t="shared" si="100"/>
        <v>0.54244261585101772</v>
      </c>
      <c r="S261">
        <f t="shared" si="101"/>
        <v>6.6105040658730699E-2</v>
      </c>
      <c r="T261" s="14">
        <f t="shared" si="89"/>
        <v>0.11796122026417069</v>
      </c>
      <c r="U261" t="str">
        <f t="shared" si="102"/>
        <v>No Impact</v>
      </c>
      <c r="V261">
        <f t="shared" si="103"/>
        <v>5.1987163129301329E-2</v>
      </c>
      <c r="W261">
        <f t="shared" si="90"/>
        <v>8.4096155071773468E-2</v>
      </c>
      <c r="X261" t="s">
        <v>1170</v>
      </c>
      <c r="Y261">
        <f t="shared" si="91"/>
        <v>8.0222918188160061E-2</v>
      </c>
      <c r="Z261">
        <f t="shared" si="104"/>
        <v>0.14603819564846582</v>
      </c>
      <c r="AA261" t="str">
        <f t="shared" si="105"/>
        <v>No Impact</v>
      </c>
      <c r="AB261">
        <f t="shared" si="92"/>
        <v>4.4609055933041084E-2</v>
      </c>
      <c r="AC261">
        <f t="shared" si="106"/>
        <v>0.10903250295303446</v>
      </c>
      <c r="AD261" t="str">
        <f t="shared" si="107"/>
        <v>No Impact</v>
      </c>
      <c r="AE261">
        <f t="shared" si="93"/>
        <v>6.7047810895360114E-3</v>
      </c>
      <c r="AF261">
        <f t="shared" si="108"/>
        <v>4.0482284348877164E-2</v>
      </c>
      <c r="AG261" t="s">
        <v>1170</v>
      </c>
    </row>
    <row r="262" spans="1:33" customFormat="1" x14ac:dyDescent="0.3">
      <c r="A262">
        <v>308273</v>
      </c>
      <c r="B262" t="s">
        <v>404</v>
      </c>
      <c r="C262" t="s">
        <v>809</v>
      </c>
      <c r="D262" t="s">
        <v>811</v>
      </c>
      <c r="E262" s="21">
        <v>5.6</v>
      </c>
      <c r="F262" s="2">
        <f t="shared" si="94"/>
        <v>0.53333333333333321</v>
      </c>
      <c r="G262" s="26">
        <v>40.823999999999998</v>
      </c>
      <c r="H262">
        <f t="shared" si="95"/>
        <v>0.41851041293765517</v>
      </c>
      <c r="I262" s="12">
        <v>11.799999999999999</v>
      </c>
      <c r="J262" s="2">
        <f t="shared" si="96"/>
        <v>4.9621530698065595E-2</v>
      </c>
      <c r="K262" s="10">
        <v>0</v>
      </c>
      <c r="L262" s="2">
        <f t="shared" si="97"/>
        <v>0</v>
      </c>
      <c r="M262">
        <v>21428</v>
      </c>
      <c r="N262">
        <f t="shared" si="98"/>
        <v>0.10025407730195456</v>
      </c>
      <c r="O262" s="10">
        <v>0.89919309599999997</v>
      </c>
      <c r="P262">
        <f t="shared" si="99"/>
        <v>0.89480548149498473</v>
      </c>
      <c r="Q262" s="23">
        <v>0.26350000000000001</v>
      </c>
      <c r="R262" s="13">
        <f t="shared" si="100"/>
        <v>0.57059333044608063</v>
      </c>
      <c r="S262">
        <f t="shared" si="101"/>
        <v>6.4026666109975039E-2</v>
      </c>
      <c r="T262" s="14">
        <f t="shared" si="89"/>
        <v>0.11425246227092026</v>
      </c>
      <c r="U262" t="str">
        <f t="shared" si="102"/>
        <v>No Impact</v>
      </c>
      <c r="V262">
        <f t="shared" si="103"/>
        <v>4.9861086764029838E-2</v>
      </c>
      <c r="W262">
        <f t="shared" si="90"/>
        <v>8.0656943602134143E-2</v>
      </c>
      <c r="X262" t="s">
        <v>1170</v>
      </c>
      <c r="Y262">
        <f t="shared" si="91"/>
        <v>7.8192245455920226E-2</v>
      </c>
      <c r="Z262">
        <f t="shared" si="104"/>
        <v>0.14234154899852366</v>
      </c>
      <c r="AA262" t="str">
        <f t="shared" si="105"/>
        <v>No Impact</v>
      </c>
      <c r="AB262">
        <f t="shared" si="92"/>
        <v>4.3975286893751464E-2</v>
      </c>
      <c r="AC262">
        <f t="shared" si="106"/>
        <v>0.10748345818616896</v>
      </c>
      <c r="AD262" t="str">
        <f t="shared" si="107"/>
        <v>No Impact</v>
      </c>
      <c r="AE262">
        <f t="shared" si="93"/>
        <v>8.760665398757023E-3</v>
      </c>
      <c r="AF262">
        <f t="shared" si="108"/>
        <v>5.2895350798454477E-2</v>
      </c>
      <c r="AG262" t="s">
        <v>1170</v>
      </c>
    </row>
    <row r="263" spans="1:33" customFormat="1" x14ac:dyDescent="0.3">
      <c r="A263">
        <v>308276</v>
      </c>
      <c r="B263" t="s">
        <v>427</v>
      </c>
      <c r="C263" t="s">
        <v>809</v>
      </c>
      <c r="D263" t="s">
        <v>812</v>
      </c>
      <c r="E263" s="21">
        <v>5.6</v>
      </c>
      <c r="F263" s="2">
        <f t="shared" si="94"/>
        <v>0.53333333333333321</v>
      </c>
      <c r="G263" s="26">
        <v>50.627520000000004</v>
      </c>
      <c r="H263">
        <f t="shared" si="95"/>
        <v>0.51901196113093762</v>
      </c>
      <c r="I263" s="12">
        <v>37.5</v>
      </c>
      <c r="J263" s="2">
        <f t="shared" si="96"/>
        <v>0.15769554247266609</v>
      </c>
      <c r="K263" s="10">
        <v>0</v>
      </c>
      <c r="L263" s="2">
        <f t="shared" si="97"/>
        <v>0</v>
      </c>
      <c r="M263">
        <v>45411</v>
      </c>
      <c r="N263">
        <f t="shared" si="98"/>
        <v>0.2137277445789745</v>
      </c>
      <c r="O263" s="10">
        <v>0.88171203899999995</v>
      </c>
      <c r="P263">
        <f t="shared" si="99"/>
        <v>0.87555378913236481</v>
      </c>
      <c r="Q263" s="23">
        <v>0.2848</v>
      </c>
      <c r="R263" s="13">
        <f t="shared" si="100"/>
        <v>0.61671719359029886</v>
      </c>
      <c r="S263">
        <f t="shared" si="101"/>
        <v>9.4250890665712656E-2</v>
      </c>
      <c r="T263" s="14">
        <f t="shared" si="89"/>
        <v>0.16818611656725482</v>
      </c>
      <c r="U263" t="str">
        <f t="shared" si="102"/>
        <v>Low</v>
      </c>
      <c r="V263">
        <f t="shared" si="103"/>
        <v>7.7902935134063461E-2</v>
      </c>
      <c r="W263">
        <f t="shared" si="90"/>
        <v>0.12601836528925742</v>
      </c>
      <c r="X263" t="s">
        <v>1170</v>
      </c>
      <c r="Y263">
        <f t="shared" si="91"/>
        <v>0.11059884619736184</v>
      </c>
      <c r="Z263">
        <f t="shared" si="104"/>
        <v>0.20133468470421084</v>
      </c>
      <c r="AA263" t="str">
        <f t="shared" si="105"/>
        <v>Low</v>
      </c>
      <c r="AB263">
        <f t="shared" si="92"/>
        <v>6.9894917497142023E-2</v>
      </c>
      <c r="AC263">
        <f t="shared" si="106"/>
        <v>0.17083566641374812</v>
      </c>
      <c r="AD263" t="str">
        <f t="shared" si="107"/>
        <v>Low</v>
      </c>
      <c r="AE263">
        <f t="shared" si="93"/>
        <v>2.6997818117175068E-2</v>
      </c>
      <c r="AF263">
        <f t="shared" si="108"/>
        <v>0.16300805876040653</v>
      </c>
      <c r="AG263" t="s">
        <v>1170</v>
      </c>
    </row>
    <row r="264" spans="1:33" customFormat="1" x14ac:dyDescent="0.3">
      <c r="A264">
        <v>308614</v>
      </c>
      <c r="B264" t="s">
        <v>69</v>
      </c>
      <c r="C264" t="s">
        <v>814</v>
      </c>
      <c r="D264" t="s">
        <v>813</v>
      </c>
      <c r="E264" s="21">
        <v>6.5</v>
      </c>
      <c r="F264" s="2">
        <f t="shared" si="94"/>
        <v>0.73333333333333328</v>
      </c>
      <c r="G264" s="26">
        <v>79.368480000000005</v>
      </c>
      <c r="H264">
        <f t="shared" si="95"/>
        <v>0.81365214920228368</v>
      </c>
      <c r="I264" s="12">
        <v>109.89999999999999</v>
      </c>
      <c r="J264" s="2">
        <f t="shared" si="96"/>
        <v>0.46215306980656007</v>
      </c>
      <c r="K264" s="10">
        <v>0</v>
      </c>
      <c r="L264" s="2">
        <f t="shared" si="97"/>
        <v>0</v>
      </c>
      <c r="M264">
        <v>19841</v>
      </c>
      <c r="N264">
        <f t="shared" si="98"/>
        <v>9.2745312344750253E-2</v>
      </c>
      <c r="O264" s="10">
        <v>0.75048115199999998</v>
      </c>
      <c r="P264">
        <f t="shared" si="99"/>
        <v>0.73103068249197534</v>
      </c>
      <c r="Q264" s="23">
        <v>0.255</v>
      </c>
      <c r="R264" s="13">
        <f t="shared" si="100"/>
        <v>0.55218709398007793</v>
      </c>
      <c r="S264">
        <f t="shared" si="101"/>
        <v>0.21009911183132277</v>
      </c>
      <c r="T264" s="14">
        <f t="shared" si="89"/>
        <v>0.37491161583255234</v>
      </c>
      <c r="U264" t="str">
        <f t="shared" si="102"/>
        <v>Moderate</v>
      </c>
      <c r="V264">
        <f t="shared" si="103"/>
        <v>0.18081734860140497</v>
      </c>
      <c r="W264">
        <f t="shared" si="90"/>
        <v>0.29249612543447573</v>
      </c>
      <c r="X264" t="s">
        <v>1169</v>
      </c>
      <c r="Y264">
        <f t="shared" si="91"/>
        <v>0.23938087506124051</v>
      </c>
      <c r="Z264">
        <f t="shared" si="104"/>
        <v>0.43577012475038446</v>
      </c>
      <c r="AA264" t="str">
        <f t="shared" si="105"/>
        <v>Moderate</v>
      </c>
      <c r="AB264">
        <f t="shared" si="92"/>
        <v>0.14572985952079928</v>
      </c>
      <c r="AC264">
        <f t="shared" si="106"/>
        <v>0.35618981406817773</v>
      </c>
      <c r="AD264" t="str">
        <f t="shared" si="107"/>
        <v>Moderate</v>
      </c>
      <c r="AE264">
        <f t="shared" si="93"/>
        <v>3.0370071405529678E-2</v>
      </c>
      <c r="AF264">
        <f t="shared" si="108"/>
        <v>0.18336912867343699</v>
      </c>
      <c r="AG264" t="s">
        <v>1169</v>
      </c>
    </row>
    <row r="265" spans="1:33" customFormat="1" x14ac:dyDescent="0.3">
      <c r="A265">
        <v>308625</v>
      </c>
      <c r="B265" t="s">
        <v>126</v>
      </c>
      <c r="C265" t="s">
        <v>814</v>
      </c>
      <c r="D265" t="s">
        <v>815</v>
      </c>
      <c r="E265" s="21">
        <v>6.5</v>
      </c>
      <c r="F265" s="2">
        <f t="shared" si="94"/>
        <v>0.73333333333333328</v>
      </c>
      <c r="G265" s="26">
        <v>95.893200000000007</v>
      </c>
      <c r="H265">
        <f t="shared" si="95"/>
        <v>0.98305660224165103</v>
      </c>
      <c r="I265" s="12">
        <v>155.9</v>
      </c>
      <c r="J265" s="2">
        <f t="shared" si="96"/>
        <v>0.65559293523969719</v>
      </c>
      <c r="K265" s="10">
        <v>0</v>
      </c>
      <c r="L265" s="2">
        <f t="shared" si="97"/>
        <v>0</v>
      </c>
      <c r="M265">
        <v>5388</v>
      </c>
      <c r="N265">
        <f t="shared" si="98"/>
        <v>2.4362086178100144E-2</v>
      </c>
      <c r="O265" s="10">
        <v>0.69507533399999999</v>
      </c>
      <c r="P265">
        <f t="shared" si="99"/>
        <v>0.67001287543172117</v>
      </c>
      <c r="Q265" s="23">
        <v>0.28070000000000001</v>
      </c>
      <c r="R265" s="13">
        <f t="shared" si="100"/>
        <v>0.60783889129493285</v>
      </c>
      <c r="S265">
        <f t="shared" si="101"/>
        <v>0.26872373816959888</v>
      </c>
      <c r="T265" s="14">
        <f t="shared" si="89"/>
        <v>0.47952440165769422</v>
      </c>
      <c r="U265" t="str">
        <f t="shared" si="102"/>
        <v>Moderate</v>
      </c>
      <c r="V265">
        <f t="shared" si="103"/>
        <v>0.25564896230812834</v>
      </c>
      <c r="W265">
        <f t="shared" si="90"/>
        <v>0.41354621956828563</v>
      </c>
      <c r="X265" t="str">
        <f t="shared" ref="X265:X328" si="109">IF(W265&gt;0.7,"High",IF(W265&gt;0.3,"Moderate",IF(W265&gt;0.15,"Low","No Impact")))</f>
        <v>Moderate</v>
      </c>
      <c r="Y265">
        <f t="shared" si="91"/>
        <v>0.28179851403106937</v>
      </c>
      <c r="Z265">
        <f t="shared" si="104"/>
        <v>0.51298740378644059</v>
      </c>
      <c r="AA265" t="str">
        <f t="shared" si="105"/>
        <v>Moderate</v>
      </c>
      <c r="AB265">
        <f t="shared" si="92"/>
        <v>0.17760292044259532</v>
      </c>
      <c r="AC265">
        <f t="shared" si="106"/>
        <v>0.43409326968701673</v>
      </c>
      <c r="AD265" t="str">
        <f t="shared" si="107"/>
        <v>Moderate</v>
      </c>
      <c r="AE265">
        <f t="shared" si="93"/>
        <v>1.0246369786941632E-2</v>
      </c>
      <c r="AF265">
        <f t="shared" si="108"/>
        <v>6.1865771562039179E-2</v>
      </c>
      <c r="AG265" t="s">
        <v>1170</v>
      </c>
    </row>
    <row r="266" spans="1:33" customFormat="1" x14ac:dyDescent="0.3">
      <c r="A266">
        <v>308636</v>
      </c>
      <c r="B266" t="s">
        <v>193</v>
      </c>
      <c r="C266" t="s">
        <v>814</v>
      </c>
      <c r="D266" t="s">
        <v>816</v>
      </c>
      <c r="E266" s="21">
        <v>6.4</v>
      </c>
      <c r="F266" s="2">
        <f t="shared" si="94"/>
        <v>0.71111111111111114</v>
      </c>
      <c r="G266" s="26">
        <v>95.893200000000007</v>
      </c>
      <c r="H266">
        <f t="shared" si="95"/>
        <v>0.98305660224165103</v>
      </c>
      <c r="I266" s="12">
        <v>155.9</v>
      </c>
      <c r="J266" s="2">
        <f t="shared" si="96"/>
        <v>0.65559293523969719</v>
      </c>
      <c r="K266" s="10">
        <v>0</v>
      </c>
      <c r="L266" s="2">
        <f t="shared" si="97"/>
        <v>0</v>
      </c>
      <c r="M266">
        <v>3568</v>
      </c>
      <c r="N266">
        <f t="shared" si="98"/>
        <v>1.5750900152824893E-2</v>
      </c>
      <c r="O266" s="10">
        <v>0.67876729199999997</v>
      </c>
      <c r="P266">
        <f t="shared" si="99"/>
        <v>0.65205301135595706</v>
      </c>
      <c r="Q266" s="23">
        <v>0.28839999999999999</v>
      </c>
      <c r="R266" s="13">
        <f t="shared" si="100"/>
        <v>0.62451277609354694</v>
      </c>
      <c r="S266">
        <f t="shared" si="101"/>
        <v>0.26031835662543107</v>
      </c>
      <c r="T266" s="14">
        <f t="shared" si="89"/>
        <v>0.46452540833047323</v>
      </c>
      <c r="U266" t="str">
        <f t="shared" si="102"/>
        <v>Moderate</v>
      </c>
      <c r="V266">
        <f t="shared" si="103"/>
        <v>0.25470232895566874</v>
      </c>
      <c r="W266">
        <f t="shared" si="90"/>
        <v>0.41201491413800939</v>
      </c>
      <c r="X266" t="str">
        <f t="shared" si="109"/>
        <v>Moderate</v>
      </c>
      <c r="Y266">
        <f t="shared" si="91"/>
        <v>0.26593438429519339</v>
      </c>
      <c r="Z266">
        <f t="shared" si="104"/>
        <v>0.48410826382887134</v>
      </c>
      <c r="AA266" t="str">
        <f t="shared" si="105"/>
        <v>Moderate</v>
      </c>
      <c r="AB266">
        <f t="shared" si="92"/>
        <v>0.17117448608040514</v>
      </c>
      <c r="AC266">
        <f t="shared" si="106"/>
        <v>0.41838102754427864</v>
      </c>
      <c r="AD266" t="str">
        <f t="shared" si="107"/>
        <v>Moderate</v>
      </c>
      <c r="AE266">
        <f t="shared" si="93"/>
        <v>6.4238733067516381E-3</v>
      </c>
      <c r="AF266">
        <f t="shared" si="108"/>
        <v>3.8786212756586509E-2</v>
      </c>
      <c r="AG266" t="s">
        <v>1170</v>
      </c>
    </row>
    <row r="267" spans="1:33" customFormat="1" x14ac:dyDescent="0.3">
      <c r="A267">
        <v>308665</v>
      </c>
      <c r="B267" t="s">
        <v>376</v>
      </c>
      <c r="C267" t="s">
        <v>814</v>
      </c>
      <c r="D267" t="s">
        <v>817</v>
      </c>
      <c r="E267" s="21">
        <v>6.5</v>
      </c>
      <c r="F267" s="2">
        <f t="shared" si="94"/>
        <v>0.73333333333333328</v>
      </c>
      <c r="G267" s="26">
        <v>79.81344</v>
      </c>
      <c r="H267">
        <f t="shared" si="95"/>
        <v>0.81821369126922316</v>
      </c>
      <c r="I267" s="12">
        <v>120.5</v>
      </c>
      <c r="J267" s="2">
        <f t="shared" si="96"/>
        <v>0.50672834314550042</v>
      </c>
      <c r="K267" s="10">
        <v>0</v>
      </c>
      <c r="L267" s="2">
        <f t="shared" si="97"/>
        <v>0</v>
      </c>
      <c r="M267">
        <v>22687</v>
      </c>
      <c r="N267">
        <f t="shared" si="98"/>
        <v>0.1062109362062521</v>
      </c>
      <c r="O267" s="10">
        <v>0.61557059700000005</v>
      </c>
      <c r="P267">
        <f t="shared" si="99"/>
        <v>0.58245519867939444</v>
      </c>
      <c r="Q267" s="23">
        <v>0.2571</v>
      </c>
      <c r="R267" s="13">
        <f t="shared" si="100"/>
        <v>0.55673451710697275</v>
      </c>
      <c r="S267">
        <f t="shared" si="101"/>
        <v>0.19370124358435103</v>
      </c>
      <c r="T267" s="14">
        <f t="shared" si="89"/>
        <v>0.34565041988034301</v>
      </c>
      <c r="U267" t="str">
        <f t="shared" si="102"/>
        <v>Moderate</v>
      </c>
      <c r="V267">
        <f t="shared" si="103"/>
        <v>0.18932784735598351</v>
      </c>
      <c r="W267">
        <f t="shared" si="90"/>
        <v>0.30626298978949157</v>
      </c>
      <c r="X267" t="str">
        <f t="shared" si="109"/>
        <v>Moderate</v>
      </c>
      <c r="Y267">
        <f t="shared" si="91"/>
        <v>0.19807463981271858</v>
      </c>
      <c r="Z267">
        <f t="shared" si="104"/>
        <v>0.36057605052614994</v>
      </c>
      <c r="AA267" t="str">
        <f t="shared" si="105"/>
        <v>Moderate</v>
      </c>
      <c r="AB267">
        <f t="shared" si="92"/>
        <v>0.13832878467990578</v>
      </c>
      <c r="AC267">
        <f t="shared" si="106"/>
        <v>0.33810026481484662</v>
      </c>
      <c r="AD267" t="str">
        <f t="shared" si="107"/>
        <v>Moderate</v>
      </c>
      <c r="AE267">
        <f t="shared" si="93"/>
        <v>3.6118989032845709E-2</v>
      </c>
      <c r="AF267">
        <f t="shared" si="108"/>
        <v>0.21808007821517444</v>
      </c>
      <c r="AG267" t="s">
        <v>1169</v>
      </c>
    </row>
    <row r="268" spans="1:33" customFormat="1" x14ac:dyDescent="0.3">
      <c r="A268">
        <v>308669</v>
      </c>
      <c r="B268" t="s">
        <v>480</v>
      </c>
      <c r="C268" t="s">
        <v>814</v>
      </c>
      <c r="D268" t="s">
        <v>818</v>
      </c>
      <c r="E268" s="21">
        <v>6.4</v>
      </c>
      <c r="F268" s="2">
        <f t="shared" si="94"/>
        <v>0.71111111111111114</v>
      </c>
      <c r="G268" s="26">
        <v>79.81344</v>
      </c>
      <c r="H268">
        <f t="shared" si="95"/>
        <v>0.81821369126922316</v>
      </c>
      <c r="I268" s="12">
        <v>134.69999999999999</v>
      </c>
      <c r="J268" s="2">
        <f t="shared" si="96"/>
        <v>0.56644238856181661</v>
      </c>
      <c r="K268" s="10">
        <v>0</v>
      </c>
      <c r="L268" s="2">
        <f t="shared" si="97"/>
        <v>0</v>
      </c>
      <c r="M268">
        <v>23823</v>
      </c>
      <c r="N268">
        <f t="shared" si="98"/>
        <v>0.11158583034070962</v>
      </c>
      <c r="O268" s="10">
        <v>0.80336330099999997</v>
      </c>
      <c r="P268">
        <f t="shared" si="99"/>
        <v>0.78926920113659871</v>
      </c>
      <c r="Q268" s="23">
        <v>0.27650000000000002</v>
      </c>
      <c r="R268" s="13">
        <f t="shared" si="100"/>
        <v>0.59874404504114342</v>
      </c>
      <c r="S268">
        <f t="shared" si="101"/>
        <v>0.23917238864786131</v>
      </c>
      <c r="T268" s="14">
        <f t="shared" si="89"/>
        <v>0.42679146003478052</v>
      </c>
      <c r="U268" t="str">
        <f t="shared" si="102"/>
        <v>Moderate</v>
      </c>
      <c r="V268">
        <f t="shared" si="103"/>
        <v>0.20634247379918025</v>
      </c>
      <c r="W268">
        <f t="shared" si="90"/>
        <v>0.33378641245243923</v>
      </c>
      <c r="X268" t="str">
        <f t="shared" si="109"/>
        <v>Moderate</v>
      </c>
      <c r="Y268">
        <f t="shared" si="91"/>
        <v>0.27200230349654242</v>
      </c>
      <c r="Z268">
        <f t="shared" si="104"/>
        <v>0.49515433384875346</v>
      </c>
      <c r="AA268" t="str">
        <f t="shared" si="105"/>
        <v>Moderate</v>
      </c>
      <c r="AB268">
        <f t="shared" si="92"/>
        <v>0.16727992029522454</v>
      </c>
      <c r="AC268">
        <f t="shared" si="106"/>
        <v>0.40886201292736157</v>
      </c>
      <c r="AD268" t="str">
        <f t="shared" si="107"/>
        <v>Moderate</v>
      </c>
      <c r="AE268">
        <f t="shared" si="93"/>
        <v>3.8455324047282108E-2</v>
      </c>
      <c r="AF268">
        <f t="shared" si="108"/>
        <v>0.23218645650338748</v>
      </c>
      <c r="AG268" t="s">
        <v>1169</v>
      </c>
    </row>
    <row r="269" spans="1:33" customFormat="1" x14ac:dyDescent="0.3">
      <c r="A269">
        <v>308694</v>
      </c>
      <c r="B269" t="s">
        <v>539</v>
      </c>
      <c r="C269" t="s">
        <v>814</v>
      </c>
      <c r="D269" t="s">
        <v>819</v>
      </c>
      <c r="E269" s="21">
        <v>6.4</v>
      </c>
      <c r="F269" s="2">
        <f t="shared" si="94"/>
        <v>0.71111111111111114</v>
      </c>
      <c r="G269" s="26">
        <v>73.945800000000006</v>
      </c>
      <c r="H269">
        <f t="shared" si="95"/>
        <v>0.75806112318746977</v>
      </c>
      <c r="I269" s="12">
        <v>146.30000000000001</v>
      </c>
      <c r="J269" s="2">
        <f t="shared" si="96"/>
        <v>0.6152228763666947</v>
      </c>
      <c r="K269" s="10">
        <v>0</v>
      </c>
      <c r="L269" s="2">
        <f t="shared" si="97"/>
        <v>0</v>
      </c>
      <c r="M269">
        <v>35519</v>
      </c>
      <c r="N269">
        <f t="shared" si="98"/>
        <v>0.16692452910533562</v>
      </c>
      <c r="O269" s="10">
        <v>0.56178179500000003</v>
      </c>
      <c r="P269">
        <f t="shared" si="99"/>
        <v>0.52321819323642427</v>
      </c>
      <c r="Q269" s="23">
        <v>0.21740000000000001</v>
      </c>
      <c r="R269" s="13">
        <f t="shared" si="100"/>
        <v>0.47076656561281943</v>
      </c>
      <c r="S269">
        <f t="shared" si="101"/>
        <v>0.16986957432708616</v>
      </c>
      <c r="T269" s="14">
        <f t="shared" si="89"/>
        <v>0.30312396866715852</v>
      </c>
      <c r="U269" t="str">
        <f t="shared" si="102"/>
        <v>Moderate</v>
      </c>
      <c r="V269">
        <f t="shared" si="103"/>
        <v>0.16090571891797525</v>
      </c>
      <c r="W269">
        <f t="shared" si="90"/>
        <v>0.26028641448285728</v>
      </c>
      <c r="X269" t="s">
        <v>1170</v>
      </c>
      <c r="Y269">
        <f t="shared" si="91"/>
        <v>0.17883342973619706</v>
      </c>
      <c r="Z269">
        <f t="shared" si="104"/>
        <v>0.32554925687252545</v>
      </c>
      <c r="AA269" t="str">
        <f t="shared" si="105"/>
        <v>Moderate</v>
      </c>
      <c r="AB269">
        <f t="shared" si="92"/>
        <v>0.12993592736476392</v>
      </c>
      <c r="AC269">
        <f t="shared" si="106"/>
        <v>0.31758662199373033</v>
      </c>
      <c r="AD269" t="str">
        <f t="shared" si="107"/>
        <v>Moderate</v>
      </c>
      <c r="AE269">
        <f t="shared" si="93"/>
        <v>5.7053990921752742E-2</v>
      </c>
      <c r="AF269">
        <f t="shared" si="108"/>
        <v>0.34448192310667769</v>
      </c>
      <c r="AG269" t="str">
        <f t="shared" ref="AG269:AG318" si="110">IF(AF269&gt;0.7,"High",IF(AF269&gt;0.3,"Moderate",IF(AF269&gt;0.15,"Low","No Impact")))</f>
        <v>Moderate</v>
      </c>
    </row>
    <row r="270" spans="1:33" customFormat="1" x14ac:dyDescent="0.3">
      <c r="A270">
        <v>309309</v>
      </c>
      <c r="B270" t="s">
        <v>53</v>
      </c>
      <c r="C270" t="s">
        <v>821</v>
      </c>
      <c r="D270" t="s">
        <v>820</v>
      </c>
      <c r="E270" s="21">
        <v>5.9</v>
      </c>
      <c r="F270" s="2">
        <f t="shared" si="94"/>
        <v>0.60000000000000009</v>
      </c>
      <c r="G270" s="26">
        <v>43.55856</v>
      </c>
      <c r="H270">
        <f t="shared" si="95"/>
        <v>0.4465439675820505</v>
      </c>
      <c r="I270" s="12">
        <v>7.8</v>
      </c>
      <c r="J270" s="2">
        <f t="shared" si="96"/>
        <v>3.2800672834314551E-2</v>
      </c>
      <c r="K270" s="10">
        <v>0</v>
      </c>
      <c r="L270" s="2">
        <f t="shared" si="97"/>
        <v>0</v>
      </c>
      <c r="M270">
        <v>14864</v>
      </c>
      <c r="N270">
        <f t="shared" si="98"/>
        <v>6.9197030560247549E-2</v>
      </c>
      <c r="O270" s="10">
        <v>0.93633418199999996</v>
      </c>
      <c r="P270">
        <f t="shared" si="99"/>
        <v>0.93570854368885581</v>
      </c>
      <c r="Q270" s="23">
        <v>0.2402</v>
      </c>
      <c r="R270" s="13">
        <f t="shared" si="100"/>
        <v>0.52013858813339109</v>
      </c>
      <c r="S270">
        <f t="shared" si="101"/>
        <v>7.3274514589975789E-2</v>
      </c>
      <c r="T270" s="14">
        <f t="shared" si="89"/>
        <v>0.13075479674720905</v>
      </c>
      <c r="U270" t="str">
        <f t="shared" si="102"/>
        <v>No Impact</v>
      </c>
      <c r="V270">
        <f t="shared" si="103"/>
        <v>5.2358385344049997E-2</v>
      </c>
      <c r="W270">
        <f t="shared" si="90"/>
        <v>8.4696656408227336E-2</v>
      </c>
      <c r="X270" t="s">
        <v>1170</v>
      </c>
      <c r="Y270">
        <f t="shared" si="91"/>
        <v>9.4190643835901602E-2</v>
      </c>
      <c r="Z270">
        <f t="shared" si="104"/>
        <v>0.17146511225756553</v>
      </c>
      <c r="AA270" t="str">
        <f t="shared" si="105"/>
        <v>Low</v>
      </c>
      <c r="AB270">
        <f t="shared" si="92"/>
        <v>4.9020566112473962E-2</v>
      </c>
      <c r="AC270">
        <f t="shared" si="106"/>
        <v>0.11981502203141044</v>
      </c>
      <c r="AD270" t="str">
        <f t="shared" si="107"/>
        <v>No Impact</v>
      </c>
      <c r="AE270">
        <f t="shared" si="93"/>
        <v>6.9655374036742389E-3</v>
      </c>
      <c r="AF270">
        <f t="shared" si="108"/>
        <v>4.2056684931646882E-2</v>
      </c>
      <c r="AG270" t="s">
        <v>1170</v>
      </c>
    </row>
    <row r="271" spans="1:33" customFormat="1" x14ac:dyDescent="0.3">
      <c r="A271">
        <v>309319</v>
      </c>
      <c r="B271" t="s">
        <v>73</v>
      </c>
      <c r="C271" t="s">
        <v>821</v>
      </c>
      <c r="D271" t="s">
        <v>822</v>
      </c>
      <c r="E271" s="21">
        <v>5.9</v>
      </c>
      <c r="F271" s="2">
        <f t="shared" si="94"/>
        <v>0.60000000000000009</v>
      </c>
      <c r="G271" s="26">
        <v>39.11544</v>
      </c>
      <c r="H271">
        <f t="shared" si="95"/>
        <v>0.40099497713693111</v>
      </c>
      <c r="I271" s="12">
        <v>2.1</v>
      </c>
      <c r="J271" s="2">
        <f t="shared" si="96"/>
        <v>8.8309503784693016E-3</v>
      </c>
      <c r="K271" s="10">
        <v>0</v>
      </c>
      <c r="L271" s="2">
        <f t="shared" si="97"/>
        <v>0</v>
      </c>
      <c r="M271">
        <v>8293</v>
      </c>
      <c r="N271">
        <f t="shared" si="98"/>
        <v>3.8106863872289488E-2</v>
      </c>
      <c r="O271" s="10">
        <v>0.51194810599999996</v>
      </c>
      <c r="P271">
        <f t="shared" si="99"/>
        <v>0.4683369094603646</v>
      </c>
      <c r="Q271" s="23">
        <v>0.2331</v>
      </c>
      <c r="R271" s="13">
        <f t="shared" si="100"/>
        <v>0.50476396708531834</v>
      </c>
      <c r="S271">
        <f t="shared" si="101"/>
        <v>4.187420677612029E-2</v>
      </c>
      <c r="T271" s="14">
        <f t="shared" si="89"/>
        <v>7.4722479249439436E-2</v>
      </c>
      <c r="U271" t="str">
        <f t="shared" si="102"/>
        <v>No Impact</v>
      </c>
      <c r="V271">
        <f t="shared" si="103"/>
        <v>4.3441725807289666E-2</v>
      </c>
      <c r="W271">
        <f t="shared" si="90"/>
        <v>7.0272772934136307E-2</v>
      </c>
      <c r="X271" t="s">
        <v>1170</v>
      </c>
      <c r="Y271">
        <f t="shared" si="91"/>
        <v>4.0306687744950907E-2</v>
      </c>
      <c r="Z271">
        <f t="shared" si="104"/>
        <v>7.3374493022462878E-2</v>
      </c>
      <c r="AA271" t="str">
        <f t="shared" si="105"/>
        <v>No Impact</v>
      </c>
      <c r="AB271">
        <f t="shared" si="92"/>
        <v>2.8444473147127218E-2</v>
      </c>
      <c r="AC271">
        <f t="shared" si="106"/>
        <v>6.9523374515409325E-2</v>
      </c>
      <c r="AD271" t="str">
        <f t="shared" si="107"/>
        <v>No Impact</v>
      </c>
      <c r="AE271">
        <f t="shared" si="93"/>
        <v>3.2796079745444698E-3</v>
      </c>
      <c r="AF271">
        <f t="shared" si="108"/>
        <v>1.9801693866718338E-2</v>
      </c>
      <c r="AG271" t="s">
        <v>1170</v>
      </c>
    </row>
    <row r="272" spans="1:33" customFormat="1" x14ac:dyDescent="0.3">
      <c r="A272">
        <v>309323</v>
      </c>
      <c r="B272" t="s">
        <v>138</v>
      </c>
      <c r="C272" t="s">
        <v>821</v>
      </c>
      <c r="D272" t="s">
        <v>823</v>
      </c>
      <c r="E272" s="21">
        <v>5.9</v>
      </c>
      <c r="F272" s="2">
        <f t="shared" si="94"/>
        <v>0.60000000000000009</v>
      </c>
      <c r="G272" s="26">
        <v>43.926120000000004</v>
      </c>
      <c r="H272">
        <f t="shared" si="95"/>
        <v>0.4503120375256956</v>
      </c>
      <c r="I272" s="12">
        <v>7.8</v>
      </c>
      <c r="J272" s="2">
        <f t="shared" si="96"/>
        <v>3.2800672834314551E-2</v>
      </c>
      <c r="K272" s="10">
        <v>0</v>
      </c>
      <c r="L272" s="2">
        <f t="shared" si="97"/>
        <v>0</v>
      </c>
      <c r="M272">
        <v>27551</v>
      </c>
      <c r="N272">
        <f t="shared" si="98"/>
        <v>0.12922456742984487</v>
      </c>
      <c r="O272" s="10">
        <v>0.94096279999999999</v>
      </c>
      <c r="P272">
        <f t="shared" si="99"/>
        <v>0.94080598887195233</v>
      </c>
      <c r="Q272" s="23">
        <v>0.26879999999999998</v>
      </c>
      <c r="R272" s="13">
        <f t="shared" si="100"/>
        <v>0.58207016024252922</v>
      </c>
      <c r="S272">
        <f t="shared" si="101"/>
        <v>7.7250686513837791E-2</v>
      </c>
      <c r="T272" s="14">
        <f t="shared" si="89"/>
        <v>0.1378500815763993</v>
      </c>
      <c r="U272" t="str">
        <f t="shared" si="102"/>
        <v>No Impact</v>
      </c>
      <c r="V272">
        <f t="shared" si="103"/>
        <v>5.9053153474235294E-2</v>
      </c>
      <c r="W272">
        <f t="shared" si="90"/>
        <v>9.5526334831828527E-2</v>
      </c>
      <c r="X272" t="s">
        <v>1170</v>
      </c>
      <c r="Y272">
        <f t="shared" si="91"/>
        <v>9.5448219553440281E-2</v>
      </c>
      <c r="Z272">
        <f t="shared" si="104"/>
        <v>0.17375440929173622</v>
      </c>
      <c r="AA272" t="str">
        <f t="shared" si="105"/>
        <v>Low</v>
      </c>
      <c r="AB272">
        <f t="shared" si="92"/>
        <v>5.3891676861700148E-2</v>
      </c>
      <c r="AC272">
        <f t="shared" si="106"/>
        <v>0.13172088701870732</v>
      </c>
      <c r="AD272" t="str">
        <f t="shared" si="107"/>
        <v>No Impact</v>
      </c>
      <c r="AE272">
        <f t="shared" si="93"/>
        <v>1.3110306513387772E-2</v>
      </c>
      <c r="AF272">
        <f t="shared" si="108"/>
        <v>7.9157715828217803E-2</v>
      </c>
      <c r="AG272" t="s">
        <v>1170</v>
      </c>
    </row>
    <row r="273" spans="1:33" customFormat="1" x14ac:dyDescent="0.3">
      <c r="A273">
        <v>309325</v>
      </c>
      <c r="B273" t="s">
        <v>144</v>
      </c>
      <c r="C273" t="s">
        <v>821</v>
      </c>
      <c r="D273" t="s">
        <v>824</v>
      </c>
      <c r="E273" s="21">
        <v>5</v>
      </c>
      <c r="F273" s="2">
        <f t="shared" si="94"/>
        <v>0.39999999999999997</v>
      </c>
      <c r="G273" s="26">
        <v>39.591360000000002</v>
      </c>
      <c r="H273">
        <f t="shared" si="95"/>
        <v>0.40587390805318846</v>
      </c>
      <c r="I273" s="12">
        <v>1.1000000000000001</v>
      </c>
      <c r="J273" s="2">
        <f t="shared" si="96"/>
        <v>4.6257359125315397E-3</v>
      </c>
      <c r="K273" s="10">
        <v>0</v>
      </c>
      <c r="L273" s="2">
        <f t="shared" si="97"/>
        <v>0</v>
      </c>
      <c r="M273">
        <v>20219</v>
      </c>
      <c r="N273">
        <f t="shared" si="98"/>
        <v>9.453378944230742E-2</v>
      </c>
      <c r="O273" s="10">
        <v>0.96652717300000002</v>
      </c>
      <c r="P273">
        <f t="shared" si="99"/>
        <v>0.96895974664754136</v>
      </c>
      <c r="Q273" s="23">
        <v>0.3105</v>
      </c>
      <c r="R273" s="13">
        <f t="shared" si="100"/>
        <v>0.67236899090515378</v>
      </c>
      <c r="S273">
        <f t="shared" si="101"/>
        <v>4.716354036772602E-2</v>
      </c>
      <c r="T273" s="14">
        <f t="shared" si="89"/>
        <v>8.4161037014968548E-2</v>
      </c>
      <c r="U273" t="str">
        <f t="shared" si="102"/>
        <v>No Impact</v>
      </c>
      <c r="V273">
        <f t="shared" si="103"/>
        <v>3.8641012393221846E-2</v>
      </c>
      <c r="W273">
        <f t="shared" si="90"/>
        <v>6.2506980084073238E-2</v>
      </c>
      <c r="X273" t="s">
        <v>1170</v>
      </c>
      <c r="Y273">
        <f t="shared" si="91"/>
        <v>5.5686068342230187E-2</v>
      </c>
      <c r="Z273">
        <f t="shared" si="104"/>
        <v>0.10137119325904402</v>
      </c>
      <c r="AA273" t="str">
        <f t="shared" si="105"/>
        <v>No Impact</v>
      </c>
      <c r="AB273">
        <f t="shared" si="92"/>
        <v>3.2131673098827779E-2</v>
      </c>
      <c r="AC273">
        <f t="shared" si="106"/>
        <v>7.8535549985467815E-2</v>
      </c>
      <c r="AD273" t="str">
        <f t="shared" si="107"/>
        <v>No Impact</v>
      </c>
      <c r="AE273">
        <f t="shared" si="93"/>
        <v>5.432852167231654E-3</v>
      </c>
      <c r="AF273">
        <f t="shared" si="108"/>
        <v>3.2802602101734753E-2</v>
      </c>
      <c r="AG273" t="s">
        <v>1170</v>
      </c>
    </row>
    <row r="274" spans="1:33" customFormat="1" x14ac:dyDescent="0.3">
      <c r="A274">
        <v>309328</v>
      </c>
      <c r="B274" t="s">
        <v>183</v>
      </c>
      <c r="C274" t="s">
        <v>821</v>
      </c>
      <c r="D274" t="s">
        <v>825</v>
      </c>
      <c r="E274" s="21">
        <v>5.9</v>
      </c>
      <c r="F274" s="2">
        <f t="shared" si="94"/>
        <v>0.60000000000000009</v>
      </c>
      <c r="G274" s="26">
        <v>43.415640000000003</v>
      </c>
      <c r="H274">
        <f t="shared" si="95"/>
        <v>0.44507881207996725</v>
      </c>
      <c r="I274" s="12">
        <v>4.8</v>
      </c>
      <c r="J274" s="2">
        <f t="shared" si="96"/>
        <v>2.0185029436501259E-2</v>
      </c>
      <c r="K274" s="10">
        <v>0</v>
      </c>
      <c r="L274" s="2">
        <f t="shared" si="97"/>
        <v>0</v>
      </c>
      <c r="M274">
        <v>34950</v>
      </c>
      <c r="N274">
        <f t="shared" si="98"/>
        <v>0.16423235061721386</v>
      </c>
      <c r="O274" s="10">
        <v>0.96571768599999996</v>
      </c>
      <c r="P274">
        <f t="shared" si="99"/>
        <v>0.96806826767715992</v>
      </c>
      <c r="Q274" s="23">
        <v>0.308</v>
      </c>
      <c r="R274" s="13">
        <f t="shared" si="100"/>
        <v>0.66695539194456477</v>
      </c>
      <c r="S274">
        <f t="shared" si="101"/>
        <v>7.9875325828821439E-2</v>
      </c>
      <c r="T274" s="14">
        <f t="shared" si="89"/>
        <v>0.14253362239663928</v>
      </c>
      <c r="U274" t="str">
        <f t="shared" si="102"/>
        <v>No Impact</v>
      </c>
      <c r="V274">
        <f t="shared" si="103"/>
        <v>6.5165147833012527E-2</v>
      </c>
      <c r="W274">
        <f t="shared" si="90"/>
        <v>0.10541329912174635</v>
      </c>
      <c r="X274" t="s">
        <v>1170</v>
      </c>
      <c r="Y274">
        <f t="shared" si="91"/>
        <v>9.4585503824630365E-2</v>
      </c>
      <c r="Z274">
        <f t="shared" si="104"/>
        <v>0.17218391732711524</v>
      </c>
      <c r="AA274" t="str">
        <f t="shared" si="105"/>
        <v>Low</v>
      </c>
      <c r="AB274">
        <f t="shared" si="92"/>
        <v>5.679968890362766E-2</v>
      </c>
      <c r="AC274">
        <f t="shared" si="106"/>
        <v>0.13882858802060355</v>
      </c>
      <c r="AD274" t="str">
        <f t="shared" si="107"/>
        <v>No Impact</v>
      </c>
      <c r="AE274">
        <f t="shared" si="93"/>
        <v>1.6046388613383342E-2</v>
      </c>
      <c r="AF274">
        <f t="shared" si="108"/>
        <v>9.6885261121108859E-2</v>
      </c>
      <c r="AG274" t="s">
        <v>1170</v>
      </c>
    </row>
    <row r="275" spans="1:33" customFormat="1" x14ac:dyDescent="0.3">
      <c r="A275">
        <v>309338</v>
      </c>
      <c r="B275" t="s">
        <v>192</v>
      </c>
      <c r="C275" t="s">
        <v>821</v>
      </c>
      <c r="D275" t="s">
        <v>826</v>
      </c>
      <c r="E275" s="21">
        <v>5.9</v>
      </c>
      <c r="F275" s="2">
        <f t="shared" si="94"/>
        <v>0.60000000000000009</v>
      </c>
      <c r="G275" s="26">
        <v>39.11544</v>
      </c>
      <c r="H275">
        <f t="shared" si="95"/>
        <v>0.40099497713693111</v>
      </c>
      <c r="I275" s="12">
        <v>2.1</v>
      </c>
      <c r="J275" s="2">
        <f t="shared" si="96"/>
        <v>8.8309503784693016E-3</v>
      </c>
      <c r="K275" s="10">
        <v>0</v>
      </c>
      <c r="L275" s="2">
        <f t="shared" si="97"/>
        <v>0</v>
      </c>
      <c r="M275">
        <v>19705</v>
      </c>
      <c r="N275">
        <f t="shared" si="98"/>
        <v>9.2101839103301109E-2</v>
      </c>
      <c r="O275" s="10">
        <v>0.86807827699999995</v>
      </c>
      <c r="P275">
        <f t="shared" si="99"/>
        <v>0.86053907968034615</v>
      </c>
      <c r="Q275" s="23">
        <v>0.29730000000000001</v>
      </c>
      <c r="R275" s="13">
        <f t="shared" si="100"/>
        <v>0.64378518839324383</v>
      </c>
      <c r="S275">
        <f t="shared" si="101"/>
        <v>6.4733664286954415E-2</v>
      </c>
      <c r="T275" s="14">
        <f t="shared" si="89"/>
        <v>0.11551406602836407</v>
      </c>
      <c r="U275" t="str">
        <f t="shared" si="102"/>
        <v>No Impact</v>
      </c>
      <c r="V275">
        <f t="shared" si="103"/>
        <v>5.5406371010326971E-2</v>
      </c>
      <c r="W275">
        <f t="shared" si="90"/>
        <v>8.9627178864516183E-2</v>
      </c>
      <c r="X275" t="s">
        <v>1170</v>
      </c>
      <c r="Y275">
        <f t="shared" si="91"/>
        <v>7.4060957563581845E-2</v>
      </c>
      <c r="Z275">
        <f t="shared" si="104"/>
        <v>0.13482093215825403</v>
      </c>
      <c r="AA275" t="str">
        <f t="shared" si="105"/>
        <v>No Impact</v>
      </c>
      <c r="AB275">
        <f t="shared" si="92"/>
        <v>4.4384827662963262E-2</v>
      </c>
      <c r="AC275">
        <f t="shared" si="106"/>
        <v>0.10848444899833722</v>
      </c>
      <c r="AD275" t="str">
        <f t="shared" si="107"/>
        <v>No Impact</v>
      </c>
      <c r="AE275">
        <f t="shared" si="93"/>
        <v>7.9266015436407558E-3</v>
      </c>
      <c r="AF275">
        <f t="shared" si="108"/>
        <v>4.7859420512731454E-2</v>
      </c>
      <c r="AG275" t="s">
        <v>1170</v>
      </c>
    </row>
    <row r="276" spans="1:33" customFormat="1" x14ac:dyDescent="0.3">
      <c r="A276">
        <v>309347</v>
      </c>
      <c r="B276" t="s">
        <v>248</v>
      </c>
      <c r="C276" t="s">
        <v>821</v>
      </c>
      <c r="D276" t="s">
        <v>827</v>
      </c>
      <c r="E276" s="21">
        <v>5.9</v>
      </c>
      <c r="F276" s="2">
        <f t="shared" si="94"/>
        <v>0.60000000000000009</v>
      </c>
      <c r="G276" s="26">
        <v>42.286679999999997</v>
      </c>
      <c r="H276">
        <f t="shared" si="95"/>
        <v>0.43350519078391347</v>
      </c>
      <c r="I276" s="12">
        <v>5.8999999999999995</v>
      </c>
      <c r="J276" s="2">
        <f t="shared" si="96"/>
        <v>2.4810765349032798E-2</v>
      </c>
      <c r="K276" s="10">
        <v>0</v>
      </c>
      <c r="L276" s="2">
        <f t="shared" si="97"/>
        <v>0</v>
      </c>
      <c r="M276">
        <v>36750</v>
      </c>
      <c r="N276">
        <f t="shared" si="98"/>
        <v>0.17274890822462893</v>
      </c>
      <c r="O276" s="10">
        <v>0.91085044999999998</v>
      </c>
      <c r="P276">
        <f t="shared" si="99"/>
        <v>0.90764359494373992</v>
      </c>
      <c r="Q276" s="23">
        <v>0.27150000000000002</v>
      </c>
      <c r="R276" s="13">
        <f t="shared" si="100"/>
        <v>0.58791684711996539</v>
      </c>
      <c r="S276">
        <f t="shared" si="101"/>
        <v>7.1971117465699092E-2</v>
      </c>
      <c r="T276" s="14">
        <f t="shared" si="89"/>
        <v>0.12842894816234499</v>
      </c>
      <c r="U276" t="str">
        <f t="shared" si="102"/>
        <v>No Impact</v>
      </c>
      <c r="V276">
        <f t="shared" si="103"/>
        <v>5.6584851102035372E-2</v>
      </c>
      <c r="W276">
        <f t="shared" si="90"/>
        <v>9.1533527250844057E-2</v>
      </c>
      <c r="X276" t="s">
        <v>1170</v>
      </c>
      <c r="Y276">
        <f t="shared" si="91"/>
        <v>8.7357383829362797E-2</v>
      </c>
      <c r="Z276">
        <f t="shared" si="104"/>
        <v>0.15902581206393293</v>
      </c>
      <c r="AA276" t="str">
        <f t="shared" si="105"/>
        <v>Low</v>
      </c>
      <c r="AB276">
        <f t="shared" si="92"/>
        <v>5.1831171241247385E-2</v>
      </c>
      <c r="AC276">
        <f t="shared" si="106"/>
        <v>0.12668464313396829</v>
      </c>
      <c r="AD276" t="str">
        <f t="shared" si="107"/>
        <v>No Impact</v>
      </c>
      <c r="AE276">
        <f t="shared" si="93"/>
        <v>1.6626452019217614E-2</v>
      </c>
      <c r="AF276">
        <f t="shared" si="108"/>
        <v>0.10038758154317444</v>
      </c>
      <c r="AG276" t="s">
        <v>1170</v>
      </c>
    </row>
    <row r="277" spans="1:33" customFormat="1" x14ac:dyDescent="0.3">
      <c r="A277">
        <v>309357</v>
      </c>
      <c r="B277" t="s">
        <v>314</v>
      </c>
      <c r="C277" t="s">
        <v>821</v>
      </c>
      <c r="D277" t="s">
        <v>828</v>
      </c>
      <c r="E277" s="21">
        <v>5.3</v>
      </c>
      <c r="F277" s="2">
        <f t="shared" si="94"/>
        <v>0.46666666666666656</v>
      </c>
      <c r="G277" s="26">
        <v>39.811320000000002</v>
      </c>
      <c r="H277">
        <f t="shared" si="95"/>
        <v>0.40812884511055098</v>
      </c>
      <c r="I277" s="12">
        <v>3.1</v>
      </c>
      <c r="J277" s="2">
        <f t="shared" si="96"/>
        <v>1.3036164844407064E-2</v>
      </c>
      <c r="K277" s="10">
        <v>0</v>
      </c>
      <c r="L277" s="2">
        <f t="shared" si="97"/>
        <v>0</v>
      </c>
      <c r="M277">
        <v>40172</v>
      </c>
      <c r="N277">
        <f t="shared" si="98"/>
        <v>0.18893983052050362</v>
      </c>
      <c r="O277" s="10">
        <v>0.97708229199999996</v>
      </c>
      <c r="P277">
        <f t="shared" si="99"/>
        <v>0.98058398103101396</v>
      </c>
      <c r="Q277" s="23">
        <v>0.34720000000000001</v>
      </c>
      <c r="R277" s="13">
        <f t="shared" si="100"/>
        <v>0.75184062364660031</v>
      </c>
      <c r="S277">
        <f t="shared" si="101"/>
        <v>5.9586991113146352E-2</v>
      </c>
      <c r="T277" s="14">
        <f t="shared" si="89"/>
        <v>0.10633007881901518</v>
      </c>
      <c r="U277" t="str">
        <f t="shared" si="102"/>
        <v>No Impact</v>
      </c>
      <c r="V277">
        <f t="shared" si="103"/>
        <v>5.1719330744634834E-2</v>
      </c>
      <c r="W277">
        <f t="shared" si="90"/>
        <v>8.3662900545110108E-2</v>
      </c>
      <c r="X277" t="s">
        <v>1170</v>
      </c>
      <c r="Y277">
        <f t="shared" si="91"/>
        <v>6.7454651481657885E-2</v>
      </c>
      <c r="Z277">
        <f t="shared" si="104"/>
        <v>0.12279478000753297</v>
      </c>
      <c r="AA277" t="str">
        <f t="shared" si="105"/>
        <v>No Impact</v>
      </c>
      <c r="AB277">
        <f t="shared" si="92"/>
        <v>4.2887189878703755E-2</v>
      </c>
      <c r="AC277">
        <f t="shared" si="106"/>
        <v>0.10482395467225343</v>
      </c>
      <c r="AD277" t="str">
        <f t="shared" si="107"/>
        <v>No Impact</v>
      </c>
      <c r="AE277">
        <f t="shared" si="93"/>
        <v>1.2997224781669143E-2</v>
      </c>
      <c r="AF277">
        <f t="shared" si="108"/>
        <v>7.8474948299052466E-2</v>
      </c>
      <c r="AG277" t="s">
        <v>1170</v>
      </c>
    </row>
    <row r="278" spans="1:33" customFormat="1" x14ac:dyDescent="0.3">
      <c r="A278">
        <v>309366</v>
      </c>
      <c r="B278" t="s">
        <v>341</v>
      </c>
      <c r="C278" t="s">
        <v>821</v>
      </c>
      <c r="D278" t="s">
        <v>829</v>
      </c>
      <c r="E278" s="21">
        <v>5.9</v>
      </c>
      <c r="F278" s="2">
        <f t="shared" si="94"/>
        <v>0.60000000000000009</v>
      </c>
      <c r="G278" s="26">
        <v>44.428320000000006</v>
      </c>
      <c r="H278">
        <f t="shared" si="95"/>
        <v>0.4554603799070715</v>
      </c>
      <c r="I278" s="12">
        <v>22</v>
      </c>
      <c r="J278" s="2">
        <f t="shared" si="96"/>
        <v>9.2514718250630776E-2</v>
      </c>
      <c r="K278" s="10">
        <v>0</v>
      </c>
      <c r="L278" s="2">
        <f t="shared" si="97"/>
        <v>0</v>
      </c>
      <c r="M278">
        <v>80305</v>
      </c>
      <c r="N278">
        <f t="shared" si="98"/>
        <v>0.37882594521960888</v>
      </c>
      <c r="O278" s="10">
        <v>0.95865527299999997</v>
      </c>
      <c r="P278">
        <f t="shared" si="99"/>
        <v>0.96029051130843646</v>
      </c>
      <c r="Q278" s="23">
        <v>0.27160000000000001</v>
      </c>
      <c r="R278" s="13">
        <f t="shared" si="100"/>
        <v>0.58813339107838891</v>
      </c>
      <c r="S278">
        <f t="shared" si="101"/>
        <v>8.9092262689516075E-2</v>
      </c>
      <c r="T278" s="14">
        <f t="shared" si="89"/>
        <v>0.15898079659623277</v>
      </c>
      <c r="U278" t="str">
        <f t="shared" si="102"/>
        <v>Low</v>
      </c>
      <c r="V278">
        <f t="shared" si="103"/>
        <v>6.7679315068260526E-2</v>
      </c>
      <c r="W278">
        <f t="shared" si="90"/>
        <v>0.10948029922263508</v>
      </c>
      <c r="X278" t="s">
        <v>1170</v>
      </c>
      <c r="Y278">
        <f t="shared" si="91"/>
        <v>0.11050521031077164</v>
      </c>
      <c r="Z278">
        <f t="shared" si="104"/>
        <v>0.2011642294747775</v>
      </c>
      <c r="AA278" t="str">
        <f t="shared" si="105"/>
        <v>Low</v>
      </c>
      <c r="AB278">
        <f t="shared" si="92"/>
        <v>7.2096981429078041E-2</v>
      </c>
      <c r="AC278">
        <f t="shared" si="106"/>
        <v>0.17621790410382551</v>
      </c>
      <c r="AD278" t="str">
        <f t="shared" si="107"/>
        <v>Low</v>
      </c>
      <c r="AE278">
        <f t="shared" si="93"/>
        <v>4.3593308748443901E-2</v>
      </c>
      <c r="AF278">
        <f t="shared" si="108"/>
        <v>0.26320870091002874</v>
      </c>
      <c r="AG278" t="s">
        <v>1169</v>
      </c>
    </row>
    <row r="279" spans="1:33" customFormat="1" x14ac:dyDescent="0.3">
      <c r="A279">
        <v>309376</v>
      </c>
      <c r="B279" t="s">
        <v>363</v>
      </c>
      <c r="C279" t="s">
        <v>821</v>
      </c>
      <c r="D279" t="s">
        <v>830</v>
      </c>
      <c r="E279" s="21">
        <v>5.2</v>
      </c>
      <c r="F279" s="2">
        <f t="shared" si="94"/>
        <v>0.44444444444444442</v>
      </c>
      <c r="G279" s="26">
        <v>45.024120000000003</v>
      </c>
      <c r="H279">
        <f t="shared" si="95"/>
        <v>0.46156826997243144</v>
      </c>
      <c r="I279" s="12">
        <v>12.4</v>
      </c>
      <c r="J279" s="2">
        <f t="shared" si="96"/>
        <v>5.2144659377628258E-2</v>
      </c>
      <c r="K279" s="10">
        <v>0</v>
      </c>
      <c r="L279" s="2">
        <f t="shared" si="97"/>
        <v>0</v>
      </c>
      <c r="M279">
        <v>29372</v>
      </c>
      <c r="N279">
        <f t="shared" si="98"/>
        <v>0.13784048487601311</v>
      </c>
      <c r="O279" s="10">
        <v>0.848726337</v>
      </c>
      <c r="P279">
        <f t="shared" si="99"/>
        <v>0.83922700481554391</v>
      </c>
      <c r="Q279" s="23">
        <v>0.2712</v>
      </c>
      <c r="R279" s="13">
        <f t="shared" si="100"/>
        <v>0.58726721524469472</v>
      </c>
      <c r="S279">
        <f t="shared" si="101"/>
        <v>5.6996218571294631E-2</v>
      </c>
      <c r="T279" s="14">
        <f t="shared" si="89"/>
        <v>0.10170697160331191</v>
      </c>
      <c r="U279" t="str">
        <f t="shared" si="102"/>
        <v>No Impact</v>
      </c>
      <c r="V279">
        <f t="shared" si="103"/>
        <v>4.6929051781827318E-2</v>
      </c>
      <c r="W279">
        <f t="shared" si="90"/>
        <v>7.5913986808629236E-2</v>
      </c>
      <c r="X279" t="s">
        <v>1170</v>
      </c>
      <c r="Y279">
        <f t="shared" si="91"/>
        <v>6.7063385360761965E-2</v>
      </c>
      <c r="Z279">
        <f t="shared" si="104"/>
        <v>0.12208251723269853</v>
      </c>
      <c r="AA279" t="str">
        <f t="shared" si="105"/>
        <v>No Impact</v>
      </c>
      <c r="AB279">
        <f t="shared" si="92"/>
        <v>4.0399418758719004E-2</v>
      </c>
      <c r="AC279">
        <f t="shared" si="106"/>
        <v>9.8743397567584851E-2</v>
      </c>
      <c r="AD279" t="str">
        <f t="shared" si="107"/>
        <v>No Impact</v>
      </c>
      <c r="AE279">
        <f t="shared" si="93"/>
        <v>1.1014957219573891E-2</v>
      </c>
      <c r="AF279">
        <f t="shared" si="108"/>
        <v>6.6506366770039599E-2</v>
      </c>
      <c r="AG279" t="s">
        <v>1170</v>
      </c>
    </row>
    <row r="280" spans="1:33" customFormat="1" x14ac:dyDescent="0.3">
      <c r="A280">
        <v>309385</v>
      </c>
      <c r="B280" t="s">
        <v>457</v>
      </c>
      <c r="C280" t="s">
        <v>821</v>
      </c>
      <c r="D280" t="s">
        <v>1145</v>
      </c>
      <c r="E280" s="21">
        <v>5.9</v>
      </c>
      <c r="F280" s="2">
        <f t="shared" si="94"/>
        <v>0.60000000000000009</v>
      </c>
      <c r="G280" s="26">
        <v>44.377560000000003</v>
      </c>
      <c r="H280">
        <f t="shared" si="95"/>
        <v>0.45494000981691091</v>
      </c>
      <c r="I280" s="12">
        <v>26.200000000000003</v>
      </c>
      <c r="J280" s="2">
        <f t="shared" si="96"/>
        <v>0.11017661900756939</v>
      </c>
      <c r="K280" s="10">
        <v>0</v>
      </c>
      <c r="L280" s="2">
        <f t="shared" si="97"/>
        <v>0</v>
      </c>
      <c r="M280">
        <v>55940</v>
      </c>
      <c r="N280">
        <f t="shared" si="98"/>
        <v>0.26354487516145975</v>
      </c>
      <c r="O280" s="10">
        <v>0.98273148399999999</v>
      </c>
      <c r="P280">
        <f t="shared" si="99"/>
        <v>0.98680537293433956</v>
      </c>
      <c r="Q280" s="23">
        <v>0.32679999999999998</v>
      </c>
      <c r="R280" s="13">
        <f t="shared" si="100"/>
        <v>0.70766565612819399</v>
      </c>
      <c r="S280">
        <f t="shared" si="101"/>
        <v>0.10054524433637954</v>
      </c>
      <c r="T280" s="14">
        <f t="shared" si="89"/>
        <v>0.17941808363613923</v>
      </c>
      <c r="U280" t="str">
        <f t="shared" si="102"/>
        <v>Low</v>
      </c>
      <c r="V280">
        <f t="shared" si="103"/>
        <v>8.398186228446608E-2</v>
      </c>
      <c r="W280">
        <f t="shared" si="90"/>
        <v>0.13585183896888084</v>
      </c>
      <c r="X280" t="s">
        <v>1170</v>
      </c>
      <c r="Y280">
        <f t="shared" si="91"/>
        <v>0.117108626388293</v>
      </c>
      <c r="Z280">
        <f t="shared" si="104"/>
        <v>0.21318512064724068</v>
      </c>
      <c r="AA280" t="str">
        <f t="shared" si="105"/>
        <v>Low</v>
      </c>
      <c r="AB280">
        <f t="shared" si="92"/>
        <v>7.5472858683599153E-2</v>
      </c>
      <c r="AC280">
        <f t="shared" si="106"/>
        <v>0.18446915127828151</v>
      </c>
      <c r="AD280" t="str">
        <f t="shared" si="107"/>
        <v>Low</v>
      </c>
      <c r="AE280">
        <f t="shared" si="93"/>
        <v>3.1276054192994659E-2</v>
      </c>
      <c r="AF280">
        <f t="shared" si="108"/>
        <v>0.18883929277388548</v>
      </c>
      <c r="AG280" t="s">
        <v>1169</v>
      </c>
    </row>
    <row r="281" spans="1:33" customFormat="1" x14ac:dyDescent="0.3">
      <c r="A281">
        <v>309395</v>
      </c>
      <c r="B281" t="s">
        <v>514</v>
      </c>
      <c r="C281" t="s">
        <v>821</v>
      </c>
      <c r="D281" t="s">
        <v>831</v>
      </c>
      <c r="E281" s="21">
        <v>5.9</v>
      </c>
      <c r="F281" s="2">
        <f t="shared" si="94"/>
        <v>0.60000000000000009</v>
      </c>
      <c r="G281" s="26">
        <v>43.389360000000003</v>
      </c>
      <c r="H281">
        <f t="shared" si="95"/>
        <v>0.44480940061484864</v>
      </c>
      <c r="I281" s="12">
        <v>4.5999999999999996</v>
      </c>
      <c r="J281" s="2">
        <f t="shared" si="96"/>
        <v>1.9343986543313707E-2</v>
      </c>
      <c r="K281" s="10">
        <v>0</v>
      </c>
      <c r="L281" s="2">
        <f t="shared" si="97"/>
        <v>0</v>
      </c>
      <c r="M281">
        <v>51021</v>
      </c>
      <c r="N281">
        <f t="shared" si="98"/>
        <v>0.24027101578875151</v>
      </c>
      <c r="O281" s="10">
        <v>0.68991873199999998</v>
      </c>
      <c r="P281">
        <f t="shared" si="99"/>
        <v>0.66433396738053918</v>
      </c>
      <c r="Q281" s="23">
        <v>0.26569999999999999</v>
      </c>
      <c r="R281" s="13">
        <f t="shared" si="100"/>
        <v>0.57535729753139886</v>
      </c>
      <c r="S281">
        <f t="shared" si="101"/>
        <v>6.0417724462122596E-2</v>
      </c>
      <c r="T281" s="14">
        <f t="shared" si="89"/>
        <v>0.10781248195473486</v>
      </c>
      <c r="U281" t="str">
        <f t="shared" si="102"/>
        <v>No Impact</v>
      </c>
      <c r="V281">
        <f t="shared" si="103"/>
        <v>5.6081348079826725E-2</v>
      </c>
      <c r="W281">
        <f t="shared" si="90"/>
        <v>9.0719044103736157E-2</v>
      </c>
      <c r="X281" t="s">
        <v>1170</v>
      </c>
      <c r="Y281">
        <f t="shared" si="91"/>
        <v>6.4754100844418461E-2</v>
      </c>
      <c r="Z281">
        <f t="shared" si="104"/>
        <v>0.11787868431783557</v>
      </c>
      <c r="AA281" t="str">
        <f t="shared" si="105"/>
        <v>No Impact</v>
      </c>
      <c r="AB281">
        <f t="shared" si="92"/>
        <v>4.7251613608614566E-2</v>
      </c>
      <c r="AC281">
        <f t="shared" si="106"/>
        <v>0.11549138605511151</v>
      </c>
      <c r="AD281" t="str">
        <f t="shared" si="107"/>
        <v>No Impact</v>
      </c>
      <c r="AE281">
        <f t="shared" si="93"/>
        <v>2.3419747220999078E-2</v>
      </c>
      <c r="AF281">
        <f t="shared" si="108"/>
        <v>0.14140429847276645</v>
      </c>
      <c r="AG281" t="s">
        <v>1170</v>
      </c>
    </row>
    <row r="282" spans="1:33" customFormat="1" x14ac:dyDescent="0.3">
      <c r="A282">
        <v>400108</v>
      </c>
      <c r="B282" t="s">
        <v>25</v>
      </c>
      <c r="C282" t="s">
        <v>833</v>
      </c>
      <c r="D282" t="s">
        <v>832</v>
      </c>
      <c r="E282" s="21">
        <v>6.9</v>
      </c>
      <c r="F282" s="2">
        <f t="shared" si="94"/>
        <v>0.8222222222222223</v>
      </c>
      <c r="G282" s="26">
        <v>68.525999999999996</v>
      </c>
      <c r="H282">
        <f t="shared" si="95"/>
        <v>0.70249962171677838</v>
      </c>
      <c r="I282" s="12">
        <v>125.1</v>
      </c>
      <c r="J282" s="2">
        <f t="shared" si="96"/>
        <v>0.52607232968881412</v>
      </c>
      <c r="K282" s="10">
        <v>0</v>
      </c>
      <c r="L282" s="2">
        <f t="shared" si="97"/>
        <v>0</v>
      </c>
      <c r="M282">
        <v>24641</v>
      </c>
      <c r="N282">
        <f t="shared" si="98"/>
        <v>0.11545613263119048</v>
      </c>
      <c r="O282" s="10">
        <v>0.64003497200000004</v>
      </c>
      <c r="P282">
        <f t="shared" si="99"/>
        <v>0.60939754097275622</v>
      </c>
      <c r="Q282" s="23">
        <v>0.22090000000000001</v>
      </c>
      <c r="R282" s="13">
        <f t="shared" si="100"/>
        <v>0.47834560415764404</v>
      </c>
      <c r="S282">
        <f t="shared" si="101"/>
        <v>0.19228889782010905</v>
      </c>
      <c r="T282" s="14">
        <f t="shared" si="89"/>
        <v>0.3431301577622845</v>
      </c>
      <c r="U282" t="str">
        <f t="shared" si="102"/>
        <v>Moderate</v>
      </c>
      <c r="V282">
        <f t="shared" si="103"/>
        <v>0.16912181779741903</v>
      </c>
      <c r="W282">
        <f t="shared" si="90"/>
        <v>0.2735770478596436</v>
      </c>
      <c r="X282" t="s">
        <v>1170</v>
      </c>
      <c r="Y282">
        <f t="shared" si="91"/>
        <v>0.21545597784279905</v>
      </c>
      <c r="Z282">
        <f t="shared" si="104"/>
        <v>0.3922171239400517</v>
      </c>
      <c r="AA282" t="str">
        <f t="shared" si="105"/>
        <v>Moderate</v>
      </c>
      <c r="AB282">
        <f t="shared" si="92"/>
        <v>0.13811649065212472</v>
      </c>
      <c r="AC282">
        <f t="shared" si="106"/>
        <v>0.33758138028060108</v>
      </c>
      <c r="AD282" t="str">
        <f t="shared" si="107"/>
        <v>Moderate</v>
      </c>
      <c r="AE282">
        <f t="shared" si="93"/>
        <v>4.0820174486252386E-2</v>
      </c>
      <c r="AF282">
        <f t="shared" si="108"/>
        <v>0.24646500588993978</v>
      </c>
      <c r="AG282" t="s">
        <v>1169</v>
      </c>
    </row>
    <row r="283" spans="1:33" customFormat="1" x14ac:dyDescent="0.3">
      <c r="A283">
        <v>400114</v>
      </c>
      <c r="B283" t="s">
        <v>112</v>
      </c>
      <c r="C283" t="s">
        <v>833</v>
      </c>
      <c r="D283" t="s">
        <v>834</v>
      </c>
      <c r="E283" s="21">
        <v>6.8</v>
      </c>
      <c r="F283" s="2">
        <f t="shared" si="94"/>
        <v>0.79999999999999993</v>
      </c>
      <c r="G283" s="26">
        <v>82.370519999999999</v>
      </c>
      <c r="H283">
        <f t="shared" si="95"/>
        <v>0.84442779588206418</v>
      </c>
      <c r="I283" s="12">
        <v>143</v>
      </c>
      <c r="J283" s="2">
        <f t="shared" si="96"/>
        <v>0.60134566862910011</v>
      </c>
      <c r="K283" s="10">
        <v>0</v>
      </c>
      <c r="L283" s="2">
        <f t="shared" si="97"/>
        <v>0</v>
      </c>
      <c r="M283">
        <v>9991</v>
      </c>
      <c r="N283">
        <f t="shared" si="98"/>
        <v>4.6140816548617715E-2</v>
      </c>
      <c r="O283" s="10">
        <v>0.54261750600000003</v>
      </c>
      <c r="P283">
        <f t="shared" si="99"/>
        <v>0.50211277631705031</v>
      </c>
      <c r="Q283" s="23">
        <v>0.19700000000000001</v>
      </c>
      <c r="R283" s="13">
        <f t="shared" si="100"/>
        <v>0.42659159809441322</v>
      </c>
      <c r="S283">
        <f t="shared" si="101"/>
        <v>0.18797745972593491</v>
      </c>
      <c r="T283" s="14">
        <f t="shared" si="89"/>
        <v>0.33543660680740672</v>
      </c>
      <c r="U283" t="str">
        <f t="shared" si="102"/>
        <v>Moderate</v>
      </c>
      <c r="V283">
        <f t="shared" si="103"/>
        <v>0.17269134755832788</v>
      </c>
      <c r="W283">
        <f t="shared" si="90"/>
        <v>0.2793512372986805</v>
      </c>
      <c r="X283" t="s">
        <v>1170</v>
      </c>
      <c r="Y283">
        <f t="shared" si="91"/>
        <v>0.20326357189354188</v>
      </c>
      <c r="Z283">
        <f t="shared" si="104"/>
        <v>0.37002200805973806</v>
      </c>
      <c r="AA283" t="str">
        <f t="shared" si="105"/>
        <v>Moderate</v>
      </c>
      <c r="AB283">
        <f t="shared" si="92"/>
        <v>0.12795854169677046</v>
      </c>
      <c r="AC283">
        <f t="shared" si="106"/>
        <v>0.3127535381237555</v>
      </c>
      <c r="AD283" t="str">
        <f t="shared" si="107"/>
        <v>Moderate</v>
      </c>
      <c r="AE283">
        <f t="shared" si="93"/>
        <v>1.8678567095123347E-2</v>
      </c>
      <c r="AF283">
        <f t="shared" si="108"/>
        <v>0.11277789002753132</v>
      </c>
      <c r="AG283" t="s">
        <v>1170</v>
      </c>
    </row>
    <row r="284" spans="1:33" customFormat="1" x14ac:dyDescent="0.3">
      <c r="A284">
        <v>400134</v>
      </c>
      <c r="B284" t="s">
        <v>162</v>
      </c>
      <c r="C284" t="s">
        <v>833</v>
      </c>
      <c r="D284" t="s">
        <v>835</v>
      </c>
      <c r="E284" s="21">
        <v>6.9</v>
      </c>
      <c r="F284" s="2">
        <f t="shared" si="94"/>
        <v>0.8222222222222223</v>
      </c>
      <c r="G284" s="26">
        <v>68.238720000000001</v>
      </c>
      <c r="H284">
        <f t="shared" si="95"/>
        <v>0.69955454844055043</v>
      </c>
      <c r="I284" s="12">
        <v>125.1</v>
      </c>
      <c r="J284" s="2">
        <f t="shared" si="96"/>
        <v>0.52607232968881412</v>
      </c>
      <c r="K284" s="10">
        <v>0</v>
      </c>
      <c r="L284" s="2">
        <f t="shared" si="97"/>
        <v>0</v>
      </c>
      <c r="M284">
        <v>15140</v>
      </c>
      <c r="N284">
        <f t="shared" si="98"/>
        <v>7.0502902726717859E-2</v>
      </c>
      <c r="O284" s="10">
        <v>0.86480997900000001</v>
      </c>
      <c r="P284">
        <f t="shared" si="99"/>
        <v>0.8569397396836077</v>
      </c>
      <c r="Q284" s="23">
        <v>0.28370000000000001</v>
      </c>
      <c r="R284" s="13">
        <f t="shared" si="100"/>
        <v>0.61433521004763969</v>
      </c>
      <c r="S284">
        <f t="shared" si="101"/>
        <v>0.25946535443824614</v>
      </c>
      <c r="T284" s="14">
        <f t="shared" si="89"/>
        <v>0.46300326753930726</v>
      </c>
      <c r="U284" t="str">
        <f t="shared" si="102"/>
        <v>Moderate</v>
      </c>
      <c r="V284">
        <f t="shared" si="103"/>
        <v>0.21668105346049971</v>
      </c>
      <c r="W284">
        <f t="shared" si="90"/>
        <v>0.35051044096420408</v>
      </c>
      <c r="X284" t="str">
        <f t="shared" si="109"/>
        <v>Moderate</v>
      </c>
      <c r="Y284">
        <f t="shared" si="91"/>
        <v>0.30224965541599258</v>
      </c>
      <c r="Z284">
        <f t="shared" si="104"/>
        <v>0.55021676235702721</v>
      </c>
      <c r="AA284" t="str">
        <f t="shared" si="105"/>
        <v>Moderate</v>
      </c>
      <c r="AB284">
        <f t="shared" si="92"/>
        <v>0.17521669799740566</v>
      </c>
      <c r="AC284">
        <f t="shared" si="106"/>
        <v>0.42826091568714131</v>
      </c>
      <c r="AD284" t="str">
        <f t="shared" si="107"/>
        <v>Moderate</v>
      </c>
      <c r="AE284">
        <f t="shared" si="93"/>
        <v>2.4866950461237131E-2</v>
      </c>
      <c r="AF284">
        <f t="shared" si="108"/>
        <v>0.15014225610323512</v>
      </c>
      <c r="AG284" t="s">
        <v>1170</v>
      </c>
    </row>
    <row r="285" spans="1:33" customFormat="1" x14ac:dyDescent="0.3">
      <c r="A285">
        <v>400138</v>
      </c>
      <c r="B285" t="s">
        <v>233</v>
      </c>
      <c r="C285" t="s">
        <v>610</v>
      </c>
      <c r="D285" t="s">
        <v>1127</v>
      </c>
      <c r="E285" s="21">
        <v>6.9</v>
      </c>
      <c r="F285" s="2">
        <f t="shared" si="94"/>
        <v>0.8222222222222223</v>
      </c>
      <c r="G285" s="26">
        <v>82.370519999999999</v>
      </c>
      <c r="H285">
        <f t="shared" si="95"/>
        <v>0.84442779588206418</v>
      </c>
      <c r="I285" s="12">
        <v>134.5</v>
      </c>
      <c r="J285" s="2">
        <f t="shared" si="96"/>
        <v>0.56560134566862907</v>
      </c>
      <c r="K285" s="10">
        <v>0</v>
      </c>
      <c r="L285" s="2">
        <f t="shared" si="97"/>
        <v>0</v>
      </c>
      <c r="M285">
        <v>6938</v>
      </c>
      <c r="N285">
        <f t="shared" si="98"/>
        <v>3.1695788562263134E-2</v>
      </c>
      <c r="O285" s="10">
        <v>0.63860222200000005</v>
      </c>
      <c r="P285">
        <f t="shared" si="99"/>
        <v>0.6078196694382979</v>
      </c>
      <c r="Q285" s="23">
        <v>0.28810000000000002</v>
      </c>
      <c r="R285" s="13">
        <f t="shared" si="100"/>
        <v>0.62386314421827638</v>
      </c>
      <c r="S285">
        <f t="shared" si="101"/>
        <v>0.24989307946908715</v>
      </c>
      <c r="T285" s="14">
        <f t="shared" si="89"/>
        <v>0.44592200981955965</v>
      </c>
      <c r="U285" t="str">
        <f t="shared" si="102"/>
        <v>Moderate</v>
      </c>
      <c r="V285">
        <f t="shared" si="103"/>
        <v>0.25314810038332014</v>
      </c>
      <c r="W285">
        <f t="shared" si="90"/>
        <v>0.40950074257777014</v>
      </c>
      <c r="X285" t="str">
        <f t="shared" si="109"/>
        <v>Moderate</v>
      </c>
      <c r="Y285">
        <f t="shared" si="91"/>
        <v>0.24663805855485418</v>
      </c>
      <c r="Z285">
        <f t="shared" si="104"/>
        <v>0.44898113734919548</v>
      </c>
      <c r="AA285" t="str">
        <f t="shared" si="105"/>
        <v>Moderate</v>
      </c>
      <c r="AB285">
        <f t="shared" si="92"/>
        <v>0.1670947287994505</v>
      </c>
      <c r="AC285">
        <f t="shared" si="106"/>
        <v>0.40840937182372178</v>
      </c>
      <c r="AD285" t="str">
        <f t="shared" si="107"/>
        <v>Moderate</v>
      </c>
      <c r="AE285">
        <f t="shared" si="93"/>
        <v>1.2861360282377806E-2</v>
      </c>
      <c r="AF285">
        <f t="shared" si="108"/>
        <v>7.7654622442058618E-2</v>
      </c>
      <c r="AG285" t="s">
        <v>1170</v>
      </c>
    </row>
    <row r="286" spans="1:33" customFormat="1" x14ac:dyDescent="0.3">
      <c r="A286">
        <v>400156</v>
      </c>
      <c r="B286" t="s">
        <v>348</v>
      </c>
      <c r="C286" t="s">
        <v>833</v>
      </c>
      <c r="D286" t="s">
        <v>836</v>
      </c>
      <c r="E286" s="21">
        <v>6.9</v>
      </c>
      <c r="F286" s="2">
        <f t="shared" si="94"/>
        <v>0.8222222222222223</v>
      </c>
      <c r="G286" s="26">
        <v>71.656199999999998</v>
      </c>
      <c r="H286">
        <f t="shared" si="95"/>
        <v>0.73458911061001386</v>
      </c>
      <c r="I286" s="12">
        <v>128.1</v>
      </c>
      <c r="J286" s="2">
        <f t="shared" si="96"/>
        <v>0.53868797308662741</v>
      </c>
      <c r="K286" s="10">
        <v>0</v>
      </c>
      <c r="L286" s="2">
        <f t="shared" si="97"/>
        <v>0</v>
      </c>
      <c r="M286">
        <v>11647</v>
      </c>
      <c r="N286">
        <f t="shared" si="98"/>
        <v>5.3976049547439592E-2</v>
      </c>
      <c r="O286" s="10">
        <v>0.70539714099999995</v>
      </c>
      <c r="P286">
        <f t="shared" si="99"/>
        <v>0.68138016592166895</v>
      </c>
      <c r="Q286" s="23">
        <v>0.21429999999999999</v>
      </c>
      <c r="R286" s="13">
        <f t="shared" si="100"/>
        <v>0.46405370290168901</v>
      </c>
      <c r="S286">
        <f t="shared" si="101"/>
        <v>0.20985542571125357</v>
      </c>
      <c r="T286" s="14">
        <f t="shared" si="89"/>
        <v>0.37447676983898881</v>
      </c>
      <c r="U286" t="str">
        <f t="shared" si="102"/>
        <v>Moderate</v>
      </c>
      <c r="V286">
        <f t="shared" si="103"/>
        <v>0.17003895209656242</v>
      </c>
      <c r="W286">
        <f t="shared" si="90"/>
        <v>0.27506063464530017</v>
      </c>
      <c r="X286" t="s">
        <v>1170</v>
      </c>
      <c r="Y286">
        <f t="shared" si="91"/>
        <v>0.24967189932594483</v>
      </c>
      <c r="Z286">
        <f t="shared" si="104"/>
        <v>0.45450395604117644</v>
      </c>
      <c r="AA286" t="str">
        <f t="shared" si="105"/>
        <v>Moderate</v>
      </c>
      <c r="AB286">
        <f t="shared" si="92"/>
        <v>0.14133748550899455</v>
      </c>
      <c r="AC286">
        <f t="shared" si="106"/>
        <v>0.3454540672025237</v>
      </c>
      <c r="AD286" t="str">
        <f t="shared" si="107"/>
        <v>Moderate</v>
      </c>
      <c r="AE286">
        <f t="shared" si="93"/>
        <v>1.977794993546932E-2</v>
      </c>
      <c r="AF286">
        <f t="shared" si="108"/>
        <v>0.1194157694984391</v>
      </c>
      <c r="AG286" t="s">
        <v>1170</v>
      </c>
    </row>
    <row r="287" spans="1:33" customFormat="1" x14ac:dyDescent="0.3">
      <c r="A287">
        <v>400158</v>
      </c>
      <c r="B287" t="s">
        <v>349</v>
      </c>
      <c r="C287" t="s">
        <v>833</v>
      </c>
      <c r="D287" t="s">
        <v>837</v>
      </c>
      <c r="E287" s="21">
        <v>6.9</v>
      </c>
      <c r="F287" s="2">
        <f t="shared" si="94"/>
        <v>0.8222222222222223</v>
      </c>
      <c r="G287" s="26">
        <v>86.688720000000004</v>
      </c>
      <c r="H287">
        <f t="shared" si="95"/>
        <v>0.88869615922586642</v>
      </c>
      <c r="I287" s="12">
        <v>123.39999999999999</v>
      </c>
      <c r="J287" s="2">
        <f t="shared" si="96"/>
        <v>0.51892346509671983</v>
      </c>
      <c r="K287" s="10">
        <v>0.5</v>
      </c>
      <c r="L287" s="2">
        <f t="shared" si="97"/>
        <v>0.29411764705882354</v>
      </c>
      <c r="M287">
        <v>34915</v>
      </c>
      <c r="N287">
        <f t="shared" si="98"/>
        <v>0.16406675088595857</v>
      </c>
      <c r="O287" s="10">
        <v>0.29080084</v>
      </c>
      <c r="P287">
        <f t="shared" si="99"/>
        <v>0.22478990129796003</v>
      </c>
      <c r="Q287" s="23">
        <v>0.4264</v>
      </c>
      <c r="R287" s="13">
        <f t="shared" si="100"/>
        <v>0.92334343871805979</v>
      </c>
      <c r="S287">
        <f t="shared" si="101"/>
        <v>0.27419184652812417</v>
      </c>
      <c r="T287" s="14">
        <f t="shared" si="89"/>
        <v>0.48928197427365122</v>
      </c>
      <c r="U287" t="str">
        <f t="shared" si="102"/>
        <v>Moderate</v>
      </c>
      <c r="V287">
        <f t="shared" si="103"/>
        <v>0.44101714255279817</v>
      </c>
      <c r="W287">
        <f t="shared" si="90"/>
        <v>0.71340392083304227</v>
      </c>
      <c r="X287" t="str">
        <f t="shared" si="109"/>
        <v>High</v>
      </c>
      <c r="Y287">
        <f t="shared" si="91"/>
        <v>0.10736655050345012</v>
      </c>
      <c r="Z287">
        <f t="shared" si="104"/>
        <v>0.19545059769264114</v>
      </c>
      <c r="AA287" t="str">
        <f t="shared" si="105"/>
        <v>Low</v>
      </c>
      <c r="AB287">
        <f t="shared" si="92"/>
        <v>0.21399312412785229</v>
      </c>
      <c r="AC287">
        <f t="shared" si="106"/>
        <v>0.52303742929285801</v>
      </c>
      <c r="AD287" t="str">
        <f t="shared" si="107"/>
        <v>Moderate</v>
      </c>
      <c r="AE287">
        <f t="shared" si="93"/>
        <v>7.8363311666679841E-2</v>
      </c>
      <c r="AF287">
        <f t="shared" si="108"/>
        <v>0.47314383915698432</v>
      </c>
      <c r="AG287" t="str">
        <f t="shared" si="110"/>
        <v>Moderate</v>
      </c>
    </row>
    <row r="288" spans="1:33" customFormat="1" x14ac:dyDescent="0.3">
      <c r="A288">
        <v>400160</v>
      </c>
      <c r="B288" t="s">
        <v>350</v>
      </c>
      <c r="C288" t="s">
        <v>833</v>
      </c>
      <c r="D288" t="s">
        <v>838</v>
      </c>
      <c r="E288" s="21">
        <v>6.9</v>
      </c>
      <c r="F288" s="2">
        <f t="shared" si="94"/>
        <v>0.8222222222222223</v>
      </c>
      <c r="G288" s="26">
        <v>72.501480000000001</v>
      </c>
      <c r="H288">
        <f t="shared" si="95"/>
        <v>0.74325456430999293</v>
      </c>
      <c r="I288" s="12">
        <v>117.4</v>
      </c>
      <c r="J288" s="2">
        <f t="shared" si="96"/>
        <v>0.49369217830109335</v>
      </c>
      <c r="K288" s="10">
        <v>0</v>
      </c>
      <c r="L288" s="2">
        <f t="shared" si="97"/>
        <v>0</v>
      </c>
      <c r="M288">
        <v>36030</v>
      </c>
      <c r="N288">
        <f t="shared" si="98"/>
        <v>0.16934228518166292</v>
      </c>
      <c r="O288" s="10">
        <v>0.62281557300000001</v>
      </c>
      <c r="P288">
        <f t="shared" si="99"/>
        <v>0.59043400963610959</v>
      </c>
      <c r="Q288" s="23">
        <v>0.2989</v>
      </c>
      <c r="R288" s="13">
        <f t="shared" si="100"/>
        <v>0.64724989172802083</v>
      </c>
      <c r="S288">
        <f t="shared" si="101"/>
        <v>0.22028656065289248</v>
      </c>
      <c r="T288" s="14">
        <f t="shared" si="89"/>
        <v>0.3930906212820019</v>
      </c>
      <c r="U288" t="str">
        <f t="shared" si="102"/>
        <v>Moderate</v>
      </c>
      <c r="V288">
        <f t="shared" si="103"/>
        <v>0.23039881568238182</v>
      </c>
      <c r="W288">
        <f t="shared" si="90"/>
        <v>0.37270074698609407</v>
      </c>
      <c r="X288" t="str">
        <f t="shared" si="109"/>
        <v>Moderate</v>
      </c>
      <c r="Y288">
        <f t="shared" si="91"/>
        <v>0.21017430562340317</v>
      </c>
      <c r="Z288">
        <f t="shared" si="104"/>
        <v>0.38260234180113623</v>
      </c>
      <c r="AA288" t="str">
        <f t="shared" si="105"/>
        <v>Moderate</v>
      </c>
      <c r="AB288">
        <f t="shared" si="92"/>
        <v>0.16478989798250676</v>
      </c>
      <c r="AC288">
        <f t="shared" si="106"/>
        <v>0.40277595350543521</v>
      </c>
      <c r="AD288" t="str">
        <f t="shared" si="107"/>
        <v>Moderate</v>
      </c>
      <c r="AE288">
        <f t="shared" si="93"/>
        <v>6.0280059447577639E-2</v>
      </c>
      <c r="AF288">
        <f t="shared" si="108"/>
        <v>0.36396035523553993</v>
      </c>
      <c r="AG288" t="str">
        <f t="shared" si="110"/>
        <v>Moderate</v>
      </c>
    </row>
    <row r="289" spans="1:33" customFormat="1" x14ac:dyDescent="0.3">
      <c r="A289">
        <v>400173</v>
      </c>
      <c r="B289" t="s">
        <v>435</v>
      </c>
      <c r="C289" t="s">
        <v>833</v>
      </c>
      <c r="D289" t="s">
        <v>839</v>
      </c>
      <c r="E289" s="21">
        <v>6.8</v>
      </c>
      <c r="F289" s="2">
        <f t="shared" si="94"/>
        <v>0.79999999999999993</v>
      </c>
      <c r="G289" s="26">
        <v>74.347920000000002</v>
      </c>
      <c r="H289">
        <f t="shared" si="95"/>
        <v>0.76218348766058575</v>
      </c>
      <c r="I289" s="12">
        <v>125.1</v>
      </c>
      <c r="J289" s="2">
        <f t="shared" si="96"/>
        <v>0.52607232968881412</v>
      </c>
      <c r="K289" s="10">
        <v>0.2</v>
      </c>
      <c r="L289" s="2">
        <f t="shared" si="97"/>
        <v>0.11764705882352942</v>
      </c>
      <c r="M289">
        <v>24278</v>
      </c>
      <c r="N289">
        <f t="shared" si="98"/>
        <v>0.11373862684702843</v>
      </c>
      <c r="O289" s="10">
        <v>0.53739436500000004</v>
      </c>
      <c r="P289">
        <f t="shared" si="99"/>
        <v>0.49636058961011459</v>
      </c>
      <c r="Q289" s="23">
        <v>0.20619999999999999</v>
      </c>
      <c r="R289" s="13">
        <f t="shared" si="100"/>
        <v>0.44651364226938067</v>
      </c>
      <c r="S289">
        <f t="shared" si="101"/>
        <v>0.18336401562119894</v>
      </c>
      <c r="T289" s="14">
        <f t="shared" si="89"/>
        <v>0.32720414085939092</v>
      </c>
      <c r="U289" t="str">
        <f t="shared" si="102"/>
        <v>Moderate</v>
      </c>
      <c r="V289">
        <f t="shared" si="103"/>
        <v>0.17367010722724935</v>
      </c>
      <c r="W289">
        <f t="shared" si="90"/>
        <v>0.28093451132136371</v>
      </c>
      <c r="X289" t="s">
        <v>1170</v>
      </c>
      <c r="Y289">
        <f t="shared" si="91"/>
        <v>0.19305792401514854</v>
      </c>
      <c r="Z289">
        <f t="shared" si="104"/>
        <v>0.3514435963633642</v>
      </c>
      <c r="AA289" t="str">
        <f t="shared" si="105"/>
        <v>Moderate</v>
      </c>
      <c r="AB289">
        <f t="shared" si="92"/>
        <v>0.13418531586154461</v>
      </c>
      <c r="AC289">
        <f t="shared" si="106"/>
        <v>0.32797288671359542</v>
      </c>
      <c r="AD289" t="str">
        <f t="shared" si="107"/>
        <v>Moderate</v>
      </c>
      <c r="AE289">
        <f t="shared" si="93"/>
        <v>4.4238288935607904E-2</v>
      </c>
      <c r="AF289">
        <f t="shared" si="108"/>
        <v>0.26710297739534378</v>
      </c>
      <c r="AG289" t="s">
        <v>1169</v>
      </c>
    </row>
    <row r="290" spans="1:33" customFormat="1" x14ac:dyDescent="0.3">
      <c r="A290">
        <v>400177</v>
      </c>
      <c r="B290" t="s">
        <v>463</v>
      </c>
      <c r="C290" t="s">
        <v>833</v>
      </c>
      <c r="D290" t="s">
        <v>840</v>
      </c>
      <c r="E290" s="21">
        <v>6.9</v>
      </c>
      <c r="F290" s="2">
        <f t="shared" si="94"/>
        <v>0.8222222222222223</v>
      </c>
      <c r="G290" s="26">
        <v>82.767600000000002</v>
      </c>
      <c r="H290">
        <f t="shared" si="95"/>
        <v>0.84849849240296571</v>
      </c>
      <c r="I290" s="12">
        <v>132.80000000000001</v>
      </c>
      <c r="J290" s="2">
        <f t="shared" si="96"/>
        <v>0.55845248107653489</v>
      </c>
      <c r="K290" s="10">
        <v>1.7</v>
      </c>
      <c r="L290" s="2">
        <f t="shared" si="97"/>
        <v>1</v>
      </c>
      <c r="M290">
        <v>16547</v>
      </c>
      <c r="N290">
        <f t="shared" si="98"/>
        <v>7.7160011923180644E-2</v>
      </c>
      <c r="O290" s="10">
        <v>0.33360579899999998</v>
      </c>
      <c r="P290">
        <f t="shared" si="99"/>
        <v>0.27193052341609369</v>
      </c>
      <c r="Q290" s="23">
        <v>0.4219</v>
      </c>
      <c r="R290" s="13">
        <f t="shared" si="100"/>
        <v>0.91359896058899959</v>
      </c>
      <c r="S290">
        <f t="shared" si="101"/>
        <v>0.38621935978112293</v>
      </c>
      <c r="T290" s="14">
        <f t="shared" si="89"/>
        <v>0.68918960665385998</v>
      </c>
      <c r="U290" t="str">
        <f t="shared" si="102"/>
        <v>Moderate</v>
      </c>
      <c r="V290">
        <f t="shared" si="103"/>
        <v>0.59526078501792345</v>
      </c>
      <c r="W290">
        <f t="shared" si="90"/>
        <v>0.96291354003115914</v>
      </c>
      <c r="X290" t="str">
        <f t="shared" si="109"/>
        <v>High</v>
      </c>
      <c r="Y290">
        <f t="shared" si="91"/>
        <v>0.1771779345443224</v>
      </c>
      <c r="Z290">
        <f t="shared" si="104"/>
        <v>0.32253558526612697</v>
      </c>
      <c r="AA290" t="str">
        <f t="shared" si="105"/>
        <v>Moderate</v>
      </c>
      <c r="AB290">
        <f t="shared" si="92"/>
        <v>0.2790905762378697</v>
      </c>
      <c r="AC290">
        <f t="shared" si="106"/>
        <v>0.6821472331424242</v>
      </c>
      <c r="AD290" t="str">
        <f t="shared" si="107"/>
        <v>Moderate</v>
      </c>
      <c r="AE290">
        <f t="shared" si="93"/>
        <v>5.0274060337999332E-2</v>
      </c>
      <c r="AF290">
        <f t="shared" si="108"/>
        <v>0.3035458993809354</v>
      </c>
      <c r="AG290" t="str">
        <f t="shared" si="110"/>
        <v>Moderate</v>
      </c>
    </row>
    <row r="291" spans="1:33" customFormat="1" x14ac:dyDescent="0.3">
      <c r="A291">
        <v>401807</v>
      </c>
      <c r="B291" t="s">
        <v>8</v>
      </c>
      <c r="C291" t="s">
        <v>842</v>
      </c>
      <c r="D291" t="s">
        <v>841</v>
      </c>
      <c r="E291" s="21">
        <v>6.3</v>
      </c>
      <c r="F291" s="2">
        <f t="shared" si="94"/>
        <v>0.68888888888888877</v>
      </c>
      <c r="G291" s="26">
        <v>45.158760000000001</v>
      </c>
      <c r="H291">
        <f t="shared" si="95"/>
        <v>0.46294854241016231</v>
      </c>
      <c r="I291" s="12">
        <v>0.3</v>
      </c>
      <c r="J291" s="2">
        <f t="shared" si="96"/>
        <v>1.2615643397813287E-3</v>
      </c>
      <c r="K291" s="10">
        <v>0</v>
      </c>
      <c r="L291" s="2">
        <f t="shared" si="97"/>
        <v>0</v>
      </c>
      <c r="M291">
        <v>51862</v>
      </c>
      <c r="N291">
        <f t="shared" si="98"/>
        <v>0.24425014075977156</v>
      </c>
      <c r="O291" s="10">
        <v>0.66728496400000004</v>
      </c>
      <c r="P291">
        <f t="shared" si="99"/>
        <v>0.63940765208147532</v>
      </c>
      <c r="Q291" s="23">
        <v>0.27410000000000001</v>
      </c>
      <c r="R291" s="13">
        <f t="shared" si="100"/>
        <v>0.59354699003897793</v>
      </c>
      <c r="S291">
        <f t="shared" si="101"/>
        <v>6.8999972949964752E-2</v>
      </c>
      <c r="T291" s="14">
        <f t="shared" si="89"/>
        <v>0.12312708571487167</v>
      </c>
      <c r="U291" t="str">
        <f t="shared" si="102"/>
        <v>No Impact</v>
      </c>
      <c r="V291">
        <f t="shared" si="103"/>
        <v>6.6433467798601167E-2</v>
      </c>
      <c r="W291">
        <f t="shared" si="90"/>
        <v>0.10746497546041257</v>
      </c>
      <c r="X291" t="s">
        <v>1170</v>
      </c>
      <c r="Y291">
        <f t="shared" si="91"/>
        <v>7.1566478101328351E-2</v>
      </c>
      <c r="Z291">
        <f t="shared" si="104"/>
        <v>0.13027996945112302</v>
      </c>
      <c r="AA291" t="str">
        <f t="shared" si="105"/>
        <v>No Impact</v>
      </c>
      <c r="AB291">
        <f t="shared" si="92"/>
        <v>5.4289954947024099E-2</v>
      </c>
      <c r="AC291">
        <f t="shared" si="106"/>
        <v>0.13269434981916189</v>
      </c>
      <c r="AD291" t="str">
        <f t="shared" si="107"/>
        <v>No Impact</v>
      </c>
      <c r="AE291">
        <f t="shared" si="93"/>
        <v>2.7337993677471951E-2</v>
      </c>
      <c r="AF291">
        <f t="shared" si="108"/>
        <v>0.16506197872834838</v>
      </c>
      <c r="AG291" t="s">
        <v>1170</v>
      </c>
    </row>
    <row r="292" spans="1:33" customFormat="1" x14ac:dyDescent="0.3">
      <c r="A292">
        <v>401823</v>
      </c>
      <c r="B292" t="s">
        <v>114</v>
      </c>
      <c r="C292" t="s">
        <v>842</v>
      </c>
      <c r="D292" t="s">
        <v>843</v>
      </c>
      <c r="E292" s="21">
        <v>6.3</v>
      </c>
      <c r="F292" s="2">
        <f t="shared" si="94"/>
        <v>0.68888888888888877</v>
      </c>
      <c r="G292" s="26">
        <v>46.590120000000006</v>
      </c>
      <c r="H292">
        <f t="shared" si="95"/>
        <v>0.47762224083908755</v>
      </c>
      <c r="I292" s="12">
        <v>1.2</v>
      </c>
      <c r="J292" s="2">
        <f t="shared" si="96"/>
        <v>5.0462573591253147E-3</v>
      </c>
      <c r="K292" s="10">
        <v>0</v>
      </c>
      <c r="L292" s="2">
        <f t="shared" si="97"/>
        <v>0</v>
      </c>
      <c r="M292">
        <v>55839</v>
      </c>
      <c r="N292">
        <f t="shared" si="98"/>
        <v>0.2630670016512659</v>
      </c>
      <c r="O292" s="10">
        <v>0.454944974</v>
      </c>
      <c r="P292">
        <f t="shared" si="99"/>
        <v>0.40555999837485013</v>
      </c>
      <c r="Q292" s="23">
        <v>0.2742</v>
      </c>
      <c r="R292" s="13">
        <f t="shared" si="100"/>
        <v>0.59376353399740145</v>
      </c>
      <c r="S292">
        <f t="shared" si="101"/>
        <v>5.8149006401545418E-2</v>
      </c>
      <c r="T292" s="14">
        <f t="shared" si="89"/>
        <v>0.10376406525013518</v>
      </c>
      <c r="U292" t="str">
        <f t="shared" si="102"/>
        <v>No Impact</v>
      </c>
      <c r="V292">
        <f t="shared" si="103"/>
        <v>6.9100263169941611E-2</v>
      </c>
      <c r="W292">
        <f t="shared" si="90"/>
        <v>0.111778871883942</v>
      </c>
      <c r="X292" t="s">
        <v>1170</v>
      </c>
      <c r="Y292">
        <f t="shared" si="91"/>
        <v>4.7197749633149225E-2</v>
      </c>
      <c r="Z292">
        <f t="shared" si="104"/>
        <v>8.5919016046345081E-2</v>
      </c>
      <c r="AA292" t="str">
        <f t="shared" si="105"/>
        <v>No Impact</v>
      </c>
      <c r="AB292">
        <f t="shared" si="92"/>
        <v>4.9059624824781156E-2</v>
      </c>
      <c r="AC292">
        <f t="shared" si="106"/>
        <v>0.1199104885028679</v>
      </c>
      <c r="AD292" t="str">
        <f t="shared" si="107"/>
        <v>No Impact</v>
      </c>
      <c r="AE292">
        <f t="shared" si="93"/>
        <v>3.0614879501019498E-2</v>
      </c>
      <c r="AF292">
        <f t="shared" si="108"/>
        <v>0.18484723672800016</v>
      </c>
      <c r="AG292" t="s">
        <v>1169</v>
      </c>
    </row>
    <row r="293" spans="1:33" customFormat="1" x14ac:dyDescent="0.3">
      <c r="A293">
        <v>401831</v>
      </c>
      <c r="B293" t="s">
        <v>127</v>
      </c>
      <c r="C293" t="s">
        <v>842</v>
      </c>
      <c r="D293" t="s">
        <v>844</v>
      </c>
      <c r="E293" s="21">
        <v>5.7</v>
      </c>
      <c r="F293" s="2">
        <f t="shared" si="94"/>
        <v>0.55555555555555558</v>
      </c>
      <c r="G293" s="26">
        <v>46.590120000000006</v>
      </c>
      <c r="H293">
        <f t="shared" si="95"/>
        <v>0.47762224083908755</v>
      </c>
      <c r="I293" s="12">
        <v>0</v>
      </c>
      <c r="J293" s="2">
        <f t="shared" si="96"/>
        <v>0</v>
      </c>
      <c r="K293" s="10">
        <v>0</v>
      </c>
      <c r="L293" s="2">
        <f t="shared" si="97"/>
        <v>0</v>
      </c>
      <c r="M293">
        <v>46381</v>
      </c>
      <c r="N293">
        <f t="shared" si="98"/>
        <v>0.21831722284519264</v>
      </c>
      <c r="O293" s="10">
        <v>0.49257115800000001</v>
      </c>
      <c r="P293">
        <f t="shared" si="99"/>
        <v>0.44699729356514262</v>
      </c>
      <c r="Q293" s="23">
        <v>0.27400000000000002</v>
      </c>
      <c r="R293" s="13">
        <f t="shared" si="100"/>
        <v>0.59333044608055441</v>
      </c>
      <c r="S293">
        <f t="shared" si="101"/>
        <v>4.8308134215506733E-2</v>
      </c>
      <c r="T293" s="14">
        <f t="shared" si="89"/>
        <v>8.6203508899799663E-2</v>
      </c>
      <c r="U293" t="str">
        <f t="shared" si="102"/>
        <v>No Impact</v>
      </c>
      <c r="V293">
        <f t="shared" si="103"/>
        <v>5.5103186680704123E-2</v>
      </c>
      <c r="W293">
        <f t="shared" si="90"/>
        <v>8.9136737862073323E-2</v>
      </c>
      <c r="X293" t="s">
        <v>1170</v>
      </c>
      <c r="Y293">
        <f t="shared" si="91"/>
        <v>4.1513081750309336E-2</v>
      </c>
      <c r="Z293">
        <f t="shared" si="104"/>
        <v>7.5570618615531521E-2</v>
      </c>
      <c r="AA293" t="str">
        <f t="shared" si="105"/>
        <v>No Impact</v>
      </c>
      <c r="AB293">
        <f t="shared" si="92"/>
        <v>3.8836407777596574E-2</v>
      </c>
      <c r="AC293">
        <f t="shared" si="106"/>
        <v>9.4923119468208389E-2</v>
      </c>
      <c r="AD293" t="str">
        <f t="shared" si="107"/>
        <v>No Impact</v>
      </c>
      <c r="AE293">
        <f t="shared" si="93"/>
        <v>2.0275336897878093E-2</v>
      </c>
      <c r="AF293">
        <f t="shared" si="108"/>
        <v>0.12241890415336185</v>
      </c>
      <c r="AG293" t="s">
        <v>1170</v>
      </c>
    </row>
    <row r="294" spans="1:33" customFormat="1" x14ac:dyDescent="0.3">
      <c r="A294">
        <v>401855</v>
      </c>
      <c r="B294" t="s">
        <v>227</v>
      </c>
      <c r="C294" t="s">
        <v>842</v>
      </c>
      <c r="D294" t="s">
        <v>845</v>
      </c>
      <c r="E294" s="21">
        <v>6.3</v>
      </c>
      <c r="F294" s="2">
        <f t="shared" si="94"/>
        <v>0.68888888888888877</v>
      </c>
      <c r="G294" s="26">
        <v>50.420880000000004</v>
      </c>
      <c r="H294">
        <f t="shared" si="95"/>
        <v>0.51689357509014211</v>
      </c>
      <c r="I294" s="12">
        <v>0.4</v>
      </c>
      <c r="J294" s="2">
        <f t="shared" si="96"/>
        <v>1.6820857863751051E-3</v>
      </c>
      <c r="K294" s="10">
        <v>0</v>
      </c>
      <c r="L294" s="2">
        <f t="shared" si="97"/>
        <v>0</v>
      </c>
      <c r="M294">
        <v>28593</v>
      </c>
      <c r="N294">
        <f t="shared" si="98"/>
        <v>0.13415470800035958</v>
      </c>
      <c r="O294" s="10">
        <v>0.45530077899999999</v>
      </c>
      <c r="P294">
        <f t="shared" si="99"/>
        <v>0.40595184243788829</v>
      </c>
      <c r="Q294" s="23">
        <v>0.28839999999999999</v>
      </c>
      <c r="R294" s="13">
        <f t="shared" si="100"/>
        <v>0.62451277609354694</v>
      </c>
      <c r="S294">
        <f t="shared" si="101"/>
        <v>6.4421738840312867E-2</v>
      </c>
      <c r="T294" s="14">
        <f t="shared" si="89"/>
        <v>0.11495745028544004</v>
      </c>
      <c r="U294" t="str">
        <f t="shared" si="102"/>
        <v>No Impact</v>
      </c>
      <c r="V294">
        <f t="shared" si="103"/>
        <v>7.8085551391903402E-2</v>
      </c>
      <c r="W294">
        <f t="shared" si="90"/>
        <v>0.12631377138979302</v>
      </c>
      <c r="X294" t="s">
        <v>1170</v>
      </c>
      <c r="Y294">
        <f t="shared" si="91"/>
        <v>5.0757926288722319E-2</v>
      </c>
      <c r="Z294">
        <f t="shared" si="104"/>
        <v>9.2399979176484848E-2</v>
      </c>
      <c r="AA294" t="str">
        <f t="shared" si="105"/>
        <v>No Impact</v>
      </c>
      <c r="AB294">
        <f t="shared" si="92"/>
        <v>4.8428202401690254E-2</v>
      </c>
      <c r="AC294">
        <f t="shared" si="106"/>
        <v>0.1183671792852595</v>
      </c>
      <c r="AD294" t="str">
        <f t="shared" si="107"/>
        <v>No Impact</v>
      </c>
      <c r="AE294">
        <f t="shared" si="93"/>
        <v>1.6773947222592483E-2</v>
      </c>
      <c r="AF294">
        <f t="shared" si="108"/>
        <v>0.10127813153777988</v>
      </c>
      <c r="AG294" t="s">
        <v>1170</v>
      </c>
    </row>
    <row r="295" spans="1:33" customFormat="1" x14ac:dyDescent="0.3">
      <c r="A295">
        <v>404104</v>
      </c>
      <c r="B295" t="s">
        <v>0</v>
      </c>
      <c r="C295" t="s">
        <v>1156</v>
      </c>
      <c r="D295" t="s">
        <v>846</v>
      </c>
      <c r="E295" s="21">
        <v>5.8</v>
      </c>
      <c r="F295" s="2">
        <f t="shared" si="94"/>
        <v>0.57777777777777772</v>
      </c>
      <c r="G295" s="26">
        <v>57.14208</v>
      </c>
      <c r="H295">
        <f t="shared" si="95"/>
        <v>0.58579647993622697</v>
      </c>
      <c r="I295" s="12">
        <v>94.7</v>
      </c>
      <c r="J295" s="2">
        <f t="shared" si="96"/>
        <v>0.39823380992430613</v>
      </c>
      <c r="K295" s="10">
        <v>0</v>
      </c>
      <c r="L295" s="2">
        <f t="shared" si="97"/>
        <v>0</v>
      </c>
      <c r="M295">
        <v>51104</v>
      </c>
      <c r="N295">
        <f t="shared" si="98"/>
        <v>0.2406637237228712</v>
      </c>
      <c r="O295" s="10">
        <v>0.81907550100000004</v>
      </c>
      <c r="P295">
        <f t="shared" si="99"/>
        <v>0.80657287108859055</v>
      </c>
      <c r="Q295" s="23">
        <v>0.2397</v>
      </c>
      <c r="R295" s="13">
        <f t="shared" si="100"/>
        <v>0.51905586834127326</v>
      </c>
      <c r="S295">
        <f t="shared" si="101"/>
        <v>0.13189528197387176</v>
      </c>
      <c r="T295" s="14">
        <f t="shared" si="89"/>
        <v>0.23536069645651034</v>
      </c>
      <c r="U295" t="str">
        <f t="shared" si="102"/>
        <v>Low</v>
      </c>
      <c r="V295">
        <f t="shared" si="103"/>
        <v>0.10328837641904071</v>
      </c>
      <c r="W295">
        <f t="shared" si="90"/>
        <v>0.16708269498844056</v>
      </c>
      <c r="X295" t="s">
        <v>1170</v>
      </c>
      <c r="Y295">
        <f t="shared" si="91"/>
        <v>0.16050218752870282</v>
      </c>
      <c r="Z295">
        <f t="shared" si="104"/>
        <v>0.29217897321245584</v>
      </c>
      <c r="AA295" t="str">
        <f t="shared" si="105"/>
        <v>Low</v>
      </c>
      <c r="AB295">
        <f t="shared" si="92"/>
        <v>0.1010632092118834</v>
      </c>
      <c r="AC295">
        <f t="shared" si="106"/>
        <v>0.24701654017017927</v>
      </c>
      <c r="AD295" t="str">
        <f t="shared" si="107"/>
        <v>Low</v>
      </c>
      <c r="AE295">
        <f t="shared" si="93"/>
        <v>4.7890346304595169E-2</v>
      </c>
      <c r="AF295">
        <f t="shared" si="108"/>
        <v>0.2891534549419546</v>
      </c>
      <c r="AG295" t="s">
        <v>1169</v>
      </c>
    </row>
    <row r="296" spans="1:33" customFormat="1" x14ac:dyDescent="0.3">
      <c r="A296">
        <v>404109</v>
      </c>
      <c r="B296" t="s">
        <v>28</v>
      </c>
      <c r="C296" t="s">
        <v>1156</v>
      </c>
      <c r="D296" t="s">
        <v>847</v>
      </c>
      <c r="E296" s="21">
        <v>5.7</v>
      </c>
      <c r="F296" s="2">
        <f t="shared" si="94"/>
        <v>0.55555555555555558</v>
      </c>
      <c r="G296" s="26">
        <v>51.765120000000003</v>
      </c>
      <c r="H296">
        <f t="shared" si="95"/>
        <v>0.53067415605935908</v>
      </c>
      <c r="I296" s="12">
        <v>41.9</v>
      </c>
      <c r="J296" s="2">
        <f t="shared" si="96"/>
        <v>0.17619848612279224</v>
      </c>
      <c r="K296" s="10">
        <v>0</v>
      </c>
      <c r="L296" s="2">
        <f t="shared" si="97"/>
        <v>0</v>
      </c>
      <c r="M296">
        <v>40351</v>
      </c>
      <c r="N296">
        <f t="shared" si="98"/>
        <v>0.18978675486035212</v>
      </c>
      <c r="O296" s="10">
        <v>0.923816415</v>
      </c>
      <c r="P296">
        <f t="shared" si="99"/>
        <v>0.92192286703606796</v>
      </c>
      <c r="Q296" s="23">
        <v>0.29399999999999998</v>
      </c>
      <c r="R296" s="13">
        <f t="shared" si="100"/>
        <v>0.63663923776526632</v>
      </c>
      <c r="S296">
        <f t="shared" si="101"/>
        <v>0.10711019987751749</v>
      </c>
      <c r="T296" s="14">
        <f t="shared" si="89"/>
        <v>0.19113292654215266</v>
      </c>
      <c r="U296" t="str">
        <f t="shared" si="102"/>
        <v>Low</v>
      </c>
      <c r="V296">
        <f t="shared" si="103"/>
        <v>8.7504445022548685E-2</v>
      </c>
      <c r="W296">
        <f t="shared" si="90"/>
        <v>0.14155008535055311</v>
      </c>
      <c r="X296" t="s">
        <v>1170</v>
      </c>
      <c r="Y296">
        <f t="shared" si="91"/>
        <v>0.12671595473248631</v>
      </c>
      <c r="Z296">
        <f t="shared" si="104"/>
        <v>0.23067434851473834</v>
      </c>
      <c r="AA296" t="str">
        <f t="shared" si="105"/>
        <v>Low</v>
      </c>
      <c r="AB296">
        <f t="shared" si="92"/>
        <v>7.7771339647230084E-2</v>
      </c>
      <c r="AC296">
        <f t="shared" si="106"/>
        <v>0.19008704942054999</v>
      </c>
      <c r="AD296" t="str">
        <f t="shared" si="107"/>
        <v>Low</v>
      </c>
      <c r="AE296">
        <f t="shared" si="93"/>
        <v>2.6085707055977594E-2</v>
      </c>
      <c r="AF296">
        <f t="shared" si="108"/>
        <v>0.15750089322523653</v>
      </c>
      <c r="AG296" t="s">
        <v>1170</v>
      </c>
    </row>
    <row r="297" spans="1:33" customFormat="1" x14ac:dyDescent="0.3">
      <c r="A297">
        <v>404111</v>
      </c>
      <c r="B297" t="s">
        <v>106</v>
      </c>
      <c r="C297" t="s">
        <v>1156</v>
      </c>
      <c r="D297" t="s">
        <v>848</v>
      </c>
      <c r="E297" s="21">
        <v>5.8</v>
      </c>
      <c r="F297" s="2">
        <f t="shared" si="94"/>
        <v>0.57777777777777772</v>
      </c>
      <c r="G297" s="26">
        <v>48.277439999999999</v>
      </c>
      <c r="H297">
        <f t="shared" si="95"/>
        <v>0.49491993312690752</v>
      </c>
      <c r="I297" s="12">
        <v>23.900000000000002</v>
      </c>
      <c r="J297" s="2">
        <f t="shared" si="96"/>
        <v>0.10050462573591254</v>
      </c>
      <c r="K297" s="10">
        <v>0</v>
      </c>
      <c r="L297" s="2">
        <f t="shared" si="97"/>
        <v>0</v>
      </c>
      <c r="M297">
        <v>18322</v>
      </c>
      <c r="N297">
        <f t="shared" si="98"/>
        <v>8.5558284008270521E-2</v>
      </c>
      <c r="O297" s="10">
        <v>0.84663085400000004</v>
      </c>
      <c r="P297">
        <f t="shared" si="99"/>
        <v>0.83691927284790035</v>
      </c>
      <c r="Q297" s="23">
        <v>0.30320000000000003</v>
      </c>
      <c r="R297" s="13">
        <f t="shared" si="100"/>
        <v>0.65656128194023389</v>
      </c>
      <c r="S297">
        <f t="shared" si="101"/>
        <v>8.9913561162164576E-2</v>
      </c>
      <c r="T297" s="14">
        <f t="shared" si="89"/>
        <v>0.1604463636554056</v>
      </c>
      <c r="U297" t="str">
        <f t="shared" si="102"/>
        <v>Low</v>
      </c>
      <c r="V297">
        <f t="shared" si="103"/>
        <v>7.9055281692391302E-2</v>
      </c>
      <c r="W297">
        <f t="shared" si="90"/>
        <v>0.1278824392073617</v>
      </c>
      <c r="X297" t="s">
        <v>1170</v>
      </c>
      <c r="Y297">
        <f t="shared" si="91"/>
        <v>0.10077184063193785</v>
      </c>
      <c r="Z297">
        <f t="shared" si="104"/>
        <v>0.18344555534050544</v>
      </c>
      <c r="AA297" t="str">
        <f t="shared" si="105"/>
        <v>Low</v>
      </c>
      <c r="AB297">
        <f t="shared" si="92"/>
        <v>6.1506568752760525E-2</v>
      </c>
      <c r="AC297">
        <f t="shared" si="106"/>
        <v>0.15033304334511172</v>
      </c>
      <c r="AD297" t="str">
        <f t="shared" si="107"/>
        <v>Low</v>
      </c>
      <c r="AE297">
        <f t="shared" si="93"/>
        <v>1.030190848812061E-2</v>
      </c>
      <c r="AF297">
        <f t="shared" si="108"/>
        <v>6.2201104433235177E-2</v>
      </c>
      <c r="AG297" t="s">
        <v>1170</v>
      </c>
    </row>
    <row r="298" spans="1:33" customFormat="1" x14ac:dyDescent="0.3">
      <c r="A298">
        <v>404123</v>
      </c>
      <c r="B298" t="s">
        <v>226</v>
      </c>
      <c r="C298" t="s">
        <v>1156</v>
      </c>
      <c r="D298" t="s">
        <v>849</v>
      </c>
      <c r="E298" s="21">
        <v>5.8</v>
      </c>
      <c r="F298" s="2">
        <f t="shared" si="94"/>
        <v>0.57777777777777772</v>
      </c>
      <c r="G298" s="26">
        <v>50.834519999999998</v>
      </c>
      <c r="H298">
        <f t="shared" si="95"/>
        <v>0.52113403773974842</v>
      </c>
      <c r="I298" s="12">
        <v>37.6</v>
      </c>
      <c r="J298" s="2">
        <f t="shared" si="96"/>
        <v>0.15811606391925989</v>
      </c>
      <c r="K298" s="10">
        <v>0</v>
      </c>
      <c r="L298" s="2">
        <f t="shared" si="97"/>
        <v>0</v>
      </c>
      <c r="M298">
        <v>65394</v>
      </c>
      <c r="N298">
        <f t="shared" si="98"/>
        <v>0.30827572828396094</v>
      </c>
      <c r="O298" s="10">
        <v>0.84320218000000002</v>
      </c>
      <c r="P298">
        <f t="shared" si="99"/>
        <v>0.83314331255787244</v>
      </c>
      <c r="Q298" s="23">
        <v>0.2954</v>
      </c>
      <c r="R298" s="13">
        <f t="shared" si="100"/>
        <v>0.63967085318319616</v>
      </c>
      <c r="S298">
        <f t="shared" si="101"/>
        <v>0.1011524829268942</v>
      </c>
      <c r="T298" s="14">
        <f t="shared" si="89"/>
        <v>0.18050167127809227</v>
      </c>
      <c r="U298" t="str">
        <f t="shared" si="102"/>
        <v>Low</v>
      </c>
      <c r="V298">
        <f t="shared" si="103"/>
        <v>8.7864846170715855E-2</v>
      </c>
      <c r="W298">
        <f t="shared" si="90"/>
        <v>0.14213308217169004</v>
      </c>
      <c r="X298" t="s">
        <v>1170</v>
      </c>
      <c r="Y298">
        <f t="shared" si="91"/>
        <v>0.11444011968307255</v>
      </c>
      <c r="Z298">
        <f t="shared" si="104"/>
        <v>0.20832735788931916</v>
      </c>
      <c r="AA298" t="str">
        <f t="shared" si="105"/>
        <v>Low</v>
      </c>
      <c r="AB298">
        <f t="shared" si="92"/>
        <v>7.990533825325441E-2</v>
      </c>
      <c r="AC298">
        <f t="shared" si="106"/>
        <v>0.19530292329293969</v>
      </c>
      <c r="AD298" t="str">
        <f t="shared" si="107"/>
        <v>Low</v>
      </c>
      <c r="AE298">
        <f t="shared" si="93"/>
        <v>4.2344589110234573E-2</v>
      </c>
      <c r="AF298">
        <f t="shared" si="108"/>
        <v>0.25566915222216613</v>
      </c>
      <c r="AG298" t="s">
        <v>1169</v>
      </c>
    </row>
    <row r="299" spans="1:33" customFormat="1" x14ac:dyDescent="0.3">
      <c r="A299">
        <v>404138</v>
      </c>
      <c r="B299" t="s">
        <v>270</v>
      </c>
      <c r="C299" t="s">
        <v>1156</v>
      </c>
      <c r="D299" t="s">
        <v>850</v>
      </c>
      <c r="E299" s="21">
        <v>5.8</v>
      </c>
      <c r="F299" s="2">
        <f t="shared" si="94"/>
        <v>0.57777777777777772</v>
      </c>
      <c r="G299" s="26">
        <v>55.408679999999997</v>
      </c>
      <c r="H299">
        <f t="shared" si="95"/>
        <v>0.56802639494244556</v>
      </c>
      <c r="I299" s="12">
        <v>70.2</v>
      </c>
      <c r="J299" s="2">
        <f t="shared" si="96"/>
        <v>0.29520605550883094</v>
      </c>
      <c r="K299" s="10">
        <v>0</v>
      </c>
      <c r="L299" s="2">
        <f t="shared" si="97"/>
        <v>0</v>
      </c>
      <c r="M299">
        <v>45853</v>
      </c>
      <c r="N299">
        <f t="shared" si="98"/>
        <v>0.21581903261368421</v>
      </c>
      <c r="O299" s="10">
        <v>0.77521230200000002</v>
      </c>
      <c r="P299">
        <f t="shared" si="99"/>
        <v>0.75826682110612242</v>
      </c>
      <c r="Q299" s="23">
        <v>0.26069999999999999</v>
      </c>
      <c r="R299" s="13">
        <f t="shared" si="100"/>
        <v>0.56453009961022083</v>
      </c>
      <c r="S299">
        <f t="shared" si="101"/>
        <v>0.11545687965118091</v>
      </c>
      <c r="T299" s="14">
        <f t="shared" si="89"/>
        <v>0.2060271694235474</v>
      </c>
      <c r="U299" t="str">
        <f t="shared" si="102"/>
        <v>Low</v>
      </c>
      <c r="V299">
        <f t="shared" si="103"/>
        <v>9.854707513965133E-2</v>
      </c>
      <c r="W299">
        <f t="shared" si="90"/>
        <v>0.15941300917308213</v>
      </c>
      <c r="X299" t="s">
        <v>1170</v>
      </c>
      <c r="Y299">
        <f t="shared" si="91"/>
        <v>0.1323666841627105</v>
      </c>
      <c r="Z299">
        <f t="shared" si="104"/>
        <v>0.24096096421914456</v>
      </c>
      <c r="AA299" t="str">
        <f t="shared" si="105"/>
        <v>Low</v>
      </c>
      <c r="AB299">
        <f t="shared" si="92"/>
        <v>8.7387522563717193E-2</v>
      </c>
      <c r="AC299">
        <f t="shared" si="106"/>
        <v>0.21359071858164097</v>
      </c>
      <c r="AD299" t="str">
        <f t="shared" si="107"/>
        <v>Low</v>
      </c>
      <c r="AE299">
        <f t="shared" si="93"/>
        <v>3.7674402902931649E-2</v>
      </c>
      <c r="AF299">
        <f t="shared" si="108"/>
        <v>0.22747139252180812</v>
      </c>
      <c r="AG299" t="s">
        <v>1169</v>
      </c>
    </row>
    <row r="300" spans="1:33" customFormat="1" x14ac:dyDescent="0.3">
      <c r="A300">
        <v>404147</v>
      </c>
      <c r="B300" t="s">
        <v>288</v>
      </c>
      <c r="C300" t="s">
        <v>1156</v>
      </c>
      <c r="D300" t="s">
        <v>1129</v>
      </c>
      <c r="E300" s="21">
        <v>5.8</v>
      </c>
      <c r="F300" s="2">
        <f t="shared" si="94"/>
        <v>0.57777777777777772</v>
      </c>
      <c r="G300" s="26">
        <v>51.899760000000001</v>
      </c>
      <c r="H300">
        <f t="shared" si="95"/>
        <v>0.53205442849708995</v>
      </c>
      <c r="I300" s="12">
        <v>77.7</v>
      </c>
      <c r="J300" s="2">
        <f t="shared" si="96"/>
        <v>0.32674516400336417</v>
      </c>
      <c r="K300" s="10">
        <v>0</v>
      </c>
      <c r="L300" s="2">
        <f t="shared" si="97"/>
        <v>0</v>
      </c>
      <c r="M300">
        <v>77221</v>
      </c>
      <c r="N300">
        <f t="shared" si="98"/>
        <v>0.36423424318557107</v>
      </c>
      <c r="O300" s="10">
        <v>0.87838899000000004</v>
      </c>
      <c r="P300">
        <f t="shared" si="99"/>
        <v>0.8718941524722984</v>
      </c>
      <c r="Q300" s="23">
        <v>0</v>
      </c>
      <c r="R300" s="13">
        <f t="shared" si="100"/>
        <v>0</v>
      </c>
      <c r="S300">
        <f t="shared" si="101"/>
        <v>7.5710214665614672E-2</v>
      </c>
      <c r="T300" s="14">
        <f t="shared" si="89"/>
        <v>0.13510118471183016</v>
      </c>
      <c r="U300" t="str">
        <f t="shared" si="102"/>
        <v>No Impact</v>
      </c>
      <c r="V300">
        <f t="shared" si="103"/>
        <v>0</v>
      </c>
      <c r="W300">
        <f t="shared" si="90"/>
        <v>0</v>
      </c>
      <c r="X300" t="s">
        <v>1170</v>
      </c>
      <c r="Y300">
        <f t="shared" si="91"/>
        <v>0.15142042933122934</v>
      </c>
      <c r="Z300">
        <f t="shared" si="104"/>
        <v>0.27564649583031997</v>
      </c>
      <c r="AA300" t="str">
        <f t="shared" si="105"/>
        <v>Low</v>
      </c>
      <c r="AB300">
        <f t="shared" si="92"/>
        <v>6.7565716343759866E-2</v>
      </c>
      <c r="AC300">
        <f t="shared" si="106"/>
        <v>0.16514268263898391</v>
      </c>
      <c r="AD300" t="str">
        <f t="shared" si="107"/>
        <v>Low</v>
      </c>
      <c r="AE300">
        <f t="shared" si="93"/>
        <v>6.3255964412545884E-2</v>
      </c>
      <c r="AF300">
        <f t="shared" si="108"/>
        <v>0.3819283439555739</v>
      </c>
      <c r="AG300" t="str">
        <f t="shared" si="110"/>
        <v>Moderate</v>
      </c>
    </row>
    <row r="301" spans="1:33" customFormat="1" x14ac:dyDescent="0.3">
      <c r="A301">
        <v>404161</v>
      </c>
      <c r="B301" t="s">
        <v>323</v>
      </c>
      <c r="C301" t="s">
        <v>1156</v>
      </c>
      <c r="D301" t="s">
        <v>851</v>
      </c>
      <c r="E301" s="21">
        <v>5.8</v>
      </c>
      <c r="F301" s="2">
        <f t="shared" si="94"/>
        <v>0.57777777777777772</v>
      </c>
      <c r="G301" s="26">
        <v>52.190280000000001</v>
      </c>
      <c r="H301">
        <f t="shared" si="95"/>
        <v>0.53503271688545584</v>
      </c>
      <c r="I301" s="12">
        <v>66.199999999999989</v>
      </c>
      <c r="J301" s="2">
        <f t="shared" si="96"/>
        <v>0.27838519764507985</v>
      </c>
      <c r="K301" s="10">
        <v>0</v>
      </c>
      <c r="L301" s="2">
        <f t="shared" si="97"/>
        <v>0</v>
      </c>
      <c r="M301">
        <v>71555</v>
      </c>
      <c r="N301">
        <f t="shared" si="98"/>
        <v>0.33742601240578557</v>
      </c>
      <c r="O301" s="10">
        <v>0.85398755299999995</v>
      </c>
      <c r="P301">
        <f t="shared" si="99"/>
        <v>0.84502112309370592</v>
      </c>
      <c r="Q301" s="23">
        <v>0.28170000000000001</v>
      </c>
      <c r="R301" s="13">
        <f t="shared" si="100"/>
        <v>0.6100043308791685</v>
      </c>
      <c r="S301">
        <f t="shared" si="101"/>
        <v>0.11966942566967886</v>
      </c>
      <c r="T301" s="14">
        <f t="shared" si="89"/>
        <v>0.2135442522936169</v>
      </c>
      <c r="U301" t="str">
        <f t="shared" si="102"/>
        <v>Low</v>
      </c>
      <c r="V301">
        <f t="shared" si="103"/>
        <v>0.10034033113717301</v>
      </c>
      <c r="W301">
        <f t="shared" si="90"/>
        <v>0.16231383940449695</v>
      </c>
      <c r="X301" t="s">
        <v>1170</v>
      </c>
      <c r="Y301">
        <f t="shared" si="91"/>
        <v>0.13899852020218473</v>
      </c>
      <c r="Z301">
        <f t="shared" si="104"/>
        <v>0.25303359123041458</v>
      </c>
      <c r="AA301" t="str">
        <f t="shared" si="105"/>
        <v>Low</v>
      </c>
      <c r="AB301">
        <f t="shared" si="92"/>
        <v>9.6244932784721696E-2</v>
      </c>
      <c r="AC301">
        <f t="shared" si="106"/>
        <v>0.23523981170586022</v>
      </c>
      <c r="AD301" t="str">
        <f t="shared" si="107"/>
        <v>Low</v>
      </c>
      <c r="AE301">
        <f t="shared" si="93"/>
        <v>5.5503602360159235E-2</v>
      </c>
      <c r="AF301">
        <f t="shared" si="108"/>
        <v>0.33512095072539766</v>
      </c>
      <c r="AG301" t="str">
        <f t="shared" si="110"/>
        <v>Moderate</v>
      </c>
    </row>
    <row r="302" spans="1:33" customFormat="1" x14ac:dyDescent="0.3">
      <c r="A302">
        <v>404190</v>
      </c>
      <c r="B302" t="s">
        <v>481</v>
      </c>
      <c r="C302" t="s">
        <v>1156</v>
      </c>
      <c r="D302" t="s">
        <v>852</v>
      </c>
      <c r="E302" s="21">
        <v>5.8</v>
      </c>
      <c r="F302" s="2">
        <f t="shared" si="94"/>
        <v>0.57777777777777772</v>
      </c>
      <c r="G302" s="26">
        <v>57.98736000000001</v>
      </c>
      <c r="H302">
        <f t="shared" si="95"/>
        <v>0.59446193363620603</v>
      </c>
      <c r="I302" s="12">
        <v>23.599999999999998</v>
      </c>
      <c r="J302" s="2">
        <f t="shared" si="96"/>
        <v>9.9243061396131191E-2</v>
      </c>
      <c r="K302" s="10">
        <v>0</v>
      </c>
      <c r="L302" s="2">
        <f t="shared" si="97"/>
        <v>0</v>
      </c>
      <c r="M302">
        <v>72161</v>
      </c>
      <c r="N302">
        <f t="shared" si="98"/>
        <v>0.34029325346694866</v>
      </c>
      <c r="O302" s="10">
        <v>0.86490294700000003</v>
      </c>
      <c r="P302">
        <f t="shared" si="99"/>
        <v>0.85704212430117221</v>
      </c>
      <c r="Q302" s="23">
        <v>0.29020000000000001</v>
      </c>
      <c r="R302" s="13">
        <f t="shared" si="100"/>
        <v>0.62841056734517109</v>
      </c>
      <c r="S302">
        <f t="shared" si="101"/>
        <v>0.10419155737690683</v>
      </c>
      <c r="T302" s="14">
        <f t="shared" si="89"/>
        <v>0.18592475137947037</v>
      </c>
      <c r="U302" t="str">
        <f t="shared" si="102"/>
        <v>Low</v>
      </c>
      <c r="V302">
        <f t="shared" si="103"/>
        <v>8.8155046676353224E-2</v>
      </c>
      <c r="W302">
        <f t="shared" si="90"/>
        <v>0.14260252011088456</v>
      </c>
      <c r="X302" t="s">
        <v>1170</v>
      </c>
      <c r="Y302">
        <f t="shared" si="91"/>
        <v>0.12022806807746043</v>
      </c>
      <c r="Z302">
        <f t="shared" si="104"/>
        <v>0.21886376767237281</v>
      </c>
      <c r="AA302" t="str">
        <f t="shared" si="105"/>
        <v>Low</v>
      </c>
      <c r="AB302">
        <f t="shared" si="92"/>
        <v>8.3630710495807531E-2</v>
      </c>
      <c r="AC302">
        <f t="shared" si="106"/>
        <v>0.20440839866204452</v>
      </c>
      <c r="AD302" t="str">
        <f t="shared" si="107"/>
        <v>Low</v>
      </c>
      <c r="AE302">
        <f t="shared" si="93"/>
        <v>4.7737210673845107E-2</v>
      </c>
      <c r="AF302">
        <f t="shared" si="108"/>
        <v>0.2882288490427935</v>
      </c>
      <c r="AG302" t="s">
        <v>1169</v>
      </c>
    </row>
    <row r="303" spans="1:33" customFormat="1" x14ac:dyDescent="0.3">
      <c r="A303">
        <v>404414</v>
      </c>
      <c r="B303" t="s">
        <v>203</v>
      </c>
      <c r="C303" t="s">
        <v>854</v>
      </c>
      <c r="D303" t="s">
        <v>853</v>
      </c>
      <c r="E303" s="21">
        <v>4.7</v>
      </c>
      <c r="F303" s="2">
        <f t="shared" si="94"/>
        <v>0.33333333333333331</v>
      </c>
      <c r="G303" s="26">
        <v>45.158760000000001</v>
      </c>
      <c r="H303">
        <f t="shared" si="95"/>
        <v>0.46294854241016231</v>
      </c>
      <c r="I303" s="12">
        <v>6.4</v>
      </c>
      <c r="J303" s="2">
        <f t="shared" si="96"/>
        <v>2.6913372582001681E-2</v>
      </c>
      <c r="K303" s="10">
        <v>0</v>
      </c>
      <c r="L303" s="2">
        <f t="shared" si="97"/>
        <v>0</v>
      </c>
      <c r="M303">
        <v>28168</v>
      </c>
      <c r="N303">
        <f t="shared" si="98"/>
        <v>0.13214385412083102</v>
      </c>
      <c r="O303" s="10">
        <v>0.93225243000000002</v>
      </c>
      <c r="P303">
        <f t="shared" si="99"/>
        <v>0.93121335590904897</v>
      </c>
      <c r="Q303" s="23">
        <v>0.29570000000000002</v>
      </c>
      <c r="R303" s="13">
        <f t="shared" si="100"/>
        <v>0.64032048505846695</v>
      </c>
      <c r="S303">
        <f t="shared" si="101"/>
        <v>4.4907016980661386E-2</v>
      </c>
      <c r="T303" s="14">
        <f t="shared" si="89"/>
        <v>8.0134381110361239E-2</v>
      </c>
      <c r="U303" t="str">
        <f t="shared" si="102"/>
        <v>No Impact</v>
      </c>
      <c r="V303">
        <f t="shared" si="103"/>
        <v>3.6594672218936058E-2</v>
      </c>
      <c r="W303">
        <f t="shared" si="90"/>
        <v>5.9196752515042E-2</v>
      </c>
      <c r="X303" t="s">
        <v>1170</v>
      </c>
      <c r="Y303">
        <f t="shared" si="91"/>
        <v>5.3219361742386728E-2</v>
      </c>
      <c r="Z303">
        <f t="shared" si="104"/>
        <v>9.688078840752283E-2</v>
      </c>
      <c r="AA303" t="str">
        <f t="shared" si="105"/>
        <v>No Impact</v>
      </c>
      <c r="AB303">
        <f t="shared" si="92"/>
        <v>3.141717699123505E-2</v>
      </c>
      <c r="AC303">
        <f t="shared" si="106"/>
        <v>7.6789193840249903E-2</v>
      </c>
      <c r="AD303" t="str">
        <f t="shared" si="107"/>
        <v>No Impact</v>
      </c>
      <c r="AE303">
        <f t="shared" si="93"/>
        <v>7.5520948339754673E-3</v>
      </c>
      <c r="AF303">
        <f t="shared" si="108"/>
        <v>4.559821512678771E-2</v>
      </c>
      <c r="AG303" t="s">
        <v>1170</v>
      </c>
    </row>
    <row r="304" spans="1:33" customFormat="1" x14ac:dyDescent="0.3">
      <c r="A304">
        <v>404419</v>
      </c>
      <c r="B304" t="s">
        <v>224</v>
      </c>
      <c r="C304" t="s">
        <v>854</v>
      </c>
      <c r="D304" t="s">
        <v>1146</v>
      </c>
      <c r="E304" s="21">
        <v>4.5999999999999996</v>
      </c>
      <c r="F304" s="2">
        <f t="shared" si="94"/>
        <v>0.31111111111111101</v>
      </c>
      <c r="G304" s="26">
        <v>48.229559999999999</v>
      </c>
      <c r="H304">
        <f t="shared" si="95"/>
        <v>0.49442908758086951</v>
      </c>
      <c r="I304" s="12">
        <v>21.2</v>
      </c>
      <c r="J304" s="2">
        <f t="shared" si="96"/>
        <v>8.9150546677880568E-2</v>
      </c>
      <c r="K304" s="10">
        <v>0</v>
      </c>
      <c r="L304" s="2">
        <f t="shared" si="97"/>
        <v>0</v>
      </c>
      <c r="M304">
        <v>45089</v>
      </c>
      <c r="N304">
        <f t="shared" si="98"/>
        <v>0.2122042270514258</v>
      </c>
      <c r="O304" s="10">
        <v>0.876006646</v>
      </c>
      <c r="P304">
        <f t="shared" si="99"/>
        <v>0.86927050369694503</v>
      </c>
      <c r="Q304" s="23">
        <v>0.28860000000000002</v>
      </c>
      <c r="R304" s="13">
        <f t="shared" si="100"/>
        <v>0.6249458640103942</v>
      </c>
      <c r="S304">
        <f t="shared" si="101"/>
        <v>4.7475242030149169E-2</v>
      </c>
      <c r="T304" s="14">
        <f t="shared" si="89"/>
        <v>8.4717253425871691E-2</v>
      </c>
      <c r="U304" t="str">
        <f t="shared" si="102"/>
        <v>No Impact</v>
      </c>
      <c r="V304">
        <f t="shared" si="103"/>
        <v>3.9712396130632245E-2</v>
      </c>
      <c r="W304">
        <f t="shared" si="90"/>
        <v>6.4240085864408825E-2</v>
      </c>
      <c r="X304" t="s">
        <v>1170</v>
      </c>
      <c r="Y304">
        <f t="shared" si="91"/>
        <v>5.5238087929666085E-2</v>
      </c>
      <c r="Z304">
        <f t="shared" si="104"/>
        <v>0.10055568750814038</v>
      </c>
      <c r="AA304" t="str">
        <f t="shared" si="105"/>
        <v>No Impact</v>
      </c>
      <c r="AB304">
        <f t="shared" si="92"/>
        <v>3.5190371287656154E-2</v>
      </c>
      <c r="AC304">
        <f t="shared" si="106"/>
        <v>8.6011554853323707E-2</v>
      </c>
      <c r="AD304" t="str">
        <f t="shared" si="107"/>
        <v>No Impact</v>
      </c>
      <c r="AE304">
        <f t="shared" si="93"/>
        <v>1.3484589322957239E-2</v>
      </c>
      <c r="AF304">
        <f t="shared" si="108"/>
        <v>8.1417569344917243E-2</v>
      </c>
      <c r="AG304" t="s">
        <v>1170</v>
      </c>
    </row>
    <row r="305" spans="1:33" customFormat="1" x14ac:dyDescent="0.3">
      <c r="A305">
        <v>404433</v>
      </c>
      <c r="B305" t="s">
        <v>245</v>
      </c>
      <c r="C305" t="s">
        <v>854</v>
      </c>
      <c r="D305" t="s">
        <v>1139</v>
      </c>
      <c r="E305" s="21">
        <v>4.5999999999999996</v>
      </c>
      <c r="F305" s="2">
        <f t="shared" si="94"/>
        <v>0.31111111111111101</v>
      </c>
      <c r="G305" s="26">
        <v>48.607200000000006</v>
      </c>
      <c r="H305">
        <f t="shared" si="95"/>
        <v>0.49830049342894367</v>
      </c>
      <c r="I305" s="12">
        <v>23.900000000000002</v>
      </c>
      <c r="J305" s="2">
        <f t="shared" si="96"/>
        <v>0.10050462573591254</v>
      </c>
      <c r="K305" s="10">
        <v>0</v>
      </c>
      <c r="L305" s="2">
        <f t="shared" si="97"/>
        <v>0</v>
      </c>
      <c r="M305">
        <v>31560</v>
      </c>
      <c r="N305">
        <f t="shared" si="98"/>
        <v>0.14819283378991546</v>
      </c>
      <c r="O305" s="10">
        <v>0.90598758099999999</v>
      </c>
      <c r="P305">
        <f t="shared" si="99"/>
        <v>0.90228817175693143</v>
      </c>
      <c r="Q305" s="23">
        <v>0.2792</v>
      </c>
      <c r="R305" s="13">
        <f t="shared" si="100"/>
        <v>0.60459073191857948</v>
      </c>
      <c r="S305">
        <f t="shared" si="101"/>
        <v>4.9126681414042965E-2</v>
      </c>
      <c r="T305" s="14">
        <f t="shared" si="89"/>
        <v>8.7664166444534106E-2</v>
      </c>
      <c r="U305" t="str">
        <f t="shared" si="102"/>
        <v>No Impact</v>
      </c>
      <c r="V305">
        <f t="shared" si="103"/>
        <v>3.9421264974113669E-2</v>
      </c>
      <c r="W305">
        <f t="shared" si="90"/>
        <v>6.3769142473558332E-2</v>
      </c>
      <c r="X305" t="s">
        <v>1170</v>
      </c>
      <c r="Y305">
        <f t="shared" si="91"/>
        <v>5.8832097853972261E-2</v>
      </c>
      <c r="Z305">
        <f t="shared" si="104"/>
        <v>0.10709824088742916</v>
      </c>
      <c r="AA305" t="str">
        <f t="shared" si="105"/>
        <v>No Impact</v>
      </c>
      <c r="AB305">
        <f t="shared" si="92"/>
        <v>3.4828999789515147E-2</v>
      </c>
      <c r="AC305">
        <f t="shared" si="106"/>
        <v>8.5128298346005021E-2</v>
      </c>
      <c r="AD305" t="str">
        <f t="shared" si="107"/>
        <v>No Impact</v>
      </c>
      <c r="AE305">
        <f t="shared" si="93"/>
        <v>9.6626505496676743E-3</v>
      </c>
      <c r="AF305">
        <f t="shared" si="108"/>
        <v>5.8341377875254501E-2</v>
      </c>
      <c r="AG305" t="s">
        <v>1170</v>
      </c>
    </row>
    <row r="306" spans="1:33" customFormat="1" x14ac:dyDescent="0.3">
      <c r="A306">
        <v>404442</v>
      </c>
      <c r="B306" t="s">
        <v>285</v>
      </c>
      <c r="C306" t="s">
        <v>854</v>
      </c>
      <c r="D306" t="s">
        <v>855</v>
      </c>
      <c r="E306" s="21">
        <v>4.5999999999999996</v>
      </c>
      <c r="F306" s="2">
        <f t="shared" si="94"/>
        <v>0.31111111111111101</v>
      </c>
      <c r="G306" s="26">
        <v>47.033279999999998</v>
      </c>
      <c r="H306">
        <f t="shared" si="95"/>
        <v>0.48216533006595041</v>
      </c>
      <c r="I306" s="12">
        <v>4.4000000000000004</v>
      </c>
      <c r="J306" s="2">
        <f t="shared" si="96"/>
        <v>1.8502943650126159E-2</v>
      </c>
      <c r="K306" s="10">
        <v>0</v>
      </c>
      <c r="L306" s="2">
        <f t="shared" si="97"/>
        <v>0</v>
      </c>
      <c r="M306">
        <v>23944</v>
      </c>
      <c r="N306">
        <f t="shared" si="98"/>
        <v>0.11215833226876364</v>
      </c>
      <c r="O306" s="10">
        <v>0.72649766500000001</v>
      </c>
      <c r="P306">
        <f t="shared" si="99"/>
        <v>0.70461793676916851</v>
      </c>
      <c r="Q306" s="23">
        <v>0.29010000000000002</v>
      </c>
      <c r="R306" s="13">
        <f t="shared" si="100"/>
        <v>0.62819402338674757</v>
      </c>
      <c r="S306">
        <f t="shared" si="101"/>
        <v>3.6330596111878583E-2</v>
      </c>
      <c r="T306" s="14">
        <f t="shared" si="89"/>
        <v>6.4830176452148058E-2</v>
      </c>
      <c r="U306" t="str">
        <f t="shared" si="102"/>
        <v>No Impact</v>
      </c>
      <c r="V306">
        <f t="shared" si="103"/>
        <v>3.42473867669826E-2</v>
      </c>
      <c r="W306">
        <f t="shared" si="90"/>
        <v>5.5399705908089576E-2</v>
      </c>
      <c r="X306" t="s">
        <v>1170</v>
      </c>
      <c r="Y306">
        <f t="shared" si="91"/>
        <v>3.8413805456774558E-2</v>
      </c>
      <c r="Z306">
        <f t="shared" si="104"/>
        <v>6.9928680775994234E-2</v>
      </c>
      <c r="AA306" t="str">
        <f t="shared" si="105"/>
        <v>No Impact</v>
      </c>
      <c r="AB306">
        <f t="shared" si="92"/>
        <v>2.5650822858782656E-2</v>
      </c>
      <c r="AC306">
        <f t="shared" si="106"/>
        <v>6.2695194072162966E-2</v>
      </c>
      <c r="AD306" t="str">
        <f t="shared" si="107"/>
        <v>No Impact</v>
      </c>
      <c r="AE306">
        <f t="shared" si="93"/>
        <v>6.1145595808753854E-3</v>
      </c>
      <c r="AF306">
        <f t="shared" si="108"/>
        <v>3.6918631095572182E-2</v>
      </c>
      <c r="AG306" t="s">
        <v>1170</v>
      </c>
    </row>
    <row r="307" spans="1:33" customFormat="1" x14ac:dyDescent="0.3">
      <c r="A307">
        <v>404471</v>
      </c>
      <c r="B307" t="s">
        <v>319</v>
      </c>
      <c r="C307" t="s">
        <v>854</v>
      </c>
      <c r="D307" t="s">
        <v>856</v>
      </c>
      <c r="E307" s="21">
        <v>4.5999999999999996</v>
      </c>
      <c r="F307" s="2">
        <f t="shared" si="94"/>
        <v>0.31111111111111101</v>
      </c>
      <c r="G307" s="26">
        <v>53.631360000000001</v>
      </c>
      <c r="H307">
        <f t="shared" si="95"/>
        <v>0.54980606065079474</v>
      </c>
      <c r="I307" s="12">
        <v>12.5</v>
      </c>
      <c r="J307" s="2">
        <f t="shared" si="96"/>
        <v>5.2565180824222034E-2</v>
      </c>
      <c r="K307" s="10">
        <v>0</v>
      </c>
      <c r="L307" s="2">
        <f t="shared" si="97"/>
        <v>0</v>
      </c>
      <c r="M307">
        <v>47194</v>
      </c>
      <c r="N307">
        <f t="shared" si="98"/>
        <v>0.22216386803120844</v>
      </c>
      <c r="O307" s="10">
        <v>0.74038319200000002</v>
      </c>
      <c r="P307">
        <f t="shared" si="99"/>
        <v>0.71990991219701883</v>
      </c>
      <c r="Q307" s="23">
        <v>0.29370000000000002</v>
      </c>
      <c r="R307" s="13">
        <f t="shared" si="100"/>
        <v>0.63598960588999576</v>
      </c>
      <c r="S307">
        <f t="shared" si="101"/>
        <v>4.4467765472496805E-2</v>
      </c>
      <c r="T307" s="14">
        <f t="shared" si="89"/>
        <v>7.9350558221975676E-2</v>
      </c>
      <c r="U307" t="str">
        <f t="shared" si="102"/>
        <v>No Impact</v>
      </c>
      <c r="V307">
        <f t="shared" si="103"/>
        <v>4.1715534610651105E-2</v>
      </c>
      <c r="W307">
        <f t="shared" si="90"/>
        <v>6.748042894346705E-2</v>
      </c>
      <c r="X307" t="s">
        <v>1170</v>
      </c>
      <c r="Y307">
        <f t="shared" si="91"/>
        <v>4.7219996334342512E-2</v>
      </c>
      <c r="Z307">
        <f t="shared" si="104"/>
        <v>8.5959514050840222E-2</v>
      </c>
      <c r="AA307" t="str">
        <f t="shared" si="105"/>
        <v>No Impact</v>
      </c>
      <c r="AB307">
        <f t="shared" si="92"/>
        <v>3.3866660222243945E-2</v>
      </c>
      <c r="AC307">
        <f t="shared" si="106"/>
        <v>8.2776168503405009E-2</v>
      </c>
      <c r="AD307" t="str">
        <f t="shared" si="107"/>
        <v>No Impact</v>
      </c>
      <c r="AE307">
        <f t="shared" si="93"/>
        <v>1.4572069166323748E-2</v>
      </c>
      <c r="AF307">
        <f t="shared" si="108"/>
        <v>8.7983580621786822E-2</v>
      </c>
      <c r="AG307" t="s">
        <v>1170</v>
      </c>
    </row>
    <row r="308" spans="1:33" customFormat="1" x14ac:dyDescent="0.3">
      <c r="A308">
        <v>404480</v>
      </c>
      <c r="B308" t="s">
        <v>477</v>
      </c>
      <c r="C308" t="s">
        <v>854</v>
      </c>
      <c r="D308" t="s">
        <v>857</v>
      </c>
      <c r="E308" s="21">
        <v>4.5999999999999996</v>
      </c>
      <c r="F308" s="2">
        <f t="shared" si="94"/>
        <v>0.31111111111111101</v>
      </c>
      <c r="G308" s="26">
        <v>45.158760000000001</v>
      </c>
      <c r="H308">
        <f t="shared" si="95"/>
        <v>0.46294854241016231</v>
      </c>
      <c r="I308" s="12">
        <v>13.899999999999999</v>
      </c>
      <c r="J308" s="2">
        <f t="shared" si="96"/>
        <v>5.8452481076534897E-2</v>
      </c>
      <c r="K308" s="10">
        <v>0</v>
      </c>
      <c r="L308" s="2">
        <f t="shared" si="97"/>
        <v>0</v>
      </c>
      <c r="M308">
        <v>21848</v>
      </c>
      <c r="N308">
        <f t="shared" si="98"/>
        <v>0.10224127407701807</v>
      </c>
      <c r="O308" s="10">
        <v>0.95730516700000001</v>
      </c>
      <c r="P308">
        <f t="shared" si="99"/>
        <v>0.95880365468592632</v>
      </c>
      <c r="Q308" s="23">
        <v>0.30819999999999997</v>
      </c>
      <c r="R308" s="13">
        <f t="shared" si="100"/>
        <v>0.66738847986141181</v>
      </c>
      <c r="S308">
        <f t="shared" si="101"/>
        <v>4.6163348804012141E-2</v>
      </c>
      <c r="T308" s="14">
        <f t="shared" si="89"/>
        <v>8.2376243961701803E-2</v>
      </c>
      <c r="U308" t="str">
        <f t="shared" si="102"/>
        <v>No Impact</v>
      </c>
      <c r="V308">
        <f t="shared" si="103"/>
        <v>3.7890832859301282E-2</v>
      </c>
      <c r="W308">
        <f t="shared" si="90"/>
        <v>6.129346485033476E-2</v>
      </c>
      <c r="X308" t="s">
        <v>1170</v>
      </c>
      <c r="Y308">
        <f t="shared" si="91"/>
        <v>5.4435864748723001E-2</v>
      </c>
      <c r="Z308">
        <f t="shared" si="104"/>
        <v>9.9095316475793768E-2</v>
      </c>
      <c r="AA308" t="str">
        <f t="shared" si="105"/>
        <v>No Impact</v>
      </c>
      <c r="AB308">
        <f t="shared" si="92"/>
        <v>3.1624204902771791E-2</v>
      </c>
      <c r="AC308">
        <f t="shared" si="106"/>
        <v>7.7295207045502939E-2</v>
      </c>
      <c r="AD308" t="str">
        <f t="shared" si="107"/>
        <v>No Impact</v>
      </c>
      <c r="AE308">
        <f t="shared" si="93"/>
        <v>5.8047256497126996E-3</v>
      </c>
      <c r="AF308">
        <f t="shared" si="108"/>
        <v>3.5047908526891526E-2</v>
      </c>
      <c r="AG308" t="s">
        <v>1170</v>
      </c>
    </row>
    <row r="309" spans="1:33" customFormat="1" x14ac:dyDescent="0.3">
      <c r="A309">
        <v>404712</v>
      </c>
      <c r="B309" t="s">
        <v>54</v>
      </c>
      <c r="C309" t="s">
        <v>859</v>
      </c>
      <c r="D309" t="s">
        <v>858</v>
      </c>
      <c r="E309" s="21">
        <v>6.9</v>
      </c>
      <c r="F309" s="2">
        <f t="shared" si="94"/>
        <v>0.8222222222222223</v>
      </c>
      <c r="G309" s="26">
        <v>74.347920000000002</v>
      </c>
      <c r="H309">
        <f t="shared" si="95"/>
        <v>0.76218348766058575</v>
      </c>
      <c r="I309" s="12">
        <v>124.39999999999999</v>
      </c>
      <c r="J309" s="2">
        <f t="shared" si="96"/>
        <v>0.52312867956265763</v>
      </c>
      <c r="K309" s="10">
        <v>0.1</v>
      </c>
      <c r="L309" s="2">
        <f t="shared" si="97"/>
        <v>5.8823529411764712E-2</v>
      </c>
      <c r="M309">
        <v>34844</v>
      </c>
      <c r="N309">
        <f t="shared" si="98"/>
        <v>0.16373082000255496</v>
      </c>
      <c r="O309" s="10">
        <v>0.86578064499999996</v>
      </c>
      <c r="P309">
        <f t="shared" si="99"/>
        <v>0.85800872328218836</v>
      </c>
      <c r="Q309" s="23">
        <v>0.29849999999999999</v>
      </c>
      <c r="R309" s="13">
        <f t="shared" si="100"/>
        <v>0.64638371589432653</v>
      </c>
      <c r="S309">
        <f t="shared" si="101"/>
        <v>0.2891397761818969</v>
      </c>
      <c r="T309" s="14">
        <f t="shared" si="89"/>
        <v>0.51595582553841302</v>
      </c>
      <c r="U309" t="str">
        <f t="shared" si="102"/>
        <v>Moderate</v>
      </c>
      <c r="V309">
        <f t="shared" si="103"/>
        <v>0.24846607583804722</v>
      </c>
      <c r="W309">
        <f t="shared" si="90"/>
        <v>0.40192694476868757</v>
      </c>
      <c r="X309" t="str">
        <f t="shared" si="109"/>
        <v>Moderate</v>
      </c>
      <c r="Y309">
        <f t="shared" si="91"/>
        <v>0.3298134765257465</v>
      </c>
      <c r="Z309">
        <f t="shared" si="104"/>
        <v>0.60039407815354551</v>
      </c>
      <c r="AA309" t="str">
        <f t="shared" si="105"/>
        <v>Moderate</v>
      </c>
      <c r="AB309">
        <f t="shared" si="92"/>
        <v>0.20793517495477154</v>
      </c>
      <c r="AC309">
        <f t="shared" si="106"/>
        <v>0.50823071914649887</v>
      </c>
      <c r="AD309" t="str">
        <f t="shared" si="107"/>
        <v>Moderate</v>
      </c>
      <c r="AE309">
        <f t="shared" si="93"/>
        <v>6.2937158439231575E-2</v>
      </c>
      <c r="AF309">
        <f t="shared" si="108"/>
        <v>0.38000344978058398</v>
      </c>
      <c r="AG309" t="str">
        <f t="shared" si="110"/>
        <v>Moderate</v>
      </c>
    </row>
    <row r="310" spans="1:33" customFormat="1" x14ac:dyDescent="0.3">
      <c r="A310">
        <v>404717</v>
      </c>
      <c r="B310" t="s">
        <v>121</v>
      </c>
      <c r="C310" t="s">
        <v>859</v>
      </c>
      <c r="D310" t="s">
        <v>860</v>
      </c>
      <c r="E310" s="21">
        <v>6.9</v>
      </c>
      <c r="F310" s="2">
        <f t="shared" si="94"/>
        <v>0.8222222222222223</v>
      </c>
      <c r="G310" s="26">
        <v>74.347920000000002</v>
      </c>
      <c r="H310">
        <f t="shared" si="95"/>
        <v>0.76218348766058575</v>
      </c>
      <c r="I310" s="12">
        <v>124.39999999999999</v>
      </c>
      <c r="J310" s="2">
        <f t="shared" si="96"/>
        <v>0.52312867956265763</v>
      </c>
      <c r="K310" s="10">
        <v>0.5</v>
      </c>
      <c r="L310" s="2">
        <f t="shared" si="97"/>
        <v>0.29411764705882354</v>
      </c>
      <c r="M310">
        <v>30636</v>
      </c>
      <c r="N310">
        <f t="shared" si="98"/>
        <v>0.1438210008847757</v>
      </c>
      <c r="O310" s="10">
        <v>0.44983552500000001</v>
      </c>
      <c r="P310">
        <f t="shared" si="99"/>
        <v>0.39993301939466058</v>
      </c>
      <c r="Q310" s="23">
        <v>0.40870000000000001</v>
      </c>
      <c r="R310" s="13">
        <f t="shared" si="100"/>
        <v>0.88501515807708964</v>
      </c>
      <c r="S310">
        <f t="shared" si="101"/>
        <v>0.28425193049997732</v>
      </c>
      <c r="T310" s="14">
        <f t="shared" si="89"/>
        <v>0.50723370336200013</v>
      </c>
      <c r="U310" t="str">
        <f t="shared" si="102"/>
        <v>Moderate</v>
      </c>
      <c r="V310">
        <f t="shared" si="103"/>
        <v>0.39156017591329845</v>
      </c>
      <c r="W310">
        <f t="shared" si="90"/>
        <v>0.63340069531465093</v>
      </c>
      <c r="X310" t="str">
        <f t="shared" si="109"/>
        <v>Moderate</v>
      </c>
      <c r="Y310">
        <f t="shared" si="91"/>
        <v>0.17694368508665628</v>
      </c>
      <c r="Z310">
        <f t="shared" si="104"/>
        <v>0.32210915639889287</v>
      </c>
      <c r="AA310" t="str">
        <f t="shared" si="105"/>
        <v>Moderate</v>
      </c>
      <c r="AB310">
        <f t="shared" si="92"/>
        <v>0.21240008704812907</v>
      </c>
      <c r="AC310">
        <f t="shared" si="106"/>
        <v>0.51914376204377</v>
      </c>
      <c r="AD310" t="str">
        <f t="shared" si="107"/>
        <v>Moderate</v>
      </c>
      <c r="AE310">
        <f t="shared" si="93"/>
        <v>6.3631199864222124E-2</v>
      </c>
      <c r="AF310">
        <f t="shared" si="108"/>
        <v>0.38419394935710505</v>
      </c>
      <c r="AG310" t="str">
        <f t="shared" si="110"/>
        <v>Moderate</v>
      </c>
    </row>
    <row r="311" spans="1:33" customFormat="1" x14ac:dyDescent="0.3">
      <c r="A311">
        <v>404721</v>
      </c>
      <c r="B311" t="s">
        <v>133</v>
      </c>
      <c r="C311" t="s">
        <v>873</v>
      </c>
      <c r="D311" t="s">
        <v>1143</v>
      </c>
      <c r="E311" s="21">
        <v>5.0999999999999996</v>
      </c>
      <c r="F311" s="2">
        <f t="shared" si="94"/>
        <v>0.42222222222222211</v>
      </c>
      <c r="G311" s="26">
        <v>59.983199999999997</v>
      </c>
      <c r="H311">
        <f t="shared" si="95"/>
        <v>0.61492244271315788</v>
      </c>
      <c r="I311" s="12">
        <v>108.5</v>
      </c>
      <c r="J311" s="2">
        <f t="shared" si="96"/>
        <v>0.45626576955424725</v>
      </c>
      <c r="K311" s="10">
        <v>0</v>
      </c>
      <c r="L311" s="2">
        <f t="shared" si="97"/>
        <v>0</v>
      </c>
      <c r="M311">
        <v>15743</v>
      </c>
      <c r="N311">
        <f t="shared" si="98"/>
        <v>7.3355949525201913E-2</v>
      </c>
      <c r="O311" s="10">
        <v>0.82063181299999999</v>
      </c>
      <c r="P311">
        <f t="shared" si="99"/>
        <v>0.80828682007029418</v>
      </c>
      <c r="Q311" s="23">
        <v>0.24010000000000001</v>
      </c>
      <c r="R311" s="13">
        <f t="shared" si="100"/>
        <v>0.51992204417496757</v>
      </c>
      <c r="S311">
        <f t="shared" si="101"/>
        <v>0.10512627960085781</v>
      </c>
      <c r="T311" s="14">
        <f t="shared" si="89"/>
        <v>0.18759271758971027</v>
      </c>
      <c r="U311" t="str">
        <f t="shared" si="102"/>
        <v>Low</v>
      </c>
      <c r="V311">
        <f t="shared" si="103"/>
        <v>8.2302522830467059E-2</v>
      </c>
      <c r="W311">
        <f t="shared" si="90"/>
        <v>0.13313528390719387</v>
      </c>
      <c r="X311" t="s">
        <v>1170</v>
      </c>
      <c r="Y311">
        <f t="shared" si="91"/>
        <v>0.12795003637124855</v>
      </c>
      <c r="Z311">
        <f t="shared" si="104"/>
        <v>0.23292087681211382</v>
      </c>
      <c r="AA311" t="str">
        <f t="shared" si="105"/>
        <v>Low</v>
      </c>
      <c r="AB311">
        <f t="shared" si="92"/>
        <v>7.1255124150334401E-2</v>
      </c>
      <c r="AC311">
        <f t="shared" si="106"/>
        <v>0.17416025450082948</v>
      </c>
      <c r="AD311" t="str">
        <f t="shared" si="107"/>
        <v>Low</v>
      </c>
      <c r="AE311">
        <f t="shared" si="93"/>
        <v>1.1612086423703899E-2</v>
      </c>
      <c r="AF311">
        <f t="shared" si="108"/>
        <v>7.0111727468890175E-2</v>
      </c>
      <c r="AG311" t="s">
        <v>1170</v>
      </c>
    </row>
    <row r="312" spans="1:33" customFormat="1" x14ac:dyDescent="0.3">
      <c r="A312">
        <v>404730</v>
      </c>
      <c r="B312" t="s">
        <v>159</v>
      </c>
      <c r="C312" t="s">
        <v>859</v>
      </c>
      <c r="D312" t="s">
        <v>861</v>
      </c>
      <c r="E312" s="21">
        <v>6.9</v>
      </c>
      <c r="F312" s="2">
        <f t="shared" si="94"/>
        <v>0.8222222222222223</v>
      </c>
      <c r="G312" s="26">
        <v>69.867000000000004</v>
      </c>
      <c r="H312">
        <f t="shared" si="95"/>
        <v>0.71624698757385752</v>
      </c>
      <c r="I312" s="12">
        <v>114.6</v>
      </c>
      <c r="J312" s="2">
        <f t="shared" si="96"/>
        <v>0.4819175777964676</v>
      </c>
      <c r="K312" s="10">
        <v>0</v>
      </c>
      <c r="L312" s="2">
        <f t="shared" si="97"/>
        <v>0</v>
      </c>
      <c r="M312">
        <v>69387</v>
      </c>
      <c r="N312">
        <f t="shared" si="98"/>
        <v>0.32716829190974339</v>
      </c>
      <c r="O312" s="10">
        <v>0.70737100200000003</v>
      </c>
      <c r="P312">
        <f t="shared" si="99"/>
        <v>0.68355395694234777</v>
      </c>
      <c r="Q312" s="23">
        <v>0.20699999999999999</v>
      </c>
      <c r="R312" s="13">
        <f t="shared" si="100"/>
        <v>0.44824599393676917</v>
      </c>
      <c r="S312">
        <f t="shared" si="101"/>
        <v>0.19512521801327182</v>
      </c>
      <c r="T312" s="14">
        <f t="shared" si="89"/>
        <v>0.34819143278324161</v>
      </c>
      <c r="U312" t="str">
        <f t="shared" si="102"/>
        <v>Moderate</v>
      </c>
      <c r="V312">
        <f t="shared" si="103"/>
        <v>0.15455752091621974</v>
      </c>
      <c r="W312">
        <f t="shared" si="90"/>
        <v>0.25001735936526698</v>
      </c>
      <c r="X312" t="s">
        <v>1170</v>
      </c>
      <c r="Y312">
        <f t="shared" si="91"/>
        <v>0.23569291511032389</v>
      </c>
      <c r="Z312">
        <f t="shared" si="104"/>
        <v>0.4290565442796212</v>
      </c>
      <c r="AA312" t="str">
        <f t="shared" si="105"/>
        <v>Moderate</v>
      </c>
      <c r="AB312">
        <f t="shared" si="92"/>
        <v>0.16428626444309671</v>
      </c>
      <c r="AC312">
        <f t="shared" si="106"/>
        <v>0.4015449831514471</v>
      </c>
      <c r="AD312" t="str">
        <f t="shared" si="107"/>
        <v>Moderate</v>
      </c>
      <c r="AE312">
        <f t="shared" si="93"/>
        <v>0.11280930739806472</v>
      </c>
      <c r="AF312">
        <f t="shared" si="108"/>
        <v>0.68112267921999847</v>
      </c>
      <c r="AG312" t="str">
        <f t="shared" si="110"/>
        <v>Moderate</v>
      </c>
    </row>
    <row r="313" spans="1:33" customFormat="1" x14ac:dyDescent="0.3">
      <c r="A313">
        <v>404740</v>
      </c>
      <c r="B313" t="s">
        <v>150</v>
      </c>
      <c r="C313" t="s">
        <v>859</v>
      </c>
      <c r="D313" t="s">
        <v>862</v>
      </c>
      <c r="E313" s="21">
        <v>6.9</v>
      </c>
      <c r="F313" s="2">
        <f t="shared" si="94"/>
        <v>0.8222222222222223</v>
      </c>
      <c r="G313" s="26">
        <v>57.14208</v>
      </c>
      <c r="H313">
        <f t="shared" si="95"/>
        <v>0.58579647993622697</v>
      </c>
      <c r="I313" s="12">
        <v>108.5</v>
      </c>
      <c r="J313" s="2">
        <f t="shared" si="96"/>
        <v>0.45626576955424725</v>
      </c>
      <c r="K313" s="10">
        <v>0</v>
      </c>
      <c r="L313" s="2">
        <f t="shared" si="97"/>
        <v>0</v>
      </c>
      <c r="M313">
        <v>17988</v>
      </c>
      <c r="N313">
        <f t="shared" si="98"/>
        <v>8.3977989430005728E-2</v>
      </c>
      <c r="O313" s="10">
        <v>0.64461958900000005</v>
      </c>
      <c r="P313">
        <f t="shared" si="99"/>
        <v>0.61444652834717162</v>
      </c>
      <c r="Q313" s="23">
        <v>0.20710000000000001</v>
      </c>
      <c r="R313" s="13">
        <f t="shared" si="100"/>
        <v>0.44846253789519275</v>
      </c>
      <c r="S313">
        <f t="shared" si="101"/>
        <v>0.1593738388090197</v>
      </c>
      <c r="T313" s="14">
        <f t="shared" si="89"/>
        <v>0.28439484064690979</v>
      </c>
      <c r="U313" t="str">
        <f t="shared" si="102"/>
        <v>Low</v>
      </c>
      <c r="V313">
        <f t="shared" si="103"/>
        <v>0.13448600354697704</v>
      </c>
      <c r="W313">
        <f t="shared" si="90"/>
        <v>0.21754900880319786</v>
      </c>
      <c r="X313" t="s">
        <v>1170</v>
      </c>
      <c r="Y313">
        <f t="shared" si="91"/>
        <v>0.18426167407106234</v>
      </c>
      <c r="Z313">
        <f t="shared" si="104"/>
        <v>0.33543085961282226</v>
      </c>
      <c r="AA313" t="str">
        <f t="shared" si="105"/>
        <v>Moderate</v>
      </c>
      <c r="AB313">
        <f t="shared" si="92"/>
        <v>0.11116283459804203</v>
      </c>
      <c r="AC313">
        <f t="shared" si="106"/>
        <v>0.27170182910330043</v>
      </c>
      <c r="AD313" t="str">
        <f t="shared" si="107"/>
        <v>Low</v>
      </c>
      <c r="AE313">
        <f t="shared" si="93"/>
        <v>2.5183517529375369E-2</v>
      </c>
      <c r="AF313">
        <f t="shared" si="108"/>
        <v>0.15205363216409759</v>
      </c>
      <c r="AG313" t="s">
        <v>1170</v>
      </c>
    </row>
    <row r="314" spans="1:33" customFormat="1" x14ac:dyDescent="0.3">
      <c r="A314">
        <v>404745</v>
      </c>
      <c r="B314" t="s">
        <v>273</v>
      </c>
      <c r="C314" t="s">
        <v>859</v>
      </c>
      <c r="D314" t="s">
        <v>863</v>
      </c>
      <c r="E314" s="21">
        <v>6.9</v>
      </c>
      <c r="F314" s="2">
        <f t="shared" si="94"/>
        <v>0.8222222222222223</v>
      </c>
      <c r="G314" s="26">
        <v>57.14208</v>
      </c>
      <c r="H314">
        <f t="shared" si="95"/>
        <v>0.58579647993622697</v>
      </c>
      <c r="I314" s="12">
        <v>108.5</v>
      </c>
      <c r="J314" s="2">
        <f t="shared" si="96"/>
        <v>0.45626576955424725</v>
      </c>
      <c r="K314" s="10">
        <v>0</v>
      </c>
      <c r="L314" s="2">
        <f t="shared" si="97"/>
        <v>0</v>
      </c>
      <c r="M314">
        <v>14171</v>
      </c>
      <c r="N314">
        <f t="shared" si="98"/>
        <v>6.5918155881392743E-2</v>
      </c>
      <c r="O314" s="10">
        <v>0.81698253399999998</v>
      </c>
      <c r="P314">
        <f t="shared" si="99"/>
        <v>0.80426790996357866</v>
      </c>
      <c r="Q314" s="23">
        <v>0.17780000000000001</v>
      </c>
      <c r="R314" s="13">
        <f t="shared" si="100"/>
        <v>0.38501515807708969</v>
      </c>
      <c r="S314">
        <f t="shared" si="101"/>
        <v>0.17832250566295466</v>
      </c>
      <c r="T314" s="14">
        <f t="shared" si="89"/>
        <v>0.31820781227805572</v>
      </c>
      <c r="U314" t="str">
        <f t="shared" si="102"/>
        <v>Moderate</v>
      </c>
      <c r="V314">
        <f t="shared" si="103"/>
        <v>0.11545925364873259</v>
      </c>
      <c r="W314">
        <f t="shared" si="90"/>
        <v>0.18677070866831763</v>
      </c>
      <c r="X314" t="s">
        <v>1170</v>
      </c>
      <c r="Y314">
        <f t="shared" si="91"/>
        <v>0.24118575767717676</v>
      </c>
      <c r="Z314">
        <f t="shared" si="104"/>
        <v>0.43905574195980074</v>
      </c>
      <c r="AA314" t="str">
        <f t="shared" si="105"/>
        <v>Moderate</v>
      </c>
      <c r="AB314">
        <f t="shared" si="92"/>
        <v>0.11968515829817891</v>
      </c>
      <c r="AC314">
        <f t="shared" si="106"/>
        <v>0.29253191090096614</v>
      </c>
      <c r="AD314" t="str">
        <f t="shared" si="107"/>
        <v>Low</v>
      </c>
      <c r="AE314">
        <f t="shared" si="93"/>
        <v>1.9767692051341348E-2</v>
      </c>
      <c r="AF314">
        <f t="shared" si="108"/>
        <v>0.11935383420531903</v>
      </c>
      <c r="AG314" t="s">
        <v>1170</v>
      </c>
    </row>
    <row r="315" spans="1:33" customFormat="1" x14ac:dyDescent="0.3">
      <c r="A315">
        <v>404748</v>
      </c>
      <c r="B315" t="s">
        <v>274</v>
      </c>
      <c r="C315" t="s">
        <v>859</v>
      </c>
      <c r="D315" t="s">
        <v>864</v>
      </c>
      <c r="E315" s="21">
        <v>6</v>
      </c>
      <c r="F315" s="2">
        <f t="shared" si="94"/>
        <v>0.62222222222222223</v>
      </c>
      <c r="G315" s="26">
        <v>57.14208</v>
      </c>
      <c r="H315">
        <f t="shared" si="95"/>
        <v>0.58579647993622697</v>
      </c>
      <c r="I315" s="12">
        <v>94.7</v>
      </c>
      <c r="J315" s="2">
        <f t="shared" si="96"/>
        <v>0.39823380992430613</v>
      </c>
      <c r="K315" s="10">
        <v>0</v>
      </c>
      <c r="L315" s="2">
        <f t="shared" si="97"/>
        <v>0</v>
      </c>
      <c r="M315">
        <v>12622</v>
      </c>
      <c r="N315">
        <f t="shared" si="98"/>
        <v>5.8589184918122761E-2</v>
      </c>
      <c r="O315" s="10">
        <v>0.85546781299999997</v>
      </c>
      <c r="P315">
        <f t="shared" si="99"/>
        <v>0.84665131685925976</v>
      </c>
      <c r="Q315" s="23">
        <v>0.23549999999999999</v>
      </c>
      <c r="R315" s="13">
        <f t="shared" si="100"/>
        <v>0.50996102208748373</v>
      </c>
      <c r="S315">
        <f t="shared" si="101"/>
        <v>0.14536096449552188</v>
      </c>
      <c r="T315" s="14">
        <f t="shared" si="89"/>
        <v>0.25938955002221759</v>
      </c>
      <c r="U315" t="str">
        <f t="shared" si="102"/>
        <v>Low</v>
      </c>
      <c r="V315">
        <f t="shared" si="103"/>
        <v>0.10928461122992754</v>
      </c>
      <c r="W315">
        <f t="shared" si="90"/>
        <v>0.17678240280378951</v>
      </c>
      <c r="X315" t="s">
        <v>1170</v>
      </c>
      <c r="Y315">
        <f t="shared" si="91"/>
        <v>0.18143731776111624</v>
      </c>
      <c r="Z315">
        <f t="shared" si="104"/>
        <v>0.33028938746635328</v>
      </c>
      <c r="AA315" t="str">
        <f t="shared" si="105"/>
        <v>Moderate</v>
      </c>
      <c r="AB315">
        <f t="shared" si="92"/>
        <v>9.7075289633889866E-2</v>
      </c>
      <c r="AC315">
        <f t="shared" si="106"/>
        <v>0.23726935220420425</v>
      </c>
      <c r="AD315" t="str">
        <f t="shared" si="107"/>
        <v>Low</v>
      </c>
      <c r="AE315">
        <f t="shared" si="93"/>
        <v>1.2555658214515392E-2</v>
      </c>
      <c r="AF315">
        <f t="shared" si="108"/>
        <v>7.5808847334417881E-2</v>
      </c>
      <c r="AG315" t="s">
        <v>1170</v>
      </c>
    </row>
    <row r="316" spans="1:33" customFormat="1" x14ac:dyDescent="0.3">
      <c r="A316">
        <v>404751</v>
      </c>
      <c r="B316" t="s">
        <v>280</v>
      </c>
      <c r="C316" t="s">
        <v>859</v>
      </c>
      <c r="D316" t="s">
        <v>865</v>
      </c>
      <c r="E316" s="21">
        <v>6.9</v>
      </c>
      <c r="F316" s="2">
        <f t="shared" si="94"/>
        <v>0.8222222222222223</v>
      </c>
      <c r="G316" s="26">
        <v>56.958120000000001</v>
      </c>
      <c r="H316">
        <f t="shared" si="95"/>
        <v>0.58391059968039682</v>
      </c>
      <c r="I316" s="12">
        <v>108.5</v>
      </c>
      <c r="J316" s="2">
        <f t="shared" si="96"/>
        <v>0.45626576955424725</v>
      </c>
      <c r="K316" s="10">
        <v>0</v>
      </c>
      <c r="L316" s="2">
        <f t="shared" si="97"/>
        <v>0</v>
      </c>
      <c r="M316">
        <v>21594</v>
      </c>
      <c r="N316">
        <f t="shared" si="98"/>
        <v>0.10103949317019394</v>
      </c>
      <c r="O316" s="10">
        <v>0.93266487300000001</v>
      </c>
      <c r="P316">
        <f t="shared" si="99"/>
        <v>0.93166757476738893</v>
      </c>
      <c r="Q316" s="23">
        <v>0.1883</v>
      </c>
      <c r="R316" s="13">
        <f t="shared" si="100"/>
        <v>0.40775227371156347</v>
      </c>
      <c r="S316">
        <f t="shared" si="101"/>
        <v>0.20047073032875462</v>
      </c>
      <c r="T316" s="14">
        <f t="shared" si="89"/>
        <v>0.35773023874097193</v>
      </c>
      <c r="U316" t="str">
        <f t="shared" si="102"/>
        <v>Moderate</v>
      </c>
      <c r="V316">
        <f t="shared" si="103"/>
        <v>0.12205642046740491</v>
      </c>
      <c r="W316">
        <f t="shared" si="90"/>
        <v>0.1974425039812788</v>
      </c>
      <c r="X316" t="s">
        <v>1170</v>
      </c>
      <c r="Y316">
        <f t="shared" si="91"/>
        <v>0.27888504019010441</v>
      </c>
      <c r="Z316">
        <f t="shared" si="104"/>
        <v>0.50768370164728893</v>
      </c>
      <c r="AA316" t="str">
        <f t="shared" si="105"/>
        <v>Moderate</v>
      </c>
      <c r="AB316">
        <f t="shared" si="92"/>
        <v>0.13697105329229869</v>
      </c>
      <c r="AC316">
        <f t="shared" si="106"/>
        <v>0.33478172671910877</v>
      </c>
      <c r="AD316" t="str">
        <f t="shared" si="107"/>
        <v>Moderate</v>
      </c>
      <c r="AE316">
        <f t="shared" si="93"/>
        <v>3.0245125919073298E-2</v>
      </c>
      <c r="AF316">
        <f t="shared" si="108"/>
        <v>0.18261472988795988</v>
      </c>
      <c r="AG316" t="s">
        <v>1169</v>
      </c>
    </row>
    <row r="317" spans="1:33" customFormat="1" x14ac:dyDescent="0.3">
      <c r="A317">
        <v>404753</v>
      </c>
      <c r="B317" t="s">
        <v>289</v>
      </c>
      <c r="C317" t="s">
        <v>859</v>
      </c>
      <c r="D317" t="s">
        <v>866</v>
      </c>
      <c r="E317" s="21">
        <v>6.9</v>
      </c>
      <c r="F317" s="2">
        <f t="shared" si="94"/>
        <v>0.8222222222222223</v>
      </c>
      <c r="G317" s="26">
        <v>76.241880000000009</v>
      </c>
      <c r="H317">
        <f t="shared" si="95"/>
        <v>0.78159956598920144</v>
      </c>
      <c r="I317" s="12">
        <v>98.100000000000009</v>
      </c>
      <c r="J317" s="2">
        <f t="shared" si="96"/>
        <v>0.41253153910849455</v>
      </c>
      <c r="K317" s="10">
        <v>0.5</v>
      </c>
      <c r="L317" s="2">
        <f t="shared" si="97"/>
        <v>0.29411764705882354</v>
      </c>
      <c r="M317">
        <v>26404</v>
      </c>
      <c r="N317">
        <f t="shared" si="98"/>
        <v>0.12379762766556425</v>
      </c>
      <c r="O317" s="10">
        <v>0.52404183900000001</v>
      </c>
      <c r="P317">
        <f t="shared" si="99"/>
        <v>0.48165560221628118</v>
      </c>
      <c r="Q317" s="23">
        <v>0.39579999999999999</v>
      </c>
      <c r="R317" s="13">
        <f t="shared" si="100"/>
        <v>0.85708098744045036</v>
      </c>
      <c r="S317">
        <f t="shared" si="101"/>
        <v>0.2785866767905672</v>
      </c>
      <c r="T317" s="14">
        <f t="shared" si="89"/>
        <v>0.49712433448469839</v>
      </c>
      <c r="U317" t="str">
        <f t="shared" si="102"/>
        <v>Moderate</v>
      </c>
      <c r="V317">
        <f t="shared" si="103"/>
        <v>0.35671146344425658</v>
      </c>
      <c r="W317">
        <f t="shared" si="90"/>
        <v>0.57702826505606641</v>
      </c>
      <c r="X317" t="str">
        <f t="shared" si="109"/>
        <v>Moderate</v>
      </c>
      <c r="Y317">
        <f t="shared" si="91"/>
        <v>0.20046189013687787</v>
      </c>
      <c r="Z317">
        <f t="shared" si="104"/>
        <v>0.36492181278181529</v>
      </c>
      <c r="AA317" t="str">
        <f t="shared" si="105"/>
        <v>Moderate</v>
      </c>
      <c r="AB317">
        <f t="shared" si="92"/>
        <v>0.20302089436369963</v>
      </c>
      <c r="AC317">
        <f t="shared" si="106"/>
        <v>0.49621933935262125</v>
      </c>
      <c r="AD317" t="str">
        <f t="shared" si="107"/>
        <v>Moderate</v>
      </c>
      <c r="AE317">
        <f t="shared" si="93"/>
        <v>5.152375747756139E-2</v>
      </c>
      <c r="AF317">
        <f t="shared" si="108"/>
        <v>0.31109135004936739</v>
      </c>
      <c r="AG317" t="str">
        <f t="shared" si="110"/>
        <v>Moderate</v>
      </c>
    </row>
    <row r="318" spans="1:33" customFormat="1" x14ac:dyDescent="0.3">
      <c r="A318">
        <v>404764</v>
      </c>
      <c r="B318" t="s">
        <v>394</v>
      </c>
      <c r="C318" t="s">
        <v>859</v>
      </c>
      <c r="D318" t="s">
        <v>867</v>
      </c>
      <c r="E318" s="21">
        <v>6.9</v>
      </c>
      <c r="F318" s="2">
        <f t="shared" si="94"/>
        <v>0.8222222222222223</v>
      </c>
      <c r="G318" s="26">
        <v>69.867000000000004</v>
      </c>
      <c r="H318">
        <f t="shared" si="95"/>
        <v>0.71624698757385752</v>
      </c>
      <c r="I318" s="12">
        <v>114.6</v>
      </c>
      <c r="J318" s="2">
        <f t="shared" si="96"/>
        <v>0.4819175777964676</v>
      </c>
      <c r="K318" s="10">
        <v>0</v>
      </c>
      <c r="L318" s="2">
        <f t="shared" si="97"/>
        <v>0</v>
      </c>
      <c r="M318">
        <v>42872</v>
      </c>
      <c r="N318">
        <f t="shared" si="98"/>
        <v>0.20171466693162624</v>
      </c>
      <c r="O318" s="10">
        <v>0.68771253799999998</v>
      </c>
      <c r="P318">
        <f t="shared" si="99"/>
        <v>0.6619043106280752</v>
      </c>
      <c r="Q318" s="23">
        <v>0.30209999999999998</v>
      </c>
      <c r="R318" s="13">
        <f t="shared" si="100"/>
        <v>0.65417929839757472</v>
      </c>
      <c r="S318">
        <f t="shared" si="101"/>
        <v>0.2268961939213332</v>
      </c>
      <c r="T318" s="14">
        <f t="shared" si="89"/>
        <v>0.40488518941288093</v>
      </c>
      <c r="U318" t="str">
        <f t="shared" si="102"/>
        <v>Moderate</v>
      </c>
      <c r="V318">
        <f t="shared" si="103"/>
        <v>0.22556438197483084</v>
      </c>
      <c r="W318">
        <f t="shared" si="90"/>
        <v>0.36488040707365771</v>
      </c>
      <c r="X318" t="str">
        <f t="shared" si="109"/>
        <v>Moderate</v>
      </c>
      <c r="Y318">
        <f t="shared" si="91"/>
        <v>0.22822800586783556</v>
      </c>
      <c r="Z318">
        <f t="shared" si="104"/>
        <v>0.41546738670378219</v>
      </c>
      <c r="AA318" t="str">
        <f t="shared" si="105"/>
        <v>Moderate</v>
      </c>
      <c r="AB318">
        <f t="shared" si="92"/>
        <v>0.17175922406156044</v>
      </c>
      <c r="AC318">
        <f t="shared" si="106"/>
        <v>0.41981023164473674</v>
      </c>
      <c r="AD318" t="str">
        <f t="shared" si="107"/>
        <v>Moderate</v>
      </c>
      <c r="AE318">
        <f t="shared" si="93"/>
        <v>6.9552253171482809E-2</v>
      </c>
      <c r="AF318">
        <f t="shared" si="108"/>
        <v>0.41994422374018325</v>
      </c>
      <c r="AG318" t="str">
        <f t="shared" si="110"/>
        <v>Moderate</v>
      </c>
    </row>
    <row r="319" spans="1:33" customFormat="1" x14ac:dyDescent="0.3">
      <c r="A319">
        <v>404769</v>
      </c>
      <c r="B319" t="s">
        <v>416</v>
      </c>
      <c r="C319" t="s">
        <v>859</v>
      </c>
      <c r="D319" t="s">
        <v>868</v>
      </c>
      <c r="E319" s="21">
        <v>6.9</v>
      </c>
      <c r="F319" s="2">
        <f t="shared" si="94"/>
        <v>0.8222222222222223</v>
      </c>
      <c r="G319" s="26">
        <v>54.615960000000001</v>
      </c>
      <c r="H319">
        <f t="shared" si="95"/>
        <v>0.55989976417270382</v>
      </c>
      <c r="I319" s="12">
        <v>77.7</v>
      </c>
      <c r="J319" s="2">
        <f t="shared" si="96"/>
        <v>0.32674516400336417</v>
      </c>
      <c r="K319" s="10">
        <v>0</v>
      </c>
      <c r="L319" s="2">
        <f t="shared" si="97"/>
        <v>0</v>
      </c>
      <c r="M319">
        <v>16829</v>
      </c>
      <c r="N319">
        <f t="shared" si="98"/>
        <v>7.849427261500902E-2</v>
      </c>
      <c r="O319" s="10">
        <v>0.88676591400000004</v>
      </c>
      <c r="P319">
        <f t="shared" si="99"/>
        <v>0.8811195650885405</v>
      </c>
      <c r="Q319" s="23">
        <v>0.24709999999999999</v>
      </c>
      <c r="R319" s="13">
        <f t="shared" si="100"/>
        <v>0.53508012126461668</v>
      </c>
      <c r="S319">
        <f t="shared" si="101"/>
        <v>0.18067642428894298</v>
      </c>
      <c r="T319" s="14">
        <f t="shared" si="89"/>
        <v>0.32240826523530641</v>
      </c>
      <c r="U319" t="str">
        <f t="shared" si="102"/>
        <v>Moderate</v>
      </c>
      <c r="V319">
        <f t="shared" si="103"/>
        <v>0.13652928178106771</v>
      </c>
      <c r="W319">
        <f t="shared" si="90"/>
        <v>0.22085428327646525</v>
      </c>
      <c r="X319" t="s">
        <v>1170</v>
      </c>
      <c r="Y319">
        <f t="shared" si="91"/>
        <v>0.22482356679681828</v>
      </c>
      <c r="Z319">
        <f t="shared" si="104"/>
        <v>0.40926992904012066</v>
      </c>
      <c r="AA319" t="str">
        <f t="shared" si="105"/>
        <v>Moderate</v>
      </c>
      <c r="AB319">
        <f t="shared" si="92"/>
        <v>0.12224223770698062</v>
      </c>
      <c r="AC319">
        <f t="shared" si="106"/>
        <v>0.29878186984674177</v>
      </c>
      <c r="AD319" t="str">
        <f t="shared" si="107"/>
        <v>Low</v>
      </c>
      <c r="AE319">
        <f t="shared" si="93"/>
        <v>2.0028340127318391E-2</v>
      </c>
      <c r="AF319">
        <f t="shared" si="108"/>
        <v>0.12092758126518323</v>
      </c>
      <c r="AG319" t="s">
        <v>1170</v>
      </c>
    </row>
    <row r="320" spans="1:33" customFormat="1" x14ac:dyDescent="0.3">
      <c r="A320">
        <v>404775</v>
      </c>
      <c r="B320" t="s">
        <v>451</v>
      </c>
      <c r="C320" t="s">
        <v>859</v>
      </c>
      <c r="D320" t="s">
        <v>869</v>
      </c>
      <c r="E320" s="21">
        <v>6.4</v>
      </c>
      <c r="F320" s="2">
        <f t="shared" si="94"/>
        <v>0.71111111111111114</v>
      </c>
      <c r="G320" s="26">
        <v>64.260360000000006</v>
      </c>
      <c r="H320">
        <f t="shared" si="95"/>
        <v>0.65877008130321335</v>
      </c>
      <c r="I320" s="12">
        <v>123.7</v>
      </c>
      <c r="J320" s="2">
        <f t="shared" si="96"/>
        <v>0.52018502943650125</v>
      </c>
      <c r="K320" s="10">
        <v>0</v>
      </c>
      <c r="L320" s="2">
        <f t="shared" si="97"/>
        <v>0</v>
      </c>
      <c r="M320">
        <v>27731</v>
      </c>
      <c r="N320">
        <f t="shared" si="98"/>
        <v>0.13007622319058637</v>
      </c>
      <c r="O320" s="10">
        <v>0.65691692300000004</v>
      </c>
      <c r="P320">
        <f t="shared" si="99"/>
        <v>0.62798944460494632</v>
      </c>
      <c r="Q320" s="23">
        <v>0.23480000000000001</v>
      </c>
      <c r="R320" s="13">
        <f t="shared" si="100"/>
        <v>0.50844521437851886</v>
      </c>
      <c r="S320">
        <f t="shared" si="101"/>
        <v>0.16673134479310409</v>
      </c>
      <c r="T320" s="14">
        <f t="shared" si="89"/>
        <v>0.29752395115550312</v>
      </c>
      <c r="U320" t="str">
        <f t="shared" si="102"/>
        <v>Low</v>
      </c>
      <c r="V320">
        <f t="shared" si="103"/>
        <v>0.14919248313453981</v>
      </c>
      <c r="W320">
        <f t="shared" si="90"/>
        <v>0.24133869674749886</v>
      </c>
      <c r="X320" t="s">
        <v>1170</v>
      </c>
      <c r="Y320">
        <f t="shared" si="91"/>
        <v>0.18427020645166842</v>
      </c>
      <c r="Z320">
        <f t="shared" si="104"/>
        <v>0.33544639200052945</v>
      </c>
      <c r="AA320" t="str">
        <f t="shared" si="105"/>
        <v>Moderate</v>
      </c>
      <c r="AB320">
        <f t="shared" si="92"/>
        <v>0.12085727081516157</v>
      </c>
      <c r="AC320">
        <f t="shared" si="106"/>
        <v>0.29539676331257125</v>
      </c>
      <c r="AD320" t="str">
        <f t="shared" si="107"/>
        <v>Low</v>
      </c>
      <c r="AE320">
        <f t="shared" si="93"/>
        <v>3.8168113664491771E-2</v>
      </c>
      <c r="AF320">
        <f t="shared" si="108"/>
        <v>0.23045233092511705</v>
      </c>
      <c r="AG320" t="s">
        <v>1169</v>
      </c>
    </row>
    <row r="321" spans="1:33" customFormat="1" x14ac:dyDescent="0.3">
      <c r="A321">
        <v>404785</v>
      </c>
      <c r="B321" t="s">
        <v>495</v>
      </c>
      <c r="C321" t="s">
        <v>859</v>
      </c>
      <c r="D321" t="s">
        <v>870</v>
      </c>
      <c r="E321" s="21">
        <v>6.9</v>
      </c>
      <c r="F321" s="2">
        <f t="shared" si="94"/>
        <v>0.8222222222222223</v>
      </c>
      <c r="G321" s="26">
        <v>56.958120000000001</v>
      </c>
      <c r="H321">
        <f t="shared" si="95"/>
        <v>0.58391059968039682</v>
      </c>
      <c r="I321" s="12">
        <v>108.5</v>
      </c>
      <c r="J321" s="2">
        <f t="shared" si="96"/>
        <v>0.45626576955424725</v>
      </c>
      <c r="K321" s="10">
        <v>0</v>
      </c>
      <c r="L321" s="2">
        <f t="shared" si="97"/>
        <v>0</v>
      </c>
      <c r="M321">
        <v>16022</v>
      </c>
      <c r="N321">
        <f t="shared" si="98"/>
        <v>7.4676015954351249E-2</v>
      </c>
      <c r="O321" s="10">
        <v>0.906944906</v>
      </c>
      <c r="P321">
        <f t="shared" si="99"/>
        <v>0.90334246306157306</v>
      </c>
      <c r="Q321" s="23">
        <v>0.21890000000000001</v>
      </c>
      <c r="R321" s="13">
        <f t="shared" si="100"/>
        <v>0.47401472498917285</v>
      </c>
      <c r="S321">
        <f t="shared" si="101"/>
        <v>0.20614880519028822</v>
      </c>
      <c r="T321" s="14">
        <f t="shared" si="89"/>
        <v>0.36786248633878582</v>
      </c>
      <c r="U321" t="str">
        <f t="shared" si="102"/>
        <v>Moderate</v>
      </c>
      <c r="V321">
        <f t="shared" si="103"/>
        <v>0.14189139904575113</v>
      </c>
      <c r="W321">
        <f t="shared" si="90"/>
        <v>0.22952822156931457</v>
      </c>
      <c r="X321" t="s">
        <v>1170</v>
      </c>
      <c r="Y321">
        <f t="shared" si="91"/>
        <v>0.27040621133482529</v>
      </c>
      <c r="Z321">
        <f t="shared" si="104"/>
        <v>0.4922487998112216</v>
      </c>
      <c r="AA321" t="str">
        <f t="shared" si="105"/>
        <v>Moderate</v>
      </c>
      <c r="AB321">
        <f t="shared" si="92"/>
        <v>0.13860757527827303</v>
      </c>
      <c r="AC321">
        <f t="shared" si="106"/>
        <v>0.33878167884847649</v>
      </c>
      <c r="AD321" t="str">
        <f t="shared" si="107"/>
        <v>Moderate</v>
      </c>
      <c r="AE321">
        <f t="shared" si="93"/>
        <v>2.2353492033750123E-2</v>
      </c>
      <c r="AF321">
        <f t="shared" si="108"/>
        <v>0.1349664379218764</v>
      </c>
      <c r="AG321" t="s">
        <v>1170</v>
      </c>
    </row>
    <row r="322" spans="1:33" customFormat="1" x14ac:dyDescent="0.3">
      <c r="A322">
        <v>404794</v>
      </c>
      <c r="B322" t="s">
        <v>524</v>
      </c>
      <c r="C322" t="s">
        <v>859</v>
      </c>
      <c r="D322" t="s">
        <v>871</v>
      </c>
      <c r="E322" s="21">
        <v>6.9</v>
      </c>
      <c r="F322" s="2">
        <f t="shared" si="94"/>
        <v>0.8222222222222223</v>
      </c>
      <c r="G322" s="26">
        <v>64.260360000000006</v>
      </c>
      <c r="H322">
        <f t="shared" si="95"/>
        <v>0.65877008130321335</v>
      </c>
      <c r="I322" s="12">
        <v>123.7</v>
      </c>
      <c r="J322" s="2">
        <f t="shared" si="96"/>
        <v>0.52018502943650125</v>
      </c>
      <c r="K322" s="10">
        <v>0</v>
      </c>
      <c r="L322" s="2">
        <f t="shared" si="97"/>
        <v>0</v>
      </c>
      <c r="M322">
        <v>14270</v>
      </c>
      <c r="N322">
        <f t="shared" si="98"/>
        <v>6.6386566549800574E-2</v>
      </c>
      <c r="O322" s="10">
        <v>0.28220447100000001</v>
      </c>
      <c r="P322">
        <f t="shared" si="99"/>
        <v>0.21532281636004341</v>
      </c>
      <c r="Q322" s="23">
        <v>0.21129999999999999</v>
      </c>
      <c r="R322" s="13">
        <f t="shared" si="100"/>
        <v>0.45755738414898223</v>
      </c>
      <c r="S322">
        <f t="shared" si="101"/>
        <v>0.11414641543787281</v>
      </c>
      <c r="T322" s="14">
        <f t="shared" ref="T322:T385" si="111">(S322-$AJ$10)/$AK$10</f>
        <v>0.20368870996305943</v>
      </c>
      <c r="U322" t="str">
        <f t="shared" si="102"/>
        <v>Low</v>
      </c>
      <c r="V322">
        <f t="shared" si="103"/>
        <v>0.15523873408141844</v>
      </c>
      <c r="W322">
        <f t="shared" ref="W322:W385" si="112">(V322-$AJ$13)/$AK$13</f>
        <v>0.25111931231921059</v>
      </c>
      <c r="X322" t="s">
        <v>1170</v>
      </c>
      <c r="Y322">
        <f t="shared" ref="Y322:Y385" si="113">F322*(P322*1)*(H322*0.35+J322*0.35+L322*0.3)</f>
        <v>7.3054096794327145E-2</v>
      </c>
      <c r="Z322">
        <f t="shared" si="104"/>
        <v>0.13298803785158839</v>
      </c>
      <c r="AA322" t="str">
        <f t="shared" si="105"/>
        <v>No Impact</v>
      </c>
      <c r="AB322">
        <f t="shared" ref="AB322:AB385" si="114">F322*(R322*0.35+P322*0.3+N322*0.35)*(H322*0.35+J322*0.35+L322*0.3)</f>
        <v>8.4132990167792812E-2</v>
      </c>
      <c r="AC322">
        <f t="shared" si="106"/>
        <v>0.2056360599221525</v>
      </c>
      <c r="AD322" t="str">
        <f t="shared" si="107"/>
        <v>Low</v>
      </c>
      <c r="AE322">
        <f t="shared" ref="AE322:AE385" si="115">F322*(N322*1)*(H322*0.35+J322*0.35+L322*0.3)</f>
        <v>2.2523440574280598E-2</v>
      </c>
      <c r="AF322">
        <f t="shared" si="108"/>
        <v>0.13599255720161973</v>
      </c>
      <c r="AG322" t="s">
        <v>1170</v>
      </c>
    </row>
    <row r="323" spans="1:33" customFormat="1" x14ac:dyDescent="0.3">
      <c r="A323">
        <v>405015</v>
      </c>
      <c r="B323" t="s">
        <v>70</v>
      </c>
      <c r="C323" t="s">
        <v>873</v>
      </c>
      <c r="D323" t="s">
        <v>872</v>
      </c>
      <c r="E323" s="21">
        <v>5.6</v>
      </c>
      <c r="F323" s="2">
        <f t="shared" ref="F323:F386" si="116">(E323-$AJ$5)/$AK$5</f>
        <v>0.53333333333333321</v>
      </c>
      <c r="G323" s="26">
        <v>40.7682</v>
      </c>
      <c r="H323">
        <f t="shared" ref="H323:H386" si="117">(G323-$AJ$6)/$AK$6</f>
        <v>0.41793837489528007</v>
      </c>
      <c r="I323" s="12">
        <v>0</v>
      </c>
      <c r="J323" s="2">
        <f t="shared" ref="J323:J386" si="118">(I323-$AJ$7)/$AK$7</f>
        <v>0</v>
      </c>
      <c r="K323" s="10">
        <v>0</v>
      </c>
      <c r="L323" s="2">
        <f t="shared" ref="L323:L386" si="119">(K323-$AJ$8)/$AK$8</f>
        <v>0</v>
      </c>
      <c r="M323">
        <v>38100</v>
      </c>
      <c r="N323">
        <f t="shared" ref="N323:N386" si="120">(M323-$AJ$9)/$AK$9</f>
        <v>0.17913632643019026</v>
      </c>
      <c r="O323" s="10">
        <v>0.83896420900000002</v>
      </c>
      <c r="P323">
        <f t="shared" ref="P323:P386" si="121">(O323-$AJ$11)/$AK$11</f>
        <v>0.82847608254233596</v>
      </c>
      <c r="Q323" s="23">
        <v>0.29189999999999999</v>
      </c>
      <c r="R323" s="13">
        <f t="shared" ref="R323:R386" si="122">(Q323-$AJ$12)/$AK$12</f>
        <v>0.63209181463837161</v>
      </c>
      <c r="S323">
        <f t="shared" ref="S323:S386" si="123">F323*(R323*0.5+P323*0.5)*(H323*0.35+J323*0.35+L323*0.3)</f>
        <v>5.6973221514712659E-2</v>
      </c>
      <c r="T323" s="14">
        <f t="shared" si="111"/>
        <v>0.10166593447770302</v>
      </c>
      <c r="U323" t="str">
        <f t="shared" ref="U323:U386" si="124">IF(T323&gt;0.7,"High",IF(T323&gt;0.3,"Moderate",IF(T323&gt;0.15,"Low","No Impact")))</f>
        <v>No Impact</v>
      </c>
      <c r="V323">
        <f t="shared" ref="V323:V386" si="125">F323*(R323*1)*(H323*0.35+J323*0.35+L323*0.3)</f>
        <v>4.9312746148319653E-2</v>
      </c>
      <c r="W323">
        <f t="shared" si="112"/>
        <v>7.9769929680327645E-2</v>
      </c>
      <c r="X323" t="s">
        <v>1170</v>
      </c>
      <c r="Y323">
        <f t="shared" si="113"/>
        <v>6.4633696881105651E-2</v>
      </c>
      <c r="Z323">
        <f t="shared" ref="Z323:Z386" si="126">(Y323-$AJ$14)/$AK$14</f>
        <v>0.11765950034960987</v>
      </c>
      <c r="AA323" t="str">
        <f t="shared" ref="AA323:AA386" si="127">IF(Z323&gt;0.7,"High",IF(Z323&gt;0.3,"Moderate",IF(Z323&gt;0.15,"Low","No Impact")))</f>
        <v>No Impact</v>
      </c>
      <c r="AB323">
        <f t="shared" si="114"/>
        <v>4.1540942632902589E-2</v>
      </c>
      <c r="AC323">
        <f t="shared" ref="AC323:AC386" si="128">(AB323-$AJ$15)/$AK$15</f>
        <v>0.10153348587094868</v>
      </c>
      <c r="AD323" t="str">
        <f t="shared" ref="AD323:AD386" si="129">IF(AC323&gt;0.7,"High",IF(AC323&gt;0.3,"Moderate",IF(AC323&gt;0.15,"Low","No Impact")))</f>
        <v>No Impact</v>
      </c>
      <c r="AE323">
        <f t="shared" si="115"/>
        <v>1.3975349761882899E-2</v>
      </c>
      <c r="AF323">
        <f t="shared" ref="AF323:AF386" si="130">(AE323-$AJ$16)/$AK$16</f>
        <v>8.4380694221100658E-2</v>
      </c>
      <c r="AG323" t="s">
        <v>1170</v>
      </c>
    </row>
    <row r="324" spans="1:33" customFormat="1" x14ac:dyDescent="0.3">
      <c r="A324">
        <v>405039</v>
      </c>
      <c r="B324" t="s">
        <v>134</v>
      </c>
      <c r="C324" t="s">
        <v>782</v>
      </c>
      <c r="D324" t="s">
        <v>1143</v>
      </c>
      <c r="E324" s="21">
        <v>5.5</v>
      </c>
      <c r="F324" s="2">
        <f t="shared" si="116"/>
        <v>0.51111111111111107</v>
      </c>
      <c r="G324" s="26">
        <v>43.507800000000003</v>
      </c>
      <c r="H324">
        <f t="shared" si="117"/>
        <v>0.44602359749188997</v>
      </c>
      <c r="I324" s="12">
        <v>0.1</v>
      </c>
      <c r="J324" s="2">
        <f t="shared" si="118"/>
        <v>4.2052144659377626E-4</v>
      </c>
      <c r="K324" s="10">
        <v>0</v>
      </c>
      <c r="L324" s="2">
        <f t="shared" si="119"/>
        <v>0</v>
      </c>
      <c r="M324">
        <v>80319</v>
      </c>
      <c r="N324">
        <f t="shared" si="120"/>
        <v>0.37889218511211104</v>
      </c>
      <c r="O324" s="10">
        <v>0.76007428600000004</v>
      </c>
      <c r="P324">
        <f t="shared" si="121"/>
        <v>0.74159549356497789</v>
      </c>
      <c r="Q324" s="23">
        <v>0.24</v>
      </c>
      <c r="R324" s="13">
        <f t="shared" si="122"/>
        <v>0.51970550021654394</v>
      </c>
      <c r="S324">
        <f t="shared" si="123"/>
        <v>5.0366203418049496E-2</v>
      </c>
      <c r="T324" s="14">
        <f t="shared" si="111"/>
        <v>8.987603299328556E-2</v>
      </c>
      <c r="U324" t="str">
        <f t="shared" si="124"/>
        <v>No Impact</v>
      </c>
      <c r="V324">
        <f t="shared" si="125"/>
        <v>4.1505704142685645E-2</v>
      </c>
      <c r="W324">
        <f t="shared" si="112"/>
        <v>6.7141000236251053E-2</v>
      </c>
      <c r="X324" t="s">
        <v>1170</v>
      </c>
      <c r="Y324">
        <f t="shared" si="113"/>
        <v>5.9226702693413347E-2</v>
      </c>
      <c r="Z324">
        <f t="shared" si="126"/>
        <v>0.10781658148195808</v>
      </c>
      <c r="AA324" t="str">
        <f t="shared" si="127"/>
        <v>No Impact</v>
      </c>
      <c r="AB324">
        <f t="shared" si="114"/>
        <v>4.2885938902405364E-2</v>
      </c>
      <c r="AC324">
        <f t="shared" si="128"/>
        <v>0.10482089706266956</v>
      </c>
      <c r="AD324" t="str">
        <f t="shared" si="129"/>
        <v>No Impact</v>
      </c>
      <c r="AE324">
        <f t="shared" si="115"/>
        <v>3.0259804698403975E-2</v>
      </c>
      <c r="AF324">
        <f t="shared" si="130"/>
        <v>0.18270335776571212</v>
      </c>
      <c r="AG324" t="s">
        <v>1169</v>
      </c>
    </row>
    <row r="325" spans="1:33" customFormat="1" x14ac:dyDescent="0.3">
      <c r="A325">
        <v>405063</v>
      </c>
      <c r="B325" t="s">
        <v>279</v>
      </c>
      <c r="C325" t="s">
        <v>873</v>
      </c>
      <c r="D325" t="s">
        <v>874</v>
      </c>
      <c r="E325" s="21">
        <v>5.5</v>
      </c>
      <c r="F325" s="2">
        <f t="shared" si="116"/>
        <v>0.51111111111111107</v>
      </c>
      <c r="G325" s="26">
        <v>40.823999999999998</v>
      </c>
      <c r="H325">
        <f t="shared" si="117"/>
        <v>0.41851041293765517</v>
      </c>
      <c r="I325" s="12">
        <v>9.1999999999999993</v>
      </c>
      <c r="J325" s="2">
        <f t="shared" si="118"/>
        <v>3.8687973086627414E-2</v>
      </c>
      <c r="K325" s="10">
        <v>0</v>
      </c>
      <c r="L325" s="2">
        <f t="shared" si="119"/>
        <v>0</v>
      </c>
      <c r="M325">
        <v>11398</v>
      </c>
      <c r="N325">
        <f t="shared" si="120"/>
        <v>5.2797925745080507E-2</v>
      </c>
      <c r="O325" s="10">
        <v>0.96298347500000003</v>
      </c>
      <c r="P325">
        <f t="shared" si="121"/>
        <v>0.96505711171407993</v>
      </c>
      <c r="Q325" s="23">
        <v>0.28249999999999997</v>
      </c>
      <c r="R325" s="13">
        <f t="shared" si="122"/>
        <v>0.61173668254655689</v>
      </c>
      <c r="S325">
        <f t="shared" si="123"/>
        <v>6.4481177794711061E-2</v>
      </c>
      <c r="T325" s="14">
        <f t="shared" si="111"/>
        <v>0.11506351619996287</v>
      </c>
      <c r="U325" t="str">
        <f t="shared" si="124"/>
        <v>No Impact</v>
      </c>
      <c r="V325">
        <f t="shared" si="125"/>
        <v>5.0032543170081871E-2</v>
      </c>
      <c r="W325">
        <f t="shared" si="112"/>
        <v>8.0934297157194232E-2</v>
      </c>
      <c r="X325" t="s">
        <v>1170</v>
      </c>
      <c r="Y325">
        <f t="shared" si="113"/>
        <v>7.8929812419340245E-2</v>
      </c>
      <c r="Z325">
        <f t="shared" si="126"/>
        <v>0.14368421953383304</v>
      </c>
      <c r="AA325" t="str">
        <f t="shared" si="127"/>
        <v>No Impact</v>
      </c>
      <c r="AB325">
        <f t="shared" si="114"/>
        <v>4.2701711362745337E-2</v>
      </c>
      <c r="AC325">
        <f t="shared" si="128"/>
        <v>0.10437061204000145</v>
      </c>
      <c r="AD325" t="str">
        <f t="shared" si="129"/>
        <v>No Impact</v>
      </c>
      <c r="AE325">
        <f t="shared" si="115"/>
        <v>4.3182215068988845E-3</v>
      </c>
      <c r="AF325">
        <f t="shared" si="130"/>
        <v>2.6072658986069131E-2</v>
      </c>
      <c r="AG325" t="s">
        <v>1170</v>
      </c>
    </row>
    <row r="326" spans="1:33" customFormat="1" x14ac:dyDescent="0.3">
      <c r="A326">
        <v>405071</v>
      </c>
      <c r="B326" t="s">
        <v>292</v>
      </c>
      <c r="C326" t="s">
        <v>873</v>
      </c>
      <c r="D326" t="s">
        <v>875</v>
      </c>
      <c r="E326" s="21">
        <v>5.5</v>
      </c>
      <c r="F326" s="2">
        <f t="shared" si="116"/>
        <v>0.51111111111111107</v>
      </c>
      <c r="G326" s="26">
        <v>41.017680000000006</v>
      </c>
      <c r="H326">
        <f t="shared" si="117"/>
        <v>0.42049593852989914</v>
      </c>
      <c r="I326" s="12">
        <v>5.3</v>
      </c>
      <c r="J326" s="2">
        <f t="shared" si="118"/>
        <v>2.2287636669470142E-2</v>
      </c>
      <c r="K326" s="10">
        <v>0</v>
      </c>
      <c r="L326" s="2">
        <f t="shared" si="119"/>
        <v>0</v>
      </c>
      <c r="M326">
        <v>32093</v>
      </c>
      <c r="N326">
        <f t="shared" si="120"/>
        <v>0.15071468112588893</v>
      </c>
      <c r="O326" s="10">
        <v>0.89417902000000005</v>
      </c>
      <c r="P326">
        <f t="shared" si="121"/>
        <v>0.88928353573193419</v>
      </c>
      <c r="Q326" s="23">
        <v>0.27789999999999998</v>
      </c>
      <c r="R326" s="13">
        <f t="shared" si="122"/>
        <v>0.60177566045907316</v>
      </c>
      <c r="S326">
        <f t="shared" si="123"/>
        <v>5.9052699998588705E-2</v>
      </c>
      <c r="T326" s="14">
        <f t="shared" si="111"/>
        <v>0.1053766623893227</v>
      </c>
      <c r="U326" t="str">
        <f t="shared" si="124"/>
        <v>No Impact</v>
      </c>
      <c r="V326">
        <f t="shared" si="125"/>
        <v>4.7666085470412053E-2</v>
      </c>
      <c r="W326">
        <f t="shared" si="112"/>
        <v>7.7106236888022553E-2</v>
      </c>
      <c r="X326" t="s">
        <v>1170</v>
      </c>
      <c r="Y326">
        <f t="shared" si="113"/>
        <v>7.0439314526765356E-2</v>
      </c>
      <c r="Z326">
        <f t="shared" si="126"/>
        <v>0.12822807532476166</v>
      </c>
      <c r="AA326" t="str">
        <f t="shared" si="127"/>
        <v>No Impact</v>
      </c>
      <c r="AB326">
        <f t="shared" si="114"/>
        <v>4.1993213243931383E-2</v>
      </c>
      <c r="AC326">
        <f t="shared" si="128"/>
        <v>0.10263891605101316</v>
      </c>
      <c r="AD326" t="str">
        <f t="shared" si="129"/>
        <v>No Impact</v>
      </c>
      <c r="AE326">
        <f t="shared" si="115"/>
        <v>1.1937968489307324E-2</v>
      </c>
      <c r="AF326">
        <f t="shared" si="130"/>
        <v>7.2079345839689252E-2</v>
      </c>
      <c r="AG326" t="s">
        <v>1170</v>
      </c>
    </row>
    <row r="327" spans="1:33" customFormat="1" x14ac:dyDescent="0.3">
      <c r="A327">
        <v>405079</v>
      </c>
      <c r="B327" t="s">
        <v>294</v>
      </c>
      <c r="C327" t="s">
        <v>873</v>
      </c>
      <c r="D327" t="s">
        <v>876</v>
      </c>
      <c r="E327" s="21">
        <v>5.5</v>
      </c>
      <c r="F327" s="2">
        <f t="shared" si="116"/>
        <v>0.51111111111111107</v>
      </c>
      <c r="G327" s="26">
        <v>45.158760000000001</v>
      </c>
      <c r="H327">
        <f t="shared" si="117"/>
        <v>0.46294854241016231</v>
      </c>
      <c r="I327" s="12">
        <v>2.5</v>
      </c>
      <c r="J327" s="2">
        <f t="shared" si="118"/>
        <v>1.0513036164844407E-2</v>
      </c>
      <c r="K327" s="10">
        <v>0</v>
      </c>
      <c r="L327" s="2">
        <f t="shared" si="119"/>
        <v>0</v>
      </c>
      <c r="M327">
        <v>55212</v>
      </c>
      <c r="N327">
        <f t="shared" si="120"/>
        <v>0.26010040075134966</v>
      </c>
      <c r="O327" s="10">
        <v>0.93246081400000003</v>
      </c>
      <c r="P327">
        <f t="shared" si="121"/>
        <v>0.93144284687525847</v>
      </c>
      <c r="Q327" s="23">
        <v>0.28720000000000001</v>
      </c>
      <c r="R327" s="13">
        <f t="shared" si="122"/>
        <v>0.62191424859246436</v>
      </c>
      <c r="S327">
        <f t="shared" si="123"/>
        <v>6.5782355169024712E-2</v>
      </c>
      <c r="T327" s="14">
        <f t="shared" si="111"/>
        <v>0.11738540374930358</v>
      </c>
      <c r="U327" t="str">
        <f t="shared" si="124"/>
        <v>No Impact</v>
      </c>
      <c r="V327">
        <f t="shared" si="125"/>
        <v>5.2674280891308045E-2</v>
      </c>
      <c r="W327">
        <f t="shared" si="112"/>
        <v>8.5207659496867164E-2</v>
      </c>
      <c r="X327" t="s">
        <v>1170</v>
      </c>
      <c r="Y327">
        <f t="shared" si="113"/>
        <v>7.8890429446741378E-2</v>
      </c>
      <c r="Z327">
        <f t="shared" si="126"/>
        <v>0.14361252657641504</v>
      </c>
      <c r="AA327" t="str">
        <f t="shared" si="127"/>
        <v>No Impact</v>
      </c>
      <c r="AB327">
        <f t="shared" si="114"/>
        <v>4.9813531852166172E-2</v>
      </c>
      <c r="AC327">
        <f t="shared" si="128"/>
        <v>0.12175317197756537</v>
      </c>
      <c r="AD327" t="str">
        <f t="shared" si="129"/>
        <v>No Impact</v>
      </c>
      <c r="AE327">
        <f t="shared" si="115"/>
        <v>2.2029727731959849E-2</v>
      </c>
      <c r="AF327">
        <f t="shared" si="130"/>
        <v>0.13301160623504552</v>
      </c>
      <c r="AG327" t="s">
        <v>1170</v>
      </c>
    </row>
    <row r="328" spans="1:33" customFormat="1" x14ac:dyDescent="0.3">
      <c r="A328">
        <v>405094</v>
      </c>
      <c r="B328" t="s">
        <v>338</v>
      </c>
      <c r="C328" t="s">
        <v>873</v>
      </c>
      <c r="D328" t="s">
        <v>1136</v>
      </c>
      <c r="E328" s="21">
        <v>5.2</v>
      </c>
      <c r="F328" s="2">
        <f t="shared" si="116"/>
        <v>0.44444444444444442</v>
      </c>
      <c r="G328" s="26">
        <v>41.219639999999998</v>
      </c>
      <c r="H328">
        <f t="shared" si="117"/>
        <v>0.42256634718649544</v>
      </c>
      <c r="I328" s="12">
        <v>0.1</v>
      </c>
      <c r="J328" s="2">
        <f t="shared" si="118"/>
        <v>4.2052144659377626E-4</v>
      </c>
      <c r="K328" s="10">
        <v>0</v>
      </c>
      <c r="L328" s="2">
        <f t="shared" si="119"/>
        <v>0</v>
      </c>
      <c r="M328">
        <v>51537</v>
      </c>
      <c r="N328">
        <f t="shared" si="120"/>
        <v>0.24271242896954384</v>
      </c>
      <c r="O328" s="10">
        <v>0.91891067400000004</v>
      </c>
      <c r="P328">
        <f t="shared" si="121"/>
        <v>0.91652022939563871</v>
      </c>
      <c r="Q328" s="23">
        <v>0</v>
      </c>
      <c r="R328" s="13">
        <f t="shared" si="122"/>
        <v>0</v>
      </c>
      <c r="S328">
        <f t="shared" si="123"/>
        <v>3.0152579478851027E-2</v>
      </c>
      <c r="T328" s="14">
        <f t="shared" si="111"/>
        <v>5.380580715168045E-2</v>
      </c>
      <c r="U328" t="str">
        <f t="shared" si="124"/>
        <v>No Impact</v>
      </c>
      <c r="V328">
        <f t="shared" si="125"/>
        <v>0</v>
      </c>
      <c r="W328">
        <f t="shared" si="112"/>
        <v>0</v>
      </c>
      <c r="X328" t="s">
        <v>1170</v>
      </c>
      <c r="Y328">
        <f t="shared" si="113"/>
        <v>6.0305158957702054E-2</v>
      </c>
      <c r="Z328">
        <f t="shared" si="126"/>
        <v>0.10977980858064211</v>
      </c>
      <c r="AA328" t="str">
        <f t="shared" si="127"/>
        <v>No Impact</v>
      </c>
      <c r="AB328">
        <f t="shared" si="114"/>
        <v>2.3681041404088134E-2</v>
      </c>
      <c r="AC328">
        <f t="shared" si="128"/>
        <v>5.7880696258127487E-2</v>
      </c>
      <c r="AD328" t="str">
        <f t="shared" si="129"/>
        <v>No Impact</v>
      </c>
      <c r="AE328">
        <f t="shared" si="115"/>
        <v>1.5969982047935757E-2</v>
      </c>
      <c r="AF328">
        <f t="shared" si="130"/>
        <v>9.6423931770118182E-2</v>
      </c>
      <c r="AG328" t="s">
        <v>1170</v>
      </c>
    </row>
    <row r="329" spans="1:33" customFormat="1" x14ac:dyDescent="0.3">
      <c r="A329">
        <v>405557</v>
      </c>
      <c r="B329" t="s">
        <v>315</v>
      </c>
      <c r="C329" t="s">
        <v>878</v>
      </c>
      <c r="D329" t="s">
        <v>877</v>
      </c>
      <c r="E329" s="21">
        <v>4.9000000000000004</v>
      </c>
      <c r="F329" s="2">
        <f t="shared" si="116"/>
        <v>0.37777777777777782</v>
      </c>
      <c r="G329" s="26">
        <v>49.422960000000003</v>
      </c>
      <c r="H329">
        <f t="shared" si="117"/>
        <v>0.50666332055166607</v>
      </c>
      <c r="I329" s="12">
        <v>34.299999999999997</v>
      </c>
      <c r="J329" s="2">
        <f t="shared" si="118"/>
        <v>0.14423885618166524</v>
      </c>
      <c r="K329" s="10">
        <v>0</v>
      </c>
      <c r="L329" s="2">
        <f t="shared" si="119"/>
        <v>0</v>
      </c>
      <c r="M329">
        <v>51857</v>
      </c>
      <c r="N329">
        <f t="shared" si="120"/>
        <v>0.24422648365530653</v>
      </c>
      <c r="O329" s="10">
        <v>0.91252673500000003</v>
      </c>
      <c r="P329">
        <f t="shared" si="121"/>
        <v>0.90948966884717009</v>
      </c>
      <c r="Q329" s="23">
        <v>0.27639999999999998</v>
      </c>
      <c r="R329" s="13">
        <f t="shared" si="122"/>
        <v>0.59852750108271979</v>
      </c>
      <c r="S329">
        <f t="shared" si="123"/>
        <v>6.489279297587433E-2</v>
      </c>
      <c r="T329" s="14">
        <f t="shared" si="111"/>
        <v>0.11579802341099299</v>
      </c>
      <c r="U329" t="str">
        <f t="shared" si="124"/>
        <v>No Impact</v>
      </c>
      <c r="V329">
        <f t="shared" si="125"/>
        <v>5.1511510601612152E-2</v>
      </c>
      <c r="W329">
        <f t="shared" si="112"/>
        <v>8.3326723806033079E-2</v>
      </c>
      <c r="X329" t="s">
        <v>1170</v>
      </c>
      <c r="Y329">
        <f t="shared" si="113"/>
        <v>7.8274075350136516E-2</v>
      </c>
      <c r="Z329">
        <f t="shared" si="126"/>
        <v>0.14249051254125372</v>
      </c>
      <c r="AA329" t="str">
        <f t="shared" si="127"/>
        <v>No Impact</v>
      </c>
      <c r="AB329">
        <f t="shared" si="114"/>
        <v>4.8867916260384635E-2</v>
      </c>
      <c r="AC329">
        <f t="shared" si="128"/>
        <v>0.11944191851911705</v>
      </c>
      <c r="AD329" t="str">
        <f t="shared" si="129"/>
        <v>No Impact</v>
      </c>
      <c r="AE329">
        <f t="shared" si="115"/>
        <v>2.1019042699369779E-2</v>
      </c>
      <c r="AF329">
        <f t="shared" si="130"/>
        <v>0.12690926846590939</v>
      </c>
      <c r="AG329" t="s">
        <v>1170</v>
      </c>
    </row>
    <row r="330" spans="1:33" customFormat="1" x14ac:dyDescent="0.3">
      <c r="A330">
        <v>405566</v>
      </c>
      <c r="B330" t="s">
        <v>345</v>
      </c>
      <c r="C330" t="s">
        <v>878</v>
      </c>
      <c r="D330" t="s">
        <v>1137</v>
      </c>
      <c r="E330" s="21">
        <v>4.8</v>
      </c>
      <c r="F330" s="2">
        <f t="shared" si="116"/>
        <v>0.35555555555555546</v>
      </c>
      <c r="G330" s="26">
        <v>50.803200000000004</v>
      </c>
      <c r="H330">
        <f t="shared" si="117"/>
        <v>0.52081295832241536</v>
      </c>
      <c r="I330" s="12">
        <v>55.599999999999994</v>
      </c>
      <c r="J330" s="2">
        <f t="shared" si="118"/>
        <v>0.23380992430613959</v>
      </c>
      <c r="K330" s="10">
        <v>0</v>
      </c>
      <c r="L330" s="2">
        <f t="shared" si="119"/>
        <v>0</v>
      </c>
      <c r="M330">
        <v>16134</v>
      </c>
      <c r="N330">
        <f t="shared" si="120"/>
        <v>7.5205935094368195E-2</v>
      </c>
      <c r="O330" s="10">
        <v>0.964234586</v>
      </c>
      <c r="P330">
        <f t="shared" si="121"/>
        <v>0.96643494625140169</v>
      </c>
      <c r="Q330" s="23">
        <v>0.10100000000000001</v>
      </c>
      <c r="R330" s="13">
        <f t="shared" si="122"/>
        <v>0.2187093980077956</v>
      </c>
      <c r="S330">
        <f t="shared" si="123"/>
        <v>5.5647638131294454E-2</v>
      </c>
      <c r="T330" s="14">
        <f t="shared" si="111"/>
        <v>9.9300495595709554E-2</v>
      </c>
      <c r="U330" t="str">
        <f t="shared" si="124"/>
        <v>No Impact</v>
      </c>
      <c r="V330">
        <f t="shared" si="125"/>
        <v>2.0538698927612266E-2</v>
      </c>
      <c r="W330">
        <f t="shared" si="112"/>
        <v>3.3224078907576296E-2</v>
      </c>
      <c r="X330" t="s">
        <v>1170</v>
      </c>
      <c r="Y330">
        <f t="shared" si="113"/>
        <v>9.0756577334976635E-2</v>
      </c>
      <c r="Z330">
        <f t="shared" si="126"/>
        <v>0.16521372067448123</v>
      </c>
      <c r="AA330" t="str">
        <f t="shared" si="127"/>
        <v>Low</v>
      </c>
      <c r="AB330">
        <f t="shared" si="114"/>
        <v>3.6887387920315255E-2</v>
      </c>
      <c r="AC330">
        <f t="shared" si="128"/>
        <v>9.0159366707703345E-2</v>
      </c>
      <c r="AD330" t="str">
        <f t="shared" si="129"/>
        <v>No Impact</v>
      </c>
      <c r="AE330">
        <f t="shared" si="115"/>
        <v>7.0624859861656321E-3</v>
      </c>
      <c r="AF330">
        <f t="shared" si="130"/>
        <v>4.2642043354424071E-2</v>
      </c>
      <c r="AG330" t="s">
        <v>1170</v>
      </c>
    </row>
    <row r="331" spans="1:33" customFormat="1" x14ac:dyDescent="0.3">
      <c r="A331">
        <v>405585</v>
      </c>
      <c r="B331" t="s">
        <v>479</v>
      </c>
      <c r="C331" t="s">
        <v>878</v>
      </c>
      <c r="D331" t="s">
        <v>879</v>
      </c>
      <c r="E331" s="21">
        <v>4.9000000000000004</v>
      </c>
      <c r="F331" s="2">
        <f t="shared" si="116"/>
        <v>0.37777777777777782</v>
      </c>
      <c r="G331" s="26">
        <v>49.422960000000003</v>
      </c>
      <c r="H331">
        <f t="shared" si="117"/>
        <v>0.50666332055166607</v>
      </c>
      <c r="I331" s="12">
        <v>23.3</v>
      </c>
      <c r="J331" s="2">
        <f t="shared" si="118"/>
        <v>9.798149705634987E-2</v>
      </c>
      <c r="K331" s="10">
        <v>0</v>
      </c>
      <c r="L331" s="2">
        <f t="shared" si="119"/>
        <v>0</v>
      </c>
      <c r="M331">
        <v>23104</v>
      </c>
      <c r="N331">
        <f t="shared" si="120"/>
        <v>0.10818393871863659</v>
      </c>
      <c r="O331" s="10">
        <v>0.86959026699999997</v>
      </c>
      <c r="P331">
        <f t="shared" si="121"/>
        <v>0.86220421733966268</v>
      </c>
      <c r="Q331" s="23">
        <v>0.2571</v>
      </c>
      <c r="R331" s="13">
        <f t="shared" si="122"/>
        <v>0.55673451710697275</v>
      </c>
      <c r="S331">
        <f t="shared" si="123"/>
        <v>5.6720289067825419E-2</v>
      </c>
      <c r="T331" s="14">
        <f t="shared" si="111"/>
        <v>0.10121458886499472</v>
      </c>
      <c r="U331" t="str">
        <f t="shared" si="124"/>
        <v>No Impact</v>
      </c>
      <c r="V331">
        <f t="shared" si="125"/>
        <v>4.4509522473017392E-2</v>
      </c>
      <c r="W331">
        <f t="shared" si="112"/>
        <v>7.2000076148639833E-2</v>
      </c>
      <c r="X331" t="s">
        <v>1170</v>
      </c>
      <c r="Y331">
        <f t="shared" si="113"/>
        <v>6.8931055662633453E-2</v>
      </c>
      <c r="Z331">
        <f t="shared" si="126"/>
        <v>0.12548243345504048</v>
      </c>
      <c r="AA331" t="str">
        <f t="shared" si="127"/>
        <v>No Impact</v>
      </c>
      <c r="AB331">
        <f t="shared" si="114"/>
        <v>3.9284811265803951E-2</v>
      </c>
      <c r="AC331">
        <f t="shared" si="128"/>
        <v>9.6019097709162587E-2</v>
      </c>
      <c r="AD331" t="str">
        <f t="shared" si="129"/>
        <v>No Impact</v>
      </c>
      <c r="AE331">
        <f t="shared" si="115"/>
        <v>8.6490334327366317E-3</v>
      </c>
      <c r="AF331">
        <f t="shared" si="130"/>
        <v>5.2221336698588555E-2</v>
      </c>
      <c r="AG331" t="s">
        <v>1170</v>
      </c>
    </row>
    <row r="332" spans="1:33" customFormat="1" x14ac:dyDescent="0.3">
      <c r="A332">
        <v>405595</v>
      </c>
      <c r="B332" t="s">
        <v>504</v>
      </c>
      <c r="C332" t="s">
        <v>878</v>
      </c>
      <c r="D332" t="s">
        <v>1140</v>
      </c>
      <c r="E332" s="21">
        <v>3.8</v>
      </c>
      <c r="F332" s="2">
        <f t="shared" si="116"/>
        <v>0.13333333333333325</v>
      </c>
      <c r="G332" s="26">
        <v>47.55348</v>
      </c>
      <c r="H332">
        <f t="shared" si="117"/>
        <v>0.48749820084809248</v>
      </c>
      <c r="I332" s="12">
        <v>17</v>
      </c>
      <c r="J332" s="2">
        <f t="shared" si="118"/>
        <v>7.1488645920941965E-2</v>
      </c>
      <c r="K332" s="10">
        <v>0</v>
      </c>
      <c r="L332" s="2">
        <f t="shared" si="119"/>
        <v>0</v>
      </c>
      <c r="M332">
        <v>24428</v>
      </c>
      <c r="N332">
        <f t="shared" si="120"/>
        <v>0.11444833998097968</v>
      </c>
      <c r="O332" s="10">
        <v>0.96127500399999999</v>
      </c>
      <c r="P332">
        <f t="shared" si="121"/>
        <v>0.96317559172919243</v>
      </c>
      <c r="Q332" s="23">
        <v>0.29089999999999999</v>
      </c>
      <c r="R332" s="13">
        <f t="shared" si="122"/>
        <v>0.62992637505413596</v>
      </c>
      <c r="S332">
        <f t="shared" si="123"/>
        <v>2.0778871049854382E-2</v>
      </c>
      <c r="T332" s="14">
        <f t="shared" si="111"/>
        <v>3.7078881736213681E-2</v>
      </c>
      <c r="U332" t="str">
        <f t="shared" si="124"/>
        <v>No Impact</v>
      </c>
      <c r="V332">
        <f t="shared" si="125"/>
        <v>1.6432292710780772E-2</v>
      </c>
      <c r="W332">
        <f t="shared" si="112"/>
        <v>2.6581420350896615E-2</v>
      </c>
      <c r="X332" t="s">
        <v>1170</v>
      </c>
      <c r="Y332">
        <f t="shared" si="113"/>
        <v>2.5125449388927995E-2</v>
      </c>
      <c r="Z332">
        <f t="shared" si="126"/>
        <v>4.5738491898409069E-2</v>
      </c>
      <c r="AA332" t="str">
        <f t="shared" si="127"/>
        <v>No Impact</v>
      </c>
      <c r="AB332">
        <f t="shared" si="114"/>
        <v>1.4333864171288995E-2</v>
      </c>
      <c r="AC332">
        <f t="shared" si="128"/>
        <v>3.5034525050929931E-2</v>
      </c>
      <c r="AD332" t="str">
        <f t="shared" si="129"/>
        <v>No Impact</v>
      </c>
      <c r="AE332">
        <f t="shared" si="115"/>
        <v>2.9855054452495164E-3</v>
      </c>
      <c r="AF332">
        <f t="shared" si="130"/>
        <v>1.802595472480607E-2</v>
      </c>
      <c r="AG332" t="s">
        <v>1170</v>
      </c>
    </row>
    <row r="333" spans="1:33" customFormat="1" x14ac:dyDescent="0.3">
      <c r="A333">
        <v>405747</v>
      </c>
      <c r="B333" t="s">
        <v>177</v>
      </c>
      <c r="C333" t="s">
        <v>881</v>
      </c>
      <c r="D333" t="s">
        <v>880</v>
      </c>
      <c r="E333" s="21">
        <v>4.9000000000000004</v>
      </c>
      <c r="F333" s="2">
        <f t="shared" si="116"/>
        <v>0.37777777777777782</v>
      </c>
      <c r="G333" s="26">
        <v>42.586920000000006</v>
      </c>
      <c r="H333">
        <f t="shared" si="117"/>
        <v>0.43658312450869319</v>
      </c>
      <c r="I333" s="12">
        <v>0</v>
      </c>
      <c r="J333" s="2">
        <f t="shared" si="118"/>
        <v>0</v>
      </c>
      <c r="K333" s="10">
        <v>0</v>
      </c>
      <c r="L333" s="2">
        <f t="shared" si="119"/>
        <v>0</v>
      </c>
      <c r="M333">
        <v>56017</v>
      </c>
      <c r="N333">
        <f t="shared" si="120"/>
        <v>0.26390919457022138</v>
      </c>
      <c r="O333" s="10">
        <v>0.795329485</v>
      </c>
      <c r="P333">
        <f t="shared" si="121"/>
        <v>0.78042164951944581</v>
      </c>
      <c r="Q333" s="23">
        <v>0.28670000000000001</v>
      </c>
      <c r="R333" s="13">
        <f t="shared" si="122"/>
        <v>0.62083152880034653</v>
      </c>
      <c r="S333">
        <f t="shared" si="123"/>
        <v>4.0444364115229142E-2</v>
      </c>
      <c r="T333" s="14">
        <f t="shared" si="111"/>
        <v>7.217099477285871E-2</v>
      </c>
      <c r="U333" t="str">
        <f t="shared" si="124"/>
        <v>No Impact</v>
      </c>
      <c r="V333">
        <f t="shared" si="125"/>
        <v>3.5838115186469476E-2</v>
      </c>
      <c r="W333">
        <f t="shared" si="112"/>
        <v>5.797292082865612E-2</v>
      </c>
      <c r="X333" t="s">
        <v>1170</v>
      </c>
      <c r="Y333">
        <f t="shared" si="113"/>
        <v>4.5050613043988809E-2</v>
      </c>
      <c r="Z333">
        <f t="shared" si="126"/>
        <v>8.2010358017272453E-2</v>
      </c>
      <c r="AA333" t="str">
        <f t="shared" si="127"/>
        <v>No Impact</v>
      </c>
      <c r="AB333">
        <f t="shared" si="114"/>
        <v>3.1390571146597025E-2</v>
      </c>
      <c r="AC333">
        <f t="shared" si="128"/>
        <v>7.6724164402316539E-2</v>
      </c>
      <c r="AD333" t="str">
        <f t="shared" si="129"/>
        <v>No Impact</v>
      </c>
      <c r="AE333">
        <f t="shared" si="115"/>
        <v>1.5234419766103057E-2</v>
      </c>
      <c r="AF333">
        <f t="shared" si="130"/>
        <v>9.1982736591362399E-2</v>
      </c>
      <c r="AG333" t="s">
        <v>1170</v>
      </c>
    </row>
    <row r="334" spans="1:33" customFormat="1" x14ac:dyDescent="0.3">
      <c r="A334">
        <v>405760</v>
      </c>
      <c r="B334" t="s">
        <v>352</v>
      </c>
      <c r="C334" t="s">
        <v>881</v>
      </c>
      <c r="D334" t="s">
        <v>883</v>
      </c>
      <c r="E334" s="21">
        <v>5.4</v>
      </c>
      <c r="F334" s="2">
        <f t="shared" si="116"/>
        <v>0.48888888888888893</v>
      </c>
      <c r="G334" s="26">
        <v>42.153480000000002</v>
      </c>
      <c r="H334">
        <f t="shared" si="117"/>
        <v>0.43213968061824393</v>
      </c>
      <c r="I334" s="12">
        <v>0</v>
      </c>
      <c r="J334" s="2">
        <f t="shared" si="118"/>
        <v>0</v>
      </c>
      <c r="K334" s="10">
        <v>0</v>
      </c>
      <c r="L334" s="2">
        <f t="shared" si="119"/>
        <v>0</v>
      </c>
      <c r="M334">
        <v>60437</v>
      </c>
      <c r="N334">
        <f t="shared" si="120"/>
        <v>0.28482207491731842</v>
      </c>
      <c r="O334" s="10">
        <v>0.50088014400000003</v>
      </c>
      <c r="P334">
        <f t="shared" si="121"/>
        <v>0.45614788682259361</v>
      </c>
      <c r="Q334" s="23">
        <v>0.27650000000000002</v>
      </c>
      <c r="R334" s="13">
        <f t="shared" si="122"/>
        <v>0.59874404504114342</v>
      </c>
      <c r="S334">
        <f t="shared" si="123"/>
        <v>3.9001412238023926E-2</v>
      </c>
      <c r="T334" s="14">
        <f t="shared" si="111"/>
        <v>6.959611753927028E-2</v>
      </c>
      <c r="U334" t="str">
        <f t="shared" si="124"/>
        <v>No Impact</v>
      </c>
      <c r="V334">
        <f t="shared" si="125"/>
        <v>4.4273470334453217E-2</v>
      </c>
      <c r="W334">
        <f t="shared" si="112"/>
        <v>7.1618230399520116E-2</v>
      </c>
      <c r="X334" t="s">
        <v>1170</v>
      </c>
      <c r="Y334">
        <f t="shared" si="113"/>
        <v>3.3729354141594642E-2</v>
      </c>
      <c r="Z334">
        <f t="shared" si="126"/>
        <v>6.1401082514517334E-2</v>
      </c>
      <c r="AA334" t="str">
        <f t="shared" si="127"/>
        <v>No Impact</v>
      </c>
      <c r="AB334">
        <f t="shared" si="114"/>
        <v>3.2985820208750551E-2</v>
      </c>
      <c r="AC334">
        <f t="shared" si="128"/>
        <v>8.0623238131676739E-2</v>
      </c>
      <c r="AD334" t="str">
        <f t="shared" si="129"/>
        <v>No Impact</v>
      </c>
      <c r="AE334">
        <f t="shared" si="115"/>
        <v>2.1060855283467236E-2</v>
      </c>
      <c r="AF334">
        <f t="shared" si="130"/>
        <v>0.12716172546580104</v>
      </c>
      <c r="AG334" t="s">
        <v>1170</v>
      </c>
    </row>
    <row r="335" spans="1:33" customFormat="1" x14ac:dyDescent="0.3">
      <c r="A335">
        <v>405787</v>
      </c>
      <c r="B335" t="s">
        <v>335</v>
      </c>
      <c r="C335" t="s">
        <v>881</v>
      </c>
      <c r="D335" t="s">
        <v>882</v>
      </c>
      <c r="E335" s="21">
        <v>5.4</v>
      </c>
      <c r="F335" s="2">
        <f t="shared" si="116"/>
        <v>0.48888888888888893</v>
      </c>
      <c r="G335" s="26">
        <v>42.119280000000003</v>
      </c>
      <c r="H335">
        <f t="shared" si="117"/>
        <v>0.43178907665678823</v>
      </c>
      <c r="I335" s="12">
        <v>0</v>
      </c>
      <c r="J335" s="2">
        <f t="shared" si="118"/>
        <v>0</v>
      </c>
      <c r="K335" s="10">
        <v>0</v>
      </c>
      <c r="L335" s="2">
        <f t="shared" si="119"/>
        <v>0</v>
      </c>
      <c r="M335">
        <v>21638</v>
      </c>
      <c r="N335">
        <f t="shared" si="120"/>
        <v>0.10124767568948631</v>
      </c>
      <c r="O335" s="10">
        <v>0.58731648199999997</v>
      </c>
      <c r="P335">
        <f t="shared" si="121"/>
        <v>0.55133925815256679</v>
      </c>
      <c r="Q335" s="23">
        <v>0.2777</v>
      </c>
      <c r="R335" s="13">
        <f t="shared" si="122"/>
        <v>0.60134257254222612</v>
      </c>
      <c r="S335">
        <f t="shared" si="123"/>
        <v>4.2582319553685098E-2</v>
      </c>
      <c r="T335" s="14">
        <f t="shared" si="111"/>
        <v>7.5986071957254583E-2</v>
      </c>
      <c r="U335" t="str">
        <f t="shared" si="124"/>
        <v>No Impact</v>
      </c>
      <c r="V335">
        <f t="shared" si="125"/>
        <v>4.4429539710526142E-2</v>
      </c>
      <c r="W335">
        <f t="shared" si="112"/>
        <v>7.1870693385806553E-2</v>
      </c>
      <c r="X335" t="s">
        <v>1170</v>
      </c>
      <c r="Y335">
        <f t="shared" si="113"/>
        <v>4.0735099396844061E-2</v>
      </c>
      <c r="Z335">
        <f t="shared" si="126"/>
        <v>7.4154375704996459E-2</v>
      </c>
      <c r="AA335" t="str">
        <f t="shared" si="127"/>
        <v>No Impact</v>
      </c>
      <c r="AB335">
        <f t="shared" si="114"/>
        <v>3.0389069626113967E-2</v>
      </c>
      <c r="AC335">
        <f t="shared" si="128"/>
        <v>7.4276315749042129E-2</v>
      </c>
      <c r="AD335" t="str">
        <f t="shared" si="129"/>
        <v>No Impact</v>
      </c>
      <c r="AE335">
        <f t="shared" si="115"/>
        <v>7.4805740239331361E-3</v>
      </c>
      <c r="AF335">
        <f t="shared" si="130"/>
        <v>4.5166385104251354E-2</v>
      </c>
      <c r="AG335" t="s">
        <v>1170</v>
      </c>
    </row>
    <row r="336" spans="1:33" customFormat="1" x14ac:dyDescent="0.3">
      <c r="A336">
        <v>406528</v>
      </c>
      <c r="B336" t="s">
        <v>242</v>
      </c>
      <c r="C336" t="s">
        <v>885</v>
      </c>
      <c r="D336" t="s">
        <v>884</v>
      </c>
      <c r="E336" s="21">
        <v>5.5</v>
      </c>
      <c r="F336" s="2">
        <f t="shared" si="116"/>
        <v>0.51111111111111107</v>
      </c>
      <c r="G336" s="26">
        <v>71.656199999999998</v>
      </c>
      <c r="H336">
        <f t="shared" si="117"/>
        <v>0.73458911061001386</v>
      </c>
      <c r="I336" s="12">
        <v>128.1</v>
      </c>
      <c r="J336" s="2">
        <f t="shared" si="118"/>
        <v>0.53868797308662741</v>
      </c>
      <c r="K336" s="10">
        <v>0</v>
      </c>
      <c r="L336" s="2">
        <f t="shared" si="119"/>
        <v>0</v>
      </c>
      <c r="M336">
        <v>44158</v>
      </c>
      <c r="N336">
        <f t="shared" si="120"/>
        <v>0.20779927420003502</v>
      </c>
      <c r="O336" s="10">
        <v>0.91710146999999997</v>
      </c>
      <c r="P336">
        <f t="shared" si="121"/>
        <v>0.91452777328562074</v>
      </c>
      <c r="Q336" s="23">
        <v>0.24199999999999999</v>
      </c>
      <c r="R336" s="13">
        <f t="shared" si="122"/>
        <v>0.52403637938501513</v>
      </c>
      <c r="S336">
        <f t="shared" si="123"/>
        <v>0.16383456322927914</v>
      </c>
      <c r="T336" s="14">
        <f t="shared" si="111"/>
        <v>0.29235478576807644</v>
      </c>
      <c r="U336" t="str">
        <f t="shared" si="124"/>
        <v>Low</v>
      </c>
      <c r="V336">
        <f t="shared" si="125"/>
        <v>0.11936245063998011</v>
      </c>
      <c r="W336">
        <f t="shared" si="112"/>
        <v>0.1930846492585212</v>
      </c>
      <c r="X336" t="s">
        <v>1170</v>
      </c>
      <c r="Y336">
        <f t="shared" si="113"/>
        <v>0.2083066758185782</v>
      </c>
      <c r="Z336">
        <f t="shared" si="126"/>
        <v>0.37920249929981731</v>
      </c>
      <c r="AA336" t="str">
        <f t="shared" si="127"/>
        <v>Moderate</v>
      </c>
      <c r="AB336">
        <f t="shared" si="114"/>
        <v>0.12083488728547523</v>
      </c>
      <c r="AC336">
        <f t="shared" si="128"/>
        <v>0.29534205396677632</v>
      </c>
      <c r="AD336" t="str">
        <f t="shared" si="129"/>
        <v>Low</v>
      </c>
      <c r="AE336">
        <f t="shared" si="115"/>
        <v>4.7331505188310648E-2</v>
      </c>
      <c r="AF336">
        <f t="shared" si="130"/>
        <v>0.28577927095695005</v>
      </c>
      <c r="AG336" t="s">
        <v>1169</v>
      </c>
    </row>
    <row r="337" spans="1:33" customFormat="1" x14ac:dyDescent="0.3">
      <c r="A337">
        <v>406552</v>
      </c>
      <c r="B337" t="s">
        <v>307</v>
      </c>
      <c r="C337" t="s">
        <v>885</v>
      </c>
      <c r="D337" t="s">
        <v>1130</v>
      </c>
      <c r="E337" s="21">
        <v>5.4</v>
      </c>
      <c r="F337" s="2">
        <f t="shared" si="116"/>
        <v>0.48888888888888893</v>
      </c>
      <c r="G337" s="26">
        <v>56.603520000000003</v>
      </c>
      <c r="H337">
        <f t="shared" si="117"/>
        <v>0.58027539018530339</v>
      </c>
      <c r="I337" s="12">
        <v>114.3</v>
      </c>
      <c r="J337" s="2">
        <f t="shared" si="118"/>
        <v>0.48065601345668624</v>
      </c>
      <c r="K337" s="10">
        <v>0</v>
      </c>
      <c r="L337" s="2">
        <f t="shared" si="119"/>
        <v>0</v>
      </c>
      <c r="M337">
        <v>38864</v>
      </c>
      <c r="N337">
        <f t="shared" si="120"/>
        <v>0.18275113199244866</v>
      </c>
      <c r="O337" s="10">
        <v>0.921935485</v>
      </c>
      <c r="P337">
        <f t="shared" si="121"/>
        <v>0.91985141988526797</v>
      </c>
      <c r="Q337" s="23">
        <v>0.27360000000000001</v>
      </c>
      <c r="R337" s="13">
        <f t="shared" si="122"/>
        <v>0.5924642702468601</v>
      </c>
      <c r="S337">
        <f t="shared" si="123"/>
        <v>0.13727074111876619</v>
      </c>
      <c r="T337" s="14">
        <f t="shared" si="111"/>
        <v>0.24495294107043442</v>
      </c>
      <c r="U337" t="str">
        <f t="shared" si="124"/>
        <v>Low</v>
      </c>
      <c r="V337">
        <f t="shared" si="125"/>
        <v>0.10755427586163574</v>
      </c>
      <c r="W337">
        <f t="shared" si="112"/>
        <v>0.17398335506394419</v>
      </c>
      <c r="X337" t="s">
        <v>1170</v>
      </c>
      <c r="Y337">
        <f t="shared" si="113"/>
        <v>0.16698720637589667</v>
      </c>
      <c r="Z337">
        <f t="shared" si="126"/>
        <v>0.30398433348330994</v>
      </c>
      <c r="AA337" t="str">
        <f t="shared" si="127"/>
        <v>Moderate</v>
      </c>
      <c r="AB337">
        <f t="shared" si="114"/>
        <v>9.9351800428258197E-2</v>
      </c>
      <c r="AC337">
        <f t="shared" si="128"/>
        <v>0.24283355132740811</v>
      </c>
      <c r="AD337" t="str">
        <f t="shared" si="129"/>
        <v>Low</v>
      </c>
      <c r="AE337">
        <f t="shared" si="115"/>
        <v>3.3176119896904784E-2</v>
      </c>
      <c r="AF337">
        <f t="shared" si="130"/>
        <v>0.20031155399763889</v>
      </c>
      <c r="AG337" t="s">
        <v>1169</v>
      </c>
    </row>
    <row r="338" spans="1:33" customFormat="1" x14ac:dyDescent="0.3">
      <c r="A338">
        <v>406576</v>
      </c>
      <c r="B338" t="s">
        <v>374</v>
      </c>
      <c r="C338" t="s">
        <v>885</v>
      </c>
      <c r="D338" t="s">
        <v>886</v>
      </c>
      <c r="E338" s="21">
        <v>5.5</v>
      </c>
      <c r="F338" s="2">
        <f t="shared" si="116"/>
        <v>0.51111111111111107</v>
      </c>
      <c r="G338" s="26">
        <v>55.346400000000003</v>
      </c>
      <c r="H338">
        <f t="shared" si="117"/>
        <v>0.56738792667579463</v>
      </c>
      <c r="I338" s="12">
        <v>89.6</v>
      </c>
      <c r="J338" s="2">
        <f t="shared" si="118"/>
        <v>0.37678721614802352</v>
      </c>
      <c r="K338" s="10">
        <v>0</v>
      </c>
      <c r="L338" s="2">
        <f t="shared" si="119"/>
        <v>0</v>
      </c>
      <c r="M338">
        <v>41242</v>
      </c>
      <c r="N338">
        <f t="shared" si="120"/>
        <v>0.19400245087602258</v>
      </c>
      <c r="O338" s="10">
        <v>0.93892811399999998</v>
      </c>
      <c r="P338">
        <f t="shared" si="121"/>
        <v>0.93856521195974796</v>
      </c>
      <c r="Q338" s="23">
        <v>0.254</v>
      </c>
      <c r="R338" s="13">
        <f t="shared" si="122"/>
        <v>0.55002165439584239</v>
      </c>
      <c r="S338">
        <f t="shared" si="123"/>
        <v>0.1257129785892549</v>
      </c>
      <c r="T338" s="14">
        <f t="shared" si="111"/>
        <v>0.2243286776569515</v>
      </c>
      <c r="U338" t="str">
        <f t="shared" si="124"/>
        <v>Low</v>
      </c>
      <c r="V338">
        <f t="shared" si="125"/>
        <v>9.2900000699285917E-2</v>
      </c>
      <c r="W338">
        <f t="shared" si="112"/>
        <v>0.15027811472504957</v>
      </c>
      <c r="X338" t="s">
        <v>1170</v>
      </c>
      <c r="Y338">
        <f t="shared" si="113"/>
        <v>0.15852595647922385</v>
      </c>
      <c r="Z338">
        <f t="shared" si="126"/>
        <v>0.28858143247012746</v>
      </c>
      <c r="AA338" t="str">
        <f t="shared" si="127"/>
        <v>Low</v>
      </c>
      <c r="AB338">
        <f t="shared" si="114"/>
        <v>9.1541407900632352E-2</v>
      </c>
      <c r="AC338">
        <f t="shared" si="128"/>
        <v>0.22374355651534644</v>
      </c>
      <c r="AD338" t="str">
        <f t="shared" si="129"/>
        <v>Low</v>
      </c>
      <c r="AE338">
        <f t="shared" si="115"/>
        <v>3.276748774890037E-2</v>
      </c>
      <c r="AF338">
        <f t="shared" si="130"/>
        <v>0.19784430524056545</v>
      </c>
      <c r="AG338" t="s">
        <v>1169</v>
      </c>
    </row>
    <row r="339" spans="1:33" customFormat="1" x14ac:dyDescent="0.3">
      <c r="A339">
        <v>408704</v>
      </c>
      <c r="B339" t="s">
        <v>14</v>
      </c>
      <c r="C339" t="s">
        <v>888</v>
      </c>
      <c r="D339" t="s">
        <v>887</v>
      </c>
      <c r="E339" s="21">
        <v>6.9</v>
      </c>
      <c r="F339" s="2">
        <f t="shared" si="116"/>
        <v>0.8222222222222223</v>
      </c>
      <c r="G339" s="26">
        <v>64.508040000000008</v>
      </c>
      <c r="H339">
        <f t="shared" si="117"/>
        <v>0.66130919209775585</v>
      </c>
      <c r="I339" s="12">
        <v>96.9</v>
      </c>
      <c r="J339" s="2">
        <f t="shared" si="118"/>
        <v>0.40748528174936921</v>
      </c>
      <c r="K339" s="10">
        <v>0.1</v>
      </c>
      <c r="L339" s="2">
        <f t="shared" si="119"/>
        <v>5.8823529411764712E-2</v>
      </c>
      <c r="M339">
        <v>39423</v>
      </c>
      <c r="N339">
        <f t="shared" si="120"/>
        <v>0.18539599627164033</v>
      </c>
      <c r="O339" s="10">
        <v>0.80060353900000003</v>
      </c>
      <c r="P339">
        <f t="shared" si="121"/>
        <v>0.78622990614327837</v>
      </c>
      <c r="Q339" s="23">
        <v>0.22420000000000001</v>
      </c>
      <c r="R339" s="13">
        <f t="shared" si="122"/>
        <v>0.4854915547856215</v>
      </c>
      <c r="S339">
        <f t="shared" si="123"/>
        <v>0.20480126855147709</v>
      </c>
      <c r="T339" s="14">
        <f t="shared" si="111"/>
        <v>0.36545787294348575</v>
      </c>
      <c r="U339" t="str">
        <f t="shared" si="124"/>
        <v>Moderate</v>
      </c>
      <c r="V339">
        <f t="shared" si="125"/>
        <v>0.15636959718914925</v>
      </c>
      <c r="W339">
        <f t="shared" si="112"/>
        <v>0.25294863389684974</v>
      </c>
      <c r="X339" t="s">
        <v>1170</v>
      </c>
      <c r="Y339">
        <f t="shared" si="113"/>
        <v>0.25323293991380502</v>
      </c>
      <c r="Z339">
        <f t="shared" si="126"/>
        <v>0.46098649187790952</v>
      </c>
      <c r="AA339" t="str">
        <f t="shared" si="127"/>
        <v>Moderate</v>
      </c>
      <c r="AB339">
        <f t="shared" si="114"/>
        <v>0.15159889195254744</v>
      </c>
      <c r="AC339">
        <f t="shared" si="128"/>
        <v>0.37053477794516626</v>
      </c>
      <c r="AD339" t="str">
        <f t="shared" si="129"/>
        <v>Moderate</v>
      </c>
      <c r="AE339">
        <f t="shared" si="115"/>
        <v>5.9713288463439193E-2</v>
      </c>
      <c r="AF339">
        <f t="shared" si="130"/>
        <v>0.36053829210861787</v>
      </c>
      <c r="AG339" t="str">
        <f t="shared" ref="AG339:AG345" si="131">IF(AF339&gt;0.7,"High",IF(AF339&gt;0.3,"Moderate",IF(AF339&gt;0.15,"Low","No Impact")))</f>
        <v>Moderate</v>
      </c>
    </row>
    <row r="340" spans="1:33" customFormat="1" x14ac:dyDescent="0.3">
      <c r="A340">
        <v>408725</v>
      </c>
      <c r="B340" t="s">
        <v>135</v>
      </c>
      <c r="C340" t="s">
        <v>888</v>
      </c>
      <c r="D340" t="s">
        <v>889</v>
      </c>
      <c r="E340" s="21">
        <v>6.7</v>
      </c>
      <c r="F340" s="2">
        <f t="shared" si="116"/>
        <v>0.77777777777777779</v>
      </c>
      <c r="G340" s="26">
        <v>55.758240000000001</v>
      </c>
      <c r="H340">
        <f t="shared" si="117"/>
        <v>0.57160993648532443</v>
      </c>
      <c r="I340" s="12">
        <v>60</v>
      </c>
      <c r="J340" s="2">
        <f t="shared" si="118"/>
        <v>0.25231286795626579</v>
      </c>
      <c r="K340" s="10">
        <v>0</v>
      </c>
      <c r="L340" s="2">
        <f t="shared" si="119"/>
        <v>0</v>
      </c>
      <c r="M340">
        <v>18680</v>
      </c>
      <c r="N340">
        <f t="shared" si="120"/>
        <v>8.7252132687967526E-2</v>
      </c>
      <c r="O340" s="10">
        <v>0.75519396299999997</v>
      </c>
      <c r="P340">
        <f t="shared" si="121"/>
        <v>0.73622084848337788</v>
      </c>
      <c r="Q340" s="23">
        <v>0.2167</v>
      </c>
      <c r="R340" s="13">
        <f t="shared" si="122"/>
        <v>0.46925075790385451</v>
      </c>
      <c r="S340">
        <f t="shared" si="123"/>
        <v>0.1351876716218183</v>
      </c>
      <c r="T340" s="14">
        <f t="shared" si="111"/>
        <v>0.24123580517116783</v>
      </c>
      <c r="U340" t="str">
        <f t="shared" si="124"/>
        <v>Low</v>
      </c>
      <c r="V340">
        <f t="shared" si="125"/>
        <v>0.10524829789714328</v>
      </c>
      <c r="W340">
        <f t="shared" si="112"/>
        <v>0.17025312881536572</v>
      </c>
      <c r="X340" t="s">
        <v>1170</v>
      </c>
      <c r="Y340">
        <f t="shared" si="113"/>
        <v>0.16512704534649331</v>
      </c>
      <c r="Z340">
        <f t="shared" si="126"/>
        <v>0.30059808717757841</v>
      </c>
      <c r="AA340" t="str">
        <f t="shared" si="127"/>
        <v>Moderate</v>
      </c>
      <c r="AB340">
        <f t="shared" si="114"/>
        <v>9.3224444117175509E-2</v>
      </c>
      <c r="AC340">
        <f t="shared" si="128"/>
        <v>0.22785719773487262</v>
      </c>
      <c r="AD340" t="str">
        <f t="shared" si="129"/>
        <v>Low</v>
      </c>
      <c r="AE340">
        <f t="shared" si="115"/>
        <v>1.9569789283506764E-2</v>
      </c>
      <c r="AF340">
        <f t="shared" si="130"/>
        <v>0.11815893223701869</v>
      </c>
      <c r="AG340" t="s">
        <v>1170</v>
      </c>
    </row>
    <row r="341" spans="1:33" customFormat="1" x14ac:dyDescent="0.3">
      <c r="A341">
        <v>408743</v>
      </c>
      <c r="B341" t="s">
        <v>241</v>
      </c>
      <c r="C341" t="s">
        <v>888</v>
      </c>
      <c r="D341" t="s">
        <v>890</v>
      </c>
      <c r="E341" s="21">
        <v>6.5</v>
      </c>
      <c r="F341" s="2">
        <f t="shared" si="116"/>
        <v>0.73333333333333328</v>
      </c>
      <c r="G341" s="26">
        <v>52.190280000000001</v>
      </c>
      <c r="H341">
        <f t="shared" si="117"/>
        <v>0.53503271688545584</v>
      </c>
      <c r="I341" s="12">
        <v>60.3</v>
      </c>
      <c r="J341" s="2">
        <f t="shared" si="118"/>
        <v>0.25357443229604709</v>
      </c>
      <c r="K341" s="10">
        <v>0</v>
      </c>
      <c r="L341" s="2">
        <f t="shared" si="119"/>
        <v>0</v>
      </c>
      <c r="M341">
        <v>48599</v>
      </c>
      <c r="N341">
        <f t="shared" si="120"/>
        <v>0.22881151438588523</v>
      </c>
      <c r="O341" s="10">
        <v>0.83971533200000004</v>
      </c>
      <c r="P341">
        <f t="shared" si="121"/>
        <v>0.82930328589293933</v>
      </c>
      <c r="Q341" s="23">
        <v>0.27710000000000001</v>
      </c>
      <c r="R341" s="13">
        <f t="shared" si="122"/>
        <v>0.60004330879168477</v>
      </c>
      <c r="S341">
        <f t="shared" si="123"/>
        <v>0.14465642771407139</v>
      </c>
      <c r="T341" s="14">
        <f t="shared" si="111"/>
        <v>0.25813233850502121</v>
      </c>
      <c r="U341" t="str">
        <f t="shared" si="124"/>
        <v>Low</v>
      </c>
      <c r="V341">
        <f t="shared" si="125"/>
        <v>0.12145426707045599</v>
      </c>
      <c r="W341">
        <f t="shared" si="112"/>
        <v>0.19646844072414618</v>
      </c>
      <c r="X341" t="s">
        <v>1170</v>
      </c>
      <c r="Y341">
        <f t="shared" si="113"/>
        <v>0.16785858835768683</v>
      </c>
      <c r="Z341">
        <f t="shared" si="126"/>
        <v>0.30557060153756777</v>
      </c>
      <c r="AA341" t="str">
        <f t="shared" si="127"/>
        <v>Moderate</v>
      </c>
      <c r="AB341">
        <f t="shared" si="114"/>
        <v>0.10907631189466699</v>
      </c>
      <c r="AC341">
        <f t="shared" si="128"/>
        <v>0.26660199481945474</v>
      </c>
      <c r="AD341" t="str">
        <f t="shared" si="129"/>
        <v>Low</v>
      </c>
      <c r="AE341">
        <f t="shared" si="115"/>
        <v>4.6313548322003885E-2</v>
      </c>
      <c r="AF341">
        <f t="shared" si="130"/>
        <v>0.27963302713982729</v>
      </c>
      <c r="AG341" t="s">
        <v>1169</v>
      </c>
    </row>
    <row r="342" spans="1:33" customFormat="1" x14ac:dyDescent="0.3">
      <c r="A342">
        <v>408747</v>
      </c>
      <c r="B342" t="s">
        <v>246</v>
      </c>
      <c r="C342" t="s">
        <v>1032</v>
      </c>
      <c r="D342" t="s">
        <v>1139</v>
      </c>
      <c r="E342" s="21">
        <v>6.9</v>
      </c>
      <c r="F342" s="2">
        <f t="shared" si="116"/>
        <v>0.8222222222222223</v>
      </c>
      <c r="G342" s="26">
        <v>64.539360000000002</v>
      </c>
      <c r="H342">
        <f t="shared" si="117"/>
        <v>0.66163027151508891</v>
      </c>
      <c r="I342" s="12">
        <v>70.400000000000006</v>
      </c>
      <c r="J342" s="2">
        <f t="shared" si="118"/>
        <v>0.29604709840201854</v>
      </c>
      <c r="K342" s="10">
        <v>0</v>
      </c>
      <c r="L342" s="2">
        <f t="shared" si="119"/>
        <v>0</v>
      </c>
      <c r="M342">
        <v>39782</v>
      </c>
      <c r="N342">
        <f t="shared" si="120"/>
        <v>0.18709457637223034</v>
      </c>
      <c r="O342" s="10">
        <v>0.86628744899999999</v>
      </c>
      <c r="P342">
        <f t="shared" si="121"/>
        <v>0.8585668608533974</v>
      </c>
      <c r="Q342" s="23">
        <v>0.2792</v>
      </c>
      <c r="R342" s="13">
        <f t="shared" si="122"/>
        <v>0.60459073191857948</v>
      </c>
      <c r="S342">
        <f t="shared" si="123"/>
        <v>0.20162184724556068</v>
      </c>
      <c r="T342" s="14">
        <f t="shared" si="111"/>
        <v>0.35978435072426496</v>
      </c>
      <c r="U342" t="str">
        <f t="shared" si="124"/>
        <v>Moderate</v>
      </c>
      <c r="V342">
        <f t="shared" si="125"/>
        <v>0.1666241569591016</v>
      </c>
      <c r="W342">
        <f t="shared" si="112"/>
        <v>0.26953674905254343</v>
      </c>
      <c r="X342" t="s">
        <v>1170</v>
      </c>
      <c r="Y342">
        <f t="shared" si="113"/>
        <v>0.23661953753201981</v>
      </c>
      <c r="Z342">
        <f t="shared" si="126"/>
        <v>0.43074337230293608</v>
      </c>
      <c r="AA342" t="str">
        <f t="shared" si="127"/>
        <v>Moderate</v>
      </c>
      <c r="AB342">
        <f t="shared" si="114"/>
        <v>0.14735134544142373</v>
      </c>
      <c r="AC342">
        <f t="shared" si="128"/>
        <v>0.3601530153673525</v>
      </c>
      <c r="AD342" t="str">
        <f t="shared" si="129"/>
        <v>Moderate</v>
      </c>
      <c r="AE342">
        <f t="shared" si="115"/>
        <v>5.1562940703234951E-2</v>
      </c>
      <c r="AF342">
        <f t="shared" si="130"/>
        <v>0.31132793144736393</v>
      </c>
      <c r="AG342" t="str">
        <f t="shared" si="131"/>
        <v>Moderate</v>
      </c>
    </row>
    <row r="343" spans="1:33" customFormat="1" x14ac:dyDescent="0.3">
      <c r="A343">
        <v>408782</v>
      </c>
      <c r="B343" t="s">
        <v>467</v>
      </c>
      <c r="C343" t="s">
        <v>888</v>
      </c>
      <c r="D343" t="s">
        <v>891</v>
      </c>
      <c r="E343" s="21">
        <v>7</v>
      </c>
      <c r="F343" s="2">
        <f t="shared" si="116"/>
        <v>0.84444444444444444</v>
      </c>
      <c r="G343" s="26">
        <v>62.637120000000003</v>
      </c>
      <c r="H343">
        <f t="shared" si="117"/>
        <v>0.64212931012212082</v>
      </c>
      <c r="I343" s="12">
        <v>70.400000000000006</v>
      </c>
      <c r="J343" s="2">
        <f t="shared" si="118"/>
        <v>0.29604709840201854</v>
      </c>
      <c r="K343" s="10">
        <v>0</v>
      </c>
      <c r="L343" s="2">
        <f t="shared" si="119"/>
        <v>0</v>
      </c>
      <c r="M343">
        <v>45523</v>
      </c>
      <c r="N343">
        <f t="shared" si="120"/>
        <v>0.21425766371899144</v>
      </c>
      <c r="O343" s="10">
        <v>0.80010126800000003</v>
      </c>
      <c r="P343">
        <f t="shared" si="121"/>
        <v>0.78567676071421966</v>
      </c>
      <c r="Q343" s="23">
        <v>0.21540000000000001</v>
      </c>
      <c r="R343" s="13">
        <f t="shared" si="122"/>
        <v>0.46643568644434824</v>
      </c>
      <c r="S343">
        <f t="shared" si="123"/>
        <v>0.1735949041254426</v>
      </c>
      <c r="T343" s="14">
        <f t="shared" si="111"/>
        <v>0.30977163796017432</v>
      </c>
      <c r="U343" t="str">
        <f t="shared" si="124"/>
        <v>Moderate</v>
      </c>
      <c r="V343">
        <f t="shared" si="125"/>
        <v>0.12933480288090685</v>
      </c>
      <c r="W343">
        <f t="shared" si="112"/>
        <v>0.20921625617843498</v>
      </c>
      <c r="X343" t="s">
        <v>1170</v>
      </c>
      <c r="Y343">
        <f t="shared" si="113"/>
        <v>0.21785500536997832</v>
      </c>
      <c r="Z343">
        <f t="shared" si="126"/>
        <v>0.39658432547413863</v>
      </c>
      <c r="AA343" t="str">
        <f t="shared" si="127"/>
        <v>Moderate</v>
      </c>
      <c r="AB343">
        <f t="shared" si="114"/>
        <v>0.13141720405829277</v>
      </c>
      <c r="AC343">
        <f t="shared" si="128"/>
        <v>0.32120712689084968</v>
      </c>
      <c r="AD343" t="str">
        <f t="shared" si="129"/>
        <v>Moderate</v>
      </c>
      <c r="AE343">
        <f t="shared" si="115"/>
        <v>5.941006125423394E-2</v>
      </c>
      <c r="AF343">
        <f t="shared" si="130"/>
        <v>0.35870745976056084</v>
      </c>
      <c r="AG343" t="str">
        <f t="shared" si="131"/>
        <v>Moderate</v>
      </c>
    </row>
    <row r="344" spans="1:33" customFormat="1" x14ac:dyDescent="0.3">
      <c r="A344">
        <v>408786</v>
      </c>
      <c r="B344" t="s">
        <v>542</v>
      </c>
      <c r="C344" t="s">
        <v>888</v>
      </c>
      <c r="D344" t="s">
        <v>892</v>
      </c>
      <c r="E344" s="21">
        <v>6.9</v>
      </c>
      <c r="F344" s="2">
        <f t="shared" si="116"/>
        <v>0.8222222222222223</v>
      </c>
      <c r="G344" s="26">
        <v>86.811840000000004</v>
      </c>
      <c r="H344">
        <f t="shared" si="117"/>
        <v>0.88995833348710696</v>
      </c>
      <c r="I344" s="12">
        <v>61.800000000000004</v>
      </c>
      <c r="J344" s="2">
        <f t="shared" si="118"/>
        <v>0.25988225399495374</v>
      </c>
      <c r="K344" s="10">
        <v>0.1</v>
      </c>
      <c r="L344" s="2">
        <f t="shared" si="119"/>
        <v>5.8823529411764712E-2</v>
      </c>
      <c r="M344">
        <v>55956</v>
      </c>
      <c r="N344">
        <f t="shared" si="120"/>
        <v>0.26362057789574789</v>
      </c>
      <c r="O344" s="10">
        <v>0.80010126800000003</v>
      </c>
      <c r="P344">
        <f t="shared" si="121"/>
        <v>0.78567676071421966</v>
      </c>
      <c r="Q344" s="23">
        <v>0.3488</v>
      </c>
      <c r="R344" s="13">
        <f t="shared" si="122"/>
        <v>0.7553053269813772</v>
      </c>
      <c r="S344">
        <f t="shared" si="123"/>
        <v>0.26613405785563765</v>
      </c>
      <c r="T344" s="14">
        <f t="shared" si="111"/>
        <v>0.47490324346937957</v>
      </c>
      <c r="U344" t="str">
        <f t="shared" si="124"/>
        <v>Moderate</v>
      </c>
      <c r="V344">
        <f t="shared" si="125"/>
        <v>0.26088878410018335</v>
      </c>
      <c r="W344">
        <f t="shared" si="112"/>
        <v>0.422022328658469</v>
      </c>
      <c r="X344" t="str">
        <f t="shared" ref="X344:X407" si="132">IF(W344&gt;0.7,"High",IF(W344&gt;0.3,"Moderate",IF(W344&gt;0.15,"Low","No Impact")))</f>
        <v>Moderate</v>
      </c>
      <c r="Y344">
        <f t="shared" si="113"/>
        <v>0.27137933161109201</v>
      </c>
      <c r="Z344">
        <f t="shared" si="126"/>
        <v>0.4940202727581619</v>
      </c>
      <c r="AA344" t="str">
        <f t="shared" si="127"/>
        <v>Moderate</v>
      </c>
      <c r="AB344">
        <f t="shared" si="114"/>
        <v>0.2045947381321877</v>
      </c>
      <c r="AC344">
        <f t="shared" si="128"/>
        <v>0.50006609471980201</v>
      </c>
      <c r="AD344" t="str">
        <f t="shared" si="129"/>
        <v>Moderate</v>
      </c>
      <c r="AE344">
        <f t="shared" si="115"/>
        <v>9.1056754896559955E-2</v>
      </c>
      <c r="AF344">
        <f t="shared" si="130"/>
        <v>0.54978460808533969</v>
      </c>
      <c r="AG344" t="str">
        <f t="shared" si="131"/>
        <v>Moderate</v>
      </c>
    </row>
    <row r="345" spans="1:33" customFormat="1" x14ac:dyDescent="0.3">
      <c r="A345">
        <v>408790</v>
      </c>
      <c r="B345" t="s">
        <v>513</v>
      </c>
      <c r="C345" t="s">
        <v>888</v>
      </c>
      <c r="D345" t="s">
        <v>893</v>
      </c>
      <c r="E345" s="21">
        <v>7</v>
      </c>
      <c r="F345" s="2">
        <f t="shared" si="116"/>
        <v>0.84444444444444444</v>
      </c>
      <c r="G345" s="26">
        <v>64.508040000000008</v>
      </c>
      <c r="H345">
        <f t="shared" si="117"/>
        <v>0.66130919209775585</v>
      </c>
      <c r="I345" s="12">
        <v>96.9</v>
      </c>
      <c r="J345" s="2">
        <f t="shared" si="118"/>
        <v>0.40748528174936921</v>
      </c>
      <c r="K345" s="10">
        <v>0</v>
      </c>
      <c r="L345" s="2">
        <f t="shared" si="119"/>
        <v>0</v>
      </c>
      <c r="M345">
        <v>36530</v>
      </c>
      <c r="N345">
        <f t="shared" si="120"/>
        <v>0.1717079956281671</v>
      </c>
      <c r="O345" s="10">
        <v>0.758966645</v>
      </c>
      <c r="P345">
        <f t="shared" si="121"/>
        <v>0.7403756609324188</v>
      </c>
      <c r="Q345" s="23">
        <v>0.2392</v>
      </c>
      <c r="R345" s="13">
        <f t="shared" si="122"/>
        <v>0.51797314854915544</v>
      </c>
      <c r="S345">
        <f t="shared" si="123"/>
        <v>0.19874873527580003</v>
      </c>
      <c r="T345" s="14">
        <f t="shared" si="111"/>
        <v>0.3546574225727761</v>
      </c>
      <c r="U345" t="str">
        <f t="shared" si="124"/>
        <v>Moderate</v>
      </c>
      <c r="V345">
        <f t="shared" si="125"/>
        <v>0.16362157679217981</v>
      </c>
      <c r="W345">
        <f t="shared" si="112"/>
        <v>0.26467967603425119</v>
      </c>
      <c r="X345" t="s">
        <v>1170</v>
      </c>
      <c r="Y345">
        <f t="shared" si="113"/>
        <v>0.23387589375942022</v>
      </c>
      <c r="Z345">
        <f t="shared" si="126"/>
        <v>0.42574882965724448</v>
      </c>
      <c r="AA345" t="str">
        <f t="shared" si="127"/>
        <v>Moderate</v>
      </c>
      <c r="AB345">
        <f t="shared" si="114"/>
        <v>0.14641450205182249</v>
      </c>
      <c r="AC345">
        <f t="shared" si="128"/>
        <v>0.35786320273835287</v>
      </c>
      <c r="AD345" t="str">
        <f t="shared" si="129"/>
        <v>Moderate</v>
      </c>
      <c r="AE345">
        <f t="shared" si="115"/>
        <v>5.4240520133524268E-2</v>
      </c>
      <c r="AF345">
        <f t="shared" si="130"/>
        <v>0.32749468326463738</v>
      </c>
      <c r="AG345" t="str">
        <f t="shared" si="131"/>
        <v>Moderate</v>
      </c>
    </row>
    <row r="346" spans="1:33" customFormat="1" x14ac:dyDescent="0.3">
      <c r="A346">
        <v>453907</v>
      </c>
      <c r="B346" t="s">
        <v>34</v>
      </c>
      <c r="C346" t="s">
        <v>895</v>
      </c>
      <c r="D346" t="s">
        <v>894</v>
      </c>
      <c r="E346" s="21">
        <v>6.7</v>
      </c>
      <c r="F346" s="2">
        <f t="shared" si="116"/>
        <v>0.77777777777777779</v>
      </c>
      <c r="G346" s="26">
        <v>35.838000000000001</v>
      </c>
      <c r="H346">
        <f t="shared" si="117"/>
        <v>0.36739604592542835</v>
      </c>
      <c r="I346" s="12">
        <v>0.3</v>
      </c>
      <c r="J346" s="2">
        <f t="shared" si="118"/>
        <v>1.2615643397813287E-3</v>
      </c>
      <c r="K346" s="10">
        <v>0</v>
      </c>
      <c r="L346" s="2">
        <f t="shared" si="119"/>
        <v>0</v>
      </c>
      <c r="M346">
        <v>31094</v>
      </c>
      <c r="N346">
        <f t="shared" si="120"/>
        <v>0.14598799165377355</v>
      </c>
      <c r="O346" s="10">
        <v>0.53749289</v>
      </c>
      <c r="P346">
        <f t="shared" si="121"/>
        <v>0.49646909408956491</v>
      </c>
      <c r="Q346" s="23">
        <v>0.29549999999999998</v>
      </c>
      <c r="R346" s="13">
        <f t="shared" si="122"/>
        <v>0.63988739714161968</v>
      </c>
      <c r="S346">
        <f t="shared" si="123"/>
        <v>5.70205470968492E-2</v>
      </c>
      <c r="T346" s="14">
        <f t="shared" si="111"/>
        <v>0.10175038467034957</v>
      </c>
      <c r="U346" t="str">
        <f t="shared" si="124"/>
        <v>No Impact</v>
      </c>
      <c r="V346">
        <f t="shared" si="125"/>
        <v>6.4217047637687111E-2</v>
      </c>
      <c r="W346">
        <f t="shared" si="112"/>
        <v>0.10387962087791992</v>
      </c>
      <c r="X346" t="s">
        <v>1170</v>
      </c>
      <c r="Y346">
        <f t="shared" si="113"/>
        <v>4.9824046556011296E-2</v>
      </c>
      <c r="Z346">
        <f t="shared" si="126"/>
        <v>9.0699939908430421E-2</v>
      </c>
      <c r="AA346" t="str">
        <f t="shared" si="127"/>
        <v>No Impact</v>
      </c>
      <c r="AB346">
        <f t="shared" si="114"/>
        <v>4.2550991016871827E-2</v>
      </c>
      <c r="AC346">
        <f t="shared" si="128"/>
        <v>0.10400222458564234</v>
      </c>
      <c r="AD346" t="str">
        <f t="shared" si="129"/>
        <v>No Impact</v>
      </c>
      <c r="AE346">
        <f t="shared" si="115"/>
        <v>1.4650886791079882E-2</v>
      </c>
      <c r="AF346">
        <f t="shared" si="130"/>
        <v>8.8459467523159432E-2</v>
      </c>
      <c r="AG346" t="s">
        <v>1170</v>
      </c>
    </row>
    <row r="347" spans="1:33" customFormat="1" x14ac:dyDescent="0.3">
      <c r="A347">
        <v>453915</v>
      </c>
      <c r="B347" t="s">
        <v>141</v>
      </c>
      <c r="C347" t="s">
        <v>895</v>
      </c>
      <c r="D347" t="s">
        <v>896</v>
      </c>
      <c r="E347" s="21">
        <v>6.7</v>
      </c>
      <c r="F347" s="2">
        <f t="shared" si="116"/>
        <v>0.77777777777777779</v>
      </c>
      <c r="G347" s="26">
        <v>35.838000000000001</v>
      </c>
      <c r="H347">
        <f t="shared" si="117"/>
        <v>0.36739604592542835</v>
      </c>
      <c r="I347" s="12">
        <v>0.4</v>
      </c>
      <c r="J347" s="2">
        <f t="shared" si="118"/>
        <v>1.6820857863751051E-3</v>
      </c>
      <c r="K347" s="10">
        <v>0</v>
      </c>
      <c r="L347" s="2">
        <f t="shared" si="119"/>
        <v>0</v>
      </c>
      <c r="M347">
        <v>33936</v>
      </c>
      <c r="N347">
        <f t="shared" si="120"/>
        <v>0.15943468983170336</v>
      </c>
      <c r="O347" s="10">
        <v>0.34368002399999997</v>
      </c>
      <c r="P347">
        <f t="shared" si="121"/>
        <v>0.28302515462127847</v>
      </c>
      <c r="Q347" s="23">
        <v>0.27829999999999999</v>
      </c>
      <c r="R347" s="13">
        <f t="shared" si="122"/>
        <v>0.60264183629276746</v>
      </c>
      <c r="S347">
        <f t="shared" si="123"/>
        <v>4.4492043327619926E-2</v>
      </c>
      <c r="T347" s="14">
        <f t="shared" si="111"/>
        <v>7.939388087010027E-2</v>
      </c>
      <c r="U347" t="str">
        <f t="shared" si="124"/>
        <v>No Impact</v>
      </c>
      <c r="V347">
        <f t="shared" si="125"/>
        <v>6.0548190158249721E-2</v>
      </c>
      <c r="W347">
        <f t="shared" si="112"/>
        <v>9.7944755635136493E-2</v>
      </c>
      <c r="X347" t="s">
        <v>1170</v>
      </c>
      <c r="Y347">
        <f t="shared" si="113"/>
        <v>2.8435896496990121E-2</v>
      </c>
      <c r="Z347">
        <f t="shared" si="126"/>
        <v>5.1764846129467523E-2</v>
      </c>
      <c r="AA347" t="str">
        <f t="shared" si="127"/>
        <v>No Impact</v>
      </c>
      <c r="AB347">
        <f t="shared" si="114"/>
        <v>3.5329147478491557E-2</v>
      </c>
      <c r="AC347">
        <f t="shared" si="128"/>
        <v>8.6350748658720167E-2</v>
      </c>
      <c r="AD347" t="str">
        <f t="shared" si="129"/>
        <v>No Impact</v>
      </c>
      <c r="AE347">
        <f t="shared" si="115"/>
        <v>1.6018605640020341E-2</v>
      </c>
      <c r="AF347">
        <f t="shared" si="130"/>
        <v>9.6717512433609779E-2</v>
      </c>
      <c r="AG347" t="s">
        <v>1170</v>
      </c>
    </row>
    <row r="348" spans="1:33" customFormat="1" x14ac:dyDescent="0.3">
      <c r="A348">
        <v>453929</v>
      </c>
      <c r="B348" t="s">
        <v>215</v>
      </c>
      <c r="C348" t="s">
        <v>895</v>
      </c>
      <c r="D348" t="s">
        <v>897</v>
      </c>
      <c r="E348" s="21">
        <v>6.7</v>
      </c>
      <c r="F348" s="2">
        <f t="shared" si="116"/>
        <v>0.77777777777777779</v>
      </c>
      <c r="G348" s="26">
        <v>38.710080000000005</v>
      </c>
      <c r="H348">
        <f t="shared" si="117"/>
        <v>0.39683939755167719</v>
      </c>
      <c r="I348" s="12">
        <v>0.3</v>
      </c>
      <c r="J348" s="2">
        <f t="shared" si="118"/>
        <v>1.2615643397813287E-3</v>
      </c>
      <c r="K348" s="10">
        <v>0</v>
      </c>
      <c r="L348" s="2">
        <f t="shared" si="119"/>
        <v>0</v>
      </c>
      <c r="M348">
        <v>49714</v>
      </c>
      <c r="N348">
        <f t="shared" si="120"/>
        <v>0.23408704868158955</v>
      </c>
      <c r="O348" s="10">
        <v>0.51241040900000001</v>
      </c>
      <c r="P348">
        <f t="shared" si="121"/>
        <v>0.46884603857849039</v>
      </c>
      <c r="Q348" s="23">
        <v>0.2853</v>
      </c>
      <c r="R348" s="13">
        <f t="shared" si="122"/>
        <v>0.61779991338241669</v>
      </c>
      <c r="S348">
        <f t="shared" si="123"/>
        <v>5.8880958713454834E-2</v>
      </c>
      <c r="T348" s="14">
        <f t="shared" si="111"/>
        <v>0.10507019844402819</v>
      </c>
      <c r="U348" t="str">
        <f t="shared" si="124"/>
        <v>No Impact</v>
      </c>
      <c r="V348">
        <f t="shared" si="125"/>
        <v>6.6952168049588839E-2</v>
      </c>
      <c r="W348">
        <f t="shared" si="112"/>
        <v>0.1083040421475933</v>
      </c>
      <c r="X348" t="s">
        <v>1170</v>
      </c>
      <c r="Y348">
        <f t="shared" si="113"/>
        <v>5.0809749377320822E-2</v>
      </c>
      <c r="Z348">
        <f t="shared" si="126"/>
        <v>9.2494318182379701E-2</v>
      </c>
      <c r="AA348" t="str">
        <f t="shared" si="127"/>
        <v>No Impact</v>
      </c>
      <c r="AB348">
        <f t="shared" si="114"/>
        <v>4.7555146347646897E-2</v>
      </c>
      <c r="AC348">
        <f t="shared" si="128"/>
        <v>0.1162332743011789</v>
      </c>
      <c r="AD348" t="str">
        <f t="shared" si="129"/>
        <v>No Impact</v>
      </c>
      <c r="AE348">
        <f t="shared" si="115"/>
        <v>2.5368464905984447E-2</v>
      </c>
      <c r="AF348">
        <f t="shared" si="130"/>
        <v>0.15317031176772442</v>
      </c>
      <c r="AG348" t="s">
        <v>1170</v>
      </c>
    </row>
    <row r="349" spans="1:33" customFormat="1" x14ac:dyDescent="0.3">
      <c r="A349">
        <v>453936</v>
      </c>
      <c r="B349" t="s">
        <v>221</v>
      </c>
      <c r="C349" t="s">
        <v>895</v>
      </c>
      <c r="D349" t="s">
        <v>898</v>
      </c>
      <c r="E349" s="21">
        <v>6.7</v>
      </c>
      <c r="F349" s="2">
        <f t="shared" si="116"/>
        <v>0.77777777777777779</v>
      </c>
      <c r="G349" s="26">
        <v>40.402439999999999</v>
      </c>
      <c r="H349">
        <f t="shared" si="117"/>
        <v>0.41418875779171166</v>
      </c>
      <c r="I349" s="12">
        <v>0.9</v>
      </c>
      <c r="J349" s="2">
        <f t="shared" si="118"/>
        <v>3.7846930193439865E-3</v>
      </c>
      <c r="K349" s="10">
        <v>0</v>
      </c>
      <c r="L349" s="2">
        <f t="shared" si="119"/>
        <v>0</v>
      </c>
      <c r="M349">
        <v>72151</v>
      </c>
      <c r="N349">
        <f t="shared" si="120"/>
        <v>0.34024593925801855</v>
      </c>
      <c r="O349" s="10">
        <v>0.72883157200000004</v>
      </c>
      <c r="P349">
        <f t="shared" si="121"/>
        <v>0.70718824241870482</v>
      </c>
      <c r="Q349" s="23">
        <v>0.30719999999999997</v>
      </c>
      <c r="R349" s="13">
        <f t="shared" si="122"/>
        <v>0.66522304027717627</v>
      </c>
      <c r="S349">
        <f t="shared" si="123"/>
        <v>7.8077618078502234E-2</v>
      </c>
      <c r="T349" s="14">
        <f t="shared" si="111"/>
        <v>0.13932570061347641</v>
      </c>
      <c r="U349" t="str">
        <f t="shared" si="124"/>
        <v>No Impact</v>
      </c>
      <c r="V349">
        <f t="shared" si="125"/>
        <v>7.5690182863777711E-2</v>
      </c>
      <c r="W349">
        <f t="shared" si="112"/>
        <v>0.12243894400799718</v>
      </c>
      <c r="X349" t="s">
        <v>1170</v>
      </c>
      <c r="Y349">
        <f t="shared" si="113"/>
        <v>8.0465053293226771E-2</v>
      </c>
      <c r="Z349">
        <f t="shared" si="126"/>
        <v>0.14647897958709238</v>
      </c>
      <c r="AA349" t="str">
        <f t="shared" si="127"/>
        <v>No Impact</v>
      </c>
      <c r="AB349">
        <f t="shared" si="114"/>
        <v>6.4180891903943035E-2</v>
      </c>
      <c r="AC349">
        <f t="shared" si="128"/>
        <v>0.15686956694508108</v>
      </c>
      <c r="AD349" t="str">
        <f t="shared" si="129"/>
        <v>Low</v>
      </c>
      <c r="AE349">
        <f t="shared" si="115"/>
        <v>3.8713748324722332E-2</v>
      </c>
      <c r="AF349">
        <f t="shared" si="130"/>
        <v>0.23374677666034466</v>
      </c>
      <c r="AG349" t="s">
        <v>1169</v>
      </c>
    </row>
    <row r="350" spans="1:33" customFormat="1" x14ac:dyDescent="0.3">
      <c r="A350">
        <v>453958</v>
      </c>
      <c r="B350" t="s">
        <v>310</v>
      </c>
      <c r="C350" t="s">
        <v>895</v>
      </c>
      <c r="D350" t="s">
        <v>899</v>
      </c>
      <c r="E350" s="21">
        <v>5.7</v>
      </c>
      <c r="F350" s="2">
        <f t="shared" si="116"/>
        <v>0.55555555555555558</v>
      </c>
      <c r="G350" s="26">
        <v>39.875399999999999</v>
      </c>
      <c r="H350">
        <f t="shared" si="117"/>
        <v>0.40878576621727847</v>
      </c>
      <c r="I350" s="12">
        <v>0.1</v>
      </c>
      <c r="J350" s="2">
        <f t="shared" si="118"/>
        <v>4.2052144659377626E-4</v>
      </c>
      <c r="K350" s="10">
        <v>0</v>
      </c>
      <c r="L350" s="2">
        <f t="shared" si="119"/>
        <v>0</v>
      </c>
      <c r="M350">
        <v>42481</v>
      </c>
      <c r="N350">
        <f t="shared" si="120"/>
        <v>0.19986468136245997</v>
      </c>
      <c r="O350" s="10">
        <v>0.59314226400000003</v>
      </c>
      <c r="P350">
        <f t="shared" si="121"/>
        <v>0.5577551266458558</v>
      </c>
      <c r="Q350" s="23">
        <v>0.31030000000000002</v>
      </c>
      <c r="R350" s="13">
        <f t="shared" si="122"/>
        <v>0.67193590298830663</v>
      </c>
      <c r="S350">
        <f t="shared" si="123"/>
        <v>4.8921959839876697E-2</v>
      </c>
      <c r="T350" s="14">
        <f t="shared" si="111"/>
        <v>8.7298850782333307E-2</v>
      </c>
      <c r="U350" t="str">
        <f t="shared" si="124"/>
        <v>No Impact</v>
      </c>
      <c r="V350">
        <f t="shared" si="125"/>
        <v>5.3464521524150481E-2</v>
      </c>
      <c r="W350">
        <f t="shared" si="112"/>
        <v>8.648597888964199E-2</v>
      </c>
      <c r="X350" t="s">
        <v>1170</v>
      </c>
      <c r="Y350">
        <f t="shared" si="113"/>
        <v>4.4379398155602913E-2</v>
      </c>
      <c r="Z350">
        <f t="shared" si="126"/>
        <v>8.0788475126371453E-2</v>
      </c>
      <c r="AA350" t="str">
        <f t="shared" si="127"/>
        <v>No Impact</v>
      </c>
      <c r="AB350">
        <f t="shared" si="114"/>
        <v>3.759238577246312E-2</v>
      </c>
      <c r="AC350">
        <f t="shared" si="128"/>
        <v>9.1882507419570783E-2</v>
      </c>
      <c r="AD350" t="str">
        <f t="shared" si="129"/>
        <v>No Impact</v>
      </c>
      <c r="AE350">
        <f t="shared" si="115"/>
        <v>1.5902810835227352E-2</v>
      </c>
      <c r="AF350">
        <f t="shared" si="130"/>
        <v>9.6018363848271421E-2</v>
      </c>
      <c r="AG350" t="s">
        <v>1170</v>
      </c>
    </row>
    <row r="351" spans="1:33" customFormat="1" x14ac:dyDescent="0.3">
      <c r="A351">
        <v>453961</v>
      </c>
      <c r="B351" t="s">
        <v>336</v>
      </c>
      <c r="C351" t="s">
        <v>895</v>
      </c>
      <c r="D351" t="s">
        <v>900</v>
      </c>
      <c r="E351" s="21">
        <v>5.9</v>
      </c>
      <c r="F351" s="2">
        <f t="shared" si="116"/>
        <v>0.60000000000000009</v>
      </c>
      <c r="G351" s="26">
        <v>40.380840000000006</v>
      </c>
      <c r="H351">
        <f t="shared" si="117"/>
        <v>0.41396732371079237</v>
      </c>
      <c r="I351" s="12">
        <v>0.3</v>
      </c>
      <c r="J351" s="2">
        <f t="shared" si="118"/>
        <v>1.2615643397813287E-3</v>
      </c>
      <c r="K351" s="10">
        <v>0</v>
      </c>
      <c r="L351" s="2">
        <f t="shared" si="119"/>
        <v>0</v>
      </c>
      <c r="M351">
        <v>49997</v>
      </c>
      <c r="N351">
        <f t="shared" si="120"/>
        <v>0.23542604079431093</v>
      </c>
      <c r="O351" s="10">
        <v>0.764713427</v>
      </c>
      <c r="P351">
        <f t="shared" si="121"/>
        <v>0.7467045276101627</v>
      </c>
      <c r="Q351" s="23">
        <v>0.32500000000000001</v>
      </c>
      <c r="R351" s="13">
        <f t="shared" si="122"/>
        <v>0.70376786487656995</v>
      </c>
      <c r="S351">
        <f t="shared" si="123"/>
        <v>6.3239194061433732E-2</v>
      </c>
      <c r="T351" s="14">
        <f t="shared" si="111"/>
        <v>0.11284725681541782</v>
      </c>
      <c r="U351" t="str">
        <f t="shared" si="124"/>
        <v>No Impact</v>
      </c>
      <c r="V351">
        <f t="shared" si="125"/>
        <v>6.1367197075469157E-2</v>
      </c>
      <c r="W351">
        <f t="shared" si="112"/>
        <v>9.9269608321251243E-2</v>
      </c>
      <c r="X351" t="s">
        <v>1170</v>
      </c>
      <c r="Y351">
        <f t="shared" si="113"/>
        <v>6.5111191047398334E-2</v>
      </c>
      <c r="Z351">
        <f t="shared" si="126"/>
        <v>0.11852873308325958</v>
      </c>
      <c r="AA351" t="str">
        <f t="shared" si="127"/>
        <v>No Impact</v>
      </c>
      <c r="AB351">
        <f t="shared" si="114"/>
        <v>4.8196919736215739E-2</v>
      </c>
      <c r="AC351">
        <f t="shared" si="128"/>
        <v>0.1178018831278114</v>
      </c>
      <c r="AD351" t="str">
        <f t="shared" si="129"/>
        <v>No Impact</v>
      </c>
      <c r="AE351">
        <f t="shared" si="115"/>
        <v>2.0528695558805852E-2</v>
      </c>
      <c r="AF351">
        <f t="shared" si="130"/>
        <v>0.1239486390122576</v>
      </c>
      <c r="AG351" t="s">
        <v>1170</v>
      </c>
    </row>
    <row r="352" spans="1:33" customFormat="1" x14ac:dyDescent="0.3">
      <c r="A352">
        <v>453985</v>
      </c>
      <c r="B352" t="s">
        <v>465</v>
      </c>
      <c r="C352" t="s">
        <v>895</v>
      </c>
      <c r="D352" t="s">
        <v>901</v>
      </c>
      <c r="E352" s="21">
        <v>6.7</v>
      </c>
      <c r="F352" s="2">
        <f t="shared" si="116"/>
        <v>0.77777777777777779</v>
      </c>
      <c r="G352" s="26">
        <v>39.612960000000001</v>
      </c>
      <c r="H352">
        <f t="shared" si="117"/>
        <v>0.40609534213410786</v>
      </c>
      <c r="I352" s="12">
        <v>1.1000000000000001</v>
      </c>
      <c r="J352" s="2">
        <f t="shared" si="118"/>
        <v>4.6257359125315397E-3</v>
      </c>
      <c r="K352" s="10">
        <v>0</v>
      </c>
      <c r="L352" s="2">
        <f t="shared" si="119"/>
        <v>0</v>
      </c>
      <c r="M352">
        <v>35824</v>
      </c>
      <c r="N352">
        <f t="shared" si="120"/>
        <v>0.16836761247770318</v>
      </c>
      <c r="O352" s="10">
        <v>0.654017603</v>
      </c>
      <c r="P352">
        <f t="shared" si="121"/>
        <v>0.62479645594866584</v>
      </c>
      <c r="Q352" s="23">
        <v>0.30470000000000003</v>
      </c>
      <c r="R352" s="13">
        <f t="shared" si="122"/>
        <v>0.65980944131658736</v>
      </c>
      <c r="S352">
        <f t="shared" si="123"/>
        <v>7.1814225640285861E-2</v>
      </c>
      <c r="T352" s="14">
        <f t="shared" si="111"/>
        <v>0.12814898235352321</v>
      </c>
      <c r="U352" t="str">
        <f t="shared" si="124"/>
        <v>No Impact</v>
      </c>
      <c r="V352">
        <f t="shared" si="125"/>
        <v>7.3771581150567117E-2</v>
      </c>
      <c r="W352">
        <f t="shared" si="112"/>
        <v>0.11933535039982453</v>
      </c>
      <c r="X352" t="s">
        <v>1170</v>
      </c>
      <c r="Y352">
        <f t="shared" si="113"/>
        <v>6.9856870130004606E-2</v>
      </c>
      <c r="Z352">
        <f t="shared" si="126"/>
        <v>0.12716779067432055</v>
      </c>
      <c r="AA352" t="str">
        <f t="shared" si="127"/>
        <v>No Impact</v>
      </c>
      <c r="AB352">
        <f t="shared" si="114"/>
        <v>5.3365775459924457E-2</v>
      </c>
      <c r="AC352">
        <f t="shared" si="128"/>
        <v>0.13043549003052218</v>
      </c>
      <c r="AD352" t="str">
        <f t="shared" si="129"/>
        <v>No Impact</v>
      </c>
      <c r="AE352">
        <f t="shared" si="115"/>
        <v>1.8824745766355958E-2</v>
      </c>
      <c r="AF352">
        <f t="shared" si="130"/>
        <v>0.11366049103352316</v>
      </c>
      <c r="AG352" t="s">
        <v>1170</v>
      </c>
    </row>
    <row r="353" spans="1:33" customFormat="1" x14ac:dyDescent="0.3">
      <c r="A353">
        <v>456113</v>
      </c>
      <c r="B353" t="s">
        <v>65</v>
      </c>
      <c r="C353" t="s">
        <v>903</v>
      </c>
      <c r="D353" t="s">
        <v>902</v>
      </c>
      <c r="E353" s="21">
        <v>4.4000000000000004</v>
      </c>
      <c r="F353" s="2">
        <f t="shared" si="116"/>
        <v>0.26666666666666672</v>
      </c>
      <c r="G353" s="26">
        <v>45.935279999999999</v>
      </c>
      <c r="H353">
        <f t="shared" si="117"/>
        <v>0.47090909761921451</v>
      </c>
      <c r="I353" s="12">
        <v>27.400000000000002</v>
      </c>
      <c r="J353" s="2">
        <f t="shared" si="118"/>
        <v>0.1152228763666947</v>
      </c>
      <c r="K353" s="10">
        <v>0</v>
      </c>
      <c r="L353" s="2">
        <f t="shared" si="119"/>
        <v>0</v>
      </c>
      <c r="M353">
        <v>67704</v>
      </c>
      <c r="N353">
        <f t="shared" si="120"/>
        <v>0.31920531054681034</v>
      </c>
      <c r="O353" s="10">
        <v>0.31624534500000001</v>
      </c>
      <c r="P353">
        <f t="shared" si="121"/>
        <v>0.2528116497871471</v>
      </c>
      <c r="Q353" s="23">
        <v>0.29110000000000003</v>
      </c>
      <c r="R353" s="13">
        <f t="shared" si="122"/>
        <v>0.63035946297098322</v>
      </c>
      <c r="S353">
        <f t="shared" si="123"/>
        <v>2.4157225292118566E-2</v>
      </c>
      <c r="T353" s="14">
        <f t="shared" si="111"/>
        <v>4.3107390075834341E-2</v>
      </c>
      <c r="U353" t="str">
        <f t="shared" si="124"/>
        <v>No Impact</v>
      </c>
      <c r="V353">
        <f t="shared" si="125"/>
        <v>3.4484224726175468E-2</v>
      </c>
      <c r="W353">
        <f t="shared" si="112"/>
        <v>5.5782822826657107E-2</v>
      </c>
      <c r="X353" t="s">
        <v>1170</v>
      </c>
      <c r="Y353">
        <f t="shared" si="113"/>
        <v>1.3830225858061658E-2</v>
      </c>
      <c r="Z353">
        <f t="shared" si="126"/>
        <v>2.5176611314298575E-2</v>
      </c>
      <c r="AA353" t="str">
        <f t="shared" si="127"/>
        <v>No Impact</v>
      </c>
      <c r="AB353">
        <f t="shared" si="114"/>
        <v>2.2330363411647756E-2</v>
      </c>
      <c r="AC353">
        <f t="shared" si="128"/>
        <v>5.4579397920399703E-2</v>
      </c>
      <c r="AD353" t="str">
        <f t="shared" si="129"/>
        <v>No Impact</v>
      </c>
      <c r="AE353">
        <f t="shared" si="115"/>
        <v>1.746233428590813E-2</v>
      </c>
      <c r="AF353">
        <f t="shared" si="130"/>
        <v>0.10543449107690407</v>
      </c>
      <c r="AG353" t="s">
        <v>1170</v>
      </c>
    </row>
    <row r="354" spans="1:33" customFormat="1" x14ac:dyDescent="0.3">
      <c r="A354">
        <v>456116</v>
      </c>
      <c r="B354" t="s">
        <v>147</v>
      </c>
      <c r="C354" t="s">
        <v>903</v>
      </c>
      <c r="D354" t="s">
        <v>904</v>
      </c>
      <c r="E354" s="21">
        <v>5.3</v>
      </c>
      <c r="F354" s="2">
        <f t="shared" si="116"/>
        <v>0.46666666666666656</v>
      </c>
      <c r="G354" s="26">
        <v>35.548920000000003</v>
      </c>
      <c r="H354">
        <f t="shared" si="117"/>
        <v>0.36443251980912383</v>
      </c>
      <c r="I354" s="12">
        <v>1.6</v>
      </c>
      <c r="J354" s="2">
        <f t="shared" si="118"/>
        <v>6.7283431455004202E-3</v>
      </c>
      <c r="K354" s="10">
        <v>0</v>
      </c>
      <c r="L354" s="2">
        <f t="shared" si="119"/>
        <v>0</v>
      </c>
      <c r="M354">
        <v>30622</v>
      </c>
      <c r="N354">
        <f t="shared" si="120"/>
        <v>0.14375476099227358</v>
      </c>
      <c r="O354" s="10">
        <v>0.42999924699999997</v>
      </c>
      <c r="P354">
        <f t="shared" si="121"/>
        <v>0.37808754851292814</v>
      </c>
      <c r="Q354" s="23">
        <v>0.29110000000000003</v>
      </c>
      <c r="R354" s="13">
        <f t="shared" si="122"/>
        <v>0.63035946297098322</v>
      </c>
      <c r="S354">
        <f t="shared" si="123"/>
        <v>3.0567511813821065E-2</v>
      </c>
      <c r="T354" s="14">
        <f t="shared" si="111"/>
        <v>5.4546233661858581E-2</v>
      </c>
      <c r="U354" t="str">
        <f t="shared" si="124"/>
        <v>No Impact</v>
      </c>
      <c r="V354">
        <f t="shared" si="125"/>
        <v>3.8214244500494189E-2</v>
      </c>
      <c r="W354">
        <f t="shared" si="112"/>
        <v>6.1816626221193369E-2</v>
      </c>
      <c r="X354" t="s">
        <v>1170</v>
      </c>
      <c r="Y354">
        <f t="shared" si="113"/>
        <v>2.2920779127147933E-2</v>
      </c>
      <c r="Z354">
        <f t="shared" si="126"/>
        <v>4.1725099288144871E-2</v>
      </c>
      <c r="AA354" t="str">
        <f t="shared" si="127"/>
        <v>No Impact</v>
      </c>
      <c r="AB354">
        <f t="shared" si="114"/>
        <v>2.3301412048700461E-2</v>
      </c>
      <c r="AC354">
        <f t="shared" si="128"/>
        <v>5.6952814285585969E-2</v>
      </c>
      <c r="AD354" t="str">
        <f t="shared" si="129"/>
        <v>No Impact</v>
      </c>
      <c r="AE354">
        <f t="shared" si="115"/>
        <v>8.7148363868089062E-3</v>
      </c>
      <c r="AF354">
        <f t="shared" si="130"/>
        <v>5.2618643316385119E-2</v>
      </c>
      <c r="AG354" t="s">
        <v>1170</v>
      </c>
    </row>
    <row r="355" spans="1:33" customFormat="1" x14ac:dyDescent="0.3">
      <c r="A355">
        <v>456120</v>
      </c>
      <c r="B355" t="s">
        <v>170</v>
      </c>
      <c r="C355" t="s">
        <v>903</v>
      </c>
      <c r="D355" t="s">
        <v>905</v>
      </c>
      <c r="E355" s="21">
        <v>5.4</v>
      </c>
      <c r="F355" s="2">
        <f t="shared" si="116"/>
        <v>0.48888888888888893</v>
      </c>
      <c r="G355" s="26">
        <v>45.935279999999999</v>
      </c>
      <c r="H355">
        <f t="shared" si="117"/>
        <v>0.47090909761921451</v>
      </c>
      <c r="I355" s="12">
        <v>8.6</v>
      </c>
      <c r="J355" s="2">
        <f t="shared" si="118"/>
        <v>3.6164844407064758E-2</v>
      </c>
      <c r="K355" s="10">
        <v>0</v>
      </c>
      <c r="L355" s="2">
        <f t="shared" si="119"/>
        <v>0</v>
      </c>
      <c r="M355">
        <v>47760</v>
      </c>
      <c r="N355">
        <f t="shared" si="120"/>
        <v>0.22484185225665118</v>
      </c>
      <c r="O355" s="10">
        <v>0.481451342</v>
      </c>
      <c r="P355">
        <f t="shared" si="121"/>
        <v>0.43475116469770986</v>
      </c>
      <c r="Q355" s="23">
        <v>0.2959</v>
      </c>
      <c r="R355" s="13">
        <f t="shared" si="122"/>
        <v>0.64075357297531399</v>
      </c>
      <c r="S355">
        <f t="shared" si="123"/>
        <v>4.6658614309982853E-2</v>
      </c>
      <c r="T355" s="14">
        <f t="shared" si="111"/>
        <v>8.326002109665076E-2</v>
      </c>
      <c r="U355" t="str">
        <f t="shared" si="124"/>
        <v>No Impact</v>
      </c>
      <c r="V355">
        <f t="shared" si="125"/>
        <v>5.5595615308740458E-2</v>
      </c>
      <c r="W355">
        <f t="shared" si="112"/>
        <v>8.9933306702772067E-2</v>
      </c>
      <c r="X355" t="s">
        <v>1170</v>
      </c>
      <c r="Y355">
        <f t="shared" si="113"/>
        <v>3.7721613311225248E-2</v>
      </c>
      <c r="Z355">
        <f t="shared" si="126"/>
        <v>6.8668610782766537E-2</v>
      </c>
      <c r="AA355" t="str">
        <f t="shared" si="127"/>
        <v>No Impact</v>
      </c>
      <c r="AB355">
        <f t="shared" si="114"/>
        <v>3.7602968074541152E-2</v>
      </c>
      <c r="AC355">
        <f t="shared" si="128"/>
        <v>9.190837245657818E-2</v>
      </c>
      <c r="AD355" t="str">
        <f t="shared" si="129"/>
        <v>No Impact</v>
      </c>
      <c r="AE355">
        <f t="shared" si="115"/>
        <v>1.9508624923184045E-2</v>
      </c>
      <c r="AF355">
        <f t="shared" si="130"/>
        <v>0.11778963262924091</v>
      </c>
      <c r="AG355" t="s">
        <v>1170</v>
      </c>
    </row>
    <row r="356" spans="1:33" customFormat="1" x14ac:dyDescent="0.3">
      <c r="A356">
        <v>456122</v>
      </c>
      <c r="B356" t="s">
        <v>174</v>
      </c>
      <c r="C356" t="s">
        <v>903</v>
      </c>
      <c r="D356" t="s">
        <v>906</v>
      </c>
      <c r="E356" s="21">
        <v>5.3</v>
      </c>
      <c r="F356" s="2">
        <f t="shared" si="116"/>
        <v>0.46666666666666656</v>
      </c>
      <c r="G356" s="26">
        <v>47.612520000000004</v>
      </c>
      <c r="H356">
        <f t="shared" si="117"/>
        <v>0.48810345400260552</v>
      </c>
      <c r="I356" s="12">
        <v>49.5</v>
      </c>
      <c r="J356" s="2">
        <f t="shared" si="118"/>
        <v>0.20815811606391926</v>
      </c>
      <c r="K356" s="10">
        <v>0</v>
      </c>
      <c r="L356" s="2">
        <f t="shared" si="119"/>
        <v>0</v>
      </c>
      <c r="M356">
        <v>46008</v>
      </c>
      <c r="N356">
        <f t="shared" si="120"/>
        <v>0.21655240285210051</v>
      </c>
      <c r="O356" s="10">
        <v>0.48378475300000001</v>
      </c>
      <c r="P356">
        <f t="shared" si="121"/>
        <v>0.43732092410799911</v>
      </c>
      <c r="Q356" s="23">
        <v>0.29139999999999999</v>
      </c>
      <c r="R356" s="13">
        <f t="shared" si="122"/>
        <v>0.63100909484625378</v>
      </c>
      <c r="S356">
        <f t="shared" si="123"/>
        <v>6.0746699468280187E-2</v>
      </c>
      <c r="T356" s="14">
        <f t="shared" si="111"/>
        <v>0.10839952180488942</v>
      </c>
      <c r="U356" t="str">
        <f t="shared" si="124"/>
        <v>No Impact</v>
      </c>
      <c r="V356">
        <f t="shared" si="125"/>
        <v>7.1760072573638492E-2</v>
      </c>
      <c r="W356">
        <f t="shared" si="112"/>
        <v>0.11608146757508066</v>
      </c>
      <c r="X356" t="s">
        <v>1170</v>
      </c>
      <c r="Y356">
        <f t="shared" si="113"/>
        <v>4.9733326362921888E-2</v>
      </c>
      <c r="Z356">
        <f t="shared" si="126"/>
        <v>9.0534792421815891E-2</v>
      </c>
      <c r="AA356" t="str">
        <f t="shared" si="127"/>
        <v>No Impact</v>
      </c>
      <c r="AB356">
        <f t="shared" si="114"/>
        <v>4.8655448441639763E-2</v>
      </c>
      <c r="AC356">
        <f t="shared" si="128"/>
        <v>0.1189226092087049</v>
      </c>
      <c r="AD356" t="str">
        <f t="shared" si="129"/>
        <v>No Impact</v>
      </c>
      <c r="AE356">
        <f t="shared" si="115"/>
        <v>2.4626928948542064E-2</v>
      </c>
      <c r="AF356">
        <f t="shared" si="130"/>
        <v>0.14869304859041507</v>
      </c>
      <c r="AG356" t="s">
        <v>1170</v>
      </c>
    </row>
    <row r="357" spans="1:33" customFormat="1" x14ac:dyDescent="0.3">
      <c r="A357">
        <v>456123</v>
      </c>
      <c r="B357" t="s">
        <v>178</v>
      </c>
      <c r="C357" t="s">
        <v>903</v>
      </c>
      <c r="D357" t="s">
        <v>907</v>
      </c>
      <c r="E357" s="21">
        <v>5.4</v>
      </c>
      <c r="F357" s="2">
        <f t="shared" si="116"/>
        <v>0.48888888888888893</v>
      </c>
      <c r="G357" s="26">
        <v>42.42924</v>
      </c>
      <c r="H357">
        <f t="shared" si="117"/>
        <v>0.43496665571798154</v>
      </c>
      <c r="I357" s="12">
        <v>20.8</v>
      </c>
      <c r="J357" s="2">
        <f t="shared" si="118"/>
        <v>8.7468460891505465E-2</v>
      </c>
      <c r="K357" s="10">
        <v>0</v>
      </c>
      <c r="L357" s="2">
        <f t="shared" si="119"/>
        <v>0</v>
      </c>
      <c r="M357">
        <v>52514</v>
      </c>
      <c r="N357">
        <f t="shared" si="120"/>
        <v>0.24733502718201303</v>
      </c>
      <c r="O357" s="10">
        <v>0.41628558100000002</v>
      </c>
      <c r="P357">
        <f t="shared" si="121"/>
        <v>0.36298484168028533</v>
      </c>
      <c r="Q357" s="23">
        <v>0.3009</v>
      </c>
      <c r="R357" s="13">
        <f t="shared" si="122"/>
        <v>0.65158077089649202</v>
      </c>
      <c r="S357">
        <f t="shared" si="123"/>
        <v>4.5348269129798197E-2</v>
      </c>
      <c r="T357" s="14">
        <f t="shared" si="111"/>
        <v>8.0921774044964812E-2</v>
      </c>
      <c r="U357" t="str">
        <f t="shared" si="124"/>
        <v>No Impact</v>
      </c>
      <c r="V357">
        <f t="shared" si="125"/>
        <v>5.824770678629608E-2</v>
      </c>
      <c r="W357">
        <f t="shared" si="112"/>
        <v>9.422341762123726E-2</v>
      </c>
      <c r="X357" t="s">
        <v>1170</v>
      </c>
      <c r="Y357">
        <f t="shared" si="113"/>
        <v>3.2448831473300306E-2</v>
      </c>
      <c r="Z357">
        <f t="shared" si="126"/>
        <v>5.9070012738096964E-2</v>
      </c>
      <c r="AA357" t="str">
        <f t="shared" si="127"/>
        <v>No Impact</v>
      </c>
      <c r="AB357">
        <f t="shared" si="114"/>
        <v>3.7859979653932965E-2</v>
      </c>
      <c r="AC357">
        <f t="shared" si="128"/>
        <v>9.253655467659791E-2</v>
      </c>
      <c r="AD357" t="str">
        <f t="shared" si="129"/>
        <v>No Impact</v>
      </c>
      <c r="AE357">
        <f t="shared" si="115"/>
        <v>2.2110379533540694E-2</v>
      </c>
      <c r="AF357">
        <f t="shared" si="130"/>
        <v>0.13349856757222334</v>
      </c>
      <c r="AG357" t="s">
        <v>1170</v>
      </c>
    </row>
    <row r="358" spans="1:33" customFormat="1" x14ac:dyDescent="0.3">
      <c r="A358">
        <v>456124</v>
      </c>
      <c r="B358" t="s">
        <v>202</v>
      </c>
      <c r="C358" t="s">
        <v>903</v>
      </c>
      <c r="D358" t="s">
        <v>908</v>
      </c>
      <c r="E358" s="21">
        <v>5.4</v>
      </c>
      <c r="F358" s="2">
        <f t="shared" si="116"/>
        <v>0.48888888888888893</v>
      </c>
      <c r="G358" s="26">
        <v>36.059400000000004</v>
      </c>
      <c r="H358">
        <f t="shared" si="117"/>
        <v>0.36966574525485218</v>
      </c>
      <c r="I358" s="12">
        <v>1.2</v>
      </c>
      <c r="J358" s="2">
        <f t="shared" si="118"/>
        <v>5.0462573591253147E-3</v>
      </c>
      <c r="K358" s="10">
        <v>0</v>
      </c>
      <c r="L358" s="2">
        <f t="shared" si="119"/>
        <v>0</v>
      </c>
      <c r="M358">
        <v>39702</v>
      </c>
      <c r="N358">
        <f t="shared" si="120"/>
        <v>0.18671606270078966</v>
      </c>
      <c r="O358" s="10">
        <v>0.58278379899999999</v>
      </c>
      <c r="P358">
        <f t="shared" si="121"/>
        <v>0.54634746511091736</v>
      </c>
      <c r="Q358" s="23">
        <v>0.30259999999999998</v>
      </c>
      <c r="R358" s="13">
        <f t="shared" si="122"/>
        <v>0.65526201818969243</v>
      </c>
      <c r="S358">
        <f t="shared" si="123"/>
        <v>3.8522030200287674E-2</v>
      </c>
      <c r="T358" s="14">
        <f t="shared" si="111"/>
        <v>6.8740683678545106E-2</v>
      </c>
      <c r="U358" t="str">
        <f t="shared" si="124"/>
        <v>No Impact</v>
      </c>
      <c r="V358">
        <f t="shared" si="125"/>
        <v>4.2013688481334868E-2</v>
      </c>
      <c r="W358">
        <f t="shared" si="112"/>
        <v>6.7962732509097443E-2</v>
      </c>
      <c r="X358" t="s">
        <v>1170</v>
      </c>
      <c r="Y358">
        <f t="shared" si="113"/>
        <v>3.5030371919240487E-2</v>
      </c>
      <c r="Z358">
        <f t="shared" si="126"/>
        <v>6.3769461689011361E-2</v>
      </c>
      <c r="AA358" t="str">
        <f t="shared" si="127"/>
        <v>No Impact</v>
      </c>
      <c r="AB358">
        <f t="shared" si="114"/>
        <v>2.9404013669641856E-2</v>
      </c>
      <c r="AC358">
        <f t="shared" si="128"/>
        <v>7.1868662992521939E-2</v>
      </c>
      <c r="AD358" t="str">
        <f t="shared" si="129"/>
        <v>No Impact</v>
      </c>
      <c r="AE358">
        <f t="shared" si="115"/>
        <v>1.1971746072578582E-2</v>
      </c>
      <c r="AF358">
        <f t="shared" si="130"/>
        <v>7.2283288923340253E-2</v>
      </c>
      <c r="AG358" t="s">
        <v>1170</v>
      </c>
    </row>
    <row r="359" spans="1:33" customFormat="1" x14ac:dyDescent="0.3">
      <c r="A359">
        <v>456131</v>
      </c>
      <c r="B359" t="s">
        <v>214</v>
      </c>
      <c r="C359" t="s">
        <v>903</v>
      </c>
      <c r="D359" t="s">
        <v>909</v>
      </c>
      <c r="E359" s="21">
        <v>5.4</v>
      </c>
      <c r="F359" s="2">
        <f t="shared" si="116"/>
        <v>0.48888888888888893</v>
      </c>
      <c r="G359" s="26">
        <v>44.515439999999998</v>
      </c>
      <c r="H359">
        <f t="shared" si="117"/>
        <v>0.45635349736677966</v>
      </c>
      <c r="I359" s="12">
        <v>31.2</v>
      </c>
      <c r="J359" s="2">
        <f t="shared" si="118"/>
        <v>0.1312026913372582</v>
      </c>
      <c r="K359" s="10">
        <v>0</v>
      </c>
      <c r="L359" s="2">
        <f t="shared" si="119"/>
        <v>0</v>
      </c>
      <c r="M359">
        <v>55685</v>
      </c>
      <c r="N359">
        <f t="shared" si="120"/>
        <v>0.26233836283374262</v>
      </c>
      <c r="O359" s="10">
        <v>0.41694930099999999</v>
      </c>
      <c r="P359">
        <f t="shared" si="121"/>
        <v>0.36371578908552044</v>
      </c>
      <c r="Q359" s="23">
        <v>0.3135</v>
      </c>
      <c r="R359" s="13">
        <f t="shared" si="122"/>
        <v>0.67886530965786052</v>
      </c>
      <c r="S359">
        <f t="shared" si="123"/>
        <v>5.2409192458916384E-2</v>
      </c>
      <c r="T359" s="14">
        <f t="shared" si="111"/>
        <v>9.3521647273913905E-2</v>
      </c>
      <c r="U359" t="str">
        <f t="shared" si="124"/>
        <v>No Impact</v>
      </c>
      <c r="V359">
        <f t="shared" si="125"/>
        <v>6.8251347948708546E-2</v>
      </c>
      <c r="W359">
        <f t="shared" si="112"/>
        <v>0.11040563853573941</v>
      </c>
      <c r="X359" t="s">
        <v>1170</v>
      </c>
      <c r="Y359">
        <f t="shared" si="113"/>
        <v>3.6567036969124216E-2</v>
      </c>
      <c r="Z359">
        <f t="shared" si="126"/>
        <v>6.6566814319275067E-2</v>
      </c>
      <c r="AA359" t="str">
        <f t="shared" si="127"/>
        <v>No Impact</v>
      </c>
      <c r="AB359">
        <f t="shared" si="114"/>
        <v>4.4089268086652582E-2</v>
      </c>
      <c r="AC359">
        <f t="shared" si="128"/>
        <v>0.10776204858651807</v>
      </c>
      <c r="AD359" t="str">
        <f t="shared" si="129"/>
        <v>No Impact</v>
      </c>
      <c r="AE359">
        <f t="shared" si="115"/>
        <v>2.6374814896763809E-2</v>
      </c>
      <c r="AF359">
        <f t="shared" si="130"/>
        <v>0.15924647531985006</v>
      </c>
      <c r="AG359" t="s">
        <v>1170</v>
      </c>
    </row>
    <row r="360" spans="1:33" customFormat="1" x14ac:dyDescent="0.3">
      <c r="A360">
        <v>456152</v>
      </c>
      <c r="B360" t="s">
        <v>358</v>
      </c>
      <c r="C360" t="s">
        <v>903</v>
      </c>
      <c r="D360" t="s">
        <v>910</v>
      </c>
      <c r="E360" s="21">
        <v>5.3</v>
      </c>
      <c r="F360" s="2">
        <f t="shared" si="116"/>
        <v>0.46666666666666656</v>
      </c>
      <c r="G360" s="26">
        <v>40.69764</v>
      </c>
      <c r="H360">
        <f t="shared" si="117"/>
        <v>0.41721502356427675</v>
      </c>
      <c r="I360" s="12">
        <v>5.5</v>
      </c>
      <c r="J360" s="2">
        <f t="shared" si="118"/>
        <v>2.3128679562657694E-2</v>
      </c>
      <c r="K360" s="10">
        <v>0</v>
      </c>
      <c r="L360" s="2">
        <f t="shared" si="119"/>
        <v>0</v>
      </c>
      <c r="M360">
        <v>87952</v>
      </c>
      <c r="N360">
        <f t="shared" si="120"/>
        <v>0.41500712078844398</v>
      </c>
      <c r="O360" s="10">
        <v>0.52086661499999998</v>
      </c>
      <c r="P360">
        <f t="shared" si="121"/>
        <v>0.47815876357372039</v>
      </c>
      <c r="Q360" s="23">
        <v>0.28560000000000002</v>
      </c>
      <c r="R360" s="13">
        <f t="shared" si="122"/>
        <v>0.61844954525768736</v>
      </c>
      <c r="S360">
        <f t="shared" si="123"/>
        <v>3.9435572693231259E-2</v>
      </c>
      <c r="T360" s="14">
        <f t="shared" si="111"/>
        <v>7.037085569200964E-2</v>
      </c>
      <c r="U360" t="str">
        <f t="shared" si="124"/>
        <v>No Impact</v>
      </c>
      <c r="V360">
        <f t="shared" si="125"/>
        <v>4.4480625949469971E-2</v>
      </c>
      <c r="W360">
        <f t="shared" si="112"/>
        <v>7.1953332176108858E-2</v>
      </c>
      <c r="X360" t="s">
        <v>1170</v>
      </c>
      <c r="Y360">
        <f t="shared" si="113"/>
        <v>3.4390519436992555E-2</v>
      </c>
      <c r="Z360">
        <f t="shared" si="126"/>
        <v>6.260467107681357E-2</v>
      </c>
      <c r="AA360" t="str">
        <f t="shared" si="127"/>
        <v>No Impact</v>
      </c>
      <c r="AB360">
        <f t="shared" si="114"/>
        <v>3.6332341568489988E-2</v>
      </c>
      <c r="AC360">
        <f t="shared" si="128"/>
        <v>8.8802734254299756E-2</v>
      </c>
      <c r="AD360" t="str">
        <f t="shared" si="129"/>
        <v>No Impact</v>
      </c>
      <c r="AE360">
        <f t="shared" si="115"/>
        <v>2.9848476157364953E-2</v>
      </c>
      <c r="AF360">
        <f t="shared" si="130"/>
        <v>0.18021982866360048</v>
      </c>
      <c r="AG360" t="s">
        <v>1169</v>
      </c>
    </row>
    <row r="361" spans="1:33" customFormat="1" x14ac:dyDescent="0.3">
      <c r="A361">
        <v>456165</v>
      </c>
      <c r="B361" t="s">
        <v>354</v>
      </c>
      <c r="C361" t="s">
        <v>903</v>
      </c>
      <c r="D361" t="s">
        <v>911</v>
      </c>
      <c r="E361" s="21">
        <v>5.3</v>
      </c>
      <c r="F361" s="2">
        <f t="shared" si="116"/>
        <v>0.46666666666666656</v>
      </c>
      <c r="G361" s="26">
        <v>39.811320000000002</v>
      </c>
      <c r="H361">
        <f t="shared" si="117"/>
        <v>0.40812884511055098</v>
      </c>
      <c r="I361" s="12">
        <v>3.1</v>
      </c>
      <c r="J361" s="2">
        <f t="shared" si="118"/>
        <v>1.3036164844407064E-2</v>
      </c>
      <c r="K361" s="10">
        <v>0</v>
      </c>
      <c r="L361" s="2">
        <f t="shared" si="119"/>
        <v>0</v>
      </c>
      <c r="M361">
        <v>36359</v>
      </c>
      <c r="N361">
        <f t="shared" si="120"/>
        <v>0.17089892265546267</v>
      </c>
      <c r="O361" s="10">
        <v>0.63408611699999995</v>
      </c>
      <c r="P361">
        <f t="shared" si="121"/>
        <v>0.6028461335624471</v>
      </c>
      <c r="Q361" s="23">
        <v>0.29659999999999997</v>
      </c>
      <c r="R361" s="13">
        <f t="shared" si="122"/>
        <v>0.64226938068427886</v>
      </c>
      <c r="S361">
        <f t="shared" si="123"/>
        <v>4.2825925516144912E-2</v>
      </c>
      <c r="T361" s="14">
        <f t="shared" si="111"/>
        <v>7.6420774913474487E-2</v>
      </c>
      <c r="U361" t="str">
        <f t="shared" si="124"/>
        <v>No Impact</v>
      </c>
      <c r="V361">
        <f t="shared" si="125"/>
        <v>4.4181893717910967E-2</v>
      </c>
      <c r="W361">
        <f t="shared" si="112"/>
        <v>7.1470093034791612E-2</v>
      </c>
      <c r="X361" t="s">
        <v>1170</v>
      </c>
      <c r="Y361">
        <f t="shared" si="113"/>
        <v>4.1469957314378872E-2</v>
      </c>
      <c r="Z361">
        <f t="shared" si="126"/>
        <v>7.5492114679824876E-2</v>
      </c>
      <c r="AA361" t="str">
        <f t="shared" si="127"/>
        <v>No Impact</v>
      </c>
      <c r="AB361">
        <f t="shared" si="114"/>
        <v>3.2019314951630407E-2</v>
      </c>
      <c r="AC361">
        <f t="shared" si="128"/>
        <v>7.8260926598806513E-2</v>
      </c>
      <c r="AD361" t="str">
        <f t="shared" si="129"/>
        <v>No Impact</v>
      </c>
      <c r="AE361">
        <f t="shared" si="115"/>
        <v>1.1756185588708322E-2</v>
      </c>
      <c r="AF361">
        <f t="shared" si="130"/>
        <v>7.0981772783456659E-2</v>
      </c>
      <c r="AG361" t="s">
        <v>1170</v>
      </c>
    </row>
    <row r="362" spans="1:33" customFormat="1" x14ac:dyDescent="0.3">
      <c r="A362">
        <v>456172</v>
      </c>
      <c r="B362" t="s">
        <v>369</v>
      </c>
      <c r="C362" t="s">
        <v>903</v>
      </c>
      <c r="D362" t="s">
        <v>912</v>
      </c>
      <c r="E362" s="21">
        <v>5.4</v>
      </c>
      <c r="F362" s="2">
        <f t="shared" si="116"/>
        <v>0.48888888888888893</v>
      </c>
      <c r="G362" s="26">
        <v>43.911360000000002</v>
      </c>
      <c r="H362">
        <f t="shared" si="117"/>
        <v>0.45016072423706732</v>
      </c>
      <c r="I362" s="12">
        <v>42.1</v>
      </c>
      <c r="J362" s="2">
        <f t="shared" si="118"/>
        <v>0.1770395290159798</v>
      </c>
      <c r="K362" s="10">
        <v>0</v>
      </c>
      <c r="L362" s="2">
        <f t="shared" si="119"/>
        <v>0</v>
      </c>
      <c r="M362">
        <v>50033</v>
      </c>
      <c r="N362">
        <f t="shared" si="120"/>
        <v>0.23559637194645924</v>
      </c>
      <c r="O362" s="10">
        <v>0.53515390900000004</v>
      </c>
      <c r="P362">
        <f t="shared" si="121"/>
        <v>0.49389320050063534</v>
      </c>
      <c r="Q362" s="23">
        <v>0.29670000000000002</v>
      </c>
      <c r="R362" s="13">
        <f t="shared" si="122"/>
        <v>0.64248592464270249</v>
      </c>
      <c r="S362">
        <f t="shared" si="123"/>
        <v>6.0978633534740076E-2</v>
      </c>
      <c r="T362" s="14">
        <f t="shared" si="111"/>
        <v>0.10881339683208564</v>
      </c>
      <c r="U362" t="str">
        <f t="shared" si="124"/>
        <v>No Impact</v>
      </c>
      <c r="V362">
        <f t="shared" si="125"/>
        <v>6.8952188373003181E-2</v>
      </c>
      <c r="W362">
        <f t="shared" si="112"/>
        <v>0.11153934119336394</v>
      </c>
      <c r="X362" t="s">
        <v>1170</v>
      </c>
      <c r="Y362">
        <f t="shared" si="113"/>
        <v>5.3005078696476991E-2</v>
      </c>
      <c r="Z362">
        <f t="shared" si="126"/>
        <v>9.6490706494654521E-2</v>
      </c>
      <c r="AA362" t="str">
        <f t="shared" si="127"/>
        <v>No Impact</v>
      </c>
      <c r="AB362">
        <f t="shared" si="114"/>
        <v>4.88843373324966E-2</v>
      </c>
      <c r="AC362">
        <f t="shared" si="128"/>
        <v>0.11948205455329422</v>
      </c>
      <c r="AD362" t="str">
        <f t="shared" si="129"/>
        <v>No Impact</v>
      </c>
      <c r="AE362">
        <f t="shared" si="115"/>
        <v>2.5284422265721137E-2</v>
      </c>
      <c r="AF362">
        <f t="shared" si="130"/>
        <v>0.15266287714530555</v>
      </c>
      <c r="AG362" t="s">
        <v>1170</v>
      </c>
    </row>
    <row r="363" spans="1:33" customFormat="1" x14ac:dyDescent="0.3">
      <c r="A363">
        <v>456181</v>
      </c>
      <c r="B363" t="s">
        <v>415</v>
      </c>
      <c r="C363" t="s">
        <v>903</v>
      </c>
      <c r="D363" t="s">
        <v>913</v>
      </c>
      <c r="E363" s="21">
        <v>5.4</v>
      </c>
      <c r="F363" s="2">
        <f t="shared" si="116"/>
        <v>0.48888888888888893</v>
      </c>
      <c r="G363" s="26">
        <v>42.191279999999999</v>
      </c>
      <c r="H363">
        <f t="shared" si="117"/>
        <v>0.43252719025985287</v>
      </c>
      <c r="I363" s="12">
        <v>10</v>
      </c>
      <c r="J363" s="2">
        <f t="shared" si="118"/>
        <v>4.2052144659377629E-2</v>
      </c>
      <c r="K363" s="10">
        <v>0</v>
      </c>
      <c r="L363" s="2">
        <f t="shared" si="119"/>
        <v>0</v>
      </c>
      <c r="M363">
        <v>71423</v>
      </c>
      <c r="N363">
        <f t="shared" si="120"/>
        <v>0.33680146484790846</v>
      </c>
      <c r="O363" s="10">
        <v>0.65571944000000004</v>
      </c>
      <c r="P363">
        <f t="shared" si="121"/>
        <v>0.62667066998362519</v>
      </c>
      <c r="Q363" s="23">
        <v>0.30480000000000002</v>
      </c>
      <c r="R363" s="13">
        <f t="shared" si="122"/>
        <v>0.66002598527501088</v>
      </c>
      <c r="S363">
        <f t="shared" si="123"/>
        <v>5.2243613892165579E-2</v>
      </c>
      <c r="T363" s="14">
        <f t="shared" si="111"/>
        <v>9.3226180398939096E-2</v>
      </c>
      <c r="U363" t="str">
        <f t="shared" si="124"/>
        <v>No Impact</v>
      </c>
      <c r="V363">
        <f t="shared" si="125"/>
        <v>5.359793637852063E-2</v>
      </c>
      <c r="W363">
        <f t="shared" si="112"/>
        <v>8.6701795172097806E-2</v>
      </c>
      <c r="X363" t="s">
        <v>1170</v>
      </c>
      <c r="Y363">
        <f t="shared" si="113"/>
        <v>5.0889291405810534E-2</v>
      </c>
      <c r="Z363">
        <f t="shared" si="126"/>
        <v>9.2639116883065351E-2</v>
      </c>
      <c r="AA363" t="str">
        <f t="shared" si="127"/>
        <v>No Impact</v>
      </c>
      <c r="AB363">
        <f t="shared" si="114"/>
        <v>4.3598646174889573E-2</v>
      </c>
      <c r="AC363">
        <f t="shared" si="128"/>
        <v>0.10656288097527297</v>
      </c>
      <c r="AD363" t="str">
        <f t="shared" si="129"/>
        <v>No Impact</v>
      </c>
      <c r="AE363">
        <f t="shared" si="115"/>
        <v>2.7350231487612023E-2</v>
      </c>
      <c r="AF363">
        <f t="shared" si="130"/>
        <v>0.16513586846513206</v>
      </c>
      <c r="AG363" t="s">
        <v>1170</v>
      </c>
    </row>
    <row r="364" spans="1:33" customFormat="1" x14ac:dyDescent="0.3">
      <c r="A364">
        <v>456194</v>
      </c>
      <c r="B364" t="s">
        <v>529</v>
      </c>
      <c r="C364" t="s">
        <v>903</v>
      </c>
      <c r="D364" t="s">
        <v>914</v>
      </c>
      <c r="E364" s="21">
        <v>5.3</v>
      </c>
      <c r="F364" s="2">
        <f t="shared" si="116"/>
        <v>0.46666666666666656</v>
      </c>
      <c r="G364" s="26">
        <v>45.935279999999999</v>
      </c>
      <c r="H364">
        <f t="shared" si="117"/>
        <v>0.47090909761921451</v>
      </c>
      <c r="I364" s="12">
        <v>20.400000000000002</v>
      </c>
      <c r="J364" s="2">
        <f t="shared" si="118"/>
        <v>8.5786375105130361E-2</v>
      </c>
      <c r="K364" s="10">
        <v>0</v>
      </c>
      <c r="L364" s="2">
        <f t="shared" si="119"/>
        <v>0</v>
      </c>
      <c r="M364">
        <v>46016</v>
      </c>
      <c r="N364">
        <f t="shared" si="120"/>
        <v>0.21659025421924458</v>
      </c>
      <c r="O364" s="10">
        <v>0.85811759600000004</v>
      </c>
      <c r="P364">
        <f t="shared" si="121"/>
        <v>0.84956949321116471</v>
      </c>
      <c r="Q364" s="23">
        <v>0.26629999999999998</v>
      </c>
      <c r="R364" s="13">
        <f t="shared" si="122"/>
        <v>0.57665656128194021</v>
      </c>
      <c r="S364">
        <f t="shared" si="123"/>
        <v>6.4841176322121635E-2</v>
      </c>
      <c r="T364" s="14">
        <f t="shared" si="111"/>
        <v>0.11570591601037804</v>
      </c>
      <c r="U364" t="str">
        <f t="shared" si="124"/>
        <v>No Impact</v>
      </c>
      <c r="V364">
        <f t="shared" si="125"/>
        <v>5.2433609173799307E-2</v>
      </c>
      <c r="W364">
        <f t="shared" si="112"/>
        <v>8.4818340964008102E-2</v>
      </c>
      <c r="X364" t="s">
        <v>1170</v>
      </c>
      <c r="Y364">
        <f t="shared" si="113"/>
        <v>7.7248743470443984E-2</v>
      </c>
      <c r="Z364">
        <f t="shared" si="126"/>
        <v>0.14062399333411216</v>
      </c>
      <c r="AA364" t="str">
        <f t="shared" si="127"/>
        <v>No Impact</v>
      </c>
      <c r="AB364">
        <f t="shared" si="114"/>
        <v>4.8419246450013533E-2</v>
      </c>
      <c r="AC364">
        <f t="shared" si="128"/>
        <v>0.11834528933921121</v>
      </c>
      <c r="AD364" t="str">
        <f t="shared" si="129"/>
        <v>No Impact</v>
      </c>
      <c r="AE364">
        <f t="shared" si="115"/>
        <v>1.9693886280144499E-2</v>
      </c>
      <c r="AF364">
        <f t="shared" si="130"/>
        <v>0.11890820799078951</v>
      </c>
      <c r="AG364" t="s">
        <v>1170</v>
      </c>
    </row>
    <row r="365" spans="1:33" customFormat="1" x14ac:dyDescent="0.3">
      <c r="A365">
        <v>457204</v>
      </c>
      <c r="B365" t="s">
        <v>16</v>
      </c>
      <c r="C365" t="s">
        <v>916</v>
      </c>
      <c r="D365" t="s">
        <v>915</v>
      </c>
      <c r="E365" s="21">
        <v>5.7</v>
      </c>
      <c r="F365" s="2">
        <f t="shared" si="116"/>
        <v>0.55555555555555558</v>
      </c>
      <c r="G365" s="26">
        <v>45.511559999999996</v>
      </c>
      <c r="H365">
        <f t="shared" si="117"/>
        <v>0.46656529906517902</v>
      </c>
      <c r="I365" s="12">
        <v>45.400000000000006</v>
      </c>
      <c r="J365" s="2">
        <f t="shared" si="118"/>
        <v>0.19091673675357446</v>
      </c>
      <c r="K365" s="10">
        <v>0</v>
      </c>
      <c r="L365" s="2">
        <f t="shared" si="119"/>
        <v>0</v>
      </c>
      <c r="M365">
        <v>26281</v>
      </c>
      <c r="N365">
        <f t="shared" si="120"/>
        <v>0.12321566289572422</v>
      </c>
      <c r="O365" s="10">
        <v>0.56833292499999999</v>
      </c>
      <c r="P365">
        <f t="shared" si="121"/>
        <v>0.53043287936138395</v>
      </c>
      <c r="Q365" s="23">
        <v>0.26090000000000002</v>
      </c>
      <c r="R365" s="13">
        <f t="shared" si="122"/>
        <v>0.56496318752706809</v>
      </c>
      <c r="S365">
        <f t="shared" si="123"/>
        <v>7.0019759063885079E-2</v>
      </c>
      <c r="T365" s="14">
        <f t="shared" si="111"/>
        <v>0.12494684428710411</v>
      </c>
      <c r="U365" t="str">
        <f t="shared" si="124"/>
        <v>No Impact</v>
      </c>
      <c r="V365">
        <f t="shared" si="125"/>
        <v>7.2227000746823408E-2</v>
      </c>
      <c r="W365">
        <f t="shared" si="112"/>
        <v>0.11683678603632992</v>
      </c>
      <c r="X365" t="s">
        <v>1170</v>
      </c>
      <c r="Y365">
        <f t="shared" si="113"/>
        <v>6.7812517380946721E-2</v>
      </c>
      <c r="Z365">
        <f t="shared" si="126"/>
        <v>0.12344624085434083</v>
      </c>
      <c r="AA365" t="str">
        <f t="shared" si="127"/>
        <v>No Impact</v>
      </c>
      <c r="AB365">
        <f t="shared" si="114"/>
        <v>5.113652791926452E-2</v>
      </c>
      <c r="AC365">
        <f t="shared" si="128"/>
        <v>0.12498681074385701</v>
      </c>
      <c r="AD365" t="str">
        <f t="shared" si="129"/>
        <v>No Impact</v>
      </c>
      <c r="AE365">
        <f t="shared" si="115"/>
        <v>1.5752349838835167E-2</v>
      </c>
      <c r="AF365">
        <f t="shared" si="130"/>
        <v>9.5109906919100401E-2</v>
      </c>
      <c r="AG365" t="s">
        <v>1170</v>
      </c>
    </row>
    <row r="366" spans="1:33" customFormat="1" x14ac:dyDescent="0.3">
      <c r="A366">
        <v>457209</v>
      </c>
      <c r="B366" t="s">
        <v>48</v>
      </c>
      <c r="C366" t="s">
        <v>916</v>
      </c>
      <c r="D366" t="s">
        <v>917</v>
      </c>
      <c r="E366" s="21">
        <v>5.5</v>
      </c>
      <c r="F366" s="2">
        <f t="shared" si="116"/>
        <v>0.51111111111111107</v>
      </c>
      <c r="G366" s="26">
        <v>45.511559999999996</v>
      </c>
      <c r="H366">
        <f t="shared" si="117"/>
        <v>0.46656529906517902</v>
      </c>
      <c r="I366" s="12">
        <v>37.5</v>
      </c>
      <c r="J366" s="2">
        <f t="shared" si="118"/>
        <v>0.15769554247266609</v>
      </c>
      <c r="K366" s="10">
        <v>0</v>
      </c>
      <c r="L366" s="2">
        <f t="shared" si="119"/>
        <v>0</v>
      </c>
      <c r="M366">
        <v>31977</v>
      </c>
      <c r="N366">
        <f t="shared" si="120"/>
        <v>0.15016583630229993</v>
      </c>
      <c r="O366" s="10">
        <v>0.75725827700000004</v>
      </c>
      <c r="P366">
        <f t="shared" si="121"/>
        <v>0.73849425438027827</v>
      </c>
      <c r="Q366" s="23">
        <v>0.30059999999999998</v>
      </c>
      <c r="R366" s="13">
        <f t="shared" si="122"/>
        <v>0.65093113902122124</v>
      </c>
      <c r="S366">
        <f t="shared" si="123"/>
        <v>7.7580879066421277E-2</v>
      </c>
      <c r="T366" s="14">
        <f t="shared" si="111"/>
        <v>0.13843929407875552</v>
      </c>
      <c r="U366" t="str">
        <f t="shared" si="124"/>
        <v>No Impact</v>
      </c>
      <c r="V366">
        <f t="shared" si="125"/>
        <v>7.2691646801334081E-2</v>
      </c>
      <c r="W366">
        <f t="shared" si="112"/>
        <v>0.1175884128669079</v>
      </c>
      <c r="X366" t="s">
        <v>1170</v>
      </c>
      <c r="Y366">
        <f t="shared" si="113"/>
        <v>8.24701113315085E-2</v>
      </c>
      <c r="Z366">
        <f t="shared" si="126"/>
        <v>0.15012899712191116</v>
      </c>
      <c r="AA366" t="str">
        <f t="shared" si="127"/>
        <v>Low</v>
      </c>
      <c r="AB366">
        <f t="shared" si="114"/>
        <v>5.605244133883764E-2</v>
      </c>
      <c r="AC366">
        <f t="shared" si="128"/>
        <v>0.13700218146232737</v>
      </c>
      <c r="AD366" t="str">
        <f t="shared" si="129"/>
        <v>No Impact</v>
      </c>
      <c r="AE366">
        <f t="shared" si="115"/>
        <v>1.6769518739766214E-2</v>
      </c>
      <c r="AF366">
        <f t="shared" si="130"/>
        <v>0.1012513931404164</v>
      </c>
      <c r="AG366" t="s">
        <v>1170</v>
      </c>
    </row>
    <row r="367" spans="1:33" customFormat="1" x14ac:dyDescent="0.3">
      <c r="A367">
        <v>457218</v>
      </c>
      <c r="B367" t="s">
        <v>160</v>
      </c>
      <c r="C367" t="s">
        <v>916</v>
      </c>
      <c r="D367" t="s">
        <v>1147</v>
      </c>
      <c r="E367" s="21">
        <v>5.7</v>
      </c>
      <c r="F367" s="2">
        <f t="shared" si="116"/>
        <v>0.55555555555555558</v>
      </c>
      <c r="G367" s="26">
        <v>34.170479999999998</v>
      </c>
      <c r="H367">
        <f t="shared" si="117"/>
        <v>0.35030133487845111</v>
      </c>
      <c r="I367" s="12">
        <v>9.2999999999999989</v>
      </c>
      <c r="J367" s="2">
        <f t="shared" si="118"/>
        <v>3.910849453322119E-2</v>
      </c>
      <c r="K367" s="10">
        <v>0</v>
      </c>
      <c r="L367" s="2">
        <f t="shared" si="119"/>
        <v>0</v>
      </c>
      <c r="M367">
        <v>33559</v>
      </c>
      <c r="N367">
        <f t="shared" si="120"/>
        <v>0.15765094415503919</v>
      </c>
      <c r="O367" s="10">
        <v>0.57911826300000002</v>
      </c>
      <c r="P367">
        <f t="shared" si="121"/>
        <v>0.54231065135210932</v>
      </c>
      <c r="Q367" s="23">
        <v>0.29020000000000001</v>
      </c>
      <c r="R367" s="13">
        <f t="shared" si="122"/>
        <v>0.62841056734517109</v>
      </c>
      <c r="S367">
        <f t="shared" si="123"/>
        <v>4.4322672922649048E-2</v>
      </c>
      <c r="T367" s="14">
        <f t="shared" si="111"/>
        <v>7.9091647644798369E-2</v>
      </c>
      <c r="U367" t="str">
        <f t="shared" si="124"/>
        <v>No Impact</v>
      </c>
      <c r="V367">
        <f t="shared" si="125"/>
        <v>4.7582354522572971E-2</v>
      </c>
      <c r="W367">
        <f t="shared" si="112"/>
        <v>7.697079093656202E-2</v>
      </c>
      <c r="X367" t="s">
        <v>1170</v>
      </c>
      <c r="Y367">
        <f t="shared" si="113"/>
        <v>4.1062991322725124E-2</v>
      </c>
      <c r="Z367">
        <f t="shared" si="126"/>
        <v>7.4751271782886056E-2</v>
      </c>
      <c r="AA367" t="str">
        <f t="shared" si="127"/>
        <v>No Impact</v>
      </c>
      <c r="AB367">
        <f t="shared" si="114"/>
        <v>3.3150708335593269E-2</v>
      </c>
      <c r="AC367">
        <f t="shared" si="128"/>
        <v>8.1026254174066975E-2</v>
      </c>
      <c r="AD367" t="str">
        <f t="shared" si="129"/>
        <v>No Impact</v>
      </c>
      <c r="AE367">
        <f t="shared" si="115"/>
        <v>1.1937105302500561E-2</v>
      </c>
      <c r="AF367">
        <f t="shared" si="130"/>
        <v>7.2074134070163748E-2</v>
      </c>
      <c r="AG367" t="s">
        <v>1170</v>
      </c>
    </row>
    <row r="368" spans="1:33" customFormat="1" x14ac:dyDescent="0.3">
      <c r="A368">
        <v>457238</v>
      </c>
      <c r="B368" t="s">
        <v>272</v>
      </c>
      <c r="C368" t="s">
        <v>916</v>
      </c>
      <c r="D368" t="s">
        <v>918</v>
      </c>
      <c r="E368" s="21">
        <v>5.7</v>
      </c>
      <c r="F368" s="2">
        <f t="shared" si="116"/>
        <v>0.55555555555555558</v>
      </c>
      <c r="G368" s="26">
        <v>51.908040000000007</v>
      </c>
      <c r="H368">
        <f t="shared" si="117"/>
        <v>0.53213931156144245</v>
      </c>
      <c r="I368" s="12">
        <v>66.5</v>
      </c>
      <c r="J368" s="2">
        <f t="shared" si="118"/>
        <v>0.27964676198486121</v>
      </c>
      <c r="K368" s="10">
        <v>0</v>
      </c>
      <c r="L368" s="2">
        <f t="shared" si="119"/>
        <v>0</v>
      </c>
      <c r="M368">
        <v>1928</v>
      </c>
      <c r="N368">
        <f t="shared" si="120"/>
        <v>7.9913698882911523E-3</v>
      </c>
      <c r="O368" s="10">
        <v>0.80584710100000001</v>
      </c>
      <c r="P368">
        <f t="shared" si="121"/>
        <v>0.79200458226888815</v>
      </c>
      <c r="Q368" s="23">
        <v>0.1091</v>
      </c>
      <c r="R368" s="13">
        <f t="shared" si="122"/>
        <v>0.23624945864010397</v>
      </c>
      <c r="S368">
        <f t="shared" si="123"/>
        <v>8.1153557963103015E-2</v>
      </c>
      <c r="T368" s="14">
        <f t="shared" si="111"/>
        <v>0.14481456528447662</v>
      </c>
      <c r="U368" t="str">
        <f t="shared" si="124"/>
        <v>No Impact</v>
      </c>
      <c r="V368">
        <f t="shared" si="125"/>
        <v>3.7291337301339697E-2</v>
      </c>
      <c r="W368">
        <f t="shared" si="112"/>
        <v>6.0323701001482592E-2</v>
      </c>
      <c r="X368" t="s">
        <v>1170</v>
      </c>
      <c r="Y368">
        <f t="shared" si="113"/>
        <v>0.12501577862486632</v>
      </c>
      <c r="Z368">
        <f t="shared" si="126"/>
        <v>0.22757933954910711</v>
      </c>
      <c r="AA368" t="str">
        <f t="shared" si="127"/>
        <v>Low</v>
      </c>
      <c r="AB368">
        <f t="shared" si="114"/>
        <v>5.0998197276831192E-2</v>
      </c>
      <c r="AC368">
        <f t="shared" si="128"/>
        <v>0.12464870593836087</v>
      </c>
      <c r="AD368" t="str">
        <f t="shared" si="129"/>
        <v>No Impact</v>
      </c>
      <c r="AE368">
        <f t="shared" si="115"/>
        <v>1.2614160968640073E-3</v>
      </c>
      <c r="AF368">
        <f t="shared" si="130"/>
        <v>7.6162076633934303E-3</v>
      </c>
      <c r="AG368" t="s">
        <v>1170</v>
      </c>
    </row>
    <row r="369" spans="1:33" customFormat="1" x14ac:dyDescent="0.3">
      <c r="A369">
        <v>457240</v>
      </c>
      <c r="B369" t="s">
        <v>250</v>
      </c>
      <c r="C369" t="s">
        <v>916</v>
      </c>
      <c r="D369" t="s">
        <v>919</v>
      </c>
      <c r="E369" s="21">
        <v>5.7</v>
      </c>
      <c r="F369" s="2">
        <f t="shared" si="116"/>
        <v>0.55555555555555558</v>
      </c>
      <c r="G369" s="26">
        <v>35.366759999999999</v>
      </c>
      <c r="H369">
        <f t="shared" si="117"/>
        <v>0.3625650923933702</v>
      </c>
      <c r="I369" s="12">
        <v>19</v>
      </c>
      <c r="J369" s="2">
        <f t="shared" si="118"/>
        <v>7.9899074852817484E-2</v>
      </c>
      <c r="K369" s="10">
        <v>0</v>
      </c>
      <c r="L369" s="2">
        <f t="shared" si="119"/>
        <v>0</v>
      </c>
      <c r="M369">
        <v>27627</v>
      </c>
      <c r="N369">
        <f t="shared" si="120"/>
        <v>0.12958415541771348</v>
      </c>
      <c r="O369" s="10">
        <v>0.74739329399999999</v>
      </c>
      <c r="P369">
        <f t="shared" si="121"/>
        <v>0.72763005904709699</v>
      </c>
      <c r="Q369" s="23">
        <v>0.25800000000000001</v>
      </c>
      <c r="R369" s="13">
        <f t="shared" si="122"/>
        <v>0.55868341273278477</v>
      </c>
      <c r="S369">
        <f t="shared" si="123"/>
        <v>5.5333796302228684E-2</v>
      </c>
      <c r="T369" s="14">
        <f t="shared" si="111"/>
        <v>9.8740460161836061E-2</v>
      </c>
      <c r="U369" t="str">
        <f t="shared" si="124"/>
        <v>No Impact</v>
      </c>
      <c r="V369">
        <f t="shared" si="125"/>
        <v>4.80661593550969E-2</v>
      </c>
      <c r="W369">
        <f t="shared" si="112"/>
        <v>7.7753409640321874E-2</v>
      </c>
      <c r="X369" t="s">
        <v>1170</v>
      </c>
      <c r="Y369">
        <f t="shared" si="113"/>
        <v>6.2601433249360461E-2</v>
      </c>
      <c r="Z369">
        <f t="shared" si="126"/>
        <v>0.11395995761836741</v>
      </c>
      <c r="AA369" t="str">
        <f t="shared" si="127"/>
        <v>No Impact</v>
      </c>
      <c r="AB369">
        <f t="shared" si="114"/>
        <v>3.9505642589848664E-2</v>
      </c>
      <c r="AC369">
        <f t="shared" si="128"/>
        <v>9.6558848920826168E-2</v>
      </c>
      <c r="AD369" t="str">
        <f t="shared" si="129"/>
        <v>No Impact</v>
      </c>
      <c r="AE369">
        <f t="shared" si="115"/>
        <v>1.1148733830733169E-2</v>
      </c>
      <c r="AF369">
        <f t="shared" si="130"/>
        <v>6.7314086327152509E-2</v>
      </c>
      <c r="AG369" t="s">
        <v>1170</v>
      </c>
    </row>
    <row r="370" spans="1:33" customFormat="1" x14ac:dyDescent="0.3">
      <c r="A370">
        <v>457247</v>
      </c>
      <c r="B370" t="s">
        <v>268</v>
      </c>
      <c r="C370" t="s">
        <v>916</v>
      </c>
      <c r="D370" t="s">
        <v>920</v>
      </c>
      <c r="E370" s="21">
        <v>5.7</v>
      </c>
      <c r="F370" s="2">
        <f t="shared" si="116"/>
        <v>0.55555555555555558</v>
      </c>
      <c r="G370" s="26">
        <v>44.756639999999997</v>
      </c>
      <c r="H370">
        <f t="shared" si="117"/>
        <v>0.45882617793704622</v>
      </c>
      <c r="I370" s="12">
        <v>56</v>
      </c>
      <c r="J370" s="2">
        <f t="shared" si="118"/>
        <v>0.23549201009251472</v>
      </c>
      <c r="K370" s="10">
        <v>0</v>
      </c>
      <c r="L370" s="2">
        <f t="shared" si="119"/>
        <v>0</v>
      </c>
      <c r="M370">
        <v>54514</v>
      </c>
      <c r="N370">
        <f t="shared" si="120"/>
        <v>0.25679786896802981</v>
      </c>
      <c r="O370" s="10">
        <v>0.46322793000000001</v>
      </c>
      <c r="P370">
        <f t="shared" si="121"/>
        <v>0.41468192508472335</v>
      </c>
      <c r="Q370" s="23">
        <v>0.29570000000000002</v>
      </c>
      <c r="R370" s="13">
        <f t="shared" si="122"/>
        <v>0.64032048505846695</v>
      </c>
      <c r="S370">
        <f t="shared" si="123"/>
        <v>7.1215993506139955E-2</v>
      </c>
      <c r="T370" s="14">
        <f t="shared" si="111"/>
        <v>0.12708146629359973</v>
      </c>
      <c r="U370" t="str">
        <f t="shared" si="124"/>
        <v>No Impact</v>
      </c>
      <c r="V370">
        <f t="shared" si="125"/>
        <v>8.6447308683556406E-2</v>
      </c>
      <c r="W370">
        <f t="shared" si="112"/>
        <v>0.13984002663327344</v>
      </c>
      <c r="X370" t="s">
        <v>1170</v>
      </c>
      <c r="Y370">
        <f t="shared" si="113"/>
        <v>5.5984678328723524E-2</v>
      </c>
      <c r="Z370">
        <f t="shared" si="126"/>
        <v>0.10191478435015613</v>
      </c>
      <c r="AA370" t="str">
        <f t="shared" si="127"/>
        <v>No Impact</v>
      </c>
      <c r="AB370">
        <f t="shared" si="114"/>
        <v>5.9186228374688211E-2</v>
      </c>
      <c r="AC370">
        <f t="shared" si="128"/>
        <v>0.14466171688835011</v>
      </c>
      <c r="AD370" t="str">
        <f t="shared" si="129"/>
        <v>No Impact</v>
      </c>
      <c r="AE370">
        <f t="shared" si="115"/>
        <v>3.4669333819504045E-2</v>
      </c>
      <c r="AF370">
        <f t="shared" si="130"/>
        <v>0.20932731600405344</v>
      </c>
      <c r="AG370" t="s">
        <v>1169</v>
      </c>
    </row>
    <row r="371" spans="1:33" customFormat="1" x14ac:dyDescent="0.3">
      <c r="A371">
        <v>457256</v>
      </c>
      <c r="B371" t="s">
        <v>309</v>
      </c>
      <c r="C371" t="s">
        <v>916</v>
      </c>
      <c r="D371" t="s">
        <v>921</v>
      </c>
      <c r="E371" s="21">
        <v>5.8</v>
      </c>
      <c r="F371" s="2">
        <f t="shared" si="116"/>
        <v>0.57777777777777772</v>
      </c>
      <c r="G371" s="26">
        <v>51.827399999999997</v>
      </c>
      <c r="H371">
        <f t="shared" si="117"/>
        <v>0.5313126243260099</v>
      </c>
      <c r="I371" s="12">
        <v>60.5</v>
      </c>
      <c r="J371" s="2">
        <f t="shared" si="118"/>
        <v>0.25441547518923463</v>
      </c>
      <c r="K371" s="10">
        <v>0</v>
      </c>
      <c r="L371" s="2">
        <f t="shared" si="119"/>
        <v>0</v>
      </c>
      <c r="M371">
        <v>20648</v>
      </c>
      <c r="N371">
        <f t="shared" si="120"/>
        <v>9.6563569005408009E-2</v>
      </c>
      <c r="O371" s="10">
        <v>0.59708533500000005</v>
      </c>
      <c r="P371">
        <f t="shared" si="121"/>
        <v>0.56209758659298414</v>
      </c>
      <c r="Q371" s="23">
        <v>0.23019999999999999</v>
      </c>
      <c r="R371" s="13">
        <f t="shared" si="122"/>
        <v>0.49848419229103508</v>
      </c>
      <c r="S371">
        <f t="shared" si="123"/>
        <v>8.4258811556418248E-2</v>
      </c>
      <c r="T371" s="14">
        <f t="shared" si="111"/>
        <v>0.15035573883867195</v>
      </c>
      <c r="U371" t="str">
        <f t="shared" si="124"/>
        <v>Low</v>
      </c>
      <c r="V371">
        <f t="shared" si="125"/>
        <v>7.920499193621694E-2</v>
      </c>
      <c r="W371">
        <f t="shared" si="112"/>
        <v>0.1281246154509332</v>
      </c>
      <c r="X371" t="s">
        <v>1170</v>
      </c>
      <c r="Y371">
        <f t="shared" si="113"/>
        <v>8.9312631176619556E-2</v>
      </c>
      <c r="Z371">
        <f t="shared" si="126"/>
        <v>0.16258515397131781</v>
      </c>
      <c r="AA371" t="str">
        <f t="shared" si="127"/>
        <v>Low</v>
      </c>
      <c r="AB371">
        <f t="shared" si="114"/>
        <v>5.9885638307087027E-2</v>
      </c>
      <c r="AC371">
        <f t="shared" si="128"/>
        <v>0.14637119972596319</v>
      </c>
      <c r="AD371" t="str">
        <f t="shared" si="129"/>
        <v>No Impact</v>
      </c>
      <c r="AE371">
        <f t="shared" si="115"/>
        <v>1.5343147932643519E-2</v>
      </c>
      <c r="AF371">
        <f t="shared" si="130"/>
        <v>9.2639218062695219E-2</v>
      </c>
      <c r="AG371" t="s">
        <v>1170</v>
      </c>
    </row>
    <row r="372" spans="1:33" customFormat="1" x14ac:dyDescent="0.3">
      <c r="A372">
        <v>457263</v>
      </c>
      <c r="B372" t="s">
        <v>346</v>
      </c>
      <c r="C372" t="s">
        <v>916</v>
      </c>
      <c r="D372" t="s">
        <v>1148</v>
      </c>
      <c r="E372" s="21">
        <v>5.8</v>
      </c>
      <c r="F372" s="2">
        <f t="shared" si="116"/>
        <v>0.57777777777777772</v>
      </c>
      <c r="G372" s="26">
        <v>47.98836</v>
      </c>
      <c r="H372">
        <f t="shared" si="117"/>
        <v>0.49195640701060295</v>
      </c>
      <c r="I372" s="12">
        <v>49.5</v>
      </c>
      <c r="J372" s="2">
        <f t="shared" si="118"/>
        <v>0.20815811606391926</v>
      </c>
      <c r="K372" s="10">
        <v>0</v>
      </c>
      <c r="L372" s="2">
        <f t="shared" si="119"/>
        <v>0</v>
      </c>
      <c r="M372">
        <v>14378</v>
      </c>
      <c r="N372">
        <f t="shared" si="120"/>
        <v>6.6897560006245471E-2</v>
      </c>
      <c r="O372" s="10">
        <v>0.57420229</v>
      </c>
      <c r="P372">
        <f t="shared" si="121"/>
        <v>0.53689674532463361</v>
      </c>
      <c r="Q372" s="23">
        <v>0.24560000000000001</v>
      </c>
      <c r="R372" s="13">
        <f t="shared" si="122"/>
        <v>0.53183196188826332</v>
      </c>
      <c r="S372">
        <f t="shared" si="123"/>
        <v>7.5654618347025693E-2</v>
      </c>
      <c r="T372" s="14">
        <f t="shared" si="111"/>
        <v>0.13500197579345419</v>
      </c>
      <c r="U372" t="str">
        <f t="shared" si="124"/>
        <v>No Impact</v>
      </c>
      <c r="V372">
        <f t="shared" si="125"/>
        <v>7.5296085582533756E-2</v>
      </c>
      <c r="W372">
        <f t="shared" si="112"/>
        <v>0.12180143920715961</v>
      </c>
      <c r="X372" t="s">
        <v>1170</v>
      </c>
      <c r="Y372">
        <f t="shared" si="113"/>
        <v>7.6013151111517629E-2</v>
      </c>
      <c r="Z372">
        <f t="shared" si="126"/>
        <v>0.13837471491430434</v>
      </c>
      <c r="AA372" t="str">
        <f t="shared" si="127"/>
        <v>No Impact</v>
      </c>
      <c r="AB372">
        <f t="shared" si="114"/>
        <v>5.2472519983337892E-2</v>
      </c>
      <c r="AC372">
        <f t="shared" si="128"/>
        <v>0.1282522140487366</v>
      </c>
      <c r="AD372" t="str">
        <f t="shared" si="129"/>
        <v>No Impact</v>
      </c>
      <c r="AE372">
        <f t="shared" si="115"/>
        <v>9.4712705599879592E-3</v>
      </c>
      <c r="AF372">
        <f t="shared" si="130"/>
        <v>5.7185859289719955E-2</v>
      </c>
      <c r="AG372" t="s">
        <v>1170</v>
      </c>
    </row>
    <row r="373" spans="1:33" customFormat="1" x14ac:dyDescent="0.3">
      <c r="A373">
        <v>457274</v>
      </c>
      <c r="B373" t="s">
        <v>385</v>
      </c>
      <c r="C373" t="s">
        <v>916</v>
      </c>
      <c r="D373" t="s">
        <v>922</v>
      </c>
      <c r="E373" s="21">
        <v>5.8</v>
      </c>
      <c r="F373" s="2">
        <f t="shared" si="116"/>
        <v>0.57777777777777772</v>
      </c>
      <c r="G373" s="26">
        <v>40.559760000000004</v>
      </c>
      <c r="H373">
        <f t="shared" si="117"/>
        <v>0.415801536014408</v>
      </c>
      <c r="I373" s="12">
        <v>20.6</v>
      </c>
      <c r="J373" s="2">
        <f t="shared" si="118"/>
        <v>8.6627417998317913E-2</v>
      </c>
      <c r="K373" s="10">
        <v>0</v>
      </c>
      <c r="L373" s="2">
        <f t="shared" si="119"/>
        <v>0</v>
      </c>
      <c r="M373">
        <v>65362</v>
      </c>
      <c r="N373">
        <f t="shared" si="120"/>
        <v>0.30812432281538471</v>
      </c>
      <c r="O373" s="10">
        <v>0.57605584799999998</v>
      </c>
      <c r="P373">
        <f t="shared" si="121"/>
        <v>0.53893804799828049</v>
      </c>
      <c r="Q373" s="23">
        <v>0.2908</v>
      </c>
      <c r="R373" s="13">
        <f t="shared" si="122"/>
        <v>0.62970983109571244</v>
      </c>
      <c r="S373">
        <f t="shared" si="123"/>
        <v>5.9368655963018969E-2</v>
      </c>
      <c r="T373" s="14">
        <f t="shared" si="111"/>
        <v>0.10594047039462061</v>
      </c>
      <c r="U373" t="str">
        <f t="shared" si="124"/>
        <v>No Impact</v>
      </c>
      <c r="V373">
        <f t="shared" si="125"/>
        <v>6.3979966913276357E-2</v>
      </c>
      <c r="W373">
        <f t="shared" si="112"/>
        <v>0.10349611125430405</v>
      </c>
      <c r="X373" t="s">
        <v>1170</v>
      </c>
      <c r="Y373">
        <f t="shared" si="113"/>
        <v>5.4757345012761562E-2</v>
      </c>
      <c r="Z373">
        <f t="shared" si="126"/>
        <v>9.9680540732865391E-2</v>
      </c>
      <c r="AA373" t="str">
        <f t="shared" si="127"/>
        <v>No Impact</v>
      </c>
      <c r="AB373">
        <f t="shared" si="114"/>
        <v>4.9777340838572354E-2</v>
      </c>
      <c r="AC373">
        <f t="shared" si="128"/>
        <v>0.12166471467413209</v>
      </c>
      <c r="AD373" t="str">
        <f t="shared" si="129"/>
        <v>No Impact</v>
      </c>
      <c r="AE373">
        <f t="shared" si="115"/>
        <v>3.1306139757420449E-2</v>
      </c>
      <c r="AF373">
        <f t="shared" si="130"/>
        <v>0.18902094409965092</v>
      </c>
      <c r="AG373" t="s">
        <v>1169</v>
      </c>
    </row>
    <row r="374" spans="1:33" customFormat="1" x14ac:dyDescent="0.3">
      <c r="A374">
        <v>457283</v>
      </c>
      <c r="B374" t="s">
        <v>422</v>
      </c>
      <c r="C374" t="s">
        <v>916</v>
      </c>
      <c r="D374" t="s">
        <v>923</v>
      </c>
      <c r="E374" s="21">
        <v>5.3</v>
      </c>
      <c r="F374" s="2">
        <f t="shared" si="116"/>
        <v>0.46666666666666656</v>
      </c>
      <c r="G374" s="26">
        <v>39.056400000000004</v>
      </c>
      <c r="H374">
        <f t="shared" si="117"/>
        <v>0.40038972398241812</v>
      </c>
      <c r="I374" s="12">
        <v>10.1</v>
      </c>
      <c r="J374" s="2">
        <f t="shared" si="118"/>
        <v>4.2472666105971404E-2</v>
      </c>
      <c r="K374" s="10">
        <v>0</v>
      </c>
      <c r="L374" s="2">
        <f t="shared" si="119"/>
        <v>0</v>
      </c>
      <c r="M374">
        <v>51043</v>
      </c>
      <c r="N374">
        <f t="shared" si="120"/>
        <v>0.24037510704839771</v>
      </c>
      <c r="O374" s="10">
        <v>0.61370435899999998</v>
      </c>
      <c r="P374">
        <f t="shared" si="121"/>
        <v>0.58039993166370807</v>
      </c>
      <c r="Q374" s="23">
        <v>0.29120000000000001</v>
      </c>
      <c r="R374" s="13">
        <f t="shared" si="122"/>
        <v>0.63057600692940674</v>
      </c>
      <c r="S374">
        <f t="shared" si="123"/>
        <v>4.3797482044564989E-2</v>
      </c>
      <c r="T374" s="14">
        <f t="shared" si="111"/>
        <v>7.8154470143157656E-2</v>
      </c>
      <c r="U374" t="str">
        <f t="shared" si="124"/>
        <v>No Impact</v>
      </c>
      <c r="V374">
        <f t="shared" si="125"/>
        <v>4.5612204934987813E-2</v>
      </c>
      <c r="W374">
        <f t="shared" si="112"/>
        <v>7.3783811781341122E-2</v>
      </c>
      <c r="X374" t="s">
        <v>1170</v>
      </c>
      <c r="Y374">
        <f t="shared" si="113"/>
        <v>4.198275915414218E-2</v>
      </c>
      <c r="Z374">
        <f t="shared" si="126"/>
        <v>7.6425621676274424E-2</v>
      </c>
      <c r="AA374" t="str">
        <f t="shared" si="127"/>
        <v>No Impact</v>
      </c>
      <c r="AB374">
        <f t="shared" si="114"/>
        <v>3.4644668038129323E-2</v>
      </c>
      <c r="AC374">
        <f t="shared" si="128"/>
        <v>8.4677758611259674E-2</v>
      </c>
      <c r="AD374" t="str">
        <f t="shared" si="129"/>
        <v>No Impact</v>
      </c>
      <c r="AE374">
        <f t="shared" si="115"/>
        <v>1.7387338756116956E-2</v>
      </c>
      <c r="AF374">
        <f t="shared" si="130"/>
        <v>0.10498168131005886</v>
      </c>
      <c r="AG374" t="s">
        <v>1170</v>
      </c>
    </row>
    <row r="375" spans="1:33" customFormat="1" x14ac:dyDescent="0.3">
      <c r="A375">
        <v>458937</v>
      </c>
      <c r="B375" t="s">
        <v>225</v>
      </c>
      <c r="C375" t="s">
        <v>925</v>
      </c>
      <c r="D375" t="s">
        <v>924</v>
      </c>
      <c r="E375" s="21">
        <v>4.7</v>
      </c>
      <c r="F375" s="2">
        <f t="shared" si="116"/>
        <v>0.33333333333333331</v>
      </c>
      <c r="G375" s="26">
        <v>35.700120000000005</v>
      </c>
      <c r="H375">
        <f t="shared" si="117"/>
        <v>0.3659825583755596</v>
      </c>
      <c r="I375" s="12">
        <v>0.1</v>
      </c>
      <c r="J375" s="2">
        <f t="shared" si="118"/>
        <v>4.2052144659377626E-4</v>
      </c>
      <c r="K375" s="10">
        <v>0</v>
      </c>
      <c r="L375" s="2">
        <f t="shared" si="119"/>
        <v>0</v>
      </c>
      <c r="M375">
        <v>16994</v>
      </c>
      <c r="N375">
        <f t="shared" si="120"/>
        <v>7.9274957062355392E-2</v>
      </c>
      <c r="O375" s="10">
        <v>0.82397814199999997</v>
      </c>
      <c r="P375">
        <f t="shared" si="121"/>
        <v>0.81197209473372634</v>
      </c>
      <c r="Q375" s="23">
        <v>0.30470000000000003</v>
      </c>
      <c r="R375" s="13">
        <f t="shared" si="122"/>
        <v>0.65980944131658736</v>
      </c>
      <c r="S375">
        <f t="shared" si="123"/>
        <v>3.1457141778662517E-2</v>
      </c>
      <c r="T375" s="14">
        <f t="shared" si="111"/>
        <v>5.6133734935445788E-2</v>
      </c>
      <c r="U375" t="str">
        <f t="shared" si="124"/>
        <v>No Impact</v>
      </c>
      <c r="V375">
        <f t="shared" si="125"/>
        <v>2.8204891329315397E-2</v>
      </c>
      <c r="W375">
        <f t="shared" si="112"/>
        <v>4.5625165372329163E-2</v>
      </c>
      <c r="X375" t="s">
        <v>1170</v>
      </c>
      <c r="Y375">
        <f t="shared" si="113"/>
        <v>3.4709392228009638E-2</v>
      </c>
      <c r="Z375">
        <f t="shared" si="126"/>
        <v>6.3185148677145961E-2</v>
      </c>
      <c r="AA375" t="str">
        <f t="shared" si="127"/>
        <v>No Impact</v>
      </c>
      <c r="AB375">
        <f t="shared" si="114"/>
        <v>2.1470598660830266E-2</v>
      </c>
      <c r="AC375">
        <f t="shared" si="128"/>
        <v>5.2477979256146154E-2</v>
      </c>
      <c r="AD375" t="str">
        <f t="shared" si="129"/>
        <v>No Impact</v>
      </c>
      <c r="AE375">
        <f t="shared" si="115"/>
        <v>3.3887686490485314E-3</v>
      </c>
      <c r="AF375">
        <f t="shared" si="130"/>
        <v>2.0460786744767017E-2</v>
      </c>
      <c r="AG375" t="s">
        <v>1170</v>
      </c>
    </row>
    <row r="376" spans="1:33" customFormat="1" x14ac:dyDescent="0.3">
      <c r="A376">
        <v>458967</v>
      </c>
      <c r="B376" t="s">
        <v>366</v>
      </c>
      <c r="C376" t="s">
        <v>925</v>
      </c>
      <c r="D376" t="s">
        <v>926</v>
      </c>
      <c r="E376" s="21">
        <v>5.8</v>
      </c>
      <c r="F376" s="2">
        <f t="shared" si="116"/>
        <v>0.57777777777777772</v>
      </c>
      <c r="G376" s="26">
        <v>40.402439999999999</v>
      </c>
      <c r="H376">
        <f t="shared" si="117"/>
        <v>0.41418875779171166</v>
      </c>
      <c r="I376" s="12">
        <v>1.1000000000000001</v>
      </c>
      <c r="J376" s="2">
        <f t="shared" si="118"/>
        <v>4.6257359125315397E-3</v>
      </c>
      <c r="K376" s="10">
        <v>0</v>
      </c>
      <c r="L376" s="2">
        <f t="shared" si="119"/>
        <v>0</v>
      </c>
      <c r="M376">
        <v>17930</v>
      </c>
      <c r="N376">
        <f t="shared" si="120"/>
        <v>8.3703567018211245E-2</v>
      </c>
      <c r="O376" s="10">
        <v>0.73744456999999997</v>
      </c>
      <c r="P376">
        <f t="shared" si="121"/>
        <v>0.7166736406881492</v>
      </c>
      <c r="Q376" s="23">
        <v>0.28889999999999999</v>
      </c>
      <c r="R376" s="13">
        <f t="shared" si="122"/>
        <v>0.62559549588566477</v>
      </c>
      <c r="S376">
        <f t="shared" si="123"/>
        <v>5.6840801072509342E-2</v>
      </c>
      <c r="T376" s="14">
        <f t="shared" si="111"/>
        <v>0.10142963665843586</v>
      </c>
      <c r="U376" t="str">
        <f t="shared" si="124"/>
        <v>No Impact</v>
      </c>
      <c r="V376">
        <f t="shared" si="125"/>
        <v>5.2983933198764169E-2</v>
      </c>
      <c r="W376">
        <f t="shared" si="112"/>
        <v>8.5708563314245992E-2</v>
      </c>
      <c r="X376" t="s">
        <v>1170</v>
      </c>
      <c r="Y376">
        <f t="shared" si="113"/>
        <v>6.0697668946254515E-2</v>
      </c>
      <c r="Z376">
        <f t="shared" si="126"/>
        <v>0.11049433569828891</v>
      </c>
      <c r="AA376" t="str">
        <f t="shared" si="127"/>
        <v>No Impact</v>
      </c>
      <c r="AB376">
        <f t="shared" si="114"/>
        <v>3.9234881981858892E-2</v>
      </c>
      <c r="AC376">
        <f t="shared" si="128"/>
        <v>9.5897061618388679E-2</v>
      </c>
      <c r="AD376" t="str">
        <f t="shared" si="129"/>
        <v>No Impact</v>
      </c>
      <c r="AE376">
        <f t="shared" si="115"/>
        <v>7.0891562240430906E-3</v>
      </c>
      <c r="AF376">
        <f t="shared" si="130"/>
        <v>4.2803073541538235E-2</v>
      </c>
      <c r="AG376" t="s">
        <v>1170</v>
      </c>
    </row>
    <row r="377" spans="1:33" customFormat="1" x14ac:dyDescent="0.3">
      <c r="A377">
        <v>458970</v>
      </c>
      <c r="B377" t="s">
        <v>368</v>
      </c>
      <c r="C377" t="s">
        <v>925</v>
      </c>
      <c r="D377" t="s">
        <v>927</v>
      </c>
      <c r="E377" s="21">
        <v>5.8</v>
      </c>
      <c r="F377" s="2">
        <f t="shared" si="116"/>
        <v>0.57777777777777772</v>
      </c>
      <c r="G377" s="26">
        <v>36.059400000000004</v>
      </c>
      <c r="H377">
        <f t="shared" si="117"/>
        <v>0.36966574525485218</v>
      </c>
      <c r="I377" s="12">
        <v>0.6</v>
      </c>
      <c r="J377" s="2">
        <f t="shared" si="118"/>
        <v>2.5231286795626574E-3</v>
      </c>
      <c r="K377" s="10">
        <v>0</v>
      </c>
      <c r="L377" s="2">
        <f t="shared" si="119"/>
        <v>0</v>
      </c>
      <c r="M377">
        <v>28699</v>
      </c>
      <c r="N377">
        <f t="shared" si="120"/>
        <v>0.13465623861501846</v>
      </c>
      <c r="O377" s="10">
        <v>0.83568923399999995</v>
      </c>
      <c r="P377">
        <f t="shared" si="121"/>
        <v>0.82486938924025055</v>
      </c>
      <c r="Q377" s="23">
        <v>0.30330000000000001</v>
      </c>
      <c r="R377" s="13">
        <f t="shared" si="122"/>
        <v>0.65677782589865752</v>
      </c>
      <c r="S377">
        <f t="shared" si="123"/>
        <v>5.5757985977695192E-2</v>
      </c>
      <c r="T377" s="14">
        <f t="shared" si="111"/>
        <v>9.9497405944530826E-2</v>
      </c>
      <c r="U377" t="str">
        <f t="shared" si="124"/>
        <v>No Impact</v>
      </c>
      <c r="V377">
        <f t="shared" si="125"/>
        <v>4.9432291888032477E-2</v>
      </c>
      <c r="W377">
        <f t="shared" si="112"/>
        <v>7.9963310824054515E-2</v>
      </c>
      <c r="X377" t="s">
        <v>1170</v>
      </c>
      <c r="Y377">
        <f t="shared" si="113"/>
        <v>6.2083680067357899E-2</v>
      </c>
      <c r="Z377">
        <f t="shared" si="126"/>
        <v>0.11301743717410283</v>
      </c>
      <c r="AA377" t="str">
        <f t="shared" si="127"/>
        <v>No Impact</v>
      </c>
      <c r="AB377">
        <f t="shared" si="114"/>
        <v>3.9473615267940972E-2</v>
      </c>
      <c r="AC377">
        <f t="shared" si="128"/>
        <v>9.6480568423796154E-2</v>
      </c>
      <c r="AD377" t="str">
        <f t="shared" si="129"/>
        <v>No Impact</v>
      </c>
      <c r="AE377">
        <f t="shared" si="115"/>
        <v>1.0134883105492111E-2</v>
      </c>
      <c r="AF377">
        <f t="shared" si="130"/>
        <v>6.1192634664759139E-2</v>
      </c>
      <c r="AG377" t="s">
        <v>1170</v>
      </c>
    </row>
    <row r="378" spans="1:33" customFormat="1" x14ac:dyDescent="0.3">
      <c r="A378">
        <v>458988</v>
      </c>
      <c r="B378" t="s">
        <v>484</v>
      </c>
      <c r="C378" t="s">
        <v>925</v>
      </c>
      <c r="D378" t="s">
        <v>928</v>
      </c>
      <c r="E378" s="21">
        <v>5.8</v>
      </c>
      <c r="F378" s="2">
        <f t="shared" si="116"/>
        <v>0.57777777777777772</v>
      </c>
      <c r="G378" s="26">
        <v>40.402439999999999</v>
      </c>
      <c r="H378">
        <f t="shared" si="117"/>
        <v>0.41418875779171166</v>
      </c>
      <c r="I378" s="12">
        <v>0.3</v>
      </c>
      <c r="J378" s="2">
        <f t="shared" si="118"/>
        <v>1.2615643397813287E-3</v>
      </c>
      <c r="K378" s="10">
        <v>0</v>
      </c>
      <c r="L378" s="2">
        <f t="shared" si="119"/>
        <v>0</v>
      </c>
      <c r="M378">
        <v>54612</v>
      </c>
      <c r="N378">
        <f t="shared" si="120"/>
        <v>0.25726154821554459</v>
      </c>
      <c r="O378" s="10">
        <v>0.73536113199999997</v>
      </c>
      <c r="P378">
        <f t="shared" si="121"/>
        <v>0.71437917374415416</v>
      </c>
      <c r="Q378" s="23">
        <v>0.30759999999999998</v>
      </c>
      <c r="R378" s="13">
        <f t="shared" si="122"/>
        <v>0.66608921611087046</v>
      </c>
      <c r="S378">
        <f t="shared" si="123"/>
        <v>5.7988843767158689E-2</v>
      </c>
      <c r="T378" s="14">
        <f t="shared" si="111"/>
        <v>0.10347826284225953</v>
      </c>
      <c r="U378" t="str">
        <f t="shared" si="124"/>
        <v>No Impact</v>
      </c>
      <c r="V378">
        <f t="shared" si="125"/>
        <v>5.5960344723429561E-2</v>
      </c>
      <c r="W378">
        <f t="shared" si="112"/>
        <v>9.0523305071035495E-2</v>
      </c>
      <c r="X378" t="s">
        <v>1170</v>
      </c>
      <c r="Y378">
        <f t="shared" si="113"/>
        <v>6.0017342810887803E-2</v>
      </c>
      <c r="Z378">
        <f t="shared" si="126"/>
        <v>0.10925586664847926</v>
      </c>
      <c r="AA378" t="str">
        <f t="shared" si="127"/>
        <v>No Impact</v>
      </c>
      <c r="AB378">
        <f t="shared" si="114"/>
        <v>4.5156009428778905E-2</v>
      </c>
      <c r="AC378">
        <f t="shared" si="128"/>
        <v>0.11036935502021832</v>
      </c>
      <c r="AD378" t="str">
        <f t="shared" si="129"/>
        <v>No Impact</v>
      </c>
      <c r="AE378">
        <f t="shared" si="115"/>
        <v>2.161338837803491E-2</v>
      </c>
      <c r="AF378">
        <f t="shared" si="130"/>
        <v>0.13049782272949284</v>
      </c>
      <c r="AG378" t="s">
        <v>1170</v>
      </c>
    </row>
    <row r="379" spans="1:33" customFormat="1" x14ac:dyDescent="0.3">
      <c r="A379">
        <v>458990</v>
      </c>
      <c r="B379" t="s">
        <v>500</v>
      </c>
      <c r="C379" t="s">
        <v>925</v>
      </c>
      <c r="D379" t="s">
        <v>929</v>
      </c>
      <c r="E379" s="21">
        <v>5.8</v>
      </c>
      <c r="F379" s="2">
        <f t="shared" si="116"/>
        <v>0.57777777777777772</v>
      </c>
      <c r="G379" s="26">
        <v>35.700120000000005</v>
      </c>
      <c r="H379">
        <f t="shared" si="117"/>
        <v>0.3659825583755596</v>
      </c>
      <c r="I379" s="12">
        <v>0.1</v>
      </c>
      <c r="J379" s="2">
        <f t="shared" si="118"/>
        <v>4.2052144659377626E-4</v>
      </c>
      <c r="K379" s="10">
        <v>0</v>
      </c>
      <c r="L379" s="2">
        <f t="shared" si="119"/>
        <v>0</v>
      </c>
      <c r="M379">
        <v>22103</v>
      </c>
      <c r="N379">
        <f t="shared" si="120"/>
        <v>0.1034477864047352</v>
      </c>
      <c r="O379" s="10">
        <v>0.72199898500000004</v>
      </c>
      <c r="P379">
        <f t="shared" si="121"/>
        <v>0.69966359085073404</v>
      </c>
      <c r="Q379" s="23">
        <v>0.3135</v>
      </c>
      <c r="R379" s="13">
        <f t="shared" si="122"/>
        <v>0.67886530965786052</v>
      </c>
      <c r="S379">
        <f t="shared" si="123"/>
        <v>5.1070942626764246E-2</v>
      </c>
      <c r="T379" s="14">
        <f t="shared" si="111"/>
        <v>9.113360573206003E-2</v>
      </c>
      <c r="U379" t="str">
        <f t="shared" si="124"/>
        <v>No Impact</v>
      </c>
      <c r="V379">
        <f t="shared" si="125"/>
        <v>5.0300419915818788E-2</v>
      </c>
      <c r="W379">
        <f t="shared" si="112"/>
        <v>8.1367623443792794E-2</v>
      </c>
      <c r="X379" t="s">
        <v>1170</v>
      </c>
      <c r="Y379">
        <f t="shared" si="113"/>
        <v>5.1841465337709718E-2</v>
      </c>
      <c r="Z379">
        <f t="shared" si="126"/>
        <v>9.4372459001484887E-2</v>
      </c>
      <c r="AA379" t="str">
        <f t="shared" si="127"/>
        <v>No Impact</v>
      </c>
      <c r="AB379">
        <f t="shared" si="114"/>
        <v>3.5840318267699296E-2</v>
      </c>
      <c r="AC379">
        <f t="shared" si="128"/>
        <v>8.7600141397886314E-2</v>
      </c>
      <c r="AD379" t="str">
        <f t="shared" si="129"/>
        <v>No Impact</v>
      </c>
      <c r="AE379">
        <f t="shared" si="115"/>
        <v>7.664947702428029E-3</v>
      </c>
      <c r="AF379">
        <f t="shared" si="130"/>
        <v>4.6279600819963143E-2</v>
      </c>
      <c r="AG379" t="s">
        <v>1170</v>
      </c>
    </row>
    <row r="380" spans="1:33" customFormat="1" x14ac:dyDescent="0.3">
      <c r="A380">
        <v>501006</v>
      </c>
      <c r="B380" t="s">
        <v>2</v>
      </c>
      <c r="C380" t="s">
        <v>1157</v>
      </c>
      <c r="D380" t="s">
        <v>930</v>
      </c>
      <c r="E380" s="21">
        <v>6.2</v>
      </c>
      <c r="F380" s="2">
        <f t="shared" si="116"/>
        <v>0.66666666666666663</v>
      </c>
      <c r="G380" s="26">
        <v>37.379160000000006</v>
      </c>
      <c r="H380">
        <f t="shared" si="117"/>
        <v>0.38319536759902717</v>
      </c>
      <c r="I380" s="12">
        <v>0.1</v>
      </c>
      <c r="J380" s="2">
        <f t="shared" si="118"/>
        <v>4.2052144659377626E-4</v>
      </c>
      <c r="K380" s="10">
        <v>0</v>
      </c>
      <c r="L380" s="2">
        <f t="shared" si="119"/>
        <v>0</v>
      </c>
      <c r="M380">
        <v>21874</v>
      </c>
      <c r="N380">
        <f t="shared" si="120"/>
        <v>0.10236429102023628</v>
      </c>
      <c r="O380" s="10">
        <v>0.84573925900000002</v>
      </c>
      <c r="P380">
        <f t="shared" si="121"/>
        <v>0.83593736925636974</v>
      </c>
      <c r="Q380" s="23">
        <v>0.29670000000000002</v>
      </c>
      <c r="R380" s="13">
        <f t="shared" si="122"/>
        <v>0.64248592464270249</v>
      </c>
      <c r="S380">
        <f t="shared" si="123"/>
        <v>6.6167111065398923E-2</v>
      </c>
      <c r="T380" s="14">
        <f t="shared" si="111"/>
        <v>0.1180719818768997</v>
      </c>
      <c r="U380" t="str">
        <f t="shared" si="124"/>
        <v>No Impact</v>
      </c>
      <c r="V380">
        <f t="shared" si="125"/>
        <v>5.7509155475591898E-2</v>
      </c>
      <c r="W380">
        <f t="shared" si="112"/>
        <v>9.3028712586093035E-2</v>
      </c>
      <c r="X380" t="s">
        <v>1170</v>
      </c>
      <c r="Y380">
        <f t="shared" si="113"/>
        <v>7.4825066655205941E-2</v>
      </c>
      <c r="Z380">
        <f t="shared" si="126"/>
        <v>0.13621192011455902</v>
      </c>
      <c r="AA380" t="str">
        <f t="shared" si="127"/>
        <v>No Impact</v>
      </c>
      <c r="AB380">
        <f t="shared" si="114"/>
        <v>4.5782657507696251E-2</v>
      </c>
      <c r="AC380">
        <f t="shared" si="128"/>
        <v>0.11190099488763953</v>
      </c>
      <c r="AD380" t="str">
        <f t="shared" si="129"/>
        <v>No Impact</v>
      </c>
      <c r="AE380">
        <f t="shared" si="115"/>
        <v>9.1626659847922759E-3</v>
      </c>
      <c r="AF380">
        <f t="shared" si="130"/>
        <v>5.5322559355299485E-2</v>
      </c>
      <c r="AG380" t="s">
        <v>1170</v>
      </c>
    </row>
    <row r="381" spans="1:33" customFormat="1" x14ac:dyDescent="0.3">
      <c r="A381">
        <v>501020</v>
      </c>
      <c r="B381" t="s">
        <v>87</v>
      </c>
      <c r="C381" t="s">
        <v>1157</v>
      </c>
      <c r="D381" t="s">
        <v>931</v>
      </c>
      <c r="E381" s="21">
        <v>6.1</v>
      </c>
      <c r="F381" s="2">
        <f t="shared" si="116"/>
        <v>0.64444444444444438</v>
      </c>
      <c r="G381" s="26">
        <v>39.114000000000004</v>
      </c>
      <c r="H381">
        <f t="shared" si="117"/>
        <v>0.40098021486486984</v>
      </c>
      <c r="I381" s="12">
        <v>0</v>
      </c>
      <c r="J381" s="2">
        <f t="shared" si="118"/>
        <v>0</v>
      </c>
      <c r="K381" s="10">
        <v>0</v>
      </c>
      <c r="L381" s="2">
        <f t="shared" si="119"/>
        <v>0</v>
      </c>
      <c r="M381">
        <v>69668</v>
      </c>
      <c r="N381">
        <f t="shared" si="120"/>
        <v>0.32849782118067877</v>
      </c>
      <c r="O381" s="10">
        <v>0.62872481300000005</v>
      </c>
      <c r="P381">
        <f t="shared" si="121"/>
        <v>0.59694178949043353</v>
      </c>
      <c r="Q381" s="23">
        <v>0.27989999999999998</v>
      </c>
      <c r="R381" s="13">
        <f t="shared" si="122"/>
        <v>0.60610653962754435</v>
      </c>
      <c r="S381">
        <f t="shared" si="123"/>
        <v>5.4403839573898626E-2</v>
      </c>
      <c r="T381" s="14">
        <f t="shared" si="111"/>
        <v>9.7080997746057315E-2</v>
      </c>
      <c r="U381" t="str">
        <f t="shared" si="124"/>
        <v>No Impact</v>
      </c>
      <c r="V381">
        <f t="shared" si="125"/>
        <v>5.4818284766270736E-2</v>
      </c>
      <c r="W381">
        <f t="shared" si="112"/>
        <v>8.867587109931413E-2</v>
      </c>
      <c r="X381" t="s">
        <v>1170</v>
      </c>
      <c r="Y381">
        <f t="shared" si="113"/>
        <v>5.3989394381526515E-2</v>
      </c>
      <c r="Z381">
        <f t="shared" si="126"/>
        <v>9.8282559618919602E-2</v>
      </c>
      <c r="AA381" t="str">
        <f t="shared" si="127"/>
        <v>No Impact</v>
      </c>
      <c r="AB381">
        <f t="shared" si="114"/>
        <v>4.5781869168922226E-2</v>
      </c>
      <c r="AC381">
        <f t="shared" si="128"/>
        <v>0.11189906804682417</v>
      </c>
      <c r="AD381" t="str">
        <f t="shared" si="129"/>
        <v>No Impact</v>
      </c>
      <c r="AE381">
        <f t="shared" si="115"/>
        <v>2.9710431960770046E-2</v>
      </c>
      <c r="AF381">
        <f t="shared" si="130"/>
        <v>0.17938634217915894</v>
      </c>
      <c r="AG381" t="s">
        <v>1169</v>
      </c>
    </row>
    <row r="382" spans="1:33" customFormat="1" x14ac:dyDescent="0.3">
      <c r="A382">
        <v>501027</v>
      </c>
      <c r="B382" t="s">
        <v>148</v>
      </c>
      <c r="C382" t="s">
        <v>1157</v>
      </c>
      <c r="D382" t="s">
        <v>932</v>
      </c>
      <c r="E382" s="21">
        <v>4.8</v>
      </c>
      <c r="F382" s="2">
        <f t="shared" si="116"/>
        <v>0.35555555555555546</v>
      </c>
      <c r="G382" s="26">
        <v>39.493079999999999</v>
      </c>
      <c r="H382">
        <f t="shared" si="117"/>
        <v>0.40486638298500516</v>
      </c>
      <c r="I382" s="12">
        <v>0.6</v>
      </c>
      <c r="J382" s="2">
        <f t="shared" si="118"/>
        <v>2.5231286795626574E-3</v>
      </c>
      <c r="K382" s="10">
        <v>0</v>
      </c>
      <c r="L382" s="2">
        <f t="shared" si="119"/>
        <v>0</v>
      </c>
      <c r="M382">
        <v>18408</v>
      </c>
      <c r="N382">
        <f t="shared" si="120"/>
        <v>8.5965186205069238E-2</v>
      </c>
      <c r="O382" s="10">
        <v>0.78677632600000003</v>
      </c>
      <c r="P382">
        <f t="shared" si="121"/>
        <v>0.77100215127076588</v>
      </c>
      <c r="Q382" s="23">
        <v>0.28570000000000001</v>
      </c>
      <c r="R382" s="13">
        <f t="shared" si="122"/>
        <v>0.61866608921611088</v>
      </c>
      <c r="S382">
        <f t="shared" si="123"/>
        <v>3.5226256542879586E-2</v>
      </c>
      <c r="T382" s="14">
        <f t="shared" si="111"/>
        <v>6.2859536364085047E-2</v>
      </c>
      <c r="U382" t="str">
        <f t="shared" si="124"/>
        <v>No Impact</v>
      </c>
      <c r="V382">
        <f t="shared" si="125"/>
        <v>3.1364738342831197E-2</v>
      </c>
      <c r="W382">
        <f t="shared" si="112"/>
        <v>5.0736638444841019E-2</v>
      </c>
      <c r="X382" t="s">
        <v>1170</v>
      </c>
      <c r="Y382">
        <f t="shared" si="113"/>
        <v>3.9087774742927982E-2</v>
      </c>
      <c r="Z382">
        <f t="shared" si="126"/>
        <v>7.1155577786166282E-2</v>
      </c>
      <c r="AA382" t="str">
        <f t="shared" si="127"/>
        <v>No Impact</v>
      </c>
      <c r="AB382">
        <f t="shared" si="114"/>
        <v>2.4229363683921399E-2</v>
      </c>
      <c r="AC382">
        <f t="shared" si="128"/>
        <v>5.9220893878199815E-2</v>
      </c>
      <c r="AD382" t="str">
        <f t="shared" si="129"/>
        <v>No Impact</v>
      </c>
      <c r="AE382">
        <f t="shared" si="115"/>
        <v>4.3582081172916891E-3</v>
      </c>
      <c r="AF382">
        <f t="shared" si="130"/>
        <v>2.6314091079146059E-2</v>
      </c>
      <c r="AG382" t="s">
        <v>1170</v>
      </c>
    </row>
    <row r="383" spans="1:33" customFormat="1" x14ac:dyDescent="0.3">
      <c r="A383">
        <v>501033</v>
      </c>
      <c r="B383" t="s">
        <v>149</v>
      </c>
      <c r="C383" t="s">
        <v>1157</v>
      </c>
      <c r="D383" t="s">
        <v>933</v>
      </c>
      <c r="E383" s="21">
        <v>6.1</v>
      </c>
      <c r="F383" s="2">
        <f t="shared" si="116"/>
        <v>0.64444444444444438</v>
      </c>
      <c r="G383" s="26">
        <v>36.911160000000002</v>
      </c>
      <c r="H383">
        <f t="shared" si="117"/>
        <v>0.37839762917910696</v>
      </c>
      <c r="I383" s="12">
        <v>0.1</v>
      </c>
      <c r="J383" s="2">
        <f t="shared" si="118"/>
        <v>4.2052144659377626E-4</v>
      </c>
      <c r="K383" s="10">
        <v>0</v>
      </c>
      <c r="L383" s="2">
        <f t="shared" si="119"/>
        <v>0</v>
      </c>
      <c r="M383">
        <v>19139</v>
      </c>
      <c r="N383">
        <f t="shared" si="120"/>
        <v>8.9423854877858366E-2</v>
      </c>
      <c r="O383" s="10">
        <v>0.836218452</v>
      </c>
      <c r="P383">
        <f t="shared" si="121"/>
        <v>0.82545221109872069</v>
      </c>
      <c r="Q383" s="23">
        <v>0.28749999999999998</v>
      </c>
      <c r="R383" s="13">
        <f t="shared" si="122"/>
        <v>0.62256388046773492</v>
      </c>
      <c r="S383">
        <f t="shared" si="123"/>
        <v>6.1862533283523542E-2</v>
      </c>
      <c r="T383" s="14">
        <f t="shared" si="111"/>
        <v>0.11039067281465356</v>
      </c>
      <c r="U383" t="str">
        <f t="shared" si="124"/>
        <v>No Impact</v>
      </c>
      <c r="V383">
        <f t="shared" si="125"/>
        <v>5.3194683402849843E-2</v>
      </c>
      <c r="W383">
        <f t="shared" si="112"/>
        <v>8.6049479817039504E-2</v>
      </c>
      <c r="X383" t="s">
        <v>1170</v>
      </c>
      <c r="Y383">
        <f t="shared" si="113"/>
        <v>7.0530383164197227E-2</v>
      </c>
      <c r="Z383">
        <f t="shared" si="126"/>
        <v>0.12839385712117451</v>
      </c>
      <c r="AA383" t="str">
        <f t="shared" si="127"/>
        <v>No Impact</v>
      </c>
      <c r="AB383">
        <f t="shared" si="114"/>
        <v>4.2451527141543925E-2</v>
      </c>
      <c r="AC383">
        <f t="shared" si="128"/>
        <v>0.1037591171032359</v>
      </c>
      <c r="AD383" t="str">
        <f t="shared" si="129"/>
        <v>No Impact</v>
      </c>
      <c r="AE383">
        <f t="shared" si="115"/>
        <v>7.6407800036780264E-3</v>
      </c>
      <c r="AF383">
        <f t="shared" si="130"/>
        <v>4.6133680522224788E-2</v>
      </c>
      <c r="AG383" t="s">
        <v>1170</v>
      </c>
    </row>
    <row r="384" spans="1:33" customFormat="1" x14ac:dyDescent="0.3">
      <c r="A384">
        <v>501040</v>
      </c>
      <c r="B384" t="s">
        <v>173</v>
      </c>
      <c r="C384" t="s">
        <v>1157</v>
      </c>
      <c r="D384" t="s">
        <v>934</v>
      </c>
      <c r="E384" s="21">
        <v>6.1</v>
      </c>
      <c r="F384" s="2">
        <f t="shared" si="116"/>
        <v>0.64444444444444438</v>
      </c>
      <c r="G384" s="26">
        <v>39.114000000000004</v>
      </c>
      <c r="H384">
        <f t="shared" si="117"/>
        <v>0.40098021486486984</v>
      </c>
      <c r="I384" s="12">
        <v>0</v>
      </c>
      <c r="J384" s="2">
        <f t="shared" si="118"/>
        <v>0</v>
      </c>
      <c r="K384" s="10">
        <v>0</v>
      </c>
      <c r="L384" s="2">
        <f t="shared" si="119"/>
        <v>0</v>
      </c>
      <c r="M384">
        <v>26980</v>
      </c>
      <c r="N384">
        <f t="shared" si="120"/>
        <v>0.12652292609993707</v>
      </c>
      <c r="O384" s="10">
        <v>0.717906763</v>
      </c>
      <c r="P384">
        <f t="shared" si="121"/>
        <v>0.69515687257714531</v>
      </c>
      <c r="Q384" s="23">
        <v>0.30130000000000001</v>
      </c>
      <c r="R384" s="13">
        <f t="shared" si="122"/>
        <v>0.65244694673018622</v>
      </c>
      <c r="S384">
        <f t="shared" si="123"/>
        <v>6.0940878450427963E-2</v>
      </c>
      <c r="T384" s="14">
        <f t="shared" si="111"/>
        <v>0.10874602472593076</v>
      </c>
      <c r="U384" t="str">
        <f t="shared" si="124"/>
        <v>No Impact</v>
      </c>
      <c r="V384">
        <f t="shared" si="125"/>
        <v>5.9009464809136734E-2</v>
      </c>
      <c r="W384">
        <f t="shared" si="112"/>
        <v>9.5455662601726846E-2</v>
      </c>
      <c r="X384" t="s">
        <v>1170</v>
      </c>
      <c r="Y384">
        <f t="shared" si="113"/>
        <v>6.287229209171917E-2</v>
      </c>
      <c r="Z384">
        <f t="shared" si="126"/>
        <v>0.1144530303899253</v>
      </c>
      <c r="AA384" t="str">
        <f t="shared" si="127"/>
        <v>No Impact</v>
      </c>
      <c r="AB384">
        <f t="shared" si="114"/>
        <v>4.3520103817490795E-2</v>
      </c>
      <c r="AC384">
        <f t="shared" si="128"/>
        <v>0.10637090942071072</v>
      </c>
      <c r="AD384" t="str">
        <f t="shared" si="129"/>
        <v>No Impact</v>
      </c>
      <c r="AE384">
        <f t="shared" si="115"/>
        <v>1.1443152876506241E-2</v>
      </c>
      <c r="AF384">
        <f t="shared" si="130"/>
        <v>6.909173653967203E-2</v>
      </c>
      <c r="AG384" t="s">
        <v>1170</v>
      </c>
    </row>
    <row r="385" spans="1:33" customFormat="1" x14ac:dyDescent="0.3">
      <c r="A385">
        <v>501054</v>
      </c>
      <c r="B385" t="s">
        <v>236</v>
      </c>
      <c r="C385" t="s">
        <v>1157</v>
      </c>
      <c r="D385" t="s">
        <v>935</v>
      </c>
      <c r="E385" s="21">
        <v>5.9</v>
      </c>
      <c r="F385" s="2">
        <f t="shared" si="116"/>
        <v>0.60000000000000009</v>
      </c>
      <c r="G385" s="26">
        <v>37.899360000000001</v>
      </c>
      <c r="H385">
        <f t="shared" si="117"/>
        <v>0.38852823838116923</v>
      </c>
      <c r="I385" s="12">
        <v>0</v>
      </c>
      <c r="J385" s="2">
        <f t="shared" si="118"/>
        <v>0</v>
      </c>
      <c r="K385" s="10">
        <v>0</v>
      </c>
      <c r="L385" s="2">
        <f t="shared" si="119"/>
        <v>0</v>
      </c>
      <c r="M385">
        <v>34433</v>
      </c>
      <c r="N385">
        <f t="shared" si="120"/>
        <v>0.16178620601552851</v>
      </c>
      <c r="O385" s="10">
        <v>0.82462765900000001</v>
      </c>
      <c r="P385">
        <f t="shared" si="121"/>
        <v>0.81268740053407307</v>
      </c>
      <c r="Q385" s="23">
        <v>0.2903</v>
      </c>
      <c r="R385" s="13">
        <f t="shared" si="122"/>
        <v>0.62862711130359461</v>
      </c>
      <c r="S385">
        <f t="shared" si="123"/>
        <v>5.8799095764937914E-2</v>
      </c>
      <c r="T385" s="14">
        <f t="shared" si="111"/>
        <v>0.10492411800590651</v>
      </c>
      <c r="U385" t="str">
        <f t="shared" si="124"/>
        <v>No Impact</v>
      </c>
      <c r="V385">
        <f t="shared" si="125"/>
        <v>5.1290270672220056E-2</v>
      </c>
      <c r="W385">
        <f t="shared" si="112"/>
        <v>8.2968838776531648E-2</v>
      </c>
      <c r="X385" t="s">
        <v>1170</v>
      </c>
      <c r="Y385">
        <f t="shared" si="113"/>
        <v>6.6307920857655786E-2</v>
      </c>
      <c r="Z385">
        <f t="shared" si="126"/>
        <v>0.12070726592793642</v>
      </c>
      <c r="AA385" t="str">
        <f t="shared" si="127"/>
        <v>No Impact</v>
      </c>
      <c r="AB385">
        <f t="shared" si="114"/>
        <v>4.2464071449466338E-2</v>
      </c>
      <c r="AC385">
        <f t="shared" si="128"/>
        <v>0.10378977763307647</v>
      </c>
      <c r="AD385" t="str">
        <f t="shared" si="129"/>
        <v>No Impact</v>
      </c>
      <c r="AE385">
        <f t="shared" si="115"/>
        <v>1.3200287019693108E-2</v>
      </c>
      <c r="AF385">
        <f t="shared" si="130"/>
        <v>7.9701002237343596E-2</v>
      </c>
      <c r="AG385" t="s">
        <v>1170</v>
      </c>
    </row>
    <row r="386" spans="1:33" customFormat="1" x14ac:dyDescent="0.3">
      <c r="A386">
        <v>501067</v>
      </c>
      <c r="B386" t="s">
        <v>370</v>
      </c>
      <c r="C386" t="s">
        <v>1157</v>
      </c>
      <c r="D386" t="s">
        <v>936</v>
      </c>
      <c r="E386" s="21">
        <v>6.2</v>
      </c>
      <c r="F386" s="2">
        <f t="shared" si="116"/>
        <v>0.66666666666666663</v>
      </c>
      <c r="G386" s="26">
        <v>38.665800000000004</v>
      </c>
      <c r="H386">
        <f t="shared" si="117"/>
        <v>0.39638545768579242</v>
      </c>
      <c r="I386" s="12">
        <v>0</v>
      </c>
      <c r="J386" s="2">
        <f t="shared" si="118"/>
        <v>0</v>
      </c>
      <c r="K386" s="10">
        <v>0</v>
      </c>
      <c r="L386" s="2">
        <f t="shared" si="119"/>
        <v>0</v>
      </c>
      <c r="M386">
        <v>24547</v>
      </c>
      <c r="N386">
        <f t="shared" si="120"/>
        <v>0.11501137906724769</v>
      </c>
      <c r="O386" s="10">
        <v>0.87537805199999996</v>
      </c>
      <c r="P386">
        <f t="shared" si="121"/>
        <v>0.86857824016225205</v>
      </c>
      <c r="Q386" s="23">
        <v>0.30309999999999998</v>
      </c>
      <c r="R386" s="13">
        <f t="shared" si="122"/>
        <v>0.65634473798181026</v>
      </c>
      <c r="S386">
        <f t="shared" si="123"/>
        <v>7.0520017473175156E-2</v>
      </c>
      <c r="T386" s="14">
        <f t="shared" ref="T386:T417" si="133">(S386-$AJ$10)/$AK$10</f>
        <v>0.12583953101445849</v>
      </c>
      <c r="U386" t="str">
        <f t="shared" si="124"/>
        <v>No Impact</v>
      </c>
      <c r="V386">
        <f t="shared" si="125"/>
        <v>6.0705285518402312E-2</v>
      </c>
      <c r="W386">
        <f t="shared" ref="W386:W449" si="134">(V386-$AJ$13)/$AK$13</f>
        <v>9.8198878287214852E-2</v>
      </c>
      <c r="X386" t="s">
        <v>1170</v>
      </c>
      <c r="Y386">
        <f t="shared" ref="Y386:Y449" si="135">F386*(P386*1)*(H386*0.35+J386*0.35+L386*0.3)</f>
        <v>8.0334749427948021E-2</v>
      </c>
      <c r="Z386">
        <f t="shared" si="126"/>
        <v>0.14624177378853623</v>
      </c>
      <c r="AA386" t="str">
        <f t="shared" si="127"/>
        <v>No Impact</v>
      </c>
      <c r="AB386">
        <f t="shared" ref="AB386:AB449" si="136">F386*(R386*0.35+P386*0.3+N386*0.35)*(H386*0.35+J386*0.35+L386*0.3)</f>
        <v>4.9070363207161224E-2</v>
      </c>
      <c r="AC386">
        <f t="shared" si="128"/>
        <v>0.11993673502802017</v>
      </c>
      <c r="AD386" t="str">
        <f t="shared" si="129"/>
        <v>No Impact</v>
      </c>
      <c r="AE386">
        <f t="shared" ref="AE386:AE449" si="137">F386*(N386*1)*(H386*0.35+J386*0.35+L386*0.3)</f>
        <v>1.0637395563817199E-2</v>
      </c>
      <c r="AF386">
        <f t="shared" si="130"/>
        <v>6.4226716159010766E-2</v>
      </c>
      <c r="AG386" t="s">
        <v>1170</v>
      </c>
    </row>
    <row r="387" spans="1:33" customFormat="1" x14ac:dyDescent="0.3">
      <c r="A387">
        <v>501081</v>
      </c>
      <c r="B387" t="s">
        <v>464</v>
      </c>
      <c r="C387" t="s">
        <v>1157</v>
      </c>
      <c r="D387" t="s">
        <v>937</v>
      </c>
      <c r="E387" s="21">
        <v>6.2</v>
      </c>
      <c r="F387" s="2">
        <f t="shared" ref="F387:F417" si="138">(E387-$AJ$5)/$AK$5</f>
        <v>0.66666666666666663</v>
      </c>
      <c r="G387" s="26">
        <v>38.90052</v>
      </c>
      <c r="H387">
        <f t="shared" ref="H387:H417" si="139">(G387-$AJ$6)/$AK$6</f>
        <v>0.39879170803178315</v>
      </c>
      <c r="I387" s="12">
        <v>0.6</v>
      </c>
      <c r="J387" s="2">
        <f t="shared" ref="J387:J450" si="140">(I387-$AJ$7)/$AK$7</f>
        <v>2.5231286795626574E-3</v>
      </c>
      <c r="K387" s="10">
        <v>0</v>
      </c>
      <c r="L387" s="2">
        <f t="shared" ref="L387:L417" si="141">(K387-$AJ$8)/$AK$8</f>
        <v>0</v>
      </c>
      <c r="M387">
        <v>19425</v>
      </c>
      <c r="N387">
        <f t="shared" ref="N387:N450" si="142">(M387-$AJ$9)/$AK$9</f>
        <v>9.0777041253258764E-2</v>
      </c>
      <c r="O387" s="10">
        <v>0.441070038</v>
      </c>
      <c r="P387">
        <f t="shared" ref="P387:P450" si="143">(O387-$AJ$11)/$AK$11</f>
        <v>0.3902796866967268</v>
      </c>
      <c r="Q387" s="23">
        <v>0.25109999999999999</v>
      </c>
      <c r="R387" s="13">
        <f t="shared" ref="R387:R450" si="144">(Q387-$AJ$12)/$AK$12</f>
        <v>0.54374187960155906</v>
      </c>
      <c r="S387">
        <f t="shared" ref="S387:S450" si="145">F387*(R387*0.5+P387*0.5)*(H387*0.35+J387*0.35+L387*0.3)</f>
        <v>4.3730949775785059E-2</v>
      </c>
      <c r="T387" s="14">
        <f t="shared" si="133"/>
        <v>7.8035746555152607E-2</v>
      </c>
      <c r="U387" t="str">
        <f t="shared" ref="U387:U450" si="146">IF(T387&gt;0.7,"High",IF(T387&gt;0.3,"Moderate",IF(T387&gt;0.15,"Low","No Impact")))</f>
        <v>No Impact</v>
      </c>
      <c r="V387">
        <f t="shared" ref="V387:V450" si="147">F387*(R387*1)*(H387*0.35+J387*0.35+L387*0.3)</f>
        <v>5.0916059512597978E-2</v>
      </c>
      <c r="W387">
        <f t="shared" si="134"/>
        <v>8.2363502423961385E-2</v>
      </c>
      <c r="X387" t="s">
        <v>1170</v>
      </c>
      <c r="Y387">
        <f t="shared" si="135"/>
        <v>3.6545840038972155E-2</v>
      </c>
      <c r="Z387">
        <f t="shared" ref="Z387:Z450" si="148">(Y387-$AJ$14)/$AK$14</f>
        <v>6.6528227323157163E-2</v>
      </c>
      <c r="AA387" t="str">
        <f t="shared" ref="AA387:AA450" si="149">IF(Z387&gt;0.7,"High",IF(Z387&gt;0.3,"Moderate",IF(Z387&gt;0.15,"Low","No Impact")))</f>
        <v>No Impact</v>
      </c>
      <c r="AB387">
        <f t="shared" si="136"/>
        <v>3.1759503675929002E-2</v>
      </c>
      <c r="AC387">
        <f t="shared" ref="AC387:AC450" si="150">(AB387-$AJ$15)/$AK$15</f>
        <v>7.7625901420787374E-2</v>
      </c>
      <c r="AD387" t="str">
        <f t="shared" ref="AD387:AD450" si="151">IF(AC387&gt;0.7,"High",IF(AC387&gt;0.3,"Moderate",IF(AC387&gt;0.15,"Low","No Impact")))</f>
        <v>No Impact</v>
      </c>
      <c r="AE387">
        <f t="shared" si="137"/>
        <v>8.5003738137944818E-3</v>
      </c>
      <c r="AF387">
        <f t="shared" ref="AF387:AF450" si="152">(AE387-$AJ$16)/$AK$16</f>
        <v>5.132375616838987E-2</v>
      </c>
      <c r="AG387" t="s">
        <v>1170</v>
      </c>
    </row>
    <row r="388" spans="1:33" customFormat="1" x14ac:dyDescent="0.3">
      <c r="A388">
        <v>501085</v>
      </c>
      <c r="B388" t="s">
        <v>478</v>
      </c>
      <c r="C388" t="s">
        <v>1157</v>
      </c>
      <c r="D388" t="s">
        <v>938</v>
      </c>
      <c r="E388" s="21">
        <v>6.1</v>
      </c>
      <c r="F388" s="2">
        <f t="shared" si="138"/>
        <v>0.64444444444444438</v>
      </c>
      <c r="G388" s="26">
        <v>39.114000000000004</v>
      </c>
      <c r="H388">
        <f t="shared" si="139"/>
        <v>0.40098021486486984</v>
      </c>
      <c r="I388" s="12">
        <v>0</v>
      </c>
      <c r="J388" s="2">
        <f t="shared" si="140"/>
        <v>0</v>
      </c>
      <c r="K388" s="10">
        <v>0</v>
      </c>
      <c r="L388" s="2">
        <f t="shared" si="141"/>
        <v>0</v>
      </c>
      <c r="M388">
        <v>37871</v>
      </c>
      <c r="N388">
        <f t="shared" si="142"/>
        <v>0.17805283104569133</v>
      </c>
      <c r="O388" s="10">
        <v>0.72551193199999997</v>
      </c>
      <c r="P388">
        <f t="shared" si="143"/>
        <v>0.70353236005217235</v>
      </c>
      <c r="Q388" s="23">
        <v>0.28179999999999999</v>
      </c>
      <c r="R388" s="13">
        <f t="shared" si="144"/>
        <v>0.61022087483759202</v>
      </c>
      <c r="S388">
        <f t="shared" si="145"/>
        <v>5.9410098913510907E-2</v>
      </c>
      <c r="T388" s="14">
        <f t="shared" si="133"/>
        <v>0.10601442331806883</v>
      </c>
      <c r="U388" t="str">
        <f t="shared" si="146"/>
        <v>No Impact</v>
      </c>
      <c r="V388">
        <f t="shared" si="147"/>
        <v>5.519039888222612E-2</v>
      </c>
      <c r="W388">
        <f t="shared" si="134"/>
        <v>8.9277815204668515E-2</v>
      </c>
      <c r="X388" t="s">
        <v>1170</v>
      </c>
      <c r="Y388">
        <f t="shared" si="135"/>
        <v>6.3629798944795701E-2</v>
      </c>
      <c r="Z388">
        <f t="shared" si="148"/>
        <v>0.11583199959863917</v>
      </c>
      <c r="AA388" t="str">
        <f t="shared" si="149"/>
        <v>No Impact</v>
      </c>
      <c r="AB388">
        <f t="shared" si="136"/>
        <v>4.4041870200076161E-2</v>
      </c>
      <c r="AC388">
        <f t="shared" si="150"/>
        <v>0.10764619968319521</v>
      </c>
      <c r="AD388" t="str">
        <f t="shared" si="151"/>
        <v>No Impact</v>
      </c>
      <c r="AE388">
        <f t="shared" si="137"/>
        <v>1.6103688308166591E-2</v>
      </c>
      <c r="AF388">
        <f t="shared" si="152"/>
        <v>9.7231226560747078E-2</v>
      </c>
      <c r="AG388" t="s">
        <v>1170</v>
      </c>
    </row>
    <row r="389" spans="1:33" customFormat="1" x14ac:dyDescent="0.3">
      <c r="A389">
        <v>501088</v>
      </c>
      <c r="B389" t="s">
        <v>483</v>
      </c>
      <c r="C389" t="s">
        <v>1157</v>
      </c>
      <c r="D389" t="s">
        <v>925</v>
      </c>
      <c r="E389" s="21">
        <v>6.2</v>
      </c>
      <c r="F389" s="2">
        <f t="shared" si="138"/>
        <v>0.66666666666666663</v>
      </c>
      <c r="G389" s="26">
        <v>39.493079999999999</v>
      </c>
      <c r="H389">
        <f t="shared" si="139"/>
        <v>0.40486638298500516</v>
      </c>
      <c r="I389" s="12">
        <v>0.3</v>
      </c>
      <c r="J389" s="2">
        <f t="shared" si="140"/>
        <v>1.2615643397813287E-3</v>
      </c>
      <c r="K389" s="10">
        <v>0</v>
      </c>
      <c r="L389" s="2">
        <f t="shared" si="141"/>
        <v>0</v>
      </c>
      <c r="M389">
        <v>36509</v>
      </c>
      <c r="N389">
        <f t="shared" si="142"/>
        <v>0.17160863578941393</v>
      </c>
      <c r="O389" s="10">
        <v>0.82300812000000001</v>
      </c>
      <c r="P389">
        <f t="shared" si="143"/>
        <v>0.81090382036513564</v>
      </c>
      <c r="Q389" s="23">
        <v>0.27760000000000001</v>
      </c>
      <c r="R389" s="13">
        <f t="shared" si="144"/>
        <v>0.6011260285838026</v>
      </c>
      <c r="S389">
        <f t="shared" si="145"/>
        <v>6.6904224813412072E-2</v>
      </c>
      <c r="T389" s="14">
        <f t="shared" si="133"/>
        <v>0.11938732540173033</v>
      </c>
      <c r="U389" t="str">
        <f t="shared" si="146"/>
        <v>No Impact</v>
      </c>
      <c r="V389">
        <f t="shared" si="147"/>
        <v>5.6964618683522816E-2</v>
      </c>
      <c r="W389">
        <f t="shared" si="134"/>
        <v>9.2147851855257784E-2</v>
      </c>
      <c r="X389" t="s">
        <v>1170</v>
      </c>
      <c r="Y389">
        <f t="shared" si="135"/>
        <v>7.6843830943301314E-2</v>
      </c>
      <c r="Z389">
        <f t="shared" si="148"/>
        <v>0.13988688857408982</v>
      </c>
      <c r="AA389" t="str">
        <f t="shared" si="149"/>
        <v>No Impact</v>
      </c>
      <c r="AB389">
        <f t="shared" si="136"/>
        <v>4.8682529300259569E-2</v>
      </c>
      <c r="AC389">
        <f t="shared" si="150"/>
        <v>0.11898879966567998</v>
      </c>
      <c r="AD389" t="str">
        <f t="shared" si="151"/>
        <v>No Impact</v>
      </c>
      <c r="AE389">
        <f t="shared" si="137"/>
        <v>1.62621813658177E-2</v>
      </c>
      <c r="AF389">
        <f t="shared" si="152"/>
        <v>9.8188179657570582E-2</v>
      </c>
      <c r="AG389" t="s">
        <v>1170</v>
      </c>
    </row>
    <row r="390" spans="1:33" customFormat="1" x14ac:dyDescent="0.3">
      <c r="A390">
        <v>501094</v>
      </c>
      <c r="B390" t="s">
        <v>487</v>
      </c>
      <c r="C390" t="s">
        <v>1157</v>
      </c>
      <c r="D390" t="s">
        <v>1149</v>
      </c>
      <c r="E390" s="21">
        <v>6.1</v>
      </c>
      <c r="F390" s="2">
        <f t="shared" si="138"/>
        <v>0.64444444444444438</v>
      </c>
      <c r="G390" s="26">
        <v>36.766799999999996</v>
      </c>
      <c r="H390">
        <f t="shared" si="139"/>
        <v>0.37691771140496227</v>
      </c>
      <c r="I390" s="12">
        <v>0</v>
      </c>
      <c r="J390" s="2">
        <f t="shared" si="140"/>
        <v>0</v>
      </c>
      <c r="K390" s="10">
        <v>0</v>
      </c>
      <c r="L390" s="2">
        <f t="shared" si="141"/>
        <v>0</v>
      </c>
      <c r="M390">
        <v>25068</v>
      </c>
      <c r="N390">
        <f t="shared" si="142"/>
        <v>0.11747644935250505</v>
      </c>
      <c r="O390" s="10">
        <v>0.73727073899999995</v>
      </c>
      <c r="P390">
        <f t="shared" si="143"/>
        <v>0.71648220255399708</v>
      </c>
      <c r="Q390" s="23">
        <v>0.27910000000000001</v>
      </c>
      <c r="R390" s="13">
        <f t="shared" si="144"/>
        <v>0.60437418796015596</v>
      </c>
      <c r="S390">
        <f t="shared" si="145"/>
        <v>5.6146886702702424E-2</v>
      </c>
      <c r="T390" s="14">
        <f t="shared" si="133"/>
        <v>0.10019138031662607</v>
      </c>
      <c r="U390" t="str">
        <f t="shared" si="146"/>
        <v>No Impact</v>
      </c>
      <c r="V390">
        <f t="shared" si="147"/>
        <v>5.138140573212157E-2</v>
      </c>
      <c r="W390">
        <f t="shared" si="134"/>
        <v>8.3116261864629198E-2</v>
      </c>
      <c r="X390" t="s">
        <v>1170</v>
      </c>
      <c r="Y390">
        <f t="shared" si="135"/>
        <v>6.0912367673283278E-2</v>
      </c>
      <c r="Z390">
        <f t="shared" si="148"/>
        <v>0.11088517431911499</v>
      </c>
      <c r="AA390" t="str">
        <f t="shared" si="149"/>
        <v>No Impact</v>
      </c>
      <c r="AB390">
        <f t="shared" si="136"/>
        <v>3.9752779766594783E-2</v>
      </c>
      <c r="AC390">
        <f t="shared" si="150"/>
        <v>9.7162896336530774E-2</v>
      </c>
      <c r="AD390" t="str">
        <f t="shared" si="151"/>
        <v>No Impact</v>
      </c>
      <c r="AE390">
        <f t="shared" si="137"/>
        <v>9.9873641667635703E-3</v>
      </c>
      <c r="AF390">
        <f t="shared" si="152"/>
        <v>6.0301941360279207E-2</v>
      </c>
      <c r="AG390" t="s">
        <v>1170</v>
      </c>
    </row>
    <row r="391" spans="1:33" customFormat="1" x14ac:dyDescent="0.3">
      <c r="A391">
        <v>501095</v>
      </c>
      <c r="B391" t="s">
        <v>499</v>
      </c>
      <c r="C391" t="s">
        <v>1157</v>
      </c>
      <c r="D391" t="s">
        <v>939</v>
      </c>
      <c r="E391" s="21">
        <v>6.2</v>
      </c>
      <c r="F391" s="2">
        <f t="shared" si="138"/>
        <v>0.66666666666666663</v>
      </c>
      <c r="G391" s="26">
        <v>36.888480000000001</v>
      </c>
      <c r="H391">
        <f t="shared" si="139"/>
        <v>0.3781651233941416</v>
      </c>
      <c r="I391" s="12">
        <v>0.1</v>
      </c>
      <c r="J391" s="2">
        <f t="shared" si="140"/>
        <v>4.2052144659377626E-4</v>
      </c>
      <c r="K391" s="10">
        <v>0</v>
      </c>
      <c r="L391" s="2">
        <f t="shared" si="141"/>
        <v>0</v>
      </c>
      <c r="M391">
        <v>3652</v>
      </c>
      <c r="N391">
        <f t="shared" si="142"/>
        <v>1.6148339507837599E-2</v>
      </c>
      <c r="O391" s="10">
        <v>0.52950887999999996</v>
      </c>
      <c r="P391">
        <f t="shared" si="143"/>
        <v>0.48767639326260226</v>
      </c>
      <c r="Q391" s="23">
        <v>0.28249999999999997</v>
      </c>
      <c r="R391" s="13">
        <f t="shared" si="144"/>
        <v>0.61173668254655689</v>
      </c>
      <c r="S391">
        <f t="shared" si="145"/>
        <v>4.855923429601379E-2</v>
      </c>
      <c r="T391" s="14">
        <f t="shared" si="133"/>
        <v>8.6651584744090543E-2</v>
      </c>
      <c r="U391" t="str">
        <f t="shared" si="146"/>
        <v>No Impact</v>
      </c>
      <c r="V391">
        <f t="shared" si="147"/>
        <v>5.4038769501411441E-2</v>
      </c>
      <c r="W391">
        <f t="shared" si="134"/>
        <v>8.7414901416637339E-2</v>
      </c>
      <c r="X391" t="s">
        <v>1170</v>
      </c>
      <c r="Y391">
        <f t="shared" si="135"/>
        <v>4.3079699090616139E-2</v>
      </c>
      <c r="Z391">
        <f t="shared" si="148"/>
        <v>7.8422496542901288E-2</v>
      </c>
      <c r="AA391" t="str">
        <f t="shared" si="149"/>
        <v>No Impact</v>
      </c>
      <c r="AB391">
        <f t="shared" si="136"/>
        <v>3.2336750630609527E-2</v>
      </c>
      <c r="AC391">
        <f t="shared" si="150"/>
        <v>7.9036796114127367E-2</v>
      </c>
      <c r="AD391" t="str">
        <f t="shared" si="151"/>
        <v>No Impact</v>
      </c>
      <c r="AE391">
        <f t="shared" si="137"/>
        <v>1.4264902226590913E-3</v>
      </c>
      <c r="AF391">
        <f t="shared" si="152"/>
        <v>8.612896087644633E-3</v>
      </c>
      <c r="AG391" t="s">
        <v>1170</v>
      </c>
    </row>
    <row r="392" spans="1:33" customFormat="1" x14ac:dyDescent="0.3">
      <c r="A392">
        <v>503813</v>
      </c>
      <c r="B392" t="s">
        <v>7</v>
      </c>
      <c r="C392" t="s">
        <v>941</v>
      </c>
      <c r="D392" t="s">
        <v>940</v>
      </c>
      <c r="E392" s="21">
        <v>4.9000000000000004</v>
      </c>
      <c r="F392" s="2">
        <f t="shared" si="138"/>
        <v>0.37777777777777782</v>
      </c>
      <c r="G392" s="26">
        <v>36.911160000000002</v>
      </c>
      <c r="H392">
        <f t="shared" si="139"/>
        <v>0.37839762917910696</v>
      </c>
      <c r="I392" s="12">
        <v>0.2</v>
      </c>
      <c r="J392" s="2">
        <f t="shared" si="140"/>
        <v>8.4104289318755253E-4</v>
      </c>
      <c r="K392" s="10">
        <v>0</v>
      </c>
      <c r="L392" s="2">
        <f t="shared" si="141"/>
        <v>0</v>
      </c>
      <c r="M392">
        <v>9388</v>
      </c>
      <c r="N392">
        <f t="shared" si="142"/>
        <v>4.328776975013366E-2</v>
      </c>
      <c r="O392" s="10">
        <v>0.76331303299999997</v>
      </c>
      <c r="P392">
        <f t="shared" si="143"/>
        <v>0.7451622893762585</v>
      </c>
      <c r="Q392" s="23">
        <v>0.28249999999999997</v>
      </c>
      <c r="R392" s="13">
        <f t="shared" si="144"/>
        <v>0.61173668254655689</v>
      </c>
      <c r="S392">
        <f t="shared" si="145"/>
        <v>3.4020021747524526E-2</v>
      </c>
      <c r="T392" s="14">
        <f t="shared" si="133"/>
        <v>6.0707069215327723E-2</v>
      </c>
      <c r="U392" t="str">
        <f t="shared" si="146"/>
        <v>No Impact</v>
      </c>
      <c r="V392">
        <f t="shared" si="147"/>
        <v>3.0674789611641308E-2</v>
      </c>
      <c r="W392">
        <f t="shared" si="134"/>
        <v>4.9620554550334081E-2</v>
      </c>
      <c r="X392" t="s">
        <v>1170</v>
      </c>
      <c r="Y392">
        <f t="shared" si="135"/>
        <v>3.7365253883407751E-2</v>
      </c>
      <c r="Z392">
        <f t="shared" si="148"/>
        <v>6.801989232404973E-2</v>
      </c>
      <c r="AA392" t="str">
        <f t="shared" si="149"/>
        <v>No Impact</v>
      </c>
      <c r="AB392">
        <f t="shared" si="136"/>
        <v>2.2705466869767391E-2</v>
      </c>
      <c r="AC392">
        <f t="shared" si="150"/>
        <v>5.5496217791380871E-2</v>
      </c>
      <c r="AD392" t="str">
        <f t="shared" si="151"/>
        <v>No Impact</v>
      </c>
      <c r="AE392">
        <f t="shared" si="137"/>
        <v>2.1706124019160214E-3</v>
      </c>
      <c r="AF392">
        <f t="shared" si="152"/>
        <v>1.3105774415618476E-2</v>
      </c>
      <c r="AG392" t="s">
        <v>1170</v>
      </c>
    </row>
    <row r="393" spans="1:33" customFormat="1" x14ac:dyDescent="0.3">
      <c r="A393">
        <v>503847</v>
      </c>
      <c r="B393" t="s">
        <v>228</v>
      </c>
      <c r="C393" t="s">
        <v>941</v>
      </c>
      <c r="D393" t="s">
        <v>942</v>
      </c>
      <c r="E393" s="21">
        <v>4.9000000000000004</v>
      </c>
      <c r="F393" s="2">
        <f t="shared" si="138"/>
        <v>0.37777777777777782</v>
      </c>
      <c r="G393" s="26">
        <v>35.788679999999999</v>
      </c>
      <c r="H393">
        <f t="shared" si="139"/>
        <v>0.36689043810732908</v>
      </c>
      <c r="I393" s="12">
        <v>0.1</v>
      </c>
      <c r="J393" s="2">
        <f t="shared" si="140"/>
        <v>4.2052144659377626E-4</v>
      </c>
      <c r="K393" s="10">
        <v>0</v>
      </c>
      <c r="L393" s="2">
        <f t="shared" si="141"/>
        <v>0</v>
      </c>
      <c r="M393">
        <v>39555</v>
      </c>
      <c r="N393">
        <f t="shared" si="142"/>
        <v>0.18602054382951744</v>
      </c>
      <c r="O393" s="10">
        <v>0.69842425399999997</v>
      </c>
      <c r="P393">
        <f t="shared" si="143"/>
        <v>0.6737010035344454</v>
      </c>
      <c r="Q393" s="23">
        <v>0.27260000000000001</v>
      </c>
      <c r="R393" s="13">
        <f t="shared" si="144"/>
        <v>0.59029883066262456</v>
      </c>
      <c r="S393">
        <f t="shared" si="145"/>
        <v>3.0694132247231162E-2</v>
      </c>
      <c r="T393" s="14">
        <f t="shared" si="133"/>
        <v>5.4772181648375107E-2</v>
      </c>
      <c r="U393" t="str">
        <f t="shared" si="146"/>
        <v>No Impact</v>
      </c>
      <c r="V393">
        <f t="shared" si="147"/>
        <v>2.866884928866158E-2</v>
      </c>
      <c r="W393">
        <f t="shared" si="134"/>
        <v>4.6375679117403458E-2</v>
      </c>
      <c r="X393" t="s">
        <v>1170</v>
      </c>
      <c r="Y393">
        <f t="shared" si="135"/>
        <v>3.2719415205800739E-2</v>
      </c>
      <c r="Z393">
        <f t="shared" si="148"/>
        <v>5.9562584698312972E-2</v>
      </c>
      <c r="AA393" t="str">
        <f t="shared" si="149"/>
        <v>No Impact</v>
      </c>
      <c r="AB393">
        <f t="shared" si="136"/>
        <v>2.3011961326520957E-2</v>
      </c>
      <c r="AC393">
        <f t="shared" si="150"/>
        <v>5.6245345004725909E-2</v>
      </c>
      <c r="AD393" t="str">
        <f t="shared" si="151"/>
        <v>No Impact</v>
      </c>
      <c r="AE393">
        <f t="shared" si="137"/>
        <v>9.0343986107119453E-3</v>
      </c>
      <c r="AF393">
        <f t="shared" si="152"/>
        <v>5.4548103598897883E-2</v>
      </c>
      <c r="AG393" t="s">
        <v>1170</v>
      </c>
    </row>
    <row r="394" spans="1:33" customFormat="1" x14ac:dyDescent="0.3">
      <c r="A394">
        <v>503858</v>
      </c>
      <c r="B394" t="s">
        <v>240</v>
      </c>
      <c r="C394" t="s">
        <v>941</v>
      </c>
      <c r="D394" t="s">
        <v>943</v>
      </c>
      <c r="E394" s="21">
        <v>4.8</v>
      </c>
      <c r="F394" s="2">
        <f t="shared" si="138"/>
        <v>0.35555555555555546</v>
      </c>
      <c r="G394" s="26">
        <v>36.40428</v>
      </c>
      <c r="H394">
        <f t="shared" si="139"/>
        <v>0.3732013094135318</v>
      </c>
      <c r="I394" s="12">
        <v>0.1</v>
      </c>
      <c r="J394" s="2">
        <f t="shared" si="140"/>
        <v>4.2052144659377626E-4</v>
      </c>
      <c r="K394" s="10">
        <v>0</v>
      </c>
      <c r="L394" s="2">
        <f t="shared" si="141"/>
        <v>0</v>
      </c>
      <c r="M394">
        <v>15941</v>
      </c>
      <c r="N394">
        <f t="shared" si="142"/>
        <v>7.4292770862017576E-2</v>
      </c>
      <c r="O394" s="10">
        <v>0.82147098500000004</v>
      </c>
      <c r="P394">
        <f t="shared" si="143"/>
        <v>0.80921099079883341</v>
      </c>
      <c r="Q394" s="23">
        <v>0.25580000000000003</v>
      </c>
      <c r="R394" s="13">
        <f t="shared" si="144"/>
        <v>0.55391944564746654</v>
      </c>
      <c r="S394">
        <f t="shared" si="145"/>
        <v>3.1689484671676441E-2</v>
      </c>
      <c r="T394" s="14">
        <f t="shared" si="133"/>
        <v>5.6548339493683965E-2</v>
      </c>
      <c r="U394" t="str">
        <f t="shared" si="146"/>
        <v>No Impact</v>
      </c>
      <c r="V394">
        <f t="shared" si="147"/>
        <v>2.5754573902628006E-2</v>
      </c>
      <c r="W394">
        <f t="shared" si="134"/>
        <v>4.1661450834237168E-2</v>
      </c>
      <c r="X394" t="s">
        <v>1170</v>
      </c>
      <c r="Y394">
        <f t="shared" si="135"/>
        <v>3.7624395440724871E-2</v>
      </c>
      <c r="Z394">
        <f t="shared" si="148"/>
        <v>6.8491634892169265E-2</v>
      </c>
      <c r="AA394" t="str">
        <f t="shared" si="149"/>
        <v>No Impact</v>
      </c>
      <c r="AB394">
        <f t="shared" si="136"/>
        <v>2.1510408522481976E-2</v>
      </c>
      <c r="AC394">
        <f t="shared" si="150"/>
        <v>5.2575281670808667E-2</v>
      </c>
      <c r="AD394" t="str">
        <f t="shared" si="151"/>
        <v>No Impact</v>
      </c>
      <c r="AE394">
        <f t="shared" si="137"/>
        <v>3.4542543552706045E-3</v>
      </c>
      <c r="AF394">
        <f t="shared" si="152"/>
        <v>2.0856177876060828E-2</v>
      </c>
      <c r="AG394" t="s">
        <v>1170</v>
      </c>
    </row>
    <row r="395" spans="1:33" customFormat="1" x14ac:dyDescent="0.3">
      <c r="A395">
        <v>503861</v>
      </c>
      <c r="B395" t="s">
        <v>276</v>
      </c>
      <c r="C395" t="s">
        <v>941</v>
      </c>
      <c r="D395" t="s">
        <v>944</v>
      </c>
      <c r="E395" s="21">
        <v>4.9000000000000004</v>
      </c>
      <c r="F395" s="2">
        <f t="shared" si="138"/>
        <v>0.37777777777777782</v>
      </c>
      <c r="G395" s="26">
        <v>36.40428</v>
      </c>
      <c r="H395">
        <f t="shared" si="139"/>
        <v>0.3732013094135318</v>
      </c>
      <c r="I395" s="12">
        <v>0.1</v>
      </c>
      <c r="J395" s="2">
        <f t="shared" si="140"/>
        <v>4.2052144659377626E-4</v>
      </c>
      <c r="K395" s="10">
        <v>0</v>
      </c>
      <c r="L395" s="2">
        <f t="shared" si="141"/>
        <v>0</v>
      </c>
      <c r="M395">
        <v>16611</v>
      </c>
      <c r="N395">
        <f t="shared" si="142"/>
        <v>7.746282286033318E-2</v>
      </c>
      <c r="O395" s="10">
        <v>0.83870918500000002</v>
      </c>
      <c r="P395">
        <f t="shared" si="143"/>
        <v>0.82819522746629082</v>
      </c>
      <c r="Q395" s="23">
        <v>0.25619999999999998</v>
      </c>
      <c r="R395" s="13">
        <f t="shared" si="144"/>
        <v>0.55478562148116062</v>
      </c>
      <c r="S395">
        <f t="shared" si="145"/>
        <v>3.4160393656977928E-2</v>
      </c>
      <c r="T395" s="14">
        <f t="shared" si="133"/>
        <v>6.0957556040007528E-2</v>
      </c>
      <c r="U395" t="str">
        <f t="shared" si="146"/>
        <v>No Impact</v>
      </c>
      <c r="V395">
        <f t="shared" si="147"/>
        <v>2.7407024818096665E-2</v>
      </c>
      <c r="W395">
        <f t="shared" si="134"/>
        <v>4.4334510106390883E-2</v>
      </c>
      <c r="X395" t="s">
        <v>1170</v>
      </c>
      <c r="Y395">
        <f t="shared" si="135"/>
        <v>4.09137624958592E-2</v>
      </c>
      <c r="Z395">
        <f t="shared" si="148"/>
        <v>7.4479614890984897E-2</v>
      </c>
      <c r="AA395" t="str">
        <f t="shared" si="149"/>
        <v>No Impact</v>
      </c>
      <c r="AB395">
        <f t="shared" si="136"/>
        <v>2.3205949702683765E-2</v>
      </c>
      <c r="AC395">
        <f t="shared" si="150"/>
        <v>5.6719487255765109E-2</v>
      </c>
      <c r="AD395" t="str">
        <f t="shared" si="151"/>
        <v>No Impact</v>
      </c>
      <c r="AE395">
        <f t="shared" si="137"/>
        <v>3.8267493359776458E-3</v>
      </c>
      <c r="AF395">
        <f t="shared" si="152"/>
        <v>2.3105236797767621E-2</v>
      </c>
      <c r="AG395" t="s">
        <v>1170</v>
      </c>
    </row>
    <row r="396" spans="1:33" customFormat="1" x14ac:dyDescent="0.3">
      <c r="A396">
        <v>503874</v>
      </c>
      <c r="B396" t="s">
        <v>401</v>
      </c>
      <c r="C396" t="s">
        <v>941</v>
      </c>
      <c r="D396" t="s">
        <v>945</v>
      </c>
      <c r="E396" s="21">
        <v>4.9000000000000004</v>
      </c>
      <c r="F396" s="2">
        <f t="shared" si="138"/>
        <v>0.37777777777777782</v>
      </c>
      <c r="G396" s="26">
        <v>33.479279999999996</v>
      </c>
      <c r="H396">
        <f t="shared" si="139"/>
        <v>0.34321544428903045</v>
      </c>
      <c r="I396" s="12">
        <v>0.3</v>
      </c>
      <c r="J396" s="2">
        <f t="shared" si="140"/>
        <v>1.2615643397813287E-3</v>
      </c>
      <c r="K396" s="10">
        <v>0</v>
      </c>
      <c r="L396" s="2">
        <f t="shared" si="141"/>
        <v>0</v>
      </c>
      <c r="M396">
        <v>30322</v>
      </c>
      <c r="N396">
        <f t="shared" si="142"/>
        <v>0.14233533472437107</v>
      </c>
      <c r="O396" s="10">
        <v>0.738491432</v>
      </c>
      <c r="P396">
        <f t="shared" si="143"/>
        <v>0.71782653808846753</v>
      </c>
      <c r="Q396" s="23">
        <v>0.28110000000000002</v>
      </c>
      <c r="R396" s="13">
        <f t="shared" si="144"/>
        <v>0.60870506712862715</v>
      </c>
      <c r="S396">
        <f t="shared" si="145"/>
        <v>3.0210109481552512E-2</v>
      </c>
      <c r="T396" s="14">
        <f t="shared" si="133"/>
        <v>5.3908466635024584E-2</v>
      </c>
      <c r="U396" t="str">
        <f t="shared" si="146"/>
        <v>No Impact</v>
      </c>
      <c r="V396">
        <f t="shared" si="147"/>
        <v>2.7725003531931861E-2</v>
      </c>
      <c r="W396">
        <f t="shared" si="134"/>
        <v>4.484888299420741E-2</v>
      </c>
      <c r="X396" t="s">
        <v>1170</v>
      </c>
      <c r="Y396">
        <f t="shared" si="135"/>
        <v>3.2695215431173159E-2</v>
      </c>
      <c r="Z396">
        <f t="shared" si="148"/>
        <v>5.9518531309312311E-2</v>
      </c>
      <c r="AA396" t="str">
        <f t="shared" si="149"/>
        <v>No Impact</v>
      </c>
      <c r="AB396">
        <f t="shared" si="136"/>
        <v>2.1781373172375357E-2</v>
      </c>
      <c r="AC396">
        <f t="shared" si="150"/>
        <v>5.3237567688114523E-2</v>
      </c>
      <c r="AD396" t="str">
        <f t="shared" si="151"/>
        <v>No Impact</v>
      </c>
      <c r="AE396">
        <f t="shared" si="137"/>
        <v>6.4830208767064513E-3</v>
      </c>
      <c r="AF396">
        <f t="shared" si="152"/>
        <v>3.9143335340229513E-2</v>
      </c>
      <c r="AG396" t="s">
        <v>1170</v>
      </c>
    </row>
    <row r="397" spans="1:33" customFormat="1" x14ac:dyDescent="0.3">
      <c r="A397">
        <v>506403</v>
      </c>
      <c r="B397" t="s">
        <v>17</v>
      </c>
      <c r="C397" t="s">
        <v>947</v>
      </c>
      <c r="D397" t="s">
        <v>946</v>
      </c>
      <c r="E397" s="21">
        <v>6.3</v>
      </c>
      <c r="F397" s="2">
        <f t="shared" si="138"/>
        <v>0.68888888888888877</v>
      </c>
      <c r="G397" s="26">
        <v>37.535039999999995</v>
      </c>
      <c r="H397">
        <f t="shared" si="139"/>
        <v>0.38479338354966203</v>
      </c>
      <c r="I397" s="12">
        <v>0.1</v>
      </c>
      <c r="J397" s="2">
        <f t="shared" si="140"/>
        <v>4.2052144659377626E-4</v>
      </c>
      <c r="K397" s="10">
        <v>0</v>
      </c>
      <c r="L397" s="2">
        <f t="shared" si="141"/>
        <v>0</v>
      </c>
      <c r="M397">
        <v>16370</v>
      </c>
      <c r="N397">
        <f t="shared" si="142"/>
        <v>7.6322550425118166E-2</v>
      </c>
      <c r="O397" s="10">
        <v>0.80812170000000005</v>
      </c>
      <c r="P397">
        <f t="shared" si="143"/>
        <v>0.79450957268201494</v>
      </c>
      <c r="Q397" s="23">
        <v>0.22500000000000001</v>
      </c>
      <c r="R397" s="13">
        <f t="shared" si="144"/>
        <v>0.48722390645301</v>
      </c>
      <c r="S397">
        <f t="shared" si="145"/>
        <v>5.9523287905368129E-2</v>
      </c>
      <c r="T397" s="14">
        <f t="shared" si="133"/>
        <v>0.10621640355235806</v>
      </c>
      <c r="U397" t="str">
        <f t="shared" si="146"/>
        <v>No Impact</v>
      </c>
      <c r="V397">
        <f t="shared" si="147"/>
        <v>4.5253041026519863E-2</v>
      </c>
      <c r="W397">
        <f t="shared" si="134"/>
        <v>7.3202816360075654E-2</v>
      </c>
      <c r="X397" t="s">
        <v>1170</v>
      </c>
      <c r="Y397">
        <f t="shared" si="135"/>
        <v>7.3793534784216394E-2</v>
      </c>
      <c r="Z397">
        <f t="shared" si="148"/>
        <v>0.13433411441270371</v>
      </c>
      <c r="AA397" t="str">
        <f t="shared" si="149"/>
        <v>No Impact</v>
      </c>
      <c r="AB397">
        <f t="shared" si="136"/>
        <v>4.0457700971151443E-2</v>
      </c>
      <c r="AC397">
        <f t="shared" si="150"/>
        <v>9.8885849707990775E-2</v>
      </c>
      <c r="AD397" t="str">
        <f t="shared" si="151"/>
        <v>No Impact</v>
      </c>
      <c r="AE397">
        <f t="shared" si="137"/>
        <v>7.0887890760130533E-3</v>
      </c>
      <c r="AF397">
        <f t="shared" si="152"/>
        <v>4.2800856766560556E-2</v>
      </c>
      <c r="AG397" t="s">
        <v>1170</v>
      </c>
    </row>
    <row r="398" spans="1:33" customFormat="1" x14ac:dyDescent="0.3">
      <c r="A398">
        <v>506406</v>
      </c>
      <c r="B398" t="s">
        <v>21</v>
      </c>
      <c r="C398" t="s">
        <v>947</v>
      </c>
      <c r="D398" t="s">
        <v>948</v>
      </c>
      <c r="E398" s="21">
        <v>6.3</v>
      </c>
      <c r="F398" s="2">
        <f t="shared" si="138"/>
        <v>0.68888888888888877</v>
      </c>
      <c r="G398" s="26">
        <v>35.788679999999999</v>
      </c>
      <c r="H398">
        <f t="shared" si="139"/>
        <v>0.36689043810732908</v>
      </c>
      <c r="I398" s="12">
        <v>0.2</v>
      </c>
      <c r="J398" s="2">
        <f t="shared" si="140"/>
        <v>8.4104289318755253E-4</v>
      </c>
      <c r="K398" s="10">
        <v>0</v>
      </c>
      <c r="L398" s="2">
        <f t="shared" si="141"/>
        <v>0</v>
      </c>
      <c r="M398">
        <v>16682</v>
      </c>
      <c r="N398">
        <f t="shared" si="142"/>
        <v>7.7798753743736779E-2</v>
      </c>
      <c r="O398" s="10">
        <v>0.62993978299999998</v>
      </c>
      <c r="P398">
        <f t="shared" si="143"/>
        <v>0.59827982234907651</v>
      </c>
      <c r="Q398" s="23">
        <v>0.31459999999999999</v>
      </c>
      <c r="R398" s="13">
        <f t="shared" si="144"/>
        <v>0.68124729320051969</v>
      </c>
      <c r="S398">
        <f t="shared" si="145"/>
        <v>5.6724089475754295E-2</v>
      </c>
      <c r="T398" s="14">
        <f t="shared" si="133"/>
        <v>0.10122137050754912</v>
      </c>
      <c r="U398" t="str">
        <f t="shared" si="146"/>
        <v>No Impact</v>
      </c>
      <c r="V398">
        <f t="shared" si="147"/>
        <v>6.0402209449110879E-2</v>
      </c>
      <c r="W398">
        <f t="shared" si="134"/>
        <v>9.7708612410265891E-2</v>
      </c>
      <c r="X398" t="s">
        <v>1170</v>
      </c>
      <c r="Y398">
        <f t="shared" si="135"/>
        <v>5.3045969502397719E-2</v>
      </c>
      <c r="Z398">
        <f t="shared" si="148"/>
        <v>9.6565144319282994E-2</v>
      </c>
      <c r="AA398" t="str">
        <f t="shared" si="149"/>
        <v>No Impact</v>
      </c>
      <c r="AB398">
        <f t="shared" si="136"/>
        <v>3.94688501784091E-2</v>
      </c>
      <c r="AC398">
        <f t="shared" si="150"/>
        <v>9.6468921693606768E-2</v>
      </c>
      <c r="AD398" t="str">
        <f t="shared" si="151"/>
        <v>No Impact</v>
      </c>
      <c r="AE398">
        <f t="shared" si="137"/>
        <v>6.8979600585742226E-3</v>
      </c>
      <c r="AF398">
        <f t="shared" si="152"/>
        <v>4.1648664854130768E-2</v>
      </c>
      <c r="AG398" t="s">
        <v>1170</v>
      </c>
    </row>
    <row r="399" spans="1:33" customFormat="1" x14ac:dyDescent="0.3">
      <c r="A399">
        <v>506428</v>
      </c>
      <c r="B399" t="s">
        <v>142</v>
      </c>
      <c r="C399" t="s">
        <v>947</v>
      </c>
      <c r="D399" t="s">
        <v>949</v>
      </c>
      <c r="E399" s="21">
        <v>6.3</v>
      </c>
      <c r="F399" s="2">
        <f t="shared" si="138"/>
        <v>0.68888888888888877</v>
      </c>
      <c r="G399" s="26">
        <v>35.788679999999999</v>
      </c>
      <c r="H399">
        <f t="shared" si="139"/>
        <v>0.36689043810732908</v>
      </c>
      <c r="I399" s="12">
        <v>0.1</v>
      </c>
      <c r="J399" s="2">
        <f t="shared" si="140"/>
        <v>4.2052144659377626E-4</v>
      </c>
      <c r="K399" s="10">
        <v>0</v>
      </c>
      <c r="L399" s="2">
        <f t="shared" si="141"/>
        <v>0</v>
      </c>
      <c r="M399">
        <v>18479</v>
      </c>
      <c r="N399">
        <f t="shared" si="142"/>
        <v>8.6301117088472837E-2</v>
      </c>
      <c r="O399" s="10">
        <v>0.76893769899999997</v>
      </c>
      <c r="P399">
        <f t="shared" si="143"/>
        <v>0.75135667107036819</v>
      </c>
      <c r="Q399" s="23">
        <v>0.31009999999999999</v>
      </c>
      <c r="R399" s="13">
        <f t="shared" si="144"/>
        <v>0.67150281507145948</v>
      </c>
      <c r="S399">
        <f t="shared" si="145"/>
        <v>6.3006177026021598E-2</v>
      </c>
      <c r="T399" s="14">
        <f t="shared" si="133"/>
        <v>0.11243144928295661</v>
      </c>
      <c r="U399" t="str">
        <f t="shared" si="146"/>
        <v>No Impact</v>
      </c>
      <c r="V399">
        <f t="shared" si="147"/>
        <v>5.9470138340346236E-2</v>
      </c>
      <c r="W399">
        <f t="shared" si="134"/>
        <v>9.6200863347182045E-2</v>
      </c>
      <c r="X399" t="s">
        <v>1170</v>
      </c>
      <c r="Y399">
        <f t="shared" si="135"/>
        <v>6.6542215711696981E-2</v>
      </c>
      <c r="Z399">
        <f t="shared" si="148"/>
        <v>0.12113377743495544</v>
      </c>
      <c r="AA399" t="str">
        <f t="shared" si="149"/>
        <v>No Impact</v>
      </c>
      <c r="AB399">
        <f t="shared" si="136"/>
        <v>4.3452285730905385E-2</v>
      </c>
      <c r="AC399">
        <f t="shared" si="150"/>
        <v>0.10620514990011042</v>
      </c>
      <c r="AD399" t="str">
        <f t="shared" si="151"/>
        <v>No Impact</v>
      </c>
      <c r="AE399">
        <f t="shared" si="137"/>
        <v>7.6430645665003334E-3</v>
      </c>
      <c r="AF399">
        <f t="shared" si="152"/>
        <v>4.6147474309158387E-2</v>
      </c>
      <c r="AG399" t="s">
        <v>1170</v>
      </c>
    </row>
    <row r="400" spans="1:33" customFormat="1" x14ac:dyDescent="0.3">
      <c r="A400">
        <v>506447</v>
      </c>
      <c r="B400" t="s">
        <v>320</v>
      </c>
      <c r="C400" t="s">
        <v>947</v>
      </c>
      <c r="D400" t="s">
        <v>950</v>
      </c>
      <c r="E400" s="21">
        <v>6.3</v>
      </c>
      <c r="F400" s="2">
        <f t="shared" si="138"/>
        <v>0.68888888888888877</v>
      </c>
      <c r="G400" s="26">
        <v>36.46152</v>
      </c>
      <c r="H400">
        <f t="shared" si="139"/>
        <v>0.37378810972796822</v>
      </c>
      <c r="I400" s="12">
        <v>0.1</v>
      </c>
      <c r="J400" s="2">
        <f t="shared" si="140"/>
        <v>4.2052144659377626E-4</v>
      </c>
      <c r="K400" s="10">
        <v>0</v>
      </c>
      <c r="L400" s="2">
        <f t="shared" si="141"/>
        <v>0</v>
      </c>
      <c r="M400">
        <v>23845</v>
      </c>
      <c r="N400">
        <f t="shared" si="142"/>
        <v>0.1116899216003558</v>
      </c>
      <c r="O400" s="10">
        <v>0.73650907399999999</v>
      </c>
      <c r="P400">
        <f t="shared" si="143"/>
        <v>0.71564338941681804</v>
      </c>
      <c r="Q400" s="23">
        <v>0.2601</v>
      </c>
      <c r="R400" s="13">
        <f t="shared" si="144"/>
        <v>0.56323083585967948</v>
      </c>
      <c r="S400">
        <f t="shared" si="145"/>
        <v>5.7693762668264877E-2</v>
      </c>
      <c r="T400" s="14">
        <f t="shared" si="133"/>
        <v>0.10295170501617627</v>
      </c>
      <c r="U400" t="str">
        <f t="shared" si="146"/>
        <v>No Impact</v>
      </c>
      <c r="V400">
        <f t="shared" si="147"/>
        <v>5.0817985896167824E-2</v>
      </c>
      <c r="W400">
        <f t="shared" si="134"/>
        <v>8.2204855297261153E-2</v>
      </c>
      <c r="X400" t="s">
        <v>1170</v>
      </c>
      <c r="Y400">
        <f t="shared" si="135"/>
        <v>6.4569539440361937E-2</v>
      </c>
      <c r="Z400">
        <f t="shared" si="148"/>
        <v>0.11754270782828</v>
      </c>
      <c r="AA400" t="str">
        <f t="shared" si="149"/>
        <v>No Impact</v>
      </c>
      <c r="AB400">
        <f t="shared" si="136"/>
        <v>4.0684218581210546E-2</v>
      </c>
      <c r="AC400">
        <f t="shared" si="150"/>
        <v>9.9439499218636221E-2</v>
      </c>
      <c r="AD400" t="str">
        <f t="shared" si="151"/>
        <v>No Impact</v>
      </c>
      <c r="AE400">
        <f t="shared" si="137"/>
        <v>1.0077319101266368E-2</v>
      </c>
      <c r="AF400">
        <f t="shared" si="152"/>
        <v>6.0845073371376512E-2</v>
      </c>
      <c r="AG400" t="s">
        <v>1170</v>
      </c>
    </row>
    <row r="401" spans="1:33" customFormat="1" x14ac:dyDescent="0.3">
      <c r="A401">
        <v>506450</v>
      </c>
      <c r="B401" t="s">
        <v>316</v>
      </c>
      <c r="C401" t="s">
        <v>947</v>
      </c>
      <c r="D401" t="s">
        <v>951</v>
      </c>
      <c r="E401" s="21">
        <v>6.3</v>
      </c>
      <c r="F401" s="2">
        <f t="shared" si="138"/>
        <v>0.68888888888888877</v>
      </c>
      <c r="G401" s="26">
        <v>36.172800000000002</v>
      </c>
      <c r="H401">
        <f t="shared" si="139"/>
        <v>0.37082827417967901</v>
      </c>
      <c r="I401" s="12">
        <v>0.2</v>
      </c>
      <c r="J401" s="2">
        <f t="shared" si="140"/>
        <v>8.4104289318755253E-4</v>
      </c>
      <c r="K401" s="10">
        <v>0</v>
      </c>
      <c r="L401" s="2">
        <f t="shared" si="141"/>
        <v>0</v>
      </c>
      <c r="M401">
        <v>24941</v>
      </c>
      <c r="N401">
        <f t="shared" si="142"/>
        <v>0.11687555889909299</v>
      </c>
      <c r="O401" s="10">
        <v>0.80648027099999997</v>
      </c>
      <c r="P401">
        <f t="shared" si="143"/>
        <v>0.79270188530114982</v>
      </c>
      <c r="Q401" s="23">
        <v>0.31919999999999998</v>
      </c>
      <c r="R401" s="13">
        <f t="shared" si="144"/>
        <v>0.69120831528800342</v>
      </c>
      <c r="S401">
        <f t="shared" si="145"/>
        <v>6.6489269063635267E-2</v>
      </c>
      <c r="T401" s="14">
        <f t="shared" si="133"/>
        <v>0.11864685710897177</v>
      </c>
      <c r="U401" t="str">
        <f t="shared" si="146"/>
        <v>No Impact</v>
      </c>
      <c r="V401">
        <f t="shared" si="147"/>
        <v>6.1941666869005332E-2</v>
      </c>
      <c r="W401">
        <f t="shared" si="134"/>
        <v>0.10019888966559216</v>
      </c>
      <c r="X401" t="s">
        <v>1170</v>
      </c>
      <c r="Y401">
        <f t="shared" si="135"/>
        <v>7.103687125826523E-2</v>
      </c>
      <c r="Z401">
        <f t="shared" si="148"/>
        <v>0.12931587054384303</v>
      </c>
      <c r="AA401" t="str">
        <f t="shared" si="149"/>
        <v>No Impact</v>
      </c>
      <c r="AB401">
        <f t="shared" si="136"/>
        <v>4.665641871839895E-2</v>
      </c>
      <c r="AC401">
        <f t="shared" si="150"/>
        <v>0.11403662340058517</v>
      </c>
      <c r="AD401" t="str">
        <f t="shared" si="151"/>
        <v>No Impact</v>
      </c>
      <c r="AE401">
        <f t="shared" si="137"/>
        <v>1.0473639819335776E-2</v>
      </c>
      <c r="AF401">
        <f t="shared" si="152"/>
        <v>6.3237987888343575E-2</v>
      </c>
      <c r="AG401" t="s">
        <v>1170</v>
      </c>
    </row>
    <row r="402" spans="1:33" customFormat="1" x14ac:dyDescent="0.3">
      <c r="A402">
        <v>506460</v>
      </c>
      <c r="B402" t="s">
        <v>373</v>
      </c>
      <c r="C402" t="s">
        <v>947</v>
      </c>
      <c r="D402" t="s">
        <v>952</v>
      </c>
      <c r="E402" s="21">
        <v>6.3</v>
      </c>
      <c r="F402" s="2">
        <f t="shared" si="138"/>
        <v>0.68888888888888877</v>
      </c>
      <c r="G402" s="26">
        <v>37.119599999999998</v>
      </c>
      <c r="H402">
        <f t="shared" si="139"/>
        <v>0.38053446805997904</v>
      </c>
      <c r="I402" s="12">
        <v>0.2</v>
      </c>
      <c r="J402" s="2">
        <f t="shared" si="140"/>
        <v>8.4104289318755253E-4</v>
      </c>
      <c r="K402" s="10">
        <v>0</v>
      </c>
      <c r="L402" s="2">
        <f t="shared" si="141"/>
        <v>0</v>
      </c>
      <c r="M402">
        <v>27111</v>
      </c>
      <c r="N402">
        <f t="shared" si="142"/>
        <v>0.12714274223692118</v>
      </c>
      <c r="O402" s="10">
        <v>0.78896880000000003</v>
      </c>
      <c r="P402">
        <f t="shared" si="143"/>
        <v>0.77341669834083393</v>
      </c>
      <c r="Q402" s="23">
        <v>0.27110000000000001</v>
      </c>
      <c r="R402" s="13">
        <f t="shared" si="144"/>
        <v>0.5870506712862712</v>
      </c>
      <c r="S402">
        <f t="shared" si="145"/>
        <v>6.2550121997323641E-2</v>
      </c>
      <c r="T402" s="14">
        <f t="shared" si="133"/>
        <v>0.11161764133190262</v>
      </c>
      <c r="U402" t="str">
        <f t="shared" si="146"/>
        <v>No Impact</v>
      </c>
      <c r="V402">
        <f t="shared" si="147"/>
        <v>5.3981582987369596E-2</v>
      </c>
      <c r="W402">
        <f t="shared" si="134"/>
        <v>8.7322394619509053E-2</v>
      </c>
      <c r="X402" t="s">
        <v>1170</v>
      </c>
      <c r="Y402">
        <f t="shared" si="135"/>
        <v>7.1118661007277678E-2</v>
      </c>
      <c r="Z402">
        <f t="shared" si="148"/>
        <v>0.12946476100604615</v>
      </c>
      <c r="AA402" t="str">
        <f t="shared" si="149"/>
        <v>No Impact</v>
      </c>
      <c r="AB402">
        <f t="shared" si="136"/>
        <v>4.4321096006890229E-2</v>
      </c>
      <c r="AC402">
        <f t="shared" si="150"/>
        <v>0.10832867744402735</v>
      </c>
      <c r="AD402" t="str">
        <f t="shared" si="151"/>
        <v>No Impact</v>
      </c>
      <c r="AE402">
        <f t="shared" si="137"/>
        <v>1.1691267597507316E-2</v>
      </c>
      <c r="AF402">
        <f t="shared" si="152"/>
        <v>7.0589809415218058E-2</v>
      </c>
      <c r="AG402" t="s">
        <v>1170</v>
      </c>
    </row>
    <row r="403" spans="1:33" customFormat="1" x14ac:dyDescent="0.3">
      <c r="A403">
        <v>506469</v>
      </c>
      <c r="B403" t="s">
        <v>387</v>
      </c>
      <c r="C403" t="s">
        <v>947</v>
      </c>
      <c r="D403" t="s">
        <v>953</v>
      </c>
      <c r="E403" s="21">
        <v>6.3</v>
      </c>
      <c r="F403" s="2">
        <f t="shared" si="138"/>
        <v>0.68888888888888877</v>
      </c>
      <c r="G403" s="26">
        <v>34.178400000000003</v>
      </c>
      <c r="H403">
        <f t="shared" si="139"/>
        <v>0.35038252737478826</v>
      </c>
      <c r="I403" s="12">
        <v>0.1</v>
      </c>
      <c r="J403" s="2">
        <f t="shared" si="140"/>
        <v>4.2052144659377626E-4</v>
      </c>
      <c r="K403" s="10">
        <v>0</v>
      </c>
      <c r="L403" s="2">
        <f t="shared" si="141"/>
        <v>0</v>
      </c>
      <c r="M403">
        <v>14414</v>
      </c>
      <c r="N403">
        <f t="shared" si="142"/>
        <v>6.7067891158393775E-2</v>
      </c>
      <c r="O403" s="10">
        <v>0.8250767</v>
      </c>
      <c r="P403">
        <f t="shared" si="143"/>
        <v>0.8131819243600753</v>
      </c>
      <c r="Q403" s="23">
        <v>0.28239999999999998</v>
      </c>
      <c r="R403" s="13">
        <f t="shared" si="144"/>
        <v>0.61152013858813337</v>
      </c>
      <c r="S403">
        <f t="shared" si="145"/>
        <v>6.025244029651259E-2</v>
      </c>
      <c r="T403" s="14">
        <f t="shared" si="133"/>
        <v>0.10751754042423409</v>
      </c>
      <c r="U403" t="str">
        <f t="shared" si="146"/>
        <v>No Impact</v>
      </c>
      <c r="V403">
        <f t="shared" si="147"/>
        <v>5.1723910000032104E-2</v>
      </c>
      <c r="W403">
        <f t="shared" si="134"/>
        <v>8.3670308100145266E-2</v>
      </c>
      <c r="X403" t="s">
        <v>1170</v>
      </c>
      <c r="Y403">
        <f t="shared" si="135"/>
        <v>6.8780970592993082E-2</v>
      </c>
      <c r="Z403">
        <f t="shared" si="148"/>
        <v>0.12520921785457273</v>
      </c>
      <c r="AA403" t="str">
        <f t="shared" si="149"/>
        <v>No Impact</v>
      </c>
      <c r="AB403">
        <f t="shared" si="136"/>
        <v>4.0723129446676332E-2</v>
      </c>
      <c r="AC403">
        <f t="shared" si="150"/>
        <v>9.953460432599763E-2</v>
      </c>
      <c r="AD403" t="str">
        <f t="shared" si="151"/>
        <v>No Impact</v>
      </c>
      <c r="AE403">
        <f t="shared" si="137"/>
        <v>5.6727707679061958E-3</v>
      </c>
      <c r="AF403">
        <f t="shared" si="152"/>
        <v>3.4251188249946135E-2</v>
      </c>
      <c r="AG403" t="s">
        <v>1170</v>
      </c>
    </row>
    <row r="404" spans="1:33" customFormat="1" x14ac:dyDescent="0.3">
      <c r="A404">
        <v>506475</v>
      </c>
      <c r="B404" t="s">
        <v>411</v>
      </c>
      <c r="C404" t="s">
        <v>947</v>
      </c>
      <c r="D404" t="s">
        <v>954</v>
      </c>
      <c r="E404" s="21">
        <v>6.3</v>
      </c>
      <c r="F404" s="2">
        <f t="shared" si="138"/>
        <v>0.68888888888888877</v>
      </c>
      <c r="G404" s="26">
        <v>35.788679999999999</v>
      </c>
      <c r="H404">
        <f t="shared" si="139"/>
        <v>0.36689043810732908</v>
      </c>
      <c r="I404" s="12">
        <v>0.2</v>
      </c>
      <c r="J404" s="2">
        <f t="shared" si="140"/>
        <v>8.4104289318755253E-4</v>
      </c>
      <c r="K404" s="10">
        <v>0</v>
      </c>
      <c r="L404" s="2">
        <f t="shared" si="141"/>
        <v>0</v>
      </c>
      <c r="M404">
        <v>24149</v>
      </c>
      <c r="N404">
        <f t="shared" si="142"/>
        <v>0.11312827355183035</v>
      </c>
      <c r="O404" s="10">
        <v>0.644087254</v>
      </c>
      <c r="P404">
        <f t="shared" si="143"/>
        <v>0.61386027377149832</v>
      </c>
      <c r="Q404" s="23">
        <v>0.31480000000000002</v>
      </c>
      <c r="R404" s="13">
        <f t="shared" si="144"/>
        <v>0.68168038111736684</v>
      </c>
      <c r="S404">
        <f t="shared" si="145"/>
        <v>5.7434002870527523E-2</v>
      </c>
      <c r="T404" s="14">
        <f t="shared" si="133"/>
        <v>0.10248817632893348</v>
      </c>
      <c r="U404" t="str">
        <f t="shared" si="146"/>
        <v>No Impact</v>
      </c>
      <c r="V404">
        <f t="shared" si="147"/>
        <v>6.0440608819390028E-2</v>
      </c>
      <c r="W404">
        <f t="shared" si="134"/>
        <v>9.7770728502071511E-2</v>
      </c>
      <c r="X404" t="s">
        <v>1170</v>
      </c>
      <c r="Y404">
        <f t="shared" si="135"/>
        <v>5.4427396921665004E-2</v>
      </c>
      <c r="Z404">
        <f t="shared" si="148"/>
        <v>9.9079901601683701E-2</v>
      </c>
      <c r="AA404" t="str">
        <f t="shared" si="149"/>
        <v>No Impact</v>
      </c>
      <c r="AB404">
        <f t="shared" si="136"/>
        <v>4.0993079779303672E-2</v>
      </c>
      <c r="AC404">
        <f t="shared" si="150"/>
        <v>0.1001944111706783</v>
      </c>
      <c r="AD404" t="str">
        <f t="shared" si="151"/>
        <v>No Impact</v>
      </c>
      <c r="AE404">
        <f t="shared" si="137"/>
        <v>1.0030421760050458E-2</v>
      </c>
      <c r="AF404">
        <f t="shared" si="152"/>
        <v>6.0561915505824161E-2</v>
      </c>
      <c r="AG404" t="s">
        <v>1170</v>
      </c>
    </row>
    <row r="405" spans="1:33" customFormat="1" x14ac:dyDescent="0.3">
      <c r="A405">
        <v>506479</v>
      </c>
      <c r="B405" t="s">
        <v>421</v>
      </c>
      <c r="C405" t="s">
        <v>947</v>
      </c>
      <c r="D405" t="s">
        <v>955</v>
      </c>
      <c r="E405" s="21">
        <v>6.3</v>
      </c>
      <c r="F405" s="2">
        <f t="shared" si="138"/>
        <v>0.68888888888888877</v>
      </c>
      <c r="G405" s="26">
        <v>33.608880000000006</v>
      </c>
      <c r="H405">
        <f t="shared" si="139"/>
        <v>0.34454404877454692</v>
      </c>
      <c r="I405" s="12">
        <v>0.1</v>
      </c>
      <c r="J405" s="2">
        <f t="shared" si="140"/>
        <v>4.2052144659377626E-4</v>
      </c>
      <c r="K405" s="10">
        <v>0</v>
      </c>
      <c r="L405" s="2">
        <f t="shared" si="141"/>
        <v>0</v>
      </c>
      <c r="M405">
        <v>11888</v>
      </c>
      <c r="N405">
        <f t="shared" si="142"/>
        <v>5.5116321982654613E-2</v>
      </c>
      <c r="O405" s="10">
        <v>0.53616498000000001</v>
      </c>
      <c r="P405">
        <f t="shared" si="143"/>
        <v>0.49500668167335654</v>
      </c>
      <c r="Q405" s="23">
        <v>0.27210000000000001</v>
      </c>
      <c r="R405" s="13">
        <f t="shared" si="144"/>
        <v>0.58921611087050674</v>
      </c>
      <c r="S405">
        <f t="shared" si="145"/>
        <v>4.5090001986048518E-2</v>
      </c>
      <c r="T405" s="14">
        <f t="shared" si="133"/>
        <v>8.0460908925947136E-2</v>
      </c>
      <c r="U405" t="str">
        <f t="shared" si="146"/>
        <v>No Impact</v>
      </c>
      <c r="V405">
        <f t="shared" si="147"/>
        <v>4.9007926769420153E-2</v>
      </c>
      <c r="W405">
        <f t="shared" si="134"/>
        <v>7.9276843768079322E-2</v>
      </c>
      <c r="X405" t="s">
        <v>1170</v>
      </c>
      <c r="Y405">
        <f t="shared" si="135"/>
        <v>4.1172077202676897E-2</v>
      </c>
      <c r="Z405">
        <f t="shared" si="148"/>
        <v>7.4949852256380151E-2</v>
      </c>
      <c r="AA405" t="str">
        <f t="shared" si="149"/>
        <v>No Impact</v>
      </c>
      <c r="AB405">
        <f t="shared" si="136"/>
        <v>3.1108898523186122E-2</v>
      </c>
      <c r="AC405">
        <f t="shared" si="150"/>
        <v>7.6035706184551605E-2</v>
      </c>
      <c r="AD405" t="str">
        <f t="shared" si="151"/>
        <v>No Impact</v>
      </c>
      <c r="AE405">
        <f t="shared" si="137"/>
        <v>4.5842885516743006E-3</v>
      </c>
      <c r="AF405">
        <f t="shared" si="152"/>
        <v>2.7679124822705299E-2</v>
      </c>
      <c r="AG405" t="s">
        <v>1170</v>
      </c>
    </row>
    <row r="406" spans="1:33" customFormat="1" x14ac:dyDescent="0.3">
      <c r="A406">
        <v>506485</v>
      </c>
      <c r="B406" t="s">
        <v>441</v>
      </c>
      <c r="C406" t="s">
        <v>947</v>
      </c>
      <c r="D406" t="s">
        <v>956</v>
      </c>
      <c r="E406" s="21">
        <v>6.3</v>
      </c>
      <c r="F406" s="2">
        <f t="shared" si="138"/>
        <v>0.68888888888888877</v>
      </c>
      <c r="G406" s="26">
        <v>37.379160000000006</v>
      </c>
      <c r="H406">
        <f t="shared" si="139"/>
        <v>0.38319536759902717</v>
      </c>
      <c r="I406" s="12">
        <v>0.1</v>
      </c>
      <c r="J406" s="2">
        <f t="shared" si="140"/>
        <v>4.2052144659377626E-4</v>
      </c>
      <c r="K406" s="10">
        <v>0</v>
      </c>
      <c r="L406" s="2">
        <f t="shared" si="141"/>
        <v>0</v>
      </c>
      <c r="M406">
        <v>16424</v>
      </c>
      <c r="N406">
        <f t="shared" si="142"/>
        <v>7.6578047153340614E-2</v>
      </c>
      <c r="O406" s="10">
        <v>0.88882503499999999</v>
      </c>
      <c r="P406">
        <f t="shared" si="143"/>
        <v>0.88338725199267965</v>
      </c>
      <c r="Q406" s="23">
        <v>0.30509999999999998</v>
      </c>
      <c r="R406" s="13">
        <f t="shared" si="144"/>
        <v>0.66067561715028145</v>
      </c>
      <c r="S406">
        <f t="shared" si="145"/>
        <v>7.1408316618126758E-2</v>
      </c>
      <c r="T406" s="14">
        <f t="shared" si="133"/>
        <v>0.12742465750487342</v>
      </c>
      <c r="U406" t="str">
        <f t="shared" si="146"/>
        <v>No Impact</v>
      </c>
      <c r="V406">
        <f t="shared" si="147"/>
        <v>6.1108565712132974E-2</v>
      </c>
      <c r="W406">
        <f t="shared" si="134"/>
        <v>9.8851237671107331E-2</v>
      </c>
      <c r="X406" t="s">
        <v>1170</v>
      </c>
      <c r="Y406">
        <f t="shared" si="135"/>
        <v>8.1708067524120576E-2</v>
      </c>
      <c r="Z406">
        <f t="shared" si="148"/>
        <v>0.14874176881920845</v>
      </c>
      <c r="AA406" t="str">
        <f t="shared" si="149"/>
        <v>No Impact</v>
      </c>
      <c r="AB406">
        <f t="shared" si="136"/>
        <v>4.8379473146333903E-2</v>
      </c>
      <c r="AC406">
        <f t="shared" si="150"/>
        <v>0.11824807627876424</v>
      </c>
      <c r="AD406" t="str">
        <f t="shared" si="151"/>
        <v>No Impact</v>
      </c>
      <c r="AE406">
        <f t="shared" si="137"/>
        <v>7.0830139710033931E-3</v>
      </c>
      <c r="AF406">
        <f t="shared" si="152"/>
        <v>4.2765987702228156E-2</v>
      </c>
      <c r="AG406" t="s">
        <v>1170</v>
      </c>
    </row>
    <row r="407" spans="1:33" customFormat="1" x14ac:dyDescent="0.3">
      <c r="A407">
        <v>506486</v>
      </c>
      <c r="B407" t="s">
        <v>461</v>
      </c>
      <c r="C407" t="s">
        <v>947</v>
      </c>
      <c r="D407" t="s">
        <v>957</v>
      </c>
      <c r="E407" s="21">
        <v>6.2</v>
      </c>
      <c r="F407" s="2">
        <f t="shared" si="138"/>
        <v>0.66666666666666663</v>
      </c>
      <c r="G407" s="26">
        <v>31.747679999999999</v>
      </c>
      <c r="H407">
        <f t="shared" si="139"/>
        <v>0.32546381213532571</v>
      </c>
      <c r="I407" s="12">
        <v>0</v>
      </c>
      <c r="J407" s="2">
        <f t="shared" si="140"/>
        <v>0</v>
      </c>
      <c r="K407" s="10">
        <v>0</v>
      </c>
      <c r="L407" s="2">
        <f t="shared" si="141"/>
        <v>0</v>
      </c>
      <c r="M407">
        <v>21186</v>
      </c>
      <c r="N407">
        <f t="shared" si="142"/>
        <v>9.9109073445846518E-2</v>
      </c>
      <c r="O407" s="10">
        <v>0.44236177799999998</v>
      </c>
      <c r="P407">
        <f t="shared" si="143"/>
        <v>0.3917022654968812</v>
      </c>
      <c r="Q407" s="23">
        <v>0.30070000000000002</v>
      </c>
      <c r="R407" s="13">
        <f t="shared" si="144"/>
        <v>0.65114768297964498</v>
      </c>
      <c r="S407">
        <f t="shared" si="145"/>
        <v>3.9597823966901452E-2</v>
      </c>
      <c r="T407" s="14">
        <f t="shared" si="133"/>
        <v>7.0660385174796878E-2</v>
      </c>
      <c r="U407" t="str">
        <f t="shared" si="146"/>
        <v>No Impact</v>
      </c>
      <c r="V407">
        <f t="shared" si="147"/>
        <v>4.9449168338649284E-2</v>
      </c>
      <c r="W407">
        <f t="shared" si="134"/>
        <v>7.9990610728929157E-2</v>
      </c>
      <c r="X407" t="s">
        <v>1170</v>
      </c>
      <c r="Y407">
        <f t="shared" si="135"/>
        <v>2.9746479595153627E-2</v>
      </c>
      <c r="Z407">
        <f t="shared" si="148"/>
        <v>5.4150638060574595E-2</v>
      </c>
      <c r="AA407" t="str">
        <f t="shared" si="149"/>
        <v>No Impact</v>
      </c>
      <c r="AB407">
        <f t="shared" si="136"/>
        <v>2.8865426840712288E-2</v>
      </c>
      <c r="AC407">
        <f t="shared" si="150"/>
        <v>7.0552260553880933E-2</v>
      </c>
      <c r="AD407" t="str">
        <f t="shared" si="151"/>
        <v>No Impact</v>
      </c>
      <c r="AE407">
        <f t="shared" si="137"/>
        <v>7.5264972675398766E-3</v>
      </c>
      <c r="AF407">
        <f t="shared" si="152"/>
        <v>4.5443661540436907E-2</v>
      </c>
      <c r="AG407" t="s">
        <v>1170</v>
      </c>
    </row>
    <row r="408" spans="1:33" customFormat="1" x14ac:dyDescent="0.3">
      <c r="A408">
        <v>506909</v>
      </c>
      <c r="B408" t="s">
        <v>24</v>
      </c>
      <c r="C408" t="s">
        <v>959</v>
      </c>
      <c r="D408" t="s">
        <v>958</v>
      </c>
      <c r="E408" s="21">
        <v>5.8</v>
      </c>
      <c r="F408" s="2">
        <f t="shared" si="138"/>
        <v>0.57777777777777772</v>
      </c>
      <c r="G408" s="26">
        <v>40.195439999999998</v>
      </c>
      <c r="H408">
        <f t="shared" si="139"/>
        <v>0.4120666811829008</v>
      </c>
      <c r="I408" s="12">
        <v>0.2</v>
      </c>
      <c r="J408" s="2">
        <f t="shared" si="140"/>
        <v>8.4104289318755253E-4</v>
      </c>
      <c r="K408" s="10">
        <v>0</v>
      </c>
      <c r="L408" s="2">
        <f t="shared" si="141"/>
        <v>0</v>
      </c>
      <c r="M408">
        <v>16182</v>
      </c>
      <c r="N408">
        <f t="shared" si="142"/>
        <v>7.5433043297232591E-2</v>
      </c>
      <c r="O408" s="10">
        <v>0.20812118499999999</v>
      </c>
      <c r="P408">
        <f t="shared" si="143"/>
        <v>0.13373572289744662</v>
      </c>
      <c r="Q408" s="23">
        <v>0.313</v>
      </c>
      <c r="R408" s="13">
        <f t="shared" si="144"/>
        <v>0.6777825898657428</v>
      </c>
      <c r="S408">
        <f t="shared" si="145"/>
        <v>3.388053148976615E-2</v>
      </c>
      <c r="T408" s="14">
        <f t="shared" si="133"/>
        <v>6.0458155655088219E-2</v>
      </c>
      <c r="U408" t="str">
        <f t="shared" si="146"/>
        <v>No Impact</v>
      </c>
      <c r="V408">
        <f t="shared" si="147"/>
        <v>5.6594248134638495E-2</v>
      </c>
      <c r="W408">
        <f t="shared" si="134"/>
        <v>9.1548728201683416E-2</v>
      </c>
      <c r="X408" t="s">
        <v>1170</v>
      </c>
      <c r="Y408">
        <f t="shared" si="135"/>
        <v>1.1166814844893808E-2</v>
      </c>
      <c r="Z408">
        <f t="shared" si="148"/>
        <v>2.0328124779303756E-2</v>
      </c>
      <c r="AA408" t="str">
        <f t="shared" si="149"/>
        <v>No Impact</v>
      </c>
      <c r="AB408">
        <f t="shared" si="136"/>
        <v>2.5362538692506254E-2</v>
      </c>
      <c r="AC408">
        <f t="shared" si="150"/>
        <v>6.1990576062357396E-2</v>
      </c>
      <c r="AD408" t="str">
        <f t="shared" si="151"/>
        <v>No Impact</v>
      </c>
      <c r="AE408">
        <f t="shared" si="137"/>
        <v>6.2985925483275409E-3</v>
      </c>
      <c r="AF408">
        <f t="shared" si="152"/>
        <v>3.8029789658167605E-2</v>
      </c>
      <c r="AG408" t="s">
        <v>1170</v>
      </c>
    </row>
    <row r="409" spans="1:33" customFormat="1" x14ac:dyDescent="0.3">
      <c r="A409">
        <v>506915</v>
      </c>
      <c r="B409" t="s">
        <v>46</v>
      </c>
      <c r="C409" t="s">
        <v>959</v>
      </c>
      <c r="D409" t="s">
        <v>960</v>
      </c>
      <c r="E409" s="21">
        <v>6.5</v>
      </c>
      <c r="F409" s="2">
        <f t="shared" si="138"/>
        <v>0.73333333333333328</v>
      </c>
      <c r="G409" s="26">
        <v>40.195439999999998</v>
      </c>
      <c r="H409">
        <f t="shared" si="139"/>
        <v>0.4120666811829008</v>
      </c>
      <c r="I409" s="12">
        <v>0.1</v>
      </c>
      <c r="J409" s="2">
        <f t="shared" si="140"/>
        <v>4.2052144659377626E-4</v>
      </c>
      <c r="K409" s="10">
        <v>0</v>
      </c>
      <c r="L409" s="2">
        <f t="shared" si="141"/>
        <v>0</v>
      </c>
      <c r="M409">
        <v>28067</v>
      </c>
      <c r="N409">
        <f t="shared" si="142"/>
        <v>0.13166598061063717</v>
      </c>
      <c r="O409" s="10">
        <v>0.28780975199999997</v>
      </c>
      <c r="P409">
        <f t="shared" si="143"/>
        <v>0.22149584957068036</v>
      </c>
      <c r="Q409" s="23">
        <v>0.30259999999999998</v>
      </c>
      <c r="R409" s="13">
        <f t="shared" si="144"/>
        <v>0.65526201818969243</v>
      </c>
      <c r="S409">
        <f t="shared" si="145"/>
        <v>4.6411929699504147E-2</v>
      </c>
      <c r="T409" s="14">
        <f t="shared" si="133"/>
        <v>8.2819824443226317E-2</v>
      </c>
      <c r="U409" t="str">
        <f t="shared" si="146"/>
        <v>No Impact</v>
      </c>
      <c r="V409">
        <f t="shared" si="147"/>
        <v>6.9373713863921951E-2</v>
      </c>
      <c r="W409">
        <f t="shared" si="134"/>
        <v>0.11222121477363305</v>
      </c>
      <c r="X409" t="s">
        <v>1170</v>
      </c>
      <c r="Y409">
        <f t="shared" si="135"/>
        <v>2.3450145535086342E-2</v>
      </c>
      <c r="Z409">
        <f t="shared" si="148"/>
        <v>4.2688760506138866E-2</v>
      </c>
      <c r="AA409" t="str">
        <f t="shared" si="149"/>
        <v>No Impact</v>
      </c>
      <c r="AB409">
        <f t="shared" si="136"/>
        <v>3.6194739639680916E-2</v>
      </c>
      <c r="AC409">
        <f t="shared" si="150"/>
        <v>8.8466410555099795E-2</v>
      </c>
      <c r="AD409" t="str">
        <f t="shared" si="151"/>
        <v>No Impact</v>
      </c>
      <c r="AE409">
        <f t="shared" si="137"/>
        <v>1.3939703219378086E-2</v>
      </c>
      <c r="AF409">
        <f t="shared" si="152"/>
        <v>8.4165466691601395E-2</v>
      </c>
      <c r="AG409" t="s">
        <v>1170</v>
      </c>
    </row>
    <row r="410" spans="1:33" customFormat="1" x14ac:dyDescent="0.3">
      <c r="A410">
        <v>506941</v>
      </c>
      <c r="B410" t="s">
        <v>196</v>
      </c>
      <c r="C410" t="s">
        <v>959</v>
      </c>
      <c r="D410" t="s">
        <v>961</v>
      </c>
      <c r="E410" s="21">
        <v>6.5</v>
      </c>
      <c r="F410" s="2">
        <f t="shared" si="138"/>
        <v>0.73333333333333328</v>
      </c>
      <c r="G410" s="26">
        <v>40.195439999999998</v>
      </c>
      <c r="H410">
        <f t="shared" si="139"/>
        <v>0.4120666811829008</v>
      </c>
      <c r="I410" s="12">
        <v>0.1</v>
      </c>
      <c r="J410" s="2">
        <f t="shared" si="140"/>
        <v>4.2052144659377626E-4</v>
      </c>
      <c r="K410" s="10">
        <v>0</v>
      </c>
      <c r="L410" s="2">
        <f t="shared" si="141"/>
        <v>0</v>
      </c>
      <c r="M410">
        <v>24217</v>
      </c>
      <c r="N410">
        <f t="shared" si="142"/>
        <v>0.11345001017255492</v>
      </c>
      <c r="O410" s="10">
        <v>0.44554897799999998</v>
      </c>
      <c r="P410">
        <f t="shared" si="143"/>
        <v>0.39521229317416307</v>
      </c>
      <c r="Q410" s="23">
        <v>0.27</v>
      </c>
      <c r="R410" s="13">
        <f t="shared" si="144"/>
        <v>0.58466868774361203</v>
      </c>
      <c r="S410">
        <f t="shared" si="145"/>
        <v>5.1870840140172667E-2</v>
      </c>
      <c r="T410" s="14">
        <f t="shared" si="133"/>
        <v>9.2560983823468418E-2</v>
      </c>
      <c r="U410" t="str">
        <f t="shared" si="146"/>
        <v>No Impact</v>
      </c>
      <c r="V410">
        <f t="shared" si="147"/>
        <v>6.1899876877921124E-2</v>
      </c>
      <c r="W410">
        <f t="shared" si="134"/>
        <v>0.10013128879339368</v>
      </c>
      <c r="X410" t="s">
        <v>1170</v>
      </c>
      <c r="Y410">
        <f t="shared" si="135"/>
        <v>4.1841803402424209E-2</v>
      </c>
      <c r="Z410">
        <f t="shared" si="148"/>
        <v>7.6169025131146456E-2</v>
      </c>
      <c r="AA410" t="str">
        <f t="shared" si="149"/>
        <v>No Impact</v>
      </c>
      <c r="AB410">
        <f t="shared" si="136"/>
        <v>3.8421399441870098E-2</v>
      </c>
      <c r="AC410">
        <f t="shared" si="150"/>
        <v>9.3908764946593962E-2</v>
      </c>
      <c r="AD410" t="str">
        <f t="shared" si="151"/>
        <v>No Impact</v>
      </c>
      <c r="AE410">
        <f t="shared" si="137"/>
        <v>1.2011147182486984E-2</v>
      </c>
      <c r="AF410">
        <f t="shared" si="152"/>
        <v>7.2521185867874746E-2</v>
      </c>
      <c r="AG410" t="s">
        <v>1170</v>
      </c>
    </row>
    <row r="411" spans="1:33" customFormat="1" x14ac:dyDescent="0.3">
      <c r="A411">
        <v>506944</v>
      </c>
      <c r="B411" t="s">
        <v>303</v>
      </c>
      <c r="C411" t="s">
        <v>959</v>
      </c>
      <c r="D411" t="s">
        <v>962</v>
      </c>
      <c r="E411" s="21">
        <v>6.5</v>
      </c>
      <c r="F411" s="2">
        <f t="shared" si="138"/>
        <v>0.73333333333333328</v>
      </c>
      <c r="G411" s="26">
        <v>43.507800000000003</v>
      </c>
      <c r="H411">
        <f t="shared" si="139"/>
        <v>0.44602359749188997</v>
      </c>
      <c r="I411" s="12">
        <v>0.2</v>
      </c>
      <c r="J411" s="2">
        <f t="shared" si="140"/>
        <v>8.4104289318755253E-4</v>
      </c>
      <c r="K411" s="10">
        <v>0</v>
      </c>
      <c r="L411" s="2">
        <f t="shared" si="141"/>
        <v>0</v>
      </c>
      <c r="M411">
        <v>32668</v>
      </c>
      <c r="N411">
        <f t="shared" si="142"/>
        <v>0.15343524813936874</v>
      </c>
      <c r="O411" s="10">
        <v>0.16408985400000001</v>
      </c>
      <c r="P411">
        <f t="shared" si="143"/>
        <v>8.5244511025722475E-2</v>
      </c>
      <c r="Q411" s="23">
        <v>0.28670000000000001</v>
      </c>
      <c r="R411" s="13">
        <f t="shared" si="144"/>
        <v>0.62083152880034653</v>
      </c>
      <c r="S411">
        <f t="shared" si="145"/>
        <v>4.0491786671412483E-2</v>
      </c>
      <c r="T411" s="14">
        <f t="shared" si="133"/>
        <v>7.2255618010961115E-2</v>
      </c>
      <c r="U411" t="str">
        <f t="shared" si="146"/>
        <v>No Impact</v>
      </c>
      <c r="V411">
        <f t="shared" si="147"/>
        <v>7.1206432183318416E-2</v>
      </c>
      <c r="W411">
        <f t="shared" si="134"/>
        <v>0.11518588056252231</v>
      </c>
      <c r="X411" t="s">
        <v>1170</v>
      </c>
      <c r="Y411">
        <f t="shared" si="135"/>
        <v>9.7771411595065534E-3</v>
      </c>
      <c r="Z411">
        <f t="shared" si="148"/>
        <v>1.7798355953416532E-2</v>
      </c>
      <c r="AA411" t="str">
        <f t="shared" si="149"/>
        <v>No Impact</v>
      </c>
      <c r="AB411">
        <f t="shared" si="136"/>
        <v>3.4014796975913843E-2</v>
      </c>
      <c r="AC411">
        <f t="shared" si="150"/>
        <v>8.3138241196810805E-2</v>
      </c>
      <c r="AD411" t="str">
        <f t="shared" si="151"/>
        <v>No Impact</v>
      </c>
      <c r="AE411">
        <f t="shared" si="137"/>
        <v>1.7598295325429829E-2</v>
      </c>
      <c r="AF411">
        <f t="shared" si="152"/>
        <v>0.10625539982676264</v>
      </c>
      <c r="AG411" t="s">
        <v>1170</v>
      </c>
    </row>
    <row r="412" spans="1:33" customFormat="1" x14ac:dyDescent="0.3">
      <c r="A412">
        <v>506963</v>
      </c>
      <c r="B412" t="s">
        <v>379</v>
      </c>
      <c r="C412" t="s">
        <v>959</v>
      </c>
      <c r="D412" t="s">
        <v>963</v>
      </c>
      <c r="E412" s="21">
        <v>6.5</v>
      </c>
      <c r="F412" s="2">
        <f t="shared" si="138"/>
        <v>0.73333333333333328</v>
      </c>
      <c r="G412" s="26">
        <v>40.195439999999998</v>
      </c>
      <c r="H412">
        <f t="shared" si="139"/>
        <v>0.4120666811829008</v>
      </c>
      <c r="I412" s="12">
        <v>0.2</v>
      </c>
      <c r="J412" s="2">
        <f t="shared" si="140"/>
        <v>8.4104289318755253E-4</v>
      </c>
      <c r="K412" s="10">
        <v>0</v>
      </c>
      <c r="L412" s="2">
        <f t="shared" si="141"/>
        <v>0</v>
      </c>
      <c r="M412">
        <v>46818</v>
      </c>
      <c r="N412">
        <f t="shared" si="142"/>
        <v>0.22038485377543729</v>
      </c>
      <c r="O412" s="10">
        <v>0.41349488000000001</v>
      </c>
      <c r="P412">
        <f t="shared" si="143"/>
        <v>0.35991147391264655</v>
      </c>
      <c r="Q412" s="23">
        <v>0.25600000000000001</v>
      </c>
      <c r="R412" s="13">
        <f t="shared" si="144"/>
        <v>0.55435253356431358</v>
      </c>
      <c r="S412">
        <f t="shared" si="145"/>
        <v>4.8446689384939408E-2</v>
      </c>
      <c r="T412" s="14">
        <f t="shared" si="133"/>
        <v>8.6450753840538214E-2</v>
      </c>
      <c r="U412" t="str">
        <f t="shared" si="146"/>
        <v>No Impact</v>
      </c>
      <c r="V412">
        <f t="shared" si="147"/>
        <v>5.8750087028929213E-2</v>
      </c>
      <c r="W412">
        <f t="shared" si="134"/>
        <v>9.5036084522956671E-2</v>
      </c>
      <c r="X412" t="s">
        <v>1170</v>
      </c>
      <c r="Y412">
        <f t="shared" si="135"/>
        <v>3.814329174094961E-2</v>
      </c>
      <c r="Z412">
        <f t="shared" si="148"/>
        <v>6.9436236274479368E-2</v>
      </c>
      <c r="AA412" t="str">
        <f t="shared" si="149"/>
        <v>No Impact</v>
      </c>
      <c r="AB412">
        <f t="shared" si="136"/>
        <v>4.0180226303071054E-2</v>
      </c>
      <c r="AC412">
        <f t="shared" si="150"/>
        <v>9.8207652043097823E-2</v>
      </c>
      <c r="AD412" t="str">
        <f t="shared" si="151"/>
        <v>No Impact</v>
      </c>
      <c r="AE412">
        <f t="shared" si="137"/>
        <v>2.3356309487602714E-2</v>
      </c>
      <c r="AF412">
        <f t="shared" si="152"/>
        <v>0.1410212726397817</v>
      </c>
      <c r="AG412" t="s">
        <v>1170</v>
      </c>
    </row>
    <row r="413" spans="1:33" customFormat="1" x14ac:dyDescent="0.3">
      <c r="A413">
        <v>506991</v>
      </c>
      <c r="B413" t="s">
        <v>492</v>
      </c>
      <c r="C413" t="s">
        <v>959</v>
      </c>
      <c r="D413" t="s">
        <v>964</v>
      </c>
      <c r="E413" s="21">
        <v>6.5</v>
      </c>
      <c r="F413" s="2">
        <f t="shared" si="138"/>
        <v>0.73333333333333328</v>
      </c>
      <c r="G413" s="26">
        <v>39.980520000000006</v>
      </c>
      <c r="H413">
        <f t="shared" si="139"/>
        <v>0.4098634120777529</v>
      </c>
      <c r="I413" s="12">
        <v>0.1</v>
      </c>
      <c r="J413" s="2">
        <f t="shared" si="140"/>
        <v>4.2052144659377626E-4</v>
      </c>
      <c r="K413" s="10">
        <v>0</v>
      </c>
      <c r="L413" s="2">
        <f t="shared" si="141"/>
        <v>0</v>
      </c>
      <c r="M413">
        <v>38033</v>
      </c>
      <c r="N413">
        <f t="shared" si="142"/>
        <v>0.17881932123035868</v>
      </c>
      <c r="O413" s="10">
        <v>0.77676486499999997</v>
      </c>
      <c r="P413">
        <f t="shared" si="143"/>
        <v>0.75997664135609844</v>
      </c>
      <c r="Q413" s="23">
        <v>0.27300000000000002</v>
      </c>
      <c r="R413" s="13">
        <f t="shared" si="144"/>
        <v>0.59116500649631876</v>
      </c>
      <c r="S413">
        <f t="shared" si="145"/>
        <v>7.1141802787113684E-2</v>
      </c>
      <c r="T413" s="14">
        <f t="shared" si="133"/>
        <v>0.12694907657473101</v>
      </c>
      <c r="U413" t="str">
        <f t="shared" si="146"/>
        <v>No Impact</v>
      </c>
      <c r="V413">
        <f t="shared" si="147"/>
        <v>6.2253346084995595E-2</v>
      </c>
      <c r="W413">
        <f t="shared" si="134"/>
        <v>0.10070307227727603</v>
      </c>
      <c r="X413" t="s">
        <v>1170</v>
      </c>
      <c r="Y413">
        <f t="shared" si="135"/>
        <v>8.0030259489231759E-2</v>
      </c>
      <c r="Z413">
        <f t="shared" si="148"/>
        <v>0.14568747880341815</v>
      </c>
      <c r="AA413" t="str">
        <f t="shared" si="149"/>
        <v>No Impact</v>
      </c>
      <c r="AB413">
        <f t="shared" si="136"/>
        <v>5.2388523699509637E-2</v>
      </c>
      <c r="AC413">
        <f t="shared" si="150"/>
        <v>0.12804691212353345</v>
      </c>
      <c r="AD413" t="str">
        <f t="shared" si="151"/>
        <v>No Impact</v>
      </c>
      <c r="AE413">
        <f t="shared" si="137"/>
        <v>1.8830784922833282E-2</v>
      </c>
      <c r="AF413">
        <f t="shared" si="152"/>
        <v>0.11369695439399348</v>
      </c>
      <c r="AG413" t="s">
        <v>1170</v>
      </c>
    </row>
    <row r="414" spans="1:33" customFormat="1" x14ac:dyDescent="0.3">
      <c r="A414">
        <v>507018</v>
      </c>
      <c r="B414" t="s">
        <v>72</v>
      </c>
      <c r="C414" t="s">
        <v>728</v>
      </c>
      <c r="D414" t="s">
        <v>965</v>
      </c>
      <c r="E414" s="21">
        <v>5</v>
      </c>
      <c r="F414" s="2">
        <f t="shared" si="138"/>
        <v>0.39999999999999997</v>
      </c>
      <c r="G414" s="26">
        <v>29.517119999999998</v>
      </c>
      <c r="H414">
        <f t="shared" si="139"/>
        <v>0.30259705271238291</v>
      </c>
      <c r="I414" s="12">
        <v>0.1</v>
      </c>
      <c r="J414" s="2">
        <f t="shared" si="140"/>
        <v>4.2052144659377626E-4</v>
      </c>
      <c r="K414" s="10">
        <v>0</v>
      </c>
      <c r="L414" s="2">
        <f t="shared" si="141"/>
        <v>0</v>
      </c>
      <c r="M414">
        <v>11807</v>
      </c>
      <c r="N414">
        <f t="shared" si="142"/>
        <v>5.4733076890320934E-2</v>
      </c>
      <c r="O414" s="10">
        <v>0.566798515</v>
      </c>
      <c r="P414">
        <f t="shared" si="143"/>
        <v>0.52874305080707351</v>
      </c>
      <c r="Q414" s="23">
        <v>0.28649999999999998</v>
      </c>
      <c r="R414" s="13">
        <f t="shared" si="144"/>
        <v>0.62039844088349927</v>
      </c>
      <c r="S414">
        <f t="shared" si="145"/>
        <v>2.4374704702425365E-2</v>
      </c>
      <c r="T414" s="14">
        <f t="shared" si="133"/>
        <v>4.3495471474264497E-2</v>
      </c>
      <c r="U414" t="str">
        <f t="shared" si="146"/>
        <v>No Impact</v>
      </c>
      <c r="V414">
        <f t="shared" si="147"/>
        <v>2.631882827959409E-2</v>
      </c>
      <c r="W414">
        <f t="shared" si="134"/>
        <v>4.2574207382757544E-2</v>
      </c>
      <c r="X414" t="s">
        <v>1170</v>
      </c>
      <c r="Y414">
        <f t="shared" si="135"/>
        <v>2.2430581125256633E-2</v>
      </c>
      <c r="Z414">
        <f t="shared" si="148"/>
        <v>4.0832740429560567E-2</v>
      </c>
      <c r="AA414" t="str">
        <f t="shared" si="149"/>
        <v>No Impact</v>
      </c>
      <c r="AB414">
        <f t="shared" si="136"/>
        <v>1.6753433360527446E-2</v>
      </c>
      <c r="AC414">
        <f t="shared" si="150"/>
        <v>4.094838445128797E-2</v>
      </c>
      <c r="AD414" t="str">
        <f t="shared" si="151"/>
        <v>No Impact</v>
      </c>
      <c r="AE414">
        <f t="shared" si="137"/>
        <v>2.3219117859786509E-3</v>
      </c>
      <c r="AF414">
        <f t="shared" si="152"/>
        <v>1.401929338150871E-2</v>
      </c>
      <c r="AG414" t="s">
        <v>1170</v>
      </c>
    </row>
    <row r="415" spans="1:33" customFormat="1" x14ac:dyDescent="0.3">
      <c r="A415">
        <v>507037</v>
      </c>
      <c r="B415" t="s">
        <v>190</v>
      </c>
      <c r="C415" t="s">
        <v>728</v>
      </c>
      <c r="D415" t="s">
        <v>966</v>
      </c>
      <c r="E415" s="21">
        <v>5.3</v>
      </c>
      <c r="F415" s="2">
        <f t="shared" si="138"/>
        <v>0.46666666666666656</v>
      </c>
      <c r="G415" s="26">
        <v>31.70664</v>
      </c>
      <c r="H415">
        <f t="shared" si="139"/>
        <v>0.32504308738157889</v>
      </c>
      <c r="I415" s="12">
        <v>0.1</v>
      </c>
      <c r="J415" s="2">
        <f t="shared" si="140"/>
        <v>4.2052144659377626E-4</v>
      </c>
      <c r="K415" s="10">
        <v>0</v>
      </c>
      <c r="L415" s="2">
        <f t="shared" si="141"/>
        <v>0</v>
      </c>
      <c r="M415">
        <v>29737</v>
      </c>
      <c r="N415">
        <f t="shared" si="142"/>
        <v>0.13956745350196118</v>
      </c>
      <c r="O415" s="10">
        <v>0.58639996000000005</v>
      </c>
      <c r="P415">
        <f t="shared" si="143"/>
        <v>0.55032990273500981</v>
      </c>
      <c r="Q415" s="23">
        <v>0.25309999999999999</v>
      </c>
      <c r="R415" s="13">
        <f t="shared" si="144"/>
        <v>0.54807275877003037</v>
      </c>
      <c r="S415">
        <f t="shared" si="145"/>
        <v>2.9195024356391836E-2</v>
      </c>
      <c r="T415" s="14">
        <f t="shared" si="133"/>
        <v>5.2097096747906191E-2</v>
      </c>
      <c r="U415" t="str">
        <f t="shared" si="146"/>
        <v>No Impact</v>
      </c>
      <c r="V415">
        <f t="shared" si="147"/>
        <v>2.9135030535052071E-2</v>
      </c>
      <c r="W415">
        <f t="shared" si="134"/>
        <v>4.712978932515801E-2</v>
      </c>
      <c r="X415" t="s">
        <v>1170</v>
      </c>
      <c r="Y415">
        <f t="shared" si="135"/>
        <v>2.9255018177731604E-2</v>
      </c>
      <c r="Z415">
        <f t="shared" si="148"/>
        <v>5.3255979274131414E-2</v>
      </c>
      <c r="AA415" t="str">
        <f t="shared" si="149"/>
        <v>No Impact</v>
      </c>
      <c r="AB415">
        <f t="shared" si="136"/>
        <v>2.157051207266359E-2</v>
      </c>
      <c r="AC415">
        <f t="shared" si="150"/>
        <v>5.2722185486090062E-2</v>
      </c>
      <c r="AD415" t="str">
        <f t="shared" si="151"/>
        <v>No Impact</v>
      </c>
      <c r="AE415">
        <f t="shared" si="137"/>
        <v>7.4192740916453883E-3</v>
      </c>
      <c r="AF415">
        <f t="shared" si="152"/>
        <v>4.4796266936886812E-2</v>
      </c>
      <c r="AG415" t="s">
        <v>1170</v>
      </c>
    </row>
    <row r="416" spans="1:33" customFormat="1" x14ac:dyDescent="0.3">
      <c r="A416">
        <v>507056</v>
      </c>
      <c r="B416" t="s">
        <v>361</v>
      </c>
      <c r="C416" t="s">
        <v>728</v>
      </c>
      <c r="D416" t="s">
        <v>967</v>
      </c>
      <c r="E416" s="21">
        <v>5</v>
      </c>
      <c r="F416" s="2">
        <f t="shared" si="138"/>
        <v>0.39999999999999997</v>
      </c>
      <c r="G416" s="26">
        <v>33.69744</v>
      </c>
      <c r="H416">
        <f t="shared" si="139"/>
        <v>0.3454519285063164</v>
      </c>
      <c r="I416" s="12">
        <v>0.1</v>
      </c>
      <c r="J416" s="2">
        <f t="shared" si="140"/>
        <v>4.2052144659377626E-4</v>
      </c>
      <c r="K416" s="10">
        <v>0</v>
      </c>
      <c r="L416" s="2">
        <f t="shared" si="141"/>
        <v>0</v>
      </c>
      <c r="M416">
        <v>14402</v>
      </c>
      <c r="N416">
        <f t="shared" si="142"/>
        <v>6.7011114107677683E-2</v>
      </c>
      <c r="O416" s="10">
        <v>0.54996922599999998</v>
      </c>
      <c r="P416">
        <f t="shared" si="143"/>
        <v>0.51020914324589905</v>
      </c>
      <c r="Q416" s="23">
        <v>0.3</v>
      </c>
      <c r="R416" s="13">
        <f t="shared" si="144"/>
        <v>0.64963187527067989</v>
      </c>
      <c r="S416">
        <f t="shared" si="145"/>
        <v>2.8080993824114549E-2</v>
      </c>
      <c r="T416" s="14">
        <f t="shared" si="133"/>
        <v>5.0109163608625738E-2</v>
      </c>
      <c r="U416" t="str">
        <f t="shared" si="146"/>
        <v>No Impact</v>
      </c>
      <c r="V416">
        <f t="shared" si="147"/>
        <v>3.1456567557432272E-2</v>
      </c>
      <c r="W416">
        <f t="shared" si="134"/>
        <v>5.0885184420546674E-2</v>
      </c>
      <c r="X416" t="s">
        <v>1170</v>
      </c>
      <c r="Y416">
        <f t="shared" si="135"/>
        <v>2.4705420090796817E-2</v>
      </c>
      <c r="Z416">
        <f t="shared" si="148"/>
        <v>4.4973868493976221E-2</v>
      </c>
      <c r="AA416" t="str">
        <f t="shared" si="149"/>
        <v>No Impact</v>
      </c>
      <c r="AB416">
        <f t="shared" si="136"/>
        <v>1.9557112284654669E-2</v>
      </c>
      <c r="AC416">
        <f t="shared" si="150"/>
        <v>4.7801076672192862E-2</v>
      </c>
      <c r="AD416" t="str">
        <f t="shared" si="151"/>
        <v>No Impact</v>
      </c>
      <c r="AE416">
        <f t="shared" si="137"/>
        <v>3.2448217494695101E-3</v>
      </c>
      <c r="AF416">
        <f t="shared" si="152"/>
        <v>1.9591660781953447E-2</v>
      </c>
      <c r="AG416" t="s">
        <v>1170</v>
      </c>
    </row>
    <row r="417" spans="1:33" customFormat="1" x14ac:dyDescent="0.3">
      <c r="A417" s="8">
        <v>507066</v>
      </c>
      <c r="B417" s="8" t="s">
        <v>382</v>
      </c>
      <c r="C417" s="8" t="s">
        <v>728</v>
      </c>
      <c r="D417" s="8" t="s">
        <v>1150</v>
      </c>
      <c r="E417" s="21">
        <v>5</v>
      </c>
      <c r="F417" s="2">
        <f t="shared" si="138"/>
        <v>0.39999999999999997</v>
      </c>
      <c r="G417" s="26">
        <v>34.282080000000001</v>
      </c>
      <c r="H417">
        <f t="shared" si="139"/>
        <v>0.35144541096320131</v>
      </c>
      <c r="I417" s="12">
        <v>0.3</v>
      </c>
      <c r="J417" s="2">
        <f t="shared" si="140"/>
        <v>1.2615643397813287E-3</v>
      </c>
      <c r="K417" s="10">
        <v>0</v>
      </c>
      <c r="L417" s="2">
        <f t="shared" si="141"/>
        <v>0</v>
      </c>
      <c r="M417" s="8">
        <v>71171</v>
      </c>
      <c r="N417">
        <f t="shared" si="142"/>
        <v>0.33560914678287035</v>
      </c>
      <c r="O417" s="10">
        <v>0.45887888599999999</v>
      </c>
      <c r="P417">
        <f t="shared" si="143"/>
        <v>0.40989237161781927</v>
      </c>
      <c r="Q417" s="23">
        <v>0.26079999999999998</v>
      </c>
      <c r="R417" s="13">
        <f t="shared" si="144"/>
        <v>0.56474664356864435</v>
      </c>
      <c r="S417">
        <f t="shared" si="145"/>
        <v>2.4063338534108671E-2</v>
      </c>
      <c r="T417" s="14">
        <f t="shared" si="133"/>
        <v>4.2939853736227968E-2</v>
      </c>
      <c r="U417" t="str">
        <f t="shared" si="146"/>
        <v>No Impact</v>
      </c>
      <c r="V417">
        <f t="shared" si="147"/>
        <v>2.788661126518514E-2</v>
      </c>
      <c r="W417">
        <f t="shared" si="134"/>
        <v>4.5110305010305177E-2</v>
      </c>
      <c r="X417" t="s">
        <v>1170</v>
      </c>
      <c r="Y417">
        <f t="shared" si="135"/>
        <v>2.0240065803032201E-2</v>
      </c>
      <c r="Z417">
        <f t="shared" si="148"/>
        <v>3.6845115541026069E-2</v>
      </c>
      <c r="AA417" t="str">
        <f t="shared" si="149"/>
        <v>No Impact</v>
      </c>
      <c r="AB417">
        <f t="shared" si="136"/>
        <v>2.16325463489687E-2</v>
      </c>
      <c r="AC417">
        <f t="shared" si="150"/>
        <v>5.287380834097806E-2</v>
      </c>
      <c r="AD417" t="str">
        <f t="shared" si="151"/>
        <v>No Impact</v>
      </c>
      <c r="AE417">
        <f t="shared" si="137"/>
        <v>1.6572036186412127E-2</v>
      </c>
      <c r="AF417">
        <f t="shared" si="152"/>
        <v>0.10005902835295162</v>
      </c>
      <c r="AG417" t="s">
        <v>1170</v>
      </c>
    </row>
    <row r="418" spans="1:33" customFormat="1" x14ac:dyDescent="0.3">
      <c r="A418">
        <v>507088</v>
      </c>
      <c r="B418" t="s">
        <v>488</v>
      </c>
      <c r="C418" t="s">
        <v>728</v>
      </c>
      <c r="D418" t="s">
        <v>1149</v>
      </c>
      <c r="E418" s="21">
        <v>5.2</v>
      </c>
      <c r="F418" s="2">
        <f t="shared" ref="F418:F471" si="153">(E418-$AJ$5)/$AK$5</f>
        <v>0.44444444444444442</v>
      </c>
      <c r="G418" s="26">
        <v>30.585600000000003</v>
      </c>
      <c r="H418">
        <f t="shared" ref="H418:H449" si="154">(G418-$AJ$6)/$AK$6</f>
        <v>0.31355065858186232</v>
      </c>
      <c r="I418" s="12">
        <v>0.2</v>
      </c>
      <c r="J418" s="2">
        <f t="shared" si="140"/>
        <v>8.4104289318755253E-4</v>
      </c>
      <c r="K418" s="10">
        <v>0</v>
      </c>
      <c r="L418" s="2">
        <f t="shared" ref="L418:L449" si="155">(K418-$AJ$7)/$AK$7</f>
        <v>0</v>
      </c>
      <c r="M418">
        <v>62302</v>
      </c>
      <c r="N418">
        <f t="shared" si="142"/>
        <v>0.29364617488277905</v>
      </c>
      <c r="O418" s="10">
        <v>0.26146120299999998</v>
      </c>
      <c r="P418">
        <f t="shared" si="143"/>
        <v>0.19247848754563721</v>
      </c>
      <c r="Q418" s="23">
        <v>0.27810000000000001</v>
      </c>
      <c r="R418" s="13">
        <f t="shared" si="144"/>
        <v>0.60220874837592031</v>
      </c>
      <c r="S418">
        <f t="shared" si="145"/>
        <v>1.9432238952146439E-2</v>
      </c>
      <c r="T418" s="4">
        <f t="shared" ref="T418:T449" si="156">(S418-$AJ$9)/$AK$9</f>
        <v>-1.1307176513276266E-3</v>
      </c>
      <c r="U418" t="str">
        <f t="shared" si="146"/>
        <v>No Impact</v>
      </c>
      <c r="V418">
        <f t="shared" si="147"/>
        <v>2.9451245140343557E-2</v>
      </c>
      <c r="W418">
        <f t="shared" si="134"/>
        <v>4.7641308532628754E-2</v>
      </c>
      <c r="X418" t="s">
        <v>1170</v>
      </c>
      <c r="Y418">
        <f t="shared" si="135"/>
        <v>9.4132327639493227E-3</v>
      </c>
      <c r="Z418">
        <f t="shared" si="148"/>
        <v>1.7135895316621227E-2</v>
      </c>
      <c r="AA418" t="str">
        <f t="shared" si="149"/>
        <v>No Impact</v>
      </c>
      <c r="AB418">
        <f t="shared" si="136"/>
        <v>1.8158212413970382E-2</v>
      </c>
      <c r="AC418">
        <f t="shared" si="150"/>
        <v>4.4381915448285153E-2</v>
      </c>
      <c r="AD418" t="str">
        <f t="shared" si="151"/>
        <v>No Impact</v>
      </c>
      <c r="AE418">
        <f t="shared" si="137"/>
        <v>1.4360876530472414E-2</v>
      </c>
      <c r="AF418">
        <f t="shared" si="152"/>
        <v>8.670843677700632E-2</v>
      </c>
      <c r="AG418" t="s">
        <v>1170</v>
      </c>
    </row>
    <row r="419" spans="1:33" customFormat="1" x14ac:dyDescent="0.3">
      <c r="A419">
        <v>507605</v>
      </c>
      <c r="B419" t="s">
        <v>15</v>
      </c>
      <c r="C419" t="s">
        <v>969</v>
      </c>
      <c r="D419" t="s">
        <v>968</v>
      </c>
      <c r="E419" s="21">
        <v>5</v>
      </c>
      <c r="F419" s="2">
        <f t="shared" si="153"/>
        <v>0.39999999999999997</v>
      </c>
      <c r="G419" s="26">
        <v>41.277239999999999</v>
      </c>
      <c r="H419">
        <f t="shared" si="154"/>
        <v>0.42315683806894716</v>
      </c>
      <c r="I419" s="12">
        <v>5.1000000000000005</v>
      </c>
      <c r="J419" s="2">
        <f t="shared" si="140"/>
        <v>2.144659377628259E-2</v>
      </c>
      <c r="K419" s="10">
        <v>0</v>
      </c>
      <c r="L419" s="2">
        <f t="shared" si="155"/>
        <v>0</v>
      </c>
      <c r="M419">
        <v>10847</v>
      </c>
      <c r="N419">
        <f t="shared" si="142"/>
        <v>5.019091283303289E-2</v>
      </c>
      <c r="O419" s="10">
        <v>0.39954081800000002</v>
      </c>
      <c r="P419">
        <f t="shared" si="143"/>
        <v>0.34454402165658887</v>
      </c>
      <c r="Q419" s="23">
        <v>0.3004</v>
      </c>
      <c r="R419" s="13">
        <f t="shared" si="144"/>
        <v>0.6504980511043742</v>
      </c>
      <c r="S419">
        <f t="shared" si="145"/>
        <v>3.0967938426594038E-2</v>
      </c>
      <c r="T419" s="4">
        <f t="shared" si="156"/>
        <v>-1.1306630710781176E-3</v>
      </c>
      <c r="U419" t="str">
        <f t="shared" si="146"/>
        <v>No Impact</v>
      </c>
      <c r="V419">
        <f t="shared" si="147"/>
        <v>4.0489913230149367E-2</v>
      </c>
      <c r="W419">
        <f t="shared" si="134"/>
        <v>6.5497823248718876E-2</v>
      </c>
      <c r="X419" t="s">
        <v>1170</v>
      </c>
      <c r="Y419">
        <f t="shared" si="135"/>
        <v>2.1445963623038713E-2</v>
      </c>
      <c r="Z419">
        <f t="shared" si="148"/>
        <v>3.9040337875834635E-2</v>
      </c>
      <c r="AA419" t="str">
        <f t="shared" si="149"/>
        <v>No Impact</v>
      </c>
      <c r="AB419">
        <f t="shared" si="136"/>
        <v>2.1698696270021443E-2</v>
      </c>
      <c r="AC419">
        <f t="shared" si="150"/>
        <v>5.3035490566967158E-2</v>
      </c>
      <c r="AD419" t="str">
        <f t="shared" si="151"/>
        <v>No Impact</v>
      </c>
      <c r="AE419">
        <f t="shared" si="137"/>
        <v>3.124107293021568E-3</v>
      </c>
      <c r="AF419">
        <f t="shared" si="152"/>
        <v>1.8862808208590171E-2</v>
      </c>
      <c r="AG419" t="s">
        <v>1170</v>
      </c>
    </row>
    <row r="420" spans="1:33" customFormat="1" x14ac:dyDescent="0.3">
      <c r="A420">
        <v>507616</v>
      </c>
      <c r="B420" t="s">
        <v>62</v>
      </c>
      <c r="C420" t="s">
        <v>969</v>
      </c>
      <c r="D420" t="s">
        <v>970</v>
      </c>
      <c r="E420" s="21">
        <v>4.9000000000000004</v>
      </c>
      <c r="F420" s="2">
        <f t="shared" si="153"/>
        <v>0.37777777777777782</v>
      </c>
      <c r="G420" s="26">
        <v>45.47052</v>
      </c>
      <c r="H420">
        <f t="shared" si="154"/>
        <v>0.46614457431143225</v>
      </c>
      <c r="I420" s="12">
        <v>10.5</v>
      </c>
      <c r="J420" s="2">
        <f t="shared" si="140"/>
        <v>4.4154751892346508E-2</v>
      </c>
      <c r="K420" s="10">
        <v>0</v>
      </c>
      <c r="L420" s="2">
        <f t="shared" si="155"/>
        <v>0</v>
      </c>
      <c r="M420">
        <v>28096</v>
      </c>
      <c r="N420">
        <f t="shared" si="142"/>
        <v>0.13180319181653441</v>
      </c>
      <c r="O420" s="10">
        <v>0.32577558600000001</v>
      </c>
      <c r="P420">
        <f t="shared" si="143"/>
        <v>0.2633071975033765</v>
      </c>
      <c r="Q420" s="23">
        <v>0.24129999999999999</v>
      </c>
      <c r="R420" s="13">
        <f t="shared" si="144"/>
        <v>0.52252057167605026</v>
      </c>
      <c r="S420">
        <f t="shared" si="145"/>
        <v>2.6511043529896184E-2</v>
      </c>
      <c r="T420" s="4">
        <f t="shared" si="156"/>
        <v>-1.13068415852375E-3</v>
      </c>
      <c r="U420" t="str">
        <f t="shared" si="146"/>
        <v>No Impact</v>
      </c>
      <c r="V420">
        <f t="shared" si="147"/>
        <v>3.5255983980904793E-2</v>
      </c>
      <c r="W420">
        <f t="shared" si="134"/>
        <v>5.7031246130740287E-2</v>
      </c>
      <c r="X420" t="s">
        <v>1170</v>
      </c>
      <c r="Y420">
        <f t="shared" si="135"/>
        <v>1.7766103078887579E-2</v>
      </c>
      <c r="Z420">
        <f t="shared" si="148"/>
        <v>3.2341501605065229E-2</v>
      </c>
      <c r="AA420" t="str">
        <f t="shared" si="149"/>
        <v>No Impact</v>
      </c>
      <c r="AB420">
        <f t="shared" si="136"/>
        <v>2.0782026073626225E-2</v>
      </c>
      <c r="AC420">
        <f t="shared" si="150"/>
        <v>5.0794984826486075E-2</v>
      </c>
      <c r="AD420" t="str">
        <f t="shared" si="151"/>
        <v>No Impact</v>
      </c>
      <c r="AE420">
        <f t="shared" si="137"/>
        <v>8.8931450189807838E-3</v>
      </c>
      <c r="AF420">
        <f t="shared" si="152"/>
        <v>5.3695239353309693E-2</v>
      </c>
      <c r="AG420" t="s">
        <v>1170</v>
      </c>
    </row>
    <row r="421" spans="1:33" customFormat="1" x14ac:dyDescent="0.3">
      <c r="A421">
        <v>507619</v>
      </c>
      <c r="B421" t="s">
        <v>68</v>
      </c>
      <c r="C421" t="s">
        <v>969</v>
      </c>
      <c r="D421" t="s">
        <v>971</v>
      </c>
      <c r="E421" s="21">
        <v>5.0999999999999996</v>
      </c>
      <c r="F421" s="2">
        <f t="shared" si="153"/>
        <v>0.42222222222222211</v>
      </c>
      <c r="G421" s="26">
        <v>39.312359999999998</v>
      </c>
      <c r="H421">
        <f t="shared" si="154"/>
        <v>0.4030137178413129</v>
      </c>
      <c r="I421" s="12">
        <v>1.9</v>
      </c>
      <c r="J421" s="2">
        <f t="shared" si="140"/>
        <v>7.989907485281748E-3</v>
      </c>
      <c r="K421" s="10">
        <v>0</v>
      </c>
      <c r="L421" s="2">
        <f t="shared" si="155"/>
        <v>0</v>
      </c>
      <c r="M421">
        <v>13803</v>
      </c>
      <c r="N421">
        <f t="shared" si="142"/>
        <v>6.4176992992765663E-2</v>
      </c>
      <c r="O421" s="10">
        <v>0.68919699300000004</v>
      </c>
      <c r="P421">
        <f t="shared" si="143"/>
        <v>0.66353912430016349</v>
      </c>
      <c r="Q421" s="23">
        <v>0.23419999999999999</v>
      </c>
      <c r="R421" s="13">
        <f t="shared" si="144"/>
        <v>0.50714595062797752</v>
      </c>
      <c r="S421">
        <f t="shared" si="145"/>
        <v>3.5552068176772138E-2</v>
      </c>
      <c r="T421" s="4">
        <f t="shared" si="156"/>
        <v>-1.1306413816308414E-3</v>
      </c>
      <c r="U421" t="str">
        <f t="shared" si="146"/>
        <v>No Impact</v>
      </c>
      <c r="V421">
        <f t="shared" si="147"/>
        <v>3.0802626254386133E-2</v>
      </c>
      <c r="W421">
        <f t="shared" si="134"/>
        <v>4.9827347333109805E-2</v>
      </c>
      <c r="X421" t="s">
        <v>1170</v>
      </c>
      <c r="Y421">
        <f t="shared" si="135"/>
        <v>4.030151009915816E-2</v>
      </c>
      <c r="Z421">
        <f t="shared" si="148"/>
        <v>7.3365067610543719E-2</v>
      </c>
      <c r="AA421" t="str">
        <f t="shared" si="149"/>
        <v>No Impact</v>
      </c>
      <c r="AB421">
        <f t="shared" si="136"/>
        <v>2.423564807348191E-2</v>
      </c>
      <c r="AC421">
        <f t="shared" si="150"/>
        <v>5.9236254049110919E-2</v>
      </c>
      <c r="AD421" t="str">
        <f t="shared" si="151"/>
        <v>No Impact</v>
      </c>
      <c r="AE421">
        <f t="shared" si="137"/>
        <v>3.8979310134266186E-3</v>
      </c>
      <c r="AF421">
        <f t="shared" si="152"/>
        <v>2.3535019197586254E-2</v>
      </c>
      <c r="AG421" t="s">
        <v>1170</v>
      </c>
    </row>
    <row r="422" spans="1:33" customFormat="1" x14ac:dyDescent="0.3">
      <c r="A422">
        <v>507622</v>
      </c>
      <c r="B422" t="s">
        <v>104</v>
      </c>
      <c r="C422" t="s">
        <v>969</v>
      </c>
      <c r="D422" t="s">
        <v>972</v>
      </c>
      <c r="E422" s="21">
        <v>5</v>
      </c>
      <c r="F422" s="2">
        <f t="shared" si="153"/>
        <v>0.39999999999999997</v>
      </c>
      <c r="G422" s="26">
        <v>41.277239999999999</v>
      </c>
      <c r="H422">
        <f t="shared" si="154"/>
        <v>0.42315683806894716</v>
      </c>
      <c r="I422" s="12">
        <v>1.9</v>
      </c>
      <c r="J422" s="2">
        <f t="shared" si="140"/>
        <v>7.989907485281748E-3</v>
      </c>
      <c r="K422" s="10">
        <v>0</v>
      </c>
      <c r="L422" s="2">
        <f t="shared" si="155"/>
        <v>0</v>
      </c>
      <c r="M422">
        <v>30646</v>
      </c>
      <c r="N422">
        <f t="shared" si="142"/>
        <v>0.14386831509370579</v>
      </c>
      <c r="O422" s="10">
        <v>0.42877800300000002</v>
      </c>
      <c r="P422">
        <f t="shared" si="143"/>
        <v>0.37674260616832655</v>
      </c>
      <c r="Q422" s="23">
        <v>0.27210000000000001</v>
      </c>
      <c r="R422" s="13">
        <f t="shared" si="144"/>
        <v>0.58921611087050674</v>
      </c>
      <c r="S422">
        <f t="shared" si="145"/>
        <v>2.9152897003372185E-2</v>
      </c>
      <c r="T422" s="4">
        <f t="shared" si="156"/>
        <v>-1.1306716588030293E-3</v>
      </c>
      <c r="U422" t="str">
        <f t="shared" si="146"/>
        <v>No Impact</v>
      </c>
      <c r="V422">
        <f t="shared" si="147"/>
        <v>3.556540520819141E-2</v>
      </c>
      <c r="W422">
        <f t="shared" si="134"/>
        <v>5.7531776145191636E-2</v>
      </c>
      <c r="X422" t="s">
        <v>1170</v>
      </c>
      <c r="Y422">
        <f t="shared" si="135"/>
        <v>2.2740388798552957E-2</v>
      </c>
      <c r="Z422">
        <f t="shared" si="148"/>
        <v>4.1396715844916644E-2</v>
      </c>
      <c r="AA422" t="str">
        <f t="shared" si="149"/>
        <v>No Impact</v>
      </c>
      <c r="AB422">
        <f t="shared" si="136"/>
        <v>2.2309397898642936E-2</v>
      </c>
      <c r="AC422">
        <f t="shared" si="150"/>
        <v>5.4528154460729963E-2</v>
      </c>
      <c r="AD422" t="str">
        <f t="shared" si="151"/>
        <v>No Impact</v>
      </c>
      <c r="AE422">
        <f t="shared" si="137"/>
        <v>8.6839698177430223E-3</v>
      </c>
      <c r="AF422">
        <f t="shared" si="152"/>
        <v>5.2432276422505544E-2</v>
      </c>
      <c r="AG422" t="s">
        <v>1170</v>
      </c>
    </row>
    <row r="423" spans="1:33" customFormat="1" x14ac:dyDescent="0.3">
      <c r="A423">
        <v>507633</v>
      </c>
      <c r="B423" t="s">
        <v>164</v>
      </c>
      <c r="C423" t="s">
        <v>969</v>
      </c>
      <c r="D423" t="s">
        <v>746</v>
      </c>
      <c r="E423" s="21">
        <v>5</v>
      </c>
      <c r="F423" s="2">
        <f t="shared" si="153"/>
        <v>0.39999999999999997</v>
      </c>
      <c r="G423" s="26">
        <v>41.277239999999999</v>
      </c>
      <c r="H423">
        <f t="shared" si="154"/>
        <v>0.42315683806894716</v>
      </c>
      <c r="I423" s="12">
        <v>5.1000000000000005</v>
      </c>
      <c r="J423" s="2">
        <f t="shared" si="140"/>
        <v>2.144659377628259E-2</v>
      </c>
      <c r="K423" s="10">
        <v>0</v>
      </c>
      <c r="L423" s="2">
        <f t="shared" si="155"/>
        <v>0</v>
      </c>
      <c r="M423">
        <v>16518</v>
      </c>
      <c r="N423">
        <f t="shared" si="142"/>
        <v>7.7022800717283402E-2</v>
      </c>
      <c r="O423" s="10">
        <v>0.56107932400000005</v>
      </c>
      <c r="P423">
        <f t="shared" si="143"/>
        <v>0.52244456978873099</v>
      </c>
      <c r="Q423" s="23">
        <v>0.2495</v>
      </c>
      <c r="R423" s="13">
        <f t="shared" si="144"/>
        <v>0.54027717626678218</v>
      </c>
      <c r="S423">
        <f t="shared" si="145"/>
        <v>3.3074281477498503E-2</v>
      </c>
      <c r="T423" s="4">
        <f t="shared" si="156"/>
        <v>-1.1306531050825988E-3</v>
      </c>
      <c r="U423" t="str">
        <f t="shared" si="146"/>
        <v>No Impact</v>
      </c>
      <c r="V423">
        <f t="shared" si="147"/>
        <v>3.3629272140220594E-2</v>
      </c>
      <c r="W423">
        <f t="shared" si="134"/>
        <v>5.4399823237534478E-2</v>
      </c>
      <c r="X423" t="s">
        <v>1170</v>
      </c>
      <c r="Y423">
        <f t="shared" si="135"/>
        <v>3.2519290814776412E-2</v>
      </c>
      <c r="Z423">
        <f t="shared" si="148"/>
        <v>5.9198277270579011E-2</v>
      </c>
      <c r="AA423" t="str">
        <f t="shared" si="149"/>
        <v>No Impact</v>
      </c>
      <c r="AB423">
        <f t="shared" si="136"/>
        <v>2.3204017968442663E-2</v>
      </c>
      <c r="AC423">
        <f t="shared" si="150"/>
        <v>5.6714765752138949E-2</v>
      </c>
      <c r="AD423" t="str">
        <f t="shared" si="151"/>
        <v>No Impact</v>
      </c>
      <c r="AE423">
        <f t="shared" si="137"/>
        <v>4.7942442140929574E-3</v>
      </c>
      <c r="AF423">
        <f t="shared" si="152"/>
        <v>2.8946800040312907E-2</v>
      </c>
      <c r="AG423" t="s">
        <v>1170</v>
      </c>
    </row>
    <row r="424" spans="1:33" customFormat="1" x14ac:dyDescent="0.3">
      <c r="A424">
        <v>507639</v>
      </c>
      <c r="B424" t="s">
        <v>213</v>
      </c>
      <c r="C424" t="s">
        <v>969</v>
      </c>
      <c r="D424" t="s">
        <v>973</v>
      </c>
      <c r="E424" s="21">
        <v>5.0999999999999996</v>
      </c>
      <c r="F424" s="2">
        <f t="shared" si="153"/>
        <v>0.42222222222222211</v>
      </c>
      <c r="G424" s="26">
        <v>40.978439999999999</v>
      </c>
      <c r="H424">
        <f t="shared" si="154"/>
        <v>0.42009366661622888</v>
      </c>
      <c r="I424" s="12">
        <v>0.6</v>
      </c>
      <c r="J424" s="2">
        <f t="shared" si="140"/>
        <v>2.5231286795626574E-3</v>
      </c>
      <c r="K424" s="10">
        <v>0</v>
      </c>
      <c r="L424" s="2">
        <f t="shared" si="155"/>
        <v>0</v>
      </c>
      <c r="M424">
        <v>58204</v>
      </c>
      <c r="N424">
        <f t="shared" si="142"/>
        <v>0.27425681206323071</v>
      </c>
      <c r="O424" s="10">
        <v>0.222484869</v>
      </c>
      <c r="P424">
        <f t="shared" si="143"/>
        <v>0.14955428727612721</v>
      </c>
      <c r="Q424" s="23">
        <v>0.29930000000000001</v>
      </c>
      <c r="R424" s="13">
        <f t="shared" si="144"/>
        <v>0.64811606756171503</v>
      </c>
      <c r="S424">
        <f t="shared" si="145"/>
        <v>2.4908601247508558E-2</v>
      </c>
      <c r="T424" s="4">
        <f t="shared" si="156"/>
        <v>-1.1306917403526445E-3</v>
      </c>
      <c r="U424" t="str">
        <f t="shared" si="146"/>
        <v>No Impact</v>
      </c>
      <c r="V424">
        <f t="shared" si="147"/>
        <v>4.0477033128001626E-2</v>
      </c>
      <c r="W424">
        <f t="shared" si="134"/>
        <v>6.5476987969346867E-2</v>
      </c>
      <c r="X424" t="s">
        <v>1170</v>
      </c>
      <c r="Y424">
        <f t="shared" si="135"/>
        <v>9.3401693670154915E-3</v>
      </c>
      <c r="Z424">
        <f t="shared" si="148"/>
        <v>1.7002890348749852E-2</v>
      </c>
      <c r="AA424" t="str">
        <f t="shared" si="149"/>
        <v>No Impact</v>
      </c>
      <c r="AB424">
        <f t="shared" si="136"/>
        <v>2.2963904243074696E-2</v>
      </c>
      <c r="AC424">
        <f t="shared" si="150"/>
        <v>5.6127884906475148E-2</v>
      </c>
      <c r="AD424" t="str">
        <f t="shared" si="151"/>
        <v>No Impact</v>
      </c>
      <c r="AE424">
        <f t="shared" si="137"/>
        <v>1.7128262394769955E-2</v>
      </c>
      <c r="AF424">
        <f t="shared" si="152"/>
        <v>0.10341742398561167</v>
      </c>
      <c r="AG424" t="s">
        <v>1170</v>
      </c>
    </row>
    <row r="425" spans="1:33" customFormat="1" x14ac:dyDescent="0.3">
      <c r="A425">
        <v>507655</v>
      </c>
      <c r="B425" t="s">
        <v>392</v>
      </c>
      <c r="C425" t="s">
        <v>969</v>
      </c>
      <c r="D425" t="s">
        <v>974</v>
      </c>
      <c r="E425" s="21">
        <v>5.0999999999999996</v>
      </c>
      <c r="F425" s="2">
        <f t="shared" si="153"/>
        <v>0.42222222222222211</v>
      </c>
      <c r="G425" s="26">
        <v>41.277239999999999</v>
      </c>
      <c r="H425">
        <f t="shared" si="154"/>
        <v>0.42315683806894716</v>
      </c>
      <c r="I425" s="12">
        <v>5.8999999999999995</v>
      </c>
      <c r="J425" s="2">
        <f t="shared" si="140"/>
        <v>2.4810765349032798E-2</v>
      </c>
      <c r="K425" s="10">
        <v>0</v>
      </c>
      <c r="L425" s="2">
        <f t="shared" si="155"/>
        <v>0</v>
      </c>
      <c r="M425">
        <v>95538</v>
      </c>
      <c r="N425">
        <f t="shared" si="142"/>
        <v>0.45089967968280553</v>
      </c>
      <c r="O425" s="10">
        <v>0.31883085</v>
      </c>
      <c r="P425">
        <f t="shared" si="143"/>
        <v>0.25565903749728469</v>
      </c>
      <c r="Q425" s="23">
        <v>0.28299999999999997</v>
      </c>
      <c r="R425" s="13">
        <f t="shared" si="144"/>
        <v>0.61281940233867471</v>
      </c>
      <c r="S425">
        <f t="shared" si="145"/>
        <v>2.8746487392608676E-2</v>
      </c>
      <c r="T425" s="4">
        <f t="shared" si="156"/>
        <v>-1.1306735816979528E-3</v>
      </c>
      <c r="U425" t="str">
        <f t="shared" si="146"/>
        <v>No Impact</v>
      </c>
      <c r="V425">
        <f t="shared" si="147"/>
        <v>4.0568434206846013E-2</v>
      </c>
      <c r="W425">
        <f t="shared" si="134"/>
        <v>6.5624841378487647E-2</v>
      </c>
      <c r="X425" t="s">
        <v>1170</v>
      </c>
      <c r="Y425">
        <f t="shared" si="135"/>
        <v>1.6924540578371339E-2</v>
      </c>
      <c r="Z425">
        <f t="shared" si="148"/>
        <v>3.0809517081483773E-2</v>
      </c>
      <c r="AA425" t="str">
        <f t="shared" si="149"/>
        <v>No Impact</v>
      </c>
      <c r="AB425">
        <f t="shared" si="136"/>
        <v>2.9723605585689161E-2</v>
      </c>
      <c r="AC425">
        <f t="shared" si="150"/>
        <v>7.2649802736490035E-2</v>
      </c>
      <c r="AD425" t="str">
        <f t="shared" si="151"/>
        <v>No Impact</v>
      </c>
      <c r="AE425">
        <f t="shared" si="137"/>
        <v>2.9849404113661861E-2</v>
      </c>
      <c r="AF425">
        <f t="shared" si="152"/>
        <v>0.18022543149987105</v>
      </c>
      <c r="AG425" t="s">
        <v>1169</v>
      </c>
    </row>
    <row r="426" spans="1:33" customFormat="1" x14ac:dyDescent="0.3">
      <c r="A426">
        <v>507672</v>
      </c>
      <c r="B426" t="s">
        <v>460</v>
      </c>
      <c r="C426" t="s">
        <v>969</v>
      </c>
      <c r="D426" t="s">
        <v>975</v>
      </c>
      <c r="E426" s="21">
        <v>5</v>
      </c>
      <c r="F426" s="2">
        <f t="shared" si="153"/>
        <v>0.39999999999999997</v>
      </c>
      <c r="G426" s="26">
        <v>39.725999999999999</v>
      </c>
      <c r="H426">
        <f t="shared" si="154"/>
        <v>0.40725418049091933</v>
      </c>
      <c r="I426" s="12">
        <v>7.1000000000000005</v>
      </c>
      <c r="J426" s="2">
        <f t="shared" si="140"/>
        <v>2.9857022708158116E-2</v>
      </c>
      <c r="K426" s="10">
        <v>0</v>
      </c>
      <c r="L426" s="2">
        <f t="shared" si="155"/>
        <v>0</v>
      </c>
      <c r="M426">
        <v>62096</v>
      </c>
      <c r="N426">
        <f t="shared" si="142"/>
        <v>0.29267150217881932</v>
      </c>
      <c r="O426" s="10">
        <v>0.27536482899999998</v>
      </c>
      <c r="P426">
        <f t="shared" si="143"/>
        <v>0.20779039519955783</v>
      </c>
      <c r="Q426" s="23">
        <v>0.2641</v>
      </c>
      <c r="R426" s="13">
        <f t="shared" si="144"/>
        <v>0.57189259419662197</v>
      </c>
      <c r="S426">
        <f t="shared" si="145"/>
        <v>2.3856571872617235E-2</v>
      </c>
      <c r="T426" s="4">
        <f t="shared" si="156"/>
        <v>-1.130696717946409E-3</v>
      </c>
      <c r="U426" t="str">
        <f t="shared" si="146"/>
        <v>No Impact</v>
      </c>
      <c r="V426">
        <f t="shared" si="147"/>
        <v>3.4997292392989793E-2</v>
      </c>
      <c r="W426">
        <f t="shared" si="134"/>
        <v>5.6612778059325145E-2</v>
      </c>
      <c r="X426" t="s">
        <v>1170</v>
      </c>
      <c r="Y426">
        <f t="shared" si="135"/>
        <v>1.2715851352244671E-2</v>
      </c>
      <c r="Z426">
        <f t="shared" si="148"/>
        <v>2.3147998471713373E-2</v>
      </c>
      <c r="AA426" t="str">
        <f t="shared" si="149"/>
        <v>No Impact</v>
      </c>
      <c r="AB426">
        <f t="shared" si="136"/>
        <v>2.2332377373733617E-2</v>
      </c>
      <c r="AC426">
        <f t="shared" si="150"/>
        <v>5.4584320403570016E-2</v>
      </c>
      <c r="AD426" t="str">
        <f t="shared" si="151"/>
        <v>No Impact</v>
      </c>
      <c r="AE426">
        <f t="shared" si="137"/>
        <v>1.7910198944325113E-2</v>
      </c>
      <c r="AF426">
        <f t="shared" si="152"/>
        <v>0.10813861880452594</v>
      </c>
      <c r="AG426" t="s">
        <v>1170</v>
      </c>
    </row>
    <row r="427" spans="1:33" customFormat="1" x14ac:dyDescent="0.3">
      <c r="A427">
        <v>507683</v>
      </c>
      <c r="B427" t="s">
        <v>506</v>
      </c>
      <c r="C427" t="s">
        <v>969</v>
      </c>
      <c r="D427" t="s">
        <v>976</v>
      </c>
      <c r="E427" s="21">
        <v>5</v>
      </c>
      <c r="F427" s="2">
        <f t="shared" si="153"/>
        <v>0.39999999999999997</v>
      </c>
      <c r="G427" s="26">
        <v>45.47052</v>
      </c>
      <c r="H427">
        <f t="shared" si="154"/>
        <v>0.46614457431143225</v>
      </c>
      <c r="I427" s="12">
        <v>10.5</v>
      </c>
      <c r="J427" s="2">
        <f t="shared" si="140"/>
        <v>4.4154751892346508E-2</v>
      </c>
      <c r="K427" s="10">
        <v>0</v>
      </c>
      <c r="L427" s="2">
        <f t="shared" si="155"/>
        <v>0</v>
      </c>
      <c r="M427">
        <v>30851</v>
      </c>
      <c r="N427">
        <f t="shared" si="142"/>
        <v>0.1448382563767725</v>
      </c>
      <c r="O427" s="10">
        <v>0.32225574499999998</v>
      </c>
      <c r="P427">
        <f t="shared" si="143"/>
        <v>0.2594308360169208</v>
      </c>
      <c r="Q427" s="23">
        <v>0.24129999999999999</v>
      </c>
      <c r="R427" s="13">
        <f t="shared" si="144"/>
        <v>0.52252057167605026</v>
      </c>
      <c r="S427">
        <f t="shared" si="145"/>
        <v>2.7932049352887355E-2</v>
      </c>
      <c r="T427" s="4">
        <f t="shared" si="156"/>
        <v>-1.1306774351471098E-3</v>
      </c>
      <c r="U427" t="str">
        <f t="shared" si="146"/>
        <v>No Impact</v>
      </c>
      <c r="V427">
        <f t="shared" si="147"/>
        <v>3.7329865391546244E-2</v>
      </c>
      <c r="W427">
        <f t="shared" si="134"/>
        <v>6.0386025314901469E-2</v>
      </c>
      <c r="X427" t="s">
        <v>1170</v>
      </c>
      <c r="Y427">
        <f t="shared" si="135"/>
        <v>1.8534233314228477E-2</v>
      </c>
      <c r="Z427">
        <f t="shared" si="148"/>
        <v>3.3739809671210499E-2</v>
      </c>
      <c r="AA427" t="str">
        <f t="shared" si="149"/>
        <v>No Impact</v>
      </c>
      <c r="AB427">
        <f t="shared" si="136"/>
        <v>2.2247355248551984E-2</v>
      </c>
      <c r="AC427">
        <f t="shared" si="150"/>
        <v>5.4376511138813227E-2</v>
      </c>
      <c r="AD427" t="str">
        <f t="shared" si="151"/>
        <v>No Impact</v>
      </c>
      <c r="AE427">
        <f t="shared" si="137"/>
        <v>1.0347521049263602E-2</v>
      </c>
      <c r="AF427">
        <f t="shared" si="152"/>
        <v>6.2476505023562119E-2</v>
      </c>
      <c r="AG427" t="s">
        <v>1170</v>
      </c>
    </row>
    <row r="428" spans="1:33" customFormat="1" x14ac:dyDescent="0.3">
      <c r="A428">
        <v>508110</v>
      </c>
      <c r="B428" t="s">
        <v>26</v>
      </c>
      <c r="C428" t="s">
        <v>978</v>
      </c>
      <c r="D428" t="s">
        <v>977</v>
      </c>
      <c r="E428" s="21">
        <v>4.3</v>
      </c>
      <c r="F428" s="2">
        <f t="shared" si="153"/>
        <v>0.24444444444444435</v>
      </c>
      <c r="G428" s="26">
        <v>43.507800000000003</v>
      </c>
      <c r="H428">
        <f t="shared" si="154"/>
        <v>0.44602359749188997</v>
      </c>
      <c r="I428" s="12">
        <v>0.2</v>
      </c>
      <c r="J428" s="2">
        <f t="shared" si="140"/>
        <v>8.4104289318755253E-4</v>
      </c>
      <c r="K428" s="10">
        <v>0</v>
      </c>
      <c r="L428" s="2">
        <f t="shared" si="155"/>
        <v>0</v>
      </c>
      <c r="M428">
        <v>16015</v>
      </c>
      <c r="N428">
        <f t="shared" si="142"/>
        <v>7.4642896008100187E-2</v>
      </c>
      <c r="O428" s="10">
        <v>0.30964954700000002</v>
      </c>
      <c r="P428">
        <f t="shared" si="143"/>
        <v>0.24554777129387387</v>
      </c>
      <c r="Q428" s="23">
        <v>0.2717</v>
      </c>
      <c r="R428" s="13">
        <f t="shared" si="144"/>
        <v>0.58834993503681243</v>
      </c>
      <c r="S428">
        <f t="shared" si="145"/>
        <v>1.5940685387011128E-2</v>
      </c>
      <c r="T428" s="4">
        <f t="shared" si="156"/>
        <v>-1.1307341713371135E-3</v>
      </c>
      <c r="U428" t="str">
        <f t="shared" si="146"/>
        <v>No Impact</v>
      </c>
      <c r="V428">
        <f t="shared" si="147"/>
        <v>2.2493649138713642E-2</v>
      </c>
      <c r="W428">
        <f t="shared" si="134"/>
        <v>3.6386471048526096E-2</v>
      </c>
      <c r="X428" t="s">
        <v>1170</v>
      </c>
      <c r="Y428">
        <f t="shared" si="135"/>
        <v>9.3877216353086112E-3</v>
      </c>
      <c r="Z428">
        <f t="shared" si="148"/>
        <v>1.7089454732312052E-2</v>
      </c>
      <c r="AA428" t="str">
        <f t="shared" si="149"/>
        <v>No Impact</v>
      </c>
      <c r="AB428">
        <f t="shared" si="136"/>
        <v>1.1687898744996617E-2</v>
      </c>
      <c r="AC428">
        <f t="shared" si="150"/>
        <v>2.856731279723668E-2</v>
      </c>
      <c r="AD428" t="str">
        <f t="shared" si="151"/>
        <v>No Impact</v>
      </c>
      <c r="AE428">
        <f t="shared" si="137"/>
        <v>2.8537287310121686E-3</v>
      </c>
      <c r="AF428">
        <f t="shared" si="152"/>
        <v>1.7230310192184017E-2</v>
      </c>
      <c r="AG428" t="s">
        <v>1170</v>
      </c>
    </row>
    <row r="429" spans="1:33" customFormat="1" x14ac:dyDescent="0.3">
      <c r="A429">
        <v>508112</v>
      </c>
      <c r="B429" t="s">
        <v>29</v>
      </c>
      <c r="C429" t="s">
        <v>978</v>
      </c>
      <c r="D429" t="s">
        <v>979</v>
      </c>
      <c r="E429" s="21">
        <v>4.5999999999999996</v>
      </c>
      <c r="F429" s="2">
        <f t="shared" si="153"/>
        <v>0.31111111111111101</v>
      </c>
      <c r="G429" s="26">
        <v>37.119599999999998</v>
      </c>
      <c r="H429">
        <f t="shared" si="154"/>
        <v>0.38053446805997904</v>
      </c>
      <c r="I429" s="12">
        <v>0.2</v>
      </c>
      <c r="J429" s="2">
        <f t="shared" si="140"/>
        <v>8.4104289318755253E-4</v>
      </c>
      <c r="K429" s="10">
        <v>0</v>
      </c>
      <c r="L429" s="2">
        <f t="shared" si="155"/>
        <v>0</v>
      </c>
      <c r="M429">
        <v>22499</v>
      </c>
      <c r="N429">
        <f t="shared" si="142"/>
        <v>0.10532142907836653</v>
      </c>
      <c r="O429" s="10">
        <v>0.62496790700000004</v>
      </c>
      <c r="P429">
        <f t="shared" si="143"/>
        <v>0.59280435097357043</v>
      </c>
      <c r="Q429" s="23">
        <v>0.2044</v>
      </c>
      <c r="R429" s="13">
        <f t="shared" si="144"/>
        <v>0.44261585101775663</v>
      </c>
      <c r="S429">
        <f t="shared" si="145"/>
        <v>2.1499235022997762E-2</v>
      </c>
      <c r="T429" s="4">
        <f t="shared" si="156"/>
        <v>-1.1307078714992312E-3</v>
      </c>
      <c r="U429" t="str">
        <f t="shared" si="146"/>
        <v>No Impact</v>
      </c>
      <c r="V429">
        <f t="shared" si="147"/>
        <v>1.8380754379012244E-2</v>
      </c>
      <c r="W429">
        <f t="shared" si="134"/>
        <v>2.97333164102268E-2</v>
      </c>
      <c r="X429" t="s">
        <v>1170</v>
      </c>
      <c r="Y429">
        <f t="shared" si="135"/>
        <v>2.4617715666983283E-2</v>
      </c>
      <c r="Z429">
        <f t="shared" si="148"/>
        <v>4.481421092861472E-2</v>
      </c>
      <c r="AA429" t="str">
        <f t="shared" si="149"/>
        <v>No Impact</v>
      </c>
      <c r="AB429">
        <f t="shared" si="136"/>
        <v>1.5349388259790863E-2</v>
      </c>
      <c r="AC429">
        <f t="shared" si="150"/>
        <v>3.7516647365839657E-2</v>
      </c>
      <c r="AD429" t="str">
        <f t="shared" si="151"/>
        <v>No Impact</v>
      </c>
      <c r="AE429">
        <f t="shared" si="137"/>
        <v>4.373741505833125E-3</v>
      </c>
      <c r="AF429">
        <f t="shared" si="152"/>
        <v>2.6407878936413675E-2</v>
      </c>
      <c r="AG429" t="s">
        <v>1170</v>
      </c>
    </row>
    <row r="430" spans="1:33" customFormat="1" x14ac:dyDescent="0.3">
      <c r="A430">
        <v>508122</v>
      </c>
      <c r="B430" t="s">
        <v>82</v>
      </c>
      <c r="C430" t="s">
        <v>978</v>
      </c>
      <c r="D430" t="s">
        <v>980</v>
      </c>
      <c r="E430" s="21">
        <v>4.5999999999999996</v>
      </c>
      <c r="F430" s="2">
        <f t="shared" si="153"/>
        <v>0.31111111111111101</v>
      </c>
      <c r="G430" s="26">
        <v>38.129040000000003</v>
      </c>
      <c r="H430">
        <f t="shared" si="154"/>
        <v>0.39088282077494546</v>
      </c>
      <c r="I430" s="12">
        <v>0.2</v>
      </c>
      <c r="J430" s="2">
        <f t="shared" si="140"/>
        <v>8.4104289318755253E-4</v>
      </c>
      <c r="K430" s="10">
        <v>0</v>
      </c>
      <c r="L430" s="2">
        <f t="shared" si="155"/>
        <v>0</v>
      </c>
      <c r="M430">
        <v>27245</v>
      </c>
      <c r="N430">
        <f t="shared" si="142"/>
        <v>0.12777675263658431</v>
      </c>
      <c r="O430" s="10">
        <v>0.200609544</v>
      </c>
      <c r="P430">
        <f t="shared" si="143"/>
        <v>0.12546323676171456</v>
      </c>
      <c r="Q430" s="23">
        <v>0.21099999999999999</v>
      </c>
      <c r="R430" s="13">
        <f t="shared" si="144"/>
        <v>0.45690775227371155</v>
      </c>
      <c r="S430">
        <f t="shared" si="145"/>
        <v>1.242033564638473E-2</v>
      </c>
      <c r="T430" s="4">
        <f t="shared" si="156"/>
        <v>-1.1307508275934272E-3</v>
      </c>
      <c r="U430" t="str">
        <f t="shared" si="146"/>
        <v>No Impact</v>
      </c>
      <c r="V430">
        <f t="shared" si="147"/>
        <v>1.9489115184374309E-2</v>
      </c>
      <c r="W430">
        <f t="shared" si="134"/>
        <v>3.152623751906624E-2</v>
      </c>
      <c r="X430" t="s">
        <v>1170</v>
      </c>
      <c r="Y430">
        <f t="shared" si="135"/>
        <v>5.3515561083951526E-3</v>
      </c>
      <c r="Z430">
        <f t="shared" si="148"/>
        <v>9.7419991148726178E-3</v>
      </c>
      <c r="AA430" t="str">
        <f t="shared" si="149"/>
        <v>No Impact</v>
      </c>
      <c r="AB430">
        <f t="shared" si="136"/>
        <v>1.0334240336806346E-2</v>
      </c>
      <c r="AC430">
        <f t="shared" si="150"/>
        <v>2.525872979090844E-2</v>
      </c>
      <c r="AD430" t="str">
        <f t="shared" si="151"/>
        <v>No Impact</v>
      </c>
      <c r="AE430">
        <f t="shared" si="137"/>
        <v>5.4502376850194094E-3</v>
      </c>
      <c r="AF430">
        <f t="shared" si="152"/>
        <v>3.2907572788359374E-2</v>
      </c>
      <c r="AG430" t="s">
        <v>1170</v>
      </c>
    </row>
    <row r="431" spans="1:33" customFormat="1" x14ac:dyDescent="0.3">
      <c r="A431">
        <v>508125</v>
      </c>
      <c r="B431" t="s">
        <v>102</v>
      </c>
      <c r="C431" t="s">
        <v>978</v>
      </c>
      <c r="D431" t="s">
        <v>981</v>
      </c>
      <c r="E431" s="21">
        <v>4.5999999999999996</v>
      </c>
      <c r="F431" s="2">
        <f t="shared" si="153"/>
        <v>0.31111111111111101</v>
      </c>
      <c r="G431" s="26">
        <v>40.215240000000001</v>
      </c>
      <c r="H431">
        <f t="shared" si="154"/>
        <v>0.41226966242374363</v>
      </c>
      <c r="I431" s="12">
        <v>0.1</v>
      </c>
      <c r="J431" s="2">
        <f t="shared" si="140"/>
        <v>4.2052144659377626E-4</v>
      </c>
      <c r="K431" s="10">
        <v>0</v>
      </c>
      <c r="L431" s="2">
        <f t="shared" si="155"/>
        <v>0</v>
      </c>
      <c r="M431">
        <v>29401</v>
      </c>
      <c r="N431">
        <f t="shared" si="142"/>
        <v>0.13797769608191035</v>
      </c>
      <c r="O431" s="10">
        <v>0.23603074299999999</v>
      </c>
      <c r="P431">
        <f t="shared" si="143"/>
        <v>0.16447220665770754</v>
      </c>
      <c r="Q431" s="23">
        <v>0.309</v>
      </c>
      <c r="R431" s="13">
        <f t="shared" si="144"/>
        <v>0.66912083152880031</v>
      </c>
      <c r="S431">
        <f t="shared" si="145"/>
        <v>1.8729741717676586E-2</v>
      </c>
      <c r="T431" s="4">
        <f t="shared" si="156"/>
        <v>-1.130720975137719E-3</v>
      </c>
      <c r="U431" t="str">
        <f t="shared" si="146"/>
        <v>No Impact</v>
      </c>
      <c r="V431">
        <f t="shared" si="147"/>
        <v>3.0068534112799077E-2</v>
      </c>
      <c r="W431">
        <f t="shared" si="134"/>
        <v>4.8639855597460924E-2</v>
      </c>
      <c r="X431" t="s">
        <v>1170</v>
      </c>
      <c r="Y431">
        <f t="shared" si="135"/>
        <v>7.3909493225540928E-3</v>
      </c>
      <c r="Z431">
        <f t="shared" si="148"/>
        <v>1.3454520573079219E-2</v>
      </c>
      <c r="AA431" t="str">
        <f t="shared" si="149"/>
        <v>No Impact</v>
      </c>
      <c r="AB431">
        <f t="shared" si="136"/>
        <v>1.4911396178774218E-2</v>
      </c>
      <c r="AC431">
        <f t="shared" si="150"/>
        <v>3.6446116464254684E-2</v>
      </c>
      <c r="AD431" t="str">
        <f t="shared" si="151"/>
        <v>No Impact</v>
      </c>
      <c r="AE431">
        <f t="shared" si="137"/>
        <v>6.2003555500809004E-3</v>
      </c>
      <c r="AF431">
        <f t="shared" si="152"/>
        <v>3.7436652008557059E-2</v>
      </c>
      <c r="AG431" t="s">
        <v>1170</v>
      </c>
    </row>
    <row r="432" spans="1:33" customFormat="1" x14ac:dyDescent="0.3">
      <c r="A432">
        <v>508131</v>
      </c>
      <c r="B432" t="s">
        <v>161</v>
      </c>
      <c r="C432" t="s">
        <v>978</v>
      </c>
      <c r="D432" t="s">
        <v>1147</v>
      </c>
      <c r="E432" s="21">
        <v>4.5</v>
      </c>
      <c r="F432" s="2">
        <f t="shared" si="153"/>
        <v>0.28888888888888886</v>
      </c>
      <c r="G432" s="26">
        <v>37.275480000000002</v>
      </c>
      <c r="H432">
        <f t="shared" si="154"/>
        <v>0.38213248401061406</v>
      </c>
      <c r="I432" s="12">
        <v>0.2</v>
      </c>
      <c r="J432" s="2">
        <f t="shared" si="140"/>
        <v>8.4104289318755253E-4</v>
      </c>
      <c r="K432" s="10">
        <v>0</v>
      </c>
      <c r="L432" s="2">
        <f t="shared" si="155"/>
        <v>0</v>
      </c>
      <c r="M432">
        <v>23168</v>
      </c>
      <c r="N432">
        <f t="shared" si="142"/>
        <v>0.10848674965578912</v>
      </c>
      <c r="O432" s="10">
        <v>0.37719707600000002</v>
      </c>
      <c r="P432">
        <f t="shared" si="143"/>
        <v>0.31993710874430054</v>
      </c>
      <c r="Q432" s="23">
        <v>0.24679999999999999</v>
      </c>
      <c r="R432" s="13">
        <f t="shared" si="144"/>
        <v>0.53443048938934601</v>
      </c>
      <c r="S432">
        <f t="shared" si="145"/>
        <v>1.6541786489995047E-2</v>
      </c>
      <c r="T432" s="4">
        <f t="shared" si="156"/>
        <v>-1.1307313272747963E-3</v>
      </c>
      <c r="U432" t="str">
        <f t="shared" si="146"/>
        <v>No Impact</v>
      </c>
      <c r="V432">
        <f t="shared" si="147"/>
        <v>2.0694687084421098E-2</v>
      </c>
      <c r="W432">
        <f t="shared" si="134"/>
        <v>3.3476410510894006E-2</v>
      </c>
      <c r="X432" t="s">
        <v>1170</v>
      </c>
      <c r="Y432">
        <f t="shared" si="135"/>
        <v>1.2388885895568996E-2</v>
      </c>
      <c r="Z432">
        <f t="shared" si="148"/>
        <v>2.2552788942931366E-2</v>
      </c>
      <c r="AA432" t="str">
        <f t="shared" si="149"/>
        <v>No Impact</v>
      </c>
      <c r="AB432">
        <f t="shared" si="136"/>
        <v>1.2430127989824229E-2</v>
      </c>
      <c r="AC432">
        <f t="shared" si="150"/>
        <v>3.0381453684906842E-2</v>
      </c>
      <c r="AD432" t="str">
        <f t="shared" si="151"/>
        <v>No Impact</v>
      </c>
      <c r="AE432">
        <f t="shared" si="137"/>
        <v>4.2009192617318532E-3</v>
      </c>
      <c r="AF432">
        <f t="shared" si="152"/>
        <v>2.5364408741922521E-2</v>
      </c>
      <c r="AG432" t="s">
        <v>1170</v>
      </c>
    </row>
    <row r="433" spans="1:33" customFormat="1" x14ac:dyDescent="0.3">
      <c r="A433">
        <v>508134</v>
      </c>
      <c r="B433" t="s">
        <v>188</v>
      </c>
      <c r="C433" t="s">
        <v>978</v>
      </c>
      <c r="D433" t="s">
        <v>982</v>
      </c>
      <c r="E433" s="21">
        <v>4.7</v>
      </c>
      <c r="F433" s="2">
        <f t="shared" si="153"/>
        <v>0.33333333333333331</v>
      </c>
      <c r="G433" s="26">
        <v>36.664920000000002</v>
      </c>
      <c r="H433">
        <f t="shared" si="154"/>
        <v>0.37587328065662584</v>
      </c>
      <c r="I433" s="12">
        <v>0.3</v>
      </c>
      <c r="J433" s="2">
        <f t="shared" si="140"/>
        <v>1.2615643397813287E-3</v>
      </c>
      <c r="K433" s="10">
        <v>0</v>
      </c>
      <c r="L433" s="2">
        <f t="shared" si="155"/>
        <v>0</v>
      </c>
      <c r="M433">
        <v>52038</v>
      </c>
      <c r="N433">
        <f t="shared" si="142"/>
        <v>0.24508287083694105</v>
      </c>
      <c r="O433" s="10">
        <v>0.58392417399999996</v>
      </c>
      <c r="P433">
        <f t="shared" si="143"/>
        <v>0.54760334733119853</v>
      </c>
      <c r="Q433" s="23">
        <v>0.26379999999999998</v>
      </c>
      <c r="R433" s="13">
        <f t="shared" si="144"/>
        <v>0.57124296232135119</v>
      </c>
      <c r="S433">
        <f t="shared" si="145"/>
        <v>2.4614095891327629E-2</v>
      </c>
      <c r="T433" s="4">
        <f t="shared" si="156"/>
        <v>-1.1306931337814398E-3</v>
      </c>
      <c r="U433" t="str">
        <f t="shared" si="146"/>
        <v>No Impact</v>
      </c>
      <c r="V433">
        <f t="shared" si="147"/>
        <v>2.5134156372540975E-2</v>
      </c>
      <c r="W433">
        <f t="shared" si="134"/>
        <v>4.065784291107203E-2</v>
      </c>
      <c r="X433" t="s">
        <v>1170</v>
      </c>
      <c r="Y433">
        <f t="shared" si="135"/>
        <v>2.4094035410114279E-2</v>
      </c>
      <c r="Z433">
        <f t="shared" si="148"/>
        <v>4.3860900808051669E-2</v>
      </c>
      <c r="AA433" t="str">
        <f t="shared" si="149"/>
        <v>No Impact</v>
      </c>
      <c r="AB433">
        <f t="shared" si="136"/>
        <v>1.9799361382351832E-2</v>
      </c>
      <c r="AC433">
        <f t="shared" si="150"/>
        <v>4.8393176749353922E-2</v>
      </c>
      <c r="AD433" t="str">
        <f t="shared" si="151"/>
        <v>No Impact</v>
      </c>
      <c r="AE433">
        <f t="shared" si="137"/>
        <v>1.078341722550916E-2</v>
      </c>
      <c r="AF433">
        <f t="shared" si="152"/>
        <v>6.5108369169119495E-2</v>
      </c>
      <c r="AG433" t="s">
        <v>1170</v>
      </c>
    </row>
    <row r="434" spans="1:33" customFormat="1" x14ac:dyDescent="0.3">
      <c r="A434">
        <v>508140</v>
      </c>
      <c r="B434" t="s">
        <v>328</v>
      </c>
      <c r="C434" t="s">
        <v>978</v>
      </c>
      <c r="D434" t="s">
        <v>983</v>
      </c>
      <c r="E434" s="21">
        <v>3.6</v>
      </c>
      <c r="F434" s="2">
        <f t="shared" si="153"/>
        <v>8.8888888888888865E-2</v>
      </c>
      <c r="G434" s="26">
        <v>38.129040000000003</v>
      </c>
      <c r="H434">
        <f t="shared" si="154"/>
        <v>0.39088282077494546</v>
      </c>
      <c r="I434" s="12">
        <v>0.1</v>
      </c>
      <c r="J434" s="2">
        <f t="shared" si="140"/>
        <v>4.2052144659377626E-4</v>
      </c>
      <c r="K434" s="10">
        <v>0</v>
      </c>
      <c r="L434" s="2">
        <f t="shared" si="155"/>
        <v>0</v>
      </c>
      <c r="M434">
        <v>7843</v>
      </c>
      <c r="N434">
        <f t="shared" si="142"/>
        <v>3.5977724470435714E-2</v>
      </c>
      <c r="O434" s="10">
        <v>0.21453851199999999</v>
      </c>
      <c r="P434">
        <f t="shared" si="143"/>
        <v>0.14080305327651546</v>
      </c>
      <c r="Q434" s="23">
        <v>0.2442</v>
      </c>
      <c r="R434" s="13">
        <f t="shared" si="144"/>
        <v>0.52880034647033347</v>
      </c>
      <c r="S434">
        <f t="shared" si="145"/>
        <v>4.0758363066376235E-3</v>
      </c>
      <c r="T434" s="4">
        <f t="shared" si="156"/>
        <v>-1.1307903089319449E-3</v>
      </c>
      <c r="U434" t="str">
        <f t="shared" si="146"/>
        <v>No Impact</v>
      </c>
      <c r="V434">
        <f t="shared" si="147"/>
        <v>6.4375528915210905E-3</v>
      </c>
      <c r="W434">
        <f t="shared" si="134"/>
        <v>1.0413598543579098E-2</v>
      </c>
      <c r="X434" t="s">
        <v>1170</v>
      </c>
      <c r="Y434">
        <f t="shared" si="135"/>
        <v>1.7141197217541578E-3</v>
      </c>
      <c r="Z434">
        <f t="shared" si="148"/>
        <v>3.1203919895221757E-3</v>
      </c>
      <c r="AA434" t="str">
        <f t="shared" si="149"/>
        <v>No Impact</v>
      </c>
      <c r="AB434">
        <f t="shared" si="136"/>
        <v>2.9206754258274182E-3</v>
      </c>
      <c r="AC434">
        <f t="shared" si="150"/>
        <v>7.1386525747009662E-3</v>
      </c>
      <c r="AD434" t="str">
        <f t="shared" si="151"/>
        <v>No Impact</v>
      </c>
      <c r="AE434">
        <f t="shared" si="137"/>
        <v>4.3798856362511126E-4</v>
      </c>
      <c r="AF434">
        <f t="shared" si="152"/>
        <v>2.6444976111002377E-3</v>
      </c>
      <c r="AG434" t="s">
        <v>1170</v>
      </c>
    </row>
    <row r="435" spans="1:33" customFormat="1" x14ac:dyDescent="0.3">
      <c r="A435">
        <v>508153</v>
      </c>
      <c r="B435" t="s">
        <v>347</v>
      </c>
      <c r="C435" t="s">
        <v>978</v>
      </c>
      <c r="D435" t="s">
        <v>984</v>
      </c>
      <c r="E435" s="21">
        <v>3.5</v>
      </c>
      <c r="F435" s="2">
        <f t="shared" si="153"/>
        <v>6.6666666666666624E-2</v>
      </c>
      <c r="G435" s="26">
        <v>36.664920000000002</v>
      </c>
      <c r="H435">
        <f t="shared" si="154"/>
        <v>0.37587328065662584</v>
      </c>
      <c r="I435" s="12">
        <v>0.2</v>
      </c>
      <c r="J435" s="2">
        <f t="shared" si="140"/>
        <v>8.4104289318755253E-4</v>
      </c>
      <c r="K435" s="10">
        <v>0</v>
      </c>
      <c r="L435" s="2">
        <f t="shared" si="155"/>
        <v>0</v>
      </c>
      <c r="M435">
        <v>20804</v>
      </c>
      <c r="N435">
        <f t="shared" si="142"/>
        <v>9.7301670664717316E-2</v>
      </c>
      <c r="O435" s="10">
        <v>0.57818366399999999</v>
      </c>
      <c r="P435">
        <f t="shared" si="143"/>
        <v>0.54128138793683567</v>
      </c>
      <c r="Q435" s="23">
        <v>0.2344</v>
      </c>
      <c r="R435" s="13">
        <f t="shared" si="144"/>
        <v>0.50757903854482456</v>
      </c>
      <c r="S435">
        <f t="shared" si="145"/>
        <v>4.6097420373690818E-3</v>
      </c>
      <c r="T435" s="4">
        <f t="shared" si="156"/>
        <v>-1.1307877827992157E-3</v>
      </c>
      <c r="U435" t="str">
        <f t="shared" si="146"/>
        <v>No Impact</v>
      </c>
      <c r="V435">
        <f t="shared" si="147"/>
        <v>4.4616201969144894E-3</v>
      </c>
      <c r="W435">
        <f t="shared" si="134"/>
        <v>7.2172644431063773E-3</v>
      </c>
      <c r="X435" t="s">
        <v>1170</v>
      </c>
      <c r="Y435">
        <f t="shared" si="135"/>
        <v>4.7578638778236768E-3</v>
      </c>
      <c r="Z435">
        <f t="shared" si="148"/>
        <v>8.6612388523275002E-3</v>
      </c>
      <c r="AA435" t="str">
        <f t="shared" si="149"/>
        <v>No Impact</v>
      </c>
      <c r="AB435">
        <f t="shared" si="136"/>
        <v>3.2882748521324339E-3</v>
      </c>
      <c r="AC435">
        <f t="shared" si="150"/>
        <v>8.0371312511898062E-3</v>
      </c>
      <c r="AD435" t="str">
        <f t="shared" si="151"/>
        <v>No Impact</v>
      </c>
      <c r="AE435">
        <f t="shared" si="137"/>
        <v>8.5528177104359914E-4</v>
      </c>
      <c r="AF435">
        <f t="shared" si="152"/>
        <v>5.1640403156241292E-3</v>
      </c>
      <c r="AG435" t="s">
        <v>1170</v>
      </c>
    </row>
    <row r="436" spans="1:33" customFormat="1" x14ac:dyDescent="0.3">
      <c r="A436">
        <v>508172</v>
      </c>
      <c r="B436" t="s">
        <v>391</v>
      </c>
      <c r="C436" t="s">
        <v>978</v>
      </c>
      <c r="D436" t="s">
        <v>985</v>
      </c>
      <c r="E436" s="21">
        <v>4.5</v>
      </c>
      <c r="F436" s="2">
        <f t="shared" si="153"/>
        <v>0.28888888888888886</v>
      </c>
      <c r="G436" s="26">
        <v>38.129040000000003</v>
      </c>
      <c r="H436">
        <f t="shared" si="154"/>
        <v>0.39088282077494546</v>
      </c>
      <c r="I436" s="12">
        <v>0.2</v>
      </c>
      <c r="J436" s="2">
        <f t="shared" si="140"/>
        <v>8.4104289318755253E-4</v>
      </c>
      <c r="K436" s="10">
        <v>0</v>
      </c>
      <c r="L436" s="2">
        <f t="shared" si="155"/>
        <v>0</v>
      </c>
      <c r="M436">
        <v>62600</v>
      </c>
      <c r="N436">
        <f t="shared" si="142"/>
        <v>0.29505613830889554</v>
      </c>
      <c r="O436" s="10">
        <v>0.33175270899999998</v>
      </c>
      <c r="P436">
        <f t="shared" si="143"/>
        <v>0.2698897361456073</v>
      </c>
      <c r="Q436" s="23">
        <v>0.26219999999999999</v>
      </c>
      <c r="R436" s="13">
        <f t="shared" si="144"/>
        <v>0.5677782589865743</v>
      </c>
      <c r="S436">
        <f t="shared" si="145"/>
        <v>1.6589024144840467E-2</v>
      </c>
      <c r="T436" s="4">
        <f t="shared" si="156"/>
        <v>-1.130731103773569E-3</v>
      </c>
      <c r="U436" t="str">
        <f t="shared" si="146"/>
        <v>No Impact</v>
      </c>
      <c r="V436">
        <f t="shared" si="147"/>
        <v>2.2488354102050877E-2</v>
      </c>
      <c r="W436">
        <f t="shared" si="134"/>
        <v>3.6377905622034266E-2</v>
      </c>
      <c r="X436" t="s">
        <v>1170</v>
      </c>
      <c r="Y436">
        <f t="shared" si="135"/>
        <v>1.0689694187630059E-2</v>
      </c>
      <c r="Z436">
        <f t="shared" si="148"/>
        <v>1.9459571983331151E-2</v>
      </c>
      <c r="AA436" t="str">
        <f t="shared" si="149"/>
        <v>No Impact</v>
      </c>
      <c r="AB436">
        <f t="shared" si="136"/>
        <v>1.5168098743496715E-2</v>
      </c>
      <c r="AC436">
        <f t="shared" si="150"/>
        <v>3.7073543397211278E-2</v>
      </c>
      <c r="AD436" t="str">
        <f t="shared" si="151"/>
        <v>No Impact</v>
      </c>
      <c r="AE436">
        <f t="shared" si="137"/>
        <v>1.1686475861399689E-2</v>
      </c>
      <c r="AF436">
        <f t="shared" si="152"/>
        <v>7.0560877758681737E-2</v>
      </c>
      <c r="AG436" t="s">
        <v>1170</v>
      </c>
    </row>
    <row r="437" spans="1:33" customFormat="1" x14ac:dyDescent="0.3">
      <c r="A437">
        <v>508182</v>
      </c>
      <c r="B437" t="s">
        <v>423</v>
      </c>
      <c r="C437" t="s">
        <v>978</v>
      </c>
      <c r="D437" t="s">
        <v>986</v>
      </c>
      <c r="E437" s="21">
        <v>4.5999999999999996</v>
      </c>
      <c r="F437" s="2">
        <f t="shared" si="153"/>
        <v>0.31111111111111101</v>
      </c>
      <c r="G437" s="26">
        <v>40.193999999999996</v>
      </c>
      <c r="H437">
        <f t="shared" si="154"/>
        <v>0.41205191891083948</v>
      </c>
      <c r="I437" s="12">
        <v>0.2</v>
      </c>
      <c r="J437" s="2">
        <f t="shared" si="140"/>
        <v>8.4104289318755253E-4</v>
      </c>
      <c r="K437" s="10">
        <v>0</v>
      </c>
      <c r="L437" s="2">
        <f t="shared" si="155"/>
        <v>0</v>
      </c>
      <c r="M437">
        <v>25708</v>
      </c>
      <c r="N437">
        <f t="shared" si="142"/>
        <v>0.12050455872403042</v>
      </c>
      <c r="O437" s="10">
        <v>0.39659653499999997</v>
      </c>
      <c r="P437">
        <f t="shared" si="143"/>
        <v>0.34130151575179762</v>
      </c>
      <c r="Q437" s="23">
        <v>0.27450000000000002</v>
      </c>
      <c r="R437" s="13">
        <f t="shared" si="144"/>
        <v>0.59441316587267223</v>
      </c>
      <c r="S437">
        <f t="shared" si="145"/>
        <v>2.1034611454080591E-2</v>
      </c>
      <c r="T437" s="4">
        <f t="shared" si="156"/>
        <v>-1.1307100698288925E-3</v>
      </c>
      <c r="U437" t="str">
        <f t="shared" si="146"/>
        <v>No Impact</v>
      </c>
      <c r="V437">
        <f t="shared" si="147"/>
        <v>2.6724492482291824E-2</v>
      </c>
      <c r="W437">
        <f t="shared" si="134"/>
        <v>4.3230423218430021E-2</v>
      </c>
      <c r="X437" t="s">
        <v>1170</v>
      </c>
      <c r="Y437">
        <f t="shared" si="135"/>
        <v>1.5344730425869353E-2</v>
      </c>
      <c r="Z437">
        <f t="shared" si="148"/>
        <v>2.7933622893773106E-2</v>
      </c>
      <c r="AA437" t="str">
        <f t="shared" si="149"/>
        <v>No Impact</v>
      </c>
      <c r="AB437">
        <f t="shared" si="136"/>
        <v>1.5853228281865289E-2</v>
      </c>
      <c r="AC437">
        <f t="shared" si="150"/>
        <v>3.8748122400351595E-2</v>
      </c>
      <c r="AD437" t="str">
        <f t="shared" si="151"/>
        <v>No Impact</v>
      </c>
      <c r="AE437">
        <f t="shared" si="137"/>
        <v>5.4178193865781288E-3</v>
      </c>
      <c r="AF437">
        <f t="shared" si="152"/>
        <v>3.2711836826501514E-2</v>
      </c>
      <c r="AG437" t="s">
        <v>1170</v>
      </c>
    </row>
    <row r="438" spans="1:33" customFormat="1" x14ac:dyDescent="0.3">
      <c r="A438">
        <v>508185</v>
      </c>
      <c r="B438" t="s">
        <v>430</v>
      </c>
      <c r="C438" t="s">
        <v>978</v>
      </c>
      <c r="D438" t="s">
        <v>987</v>
      </c>
      <c r="E438" s="21">
        <v>4.5999999999999996</v>
      </c>
      <c r="F438" s="2">
        <f t="shared" si="153"/>
        <v>0.31111111111111101</v>
      </c>
      <c r="G438" s="26">
        <v>36.664920000000002</v>
      </c>
      <c r="H438">
        <f t="shared" si="154"/>
        <v>0.37587328065662584</v>
      </c>
      <c r="I438" s="12">
        <v>0.2</v>
      </c>
      <c r="J438" s="2">
        <f t="shared" si="140"/>
        <v>8.4104289318755253E-4</v>
      </c>
      <c r="K438" s="10">
        <v>0</v>
      </c>
      <c r="L438" s="2">
        <f t="shared" si="155"/>
        <v>0</v>
      </c>
      <c r="M438">
        <v>13822</v>
      </c>
      <c r="N438">
        <f t="shared" si="142"/>
        <v>6.4266889989732817E-2</v>
      </c>
      <c r="O438" s="10">
        <v>0.205075971</v>
      </c>
      <c r="P438">
        <f t="shared" si="143"/>
        <v>0.13038206281234174</v>
      </c>
      <c r="Q438" s="23">
        <v>0.23180000000000001</v>
      </c>
      <c r="R438" s="13">
        <f t="shared" si="144"/>
        <v>0.50194889562581202</v>
      </c>
      <c r="S438">
        <f t="shared" si="145"/>
        <v>1.2969109260126749E-2</v>
      </c>
      <c r="T438" s="4">
        <f t="shared" si="156"/>
        <v>-1.1307482311144856E-3</v>
      </c>
      <c r="U438" t="str">
        <f t="shared" si="146"/>
        <v>No Impact</v>
      </c>
      <c r="V438">
        <f t="shared" si="147"/>
        <v>2.0589945766534279E-2</v>
      </c>
      <c r="W438">
        <f t="shared" si="134"/>
        <v>3.3306977489716755E-2</v>
      </c>
      <c r="X438" t="s">
        <v>1170</v>
      </c>
      <c r="Y438">
        <f t="shared" si="135"/>
        <v>5.3482727537192184E-3</v>
      </c>
      <c r="Z438">
        <f t="shared" si="148"/>
        <v>9.7360220798385286E-3</v>
      </c>
      <c r="AA438" t="str">
        <f t="shared" si="149"/>
        <v>No Impact</v>
      </c>
      <c r="AB438">
        <f t="shared" si="136"/>
        <v>9.7336426766552551E-3</v>
      </c>
      <c r="AC438">
        <f t="shared" si="150"/>
        <v>2.379076180135262E-2</v>
      </c>
      <c r="AD438" t="str">
        <f t="shared" si="151"/>
        <v>No Impact</v>
      </c>
      <c r="AE438">
        <f t="shared" si="137"/>
        <v>2.6362280921499791E-3</v>
      </c>
      <c r="AF438">
        <f t="shared" si="152"/>
        <v>1.5917079739034216E-2</v>
      </c>
      <c r="AG438" t="s">
        <v>1170</v>
      </c>
    </row>
    <row r="439" spans="1:33" customFormat="1" x14ac:dyDescent="0.3">
      <c r="A439">
        <v>508190</v>
      </c>
      <c r="B439" t="s">
        <v>473</v>
      </c>
      <c r="C439" t="s">
        <v>978</v>
      </c>
      <c r="D439" t="s">
        <v>988</v>
      </c>
      <c r="E439" s="21">
        <v>3.6</v>
      </c>
      <c r="F439" s="2">
        <f t="shared" si="153"/>
        <v>8.8888888888888865E-2</v>
      </c>
      <c r="G439" s="26">
        <v>36.664920000000002</v>
      </c>
      <c r="H439">
        <f t="shared" si="154"/>
        <v>0.37587328065662584</v>
      </c>
      <c r="I439" s="12">
        <v>0.2</v>
      </c>
      <c r="J439" s="2">
        <f t="shared" si="140"/>
        <v>8.4104289318755253E-4</v>
      </c>
      <c r="K439" s="10">
        <v>0</v>
      </c>
      <c r="L439" s="2">
        <f t="shared" si="155"/>
        <v>0</v>
      </c>
      <c r="M439">
        <v>6230</v>
      </c>
      <c r="N439">
        <f t="shared" si="142"/>
        <v>2.8345942570013202E-2</v>
      </c>
      <c r="O439" s="10">
        <v>0.158506857</v>
      </c>
      <c r="P439">
        <f t="shared" si="143"/>
        <v>7.9096018934802018E-2</v>
      </c>
      <c r="Q439" s="23">
        <v>0.26140000000000002</v>
      </c>
      <c r="R439" s="13">
        <f t="shared" si="144"/>
        <v>0.5660459073191858</v>
      </c>
      <c r="S439">
        <f t="shared" si="145"/>
        <v>3.7805320675483589E-3</v>
      </c>
      <c r="T439" s="4">
        <f t="shared" si="156"/>
        <v>-1.1307917061405917E-3</v>
      </c>
      <c r="U439" t="str">
        <f t="shared" si="146"/>
        <v>No Impact</v>
      </c>
      <c r="V439">
        <f t="shared" si="147"/>
        <v>6.634058700076495E-3</v>
      </c>
      <c r="W439">
        <f t="shared" si="134"/>
        <v>1.0731472840887416E-2</v>
      </c>
      <c r="X439" t="s">
        <v>1170</v>
      </c>
      <c r="Y439">
        <f t="shared" si="135"/>
        <v>9.2700543502022281E-4</v>
      </c>
      <c r="Z439">
        <f t="shared" si="148"/>
        <v>1.687525262658105E-3</v>
      </c>
      <c r="AA439" t="str">
        <f t="shared" si="149"/>
        <v>No Impact</v>
      </c>
      <c r="AB439">
        <f t="shared" si="136"/>
        <v>2.7162972436331899E-3</v>
      </c>
      <c r="AC439">
        <f t="shared" si="150"/>
        <v>6.6391157813853567E-3</v>
      </c>
      <c r="AD439" t="str">
        <f t="shared" si="151"/>
        <v>No Impact</v>
      </c>
      <c r="AE439">
        <f t="shared" si="137"/>
        <v>3.3221448028671399E-4</v>
      </c>
      <c r="AF439">
        <f t="shared" si="152"/>
        <v>2.0058523725361324E-3</v>
      </c>
      <c r="AG439" t="s">
        <v>1170</v>
      </c>
    </row>
    <row r="440" spans="1:33" customFormat="1" x14ac:dyDescent="0.3">
      <c r="A440">
        <v>508194</v>
      </c>
      <c r="B440" t="s">
        <v>515</v>
      </c>
      <c r="C440" t="s">
        <v>978</v>
      </c>
      <c r="D440" t="s">
        <v>989</v>
      </c>
      <c r="E440" s="21">
        <v>4.7</v>
      </c>
      <c r="F440" s="2">
        <f t="shared" si="153"/>
        <v>0.33333333333333331</v>
      </c>
      <c r="G440" s="26">
        <v>36.664920000000002</v>
      </c>
      <c r="H440">
        <f t="shared" si="154"/>
        <v>0.37587328065662584</v>
      </c>
      <c r="I440" s="12">
        <v>0.3</v>
      </c>
      <c r="J440" s="2">
        <f t="shared" si="140"/>
        <v>1.2615643397813287E-3</v>
      </c>
      <c r="K440" s="10">
        <v>0</v>
      </c>
      <c r="L440" s="2">
        <f t="shared" si="155"/>
        <v>0</v>
      </c>
      <c r="M440">
        <v>17904</v>
      </c>
      <c r="N440">
        <f t="shared" si="142"/>
        <v>8.3580550074993015E-2</v>
      </c>
      <c r="O440" s="10">
        <v>0.78943712899999996</v>
      </c>
      <c r="P440">
        <f t="shared" si="143"/>
        <v>0.77393246382529479</v>
      </c>
      <c r="Q440" s="23">
        <v>0.26679999999999998</v>
      </c>
      <c r="R440" s="13">
        <f t="shared" si="144"/>
        <v>0.57773928107405803</v>
      </c>
      <c r="S440">
        <f t="shared" si="145"/>
        <v>2.9736146649920702E-2</v>
      </c>
      <c r="T440" s="4">
        <f t="shared" si="156"/>
        <v>-1.1306688992034656E-3</v>
      </c>
      <c r="U440" t="str">
        <f t="shared" si="146"/>
        <v>No Impact</v>
      </c>
      <c r="V440">
        <f t="shared" si="147"/>
        <v>2.5419988325223398E-2</v>
      </c>
      <c r="W440">
        <f t="shared" si="134"/>
        <v>4.112021413447315E-2</v>
      </c>
      <c r="X440" t="s">
        <v>1170</v>
      </c>
      <c r="Y440">
        <f t="shared" si="135"/>
        <v>3.4052304974617996E-2</v>
      </c>
      <c r="Z440">
        <f t="shared" si="148"/>
        <v>6.1988983802616582E-2</v>
      </c>
      <c r="AA440" t="str">
        <f t="shared" si="149"/>
        <v>No Impact</v>
      </c>
      <c r="AB440">
        <f t="shared" si="136"/>
        <v>2.0399800532934505E-2</v>
      </c>
      <c r="AC440">
        <f t="shared" si="150"/>
        <v>4.9860757313203795E-2</v>
      </c>
      <c r="AD440" t="str">
        <f t="shared" si="151"/>
        <v>No Impact</v>
      </c>
      <c r="AE440">
        <f t="shared" si="137"/>
        <v>3.6774660763454758E-3</v>
      </c>
      <c r="AF440">
        <f t="shared" si="152"/>
        <v>2.2203890835199441E-2</v>
      </c>
      <c r="AG440" t="s">
        <v>1170</v>
      </c>
    </row>
    <row r="441" spans="1:33" customFormat="1" x14ac:dyDescent="0.3">
      <c r="A441">
        <v>508811</v>
      </c>
      <c r="B441" t="s">
        <v>61</v>
      </c>
      <c r="C441" t="s">
        <v>991</v>
      </c>
      <c r="D441" t="s">
        <v>990</v>
      </c>
      <c r="E441" s="21">
        <v>7</v>
      </c>
      <c r="F441" s="2">
        <f t="shared" si="153"/>
        <v>0.84444444444444444</v>
      </c>
      <c r="G441" s="26">
        <v>39.701520000000002</v>
      </c>
      <c r="H441">
        <f t="shared" si="154"/>
        <v>0.40700322186587734</v>
      </c>
      <c r="I441" s="12">
        <v>3.4</v>
      </c>
      <c r="J441" s="2">
        <f t="shared" si="140"/>
        <v>1.4297729184188392E-2</v>
      </c>
      <c r="K441" s="10">
        <v>0</v>
      </c>
      <c r="L441" s="2">
        <f t="shared" si="155"/>
        <v>0</v>
      </c>
      <c r="M441">
        <v>36657</v>
      </c>
      <c r="N441">
        <f t="shared" si="142"/>
        <v>0.17230888608157915</v>
      </c>
      <c r="O441" s="10">
        <v>0.55421536299999996</v>
      </c>
      <c r="P441">
        <f t="shared" si="143"/>
        <v>0.51488536638581195</v>
      </c>
      <c r="Q441" s="23">
        <v>0.26650000000000001</v>
      </c>
      <c r="R441" s="13">
        <f t="shared" si="144"/>
        <v>0.57708964919878736</v>
      </c>
      <c r="S441">
        <f t="shared" si="145"/>
        <v>6.7985183304774849E-2</v>
      </c>
      <c r="T441" s="4">
        <f t="shared" si="156"/>
        <v>-1.1304879269122994E-3</v>
      </c>
      <c r="U441" t="str">
        <f t="shared" si="146"/>
        <v>No Impact</v>
      </c>
      <c r="V441">
        <f t="shared" si="147"/>
        <v>7.1857954667696719E-2</v>
      </c>
      <c r="W441">
        <f t="shared" si="134"/>
        <v>0.11623980488885555</v>
      </c>
      <c r="X441" t="s">
        <v>1170</v>
      </c>
      <c r="Y441">
        <f t="shared" si="135"/>
        <v>6.4112411941852993E-2</v>
      </c>
      <c r="Z441">
        <f t="shared" si="148"/>
        <v>0.11671055067704093</v>
      </c>
      <c r="AA441" t="str">
        <f t="shared" si="149"/>
        <v>No Impact</v>
      </c>
      <c r="AB441">
        <f t="shared" si="136"/>
        <v>5.1893443121526293E-2</v>
      </c>
      <c r="AC441">
        <f t="shared" si="150"/>
        <v>0.1268368467354207</v>
      </c>
      <c r="AD441" t="str">
        <f t="shared" si="151"/>
        <v>No Impact</v>
      </c>
      <c r="AE441">
        <f t="shared" si="137"/>
        <v>2.1455529729361586E-2</v>
      </c>
      <c r="AF441">
        <f t="shared" si="152"/>
        <v>0.12954470008205898</v>
      </c>
      <c r="AG441" t="s">
        <v>1170</v>
      </c>
    </row>
    <row r="442" spans="1:33" customFormat="1" x14ac:dyDescent="0.3">
      <c r="A442">
        <v>508827</v>
      </c>
      <c r="B442" t="s">
        <v>107</v>
      </c>
      <c r="C442" t="s">
        <v>991</v>
      </c>
      <c r="D442" t="s">
        <v>992</v>
      </c>
      <c r="E442" s="21">
        <v>5.4</v>
      </c>
      <c r="F442" s="2">
        <f t="shared" si="153"/>
        <v>0.48888888888888893</v>
      </c>
      <c r="G442" s="26">
        <v>40.170960000000001</v>
      </c>
      <c r="H442">
        <f t="shared" si="154"/>
        <v>0.41181572255785887</v>
      </c>
      <c r="I442" s="12">
        <v>6.2</v>
      </c>
      <c r="J442" s="2">
        <f t="shared" si="140"/>
        <v>2.6072329688814129E-2</v>
      </c>
      <c r="K442" s="10">
        <v>0</v>
      </c>
      <c r="L442" s="2">
        <f t="shared" si="155"/>
        <v>0</v>
      </c>
      <c r="M442">
        <v>9272</v>
      </c>
      <c r="N442">
        <f t="shared" si="142"/>
        <v>4.2738924926544693E-2</v>
      </c>
      <c r="O442" s="10">
        <v>0.53167500700000003</v>
      </c>
      <c r="P442">
        <f t="shared" si="143"/>
        <v>0.49006192467654169</v>
      </c>
      <c r="Q442" s="23">
        <v>0.17560000000000001</v>
      </c>
      <c r="R442" s="13">
        <f t="shared" si="144"/>
        <v>0.38025119099177135</v>
      </c>
      <c r="S442">
        <f t="shared" si="145"/>
        <v>3.2605197844426989E-2</v>
      </c>
      <c r="T442" s="4">
        <f t="shared" si="156"/>
        <v>-1.1306553245147009E-3</v>
      </c>
      <c r="U442" t="str">
        <f t="shared" si="146"/>
        <v>No Impact</v>
      </c>
      <c r="V442">
        <f t="shared" si="147"/>
        <v>2.8491275357479019E-2</v>
      </c>
      <c r="W442">
        <f t="shared" si="134"/>
        <v>4.6088429651294074E-2</v>
      </c>
      <c r="X442" t="s">
        <v>1170</v>
      </c>
      <c r="Y442">
        <f t="shared" si="135"/>
        <v>3.6719120331374956E-2</v>
      </c>
      <c r="Z442">
        <f t="shared" si="148"/>
        <v>6.6843667621459324E-2</v>
      </c>
      <c r="AA442" t="str">
        <f t="shared" si="149"/>
        <v>No Impact</v>
      </c>
      <c r="AB442">
        <f t="shared" si="136"/>
        <v>2.2108494920603208E-2</v>
      </c>
      <c r="AC442">
        <f t="shared" si="150"/>
        <v>5.4037111687278989E-2</v>
      </c>
      <c r="AD442" t="str">
        <f t="shared" si="151"/>
        <v>No Impact</v>
      </c>
      <c r="AE442">
        <f t="shared" si="137"/>
        <v>3.2023212744944681E-3</v>
      </c>
      <c r="AF442">
        <f t="shared" si="152"/>
        <v>1.9335050418404491E-2</v>
      </c>
      <c r="AG442" t="s">
        <v>1170</v>
      </c>
    </row>
    <row r="443" spans="1:33" customFormat="1" x14ac:dyDescent="0.3">
      <c r="A443">
        <v>508844</v>
      </c>
      <c r="B443" t="s">
        <v>254</v>
      </c>
      <c r="C443" t="s">
        <v>991</v>
      </c>
      <c r="D443" t="s">
        <v>993</v>
      </c>
      <c r="E443" s="21">
        <v>6.9</v>
      </c>
      <c r="F443" s="2">
        <f t="shared" si="153"/>
        <v>0.8222222222222223</v>
      </c>
      <c r="G443" s="26">
        <v>39.701520000000002</v>
      </c>
      <c r="H443">
        <f t="shared" si="154"/>
        <v>0.40700322186587734</v>
      </c>
      <c r="I443" s="12">
        <v>2.2999999999999998</v>
      </c>
      <c r="J443" s="2">
        <f t="shared" si="140"/>
        <v>9.6719932716568535E-3</v>
      </c>
      <c r="K443" s="10">
        <v>0</v>
      </c>
      <c r="L443" s="2">
        <f t="shared" si="155"/>
        <v>0</v>
      </c>
      <c r="M443">
        <v>21302</v>
      </c>
      <c r="N443">
        <f t="shared" si="142"/>
        <v>9.96579182694355E-2</v>
      </c>
      <c r="O443" s="10">
        <v>0.731200776</v>
      </c>
      <c r="P443">
        <f t="shared" si="143"/>
        <v>0.7097974202591687</v>
      </c>
      <c r="Q443" s="23">
        <v>0.30969999999999998</v>
      </c>
      <c r="R443" s="13">
        <f t="shared" si="144"/>
        <v>0.67063663923776518</v>
      </c>
      <c r="S443">
        <f t="shared" si="145"/>
        <v>8.27638325608515E-2</v>
      </c>
      <c r="T443" s="4">
        <f t="shared" si="156"/>
        <v>-1.1304180029024387E-3</v>
      </c>
      <c r="U443" t="str">
        <f t="shared" si="146"/>
        <v>No Impact</v>
      </c>
      <c r="V443">
        <f t="shared" si="147"/>
        <v>8.0415950529754171E-2</v>
      </c>
      <c r="W443">
        <f t="shared" si="134"/>
        <v>0.13008350213636971</v>
      </c>
      <c r="X443" t="s">
        <v>1170</v>
      </c>
      <c r="Y443">
        <f t="shared" si="135"/>
        <v>8.5111714591948856E-2</v>
      </c>
      <c r="Z443">
        <f t="shared" si="148"/>
        <v>0.15493778471636133</v>
      </c>
      <c r="AA443" t="str">
        <f t="shared" si="149"/>
        <v>Low</v>
      </c>
      <c r="AB443">
        <f t="shared" si="136"/>
        <v>5.7861585783114858E-2</v>
      </c>
      <c r="AC443">
        <f t="shared" si="150"/>
        <v>0.1414240537220588</v>
      </c>
      <c r="AD443" t="str">
        <f t="shared" si="151"/>
        <v>No Impact</v>
      </c>
      <c r="AE443">
        <f t="shared" si="137"/>
        <v>1.1949967771760713E-2</v>
      </c>
      <c r="AF443">
        <f t="shared" si="152"/>
        <v>7.2151795388417803E-2</v>
      </c>
      <c r="AG443" t="s">
        <v>1170</v>
      </c>
    </row>
    <row r="444" spans="1:33" customFormat="1" x14ac:dyDescent="0.3">
      <c r="A444">
        <v>508850</v>
      </c>
      <c r="B444" t="s">
        <v>267</v>
      </c>
      <c r="C444" t="s">
        <v>991</v>
      </c>
      <c r="D444" t="s">
        <v>994</v>
      </c>
      <c r="E444" s="21">
        <v>6.9</v>
      </c>
      <c r="F444" s="2">
        <f t="shared" si="153"/>
        <v>0.8222222222222223</v>
      </c>
      <c r="G444" s="26">
        <v>39.612960000000001</v>
      </c>
      <c r="H444">
        <f t="shared" si="154"/>
        <v>0.40609534213410786</v>
      </c>
      <c r="I444" s="12">
        <v>1.4</v>
      </c>
      <c r="J444" s="2">
        <f t="shared" si="140"/>
        <v>5.8873002523128675E-3</v>
      </c>
      <c r="K444" s="10">
        <v>0</v>
      </c>
      <c r="L444" s="2">
        <f t="shared" si="155"/>
        <v>0</v>
      </c>
      <c r="M444">
        <v>13658</v>
      </c>
      <c r="N444">
        <f t="shared" si="142"/>
        <v>6.349093696327944E-2</v>
      </c>
      <c r="O444" s="10">
        <v>0.45507258</v>
      </c>
      <c r="P444">
        <f t="shared" si="143"/>
        <v>0.4057005294340203</v>
      </c>
      <c r="Q444" s="23">
        <v>0.25590000000000002</v>
      </c>
      <c r="R444" s="13">
        <f t="shared" si="144"/>
        <v>0.55413598960589006</v>
      </c>
      <c r="S444">
        <f t="shared" si="145"/>
        <v>5.6898844562010546E-2</v>
      </c>
      <c r="T444" s="4">
        <f t="shared" si="156"/>
        <v>-1.1305403810470539E-3</v>
      </c>
      <c r="U444" t="str">
        <f t="shared" si="146"/>
        <v>No Impact</v>
      </c>
      <c r="V444">
        <f t="shared" si="147"/>
        <v>6.5698057769961585E-2</v>
      </c>
      <c r="W444">
        <f t="shared" si="134"/>
        <v>0.10627535186706527</v>
      </c>
      <c r="X444" t="s">
        <v>1170</v>
      </c>
      <c r="Y444">
        <f t="shared" si="135"/>
        <v>4.8099631354059515E-2</v>
      </c>
      <c r="Z444">
        <f t="shared" si="148"/>
        <v>8.7560805976015205E-2</v>
      </c>
      <c r="AA444" t="str">
        <f t="shared" si="149"/>
        <v>No Impact</v>
      </c>
      <c r="AB444">
        <f t="shared" si="136"/>
        <v>4.0058817308571575E-2</v>
      </c>
      <c r="AC444">
        <f t="shared" si="150"/>
        <v>9.7910906768524902E-2</v>
      </c>
      <c r="AD444" t="str">
        <f t="shared" si="151"/>
        <v>No Impact</v>
      </c>
      <c r="AE444">
        <f t="shared" si="137"/>
        <v>7.5274505224776416E-3</v>
      </c>
      <c r="AF444">
        <f t="shared" si="152"/>
        <v>4.5449417125433975E-2</v>
      </c>
      <c r="AG444" t="s">
        <v>1170</v>
      </c>
    </row>
    <row r="445" spans="1:33" customFormat="1" x14ac:dyDescent="0.3">
      <c r="A445">
        <v>508861</v>
      </c>
      <c r="B445" t="s">
        <v>446</v>
      </c>
      <c r="C445" t="s">
        <v>991</v>
      </c>
      <c r="D445" t="s">
        <v>995</v>
      </c>
      <c r="E445" s="21">
        <v>6.8</v>
      </c>
      <c r="F445" s="2">
        <f t="shared" si="153"/>
        <v>0.79999999999999993</v>
      </c>
      <c r="G445" s="26">
        <v>40.230000000000004</v>
      </c>
      <c r="H445">
        <f t="shared" si="154"/>
        <v>0.41242097571237191</v>
      </c>
      <c r="I445" s="12">
        <v>2.2999999999999998</v>
      </c>
      <c r="J445" s="2">
        <f t="shared" si="140"/>
        <v>9.6719932716568535E-3</v>
      </c>
      <c r="K445" s="10">
        <v>0</v>
      </c>
      <c r="L445" s="2">
        <f t="shared" si="155"/>
        <v>0</v>
      </c>
      <c r="M445">
        <v>35856</v>
      </c>
      <c r="N445">
        <f t="shared" si="142"/>
        <v>0.16851901794627944</v>
      </c>
      <c r="O445" s="10">
        <v>0.83644803000000001</v>
      </c>
      <c r="P445">
        <f t="shared" si="143"/>
        <v>0.82570504277984991</v>
      </c>
      <c r="Q445" s="23">
        <v>0.2959</v>
      </c>
      <c r="R445" s="13">
        <f t="shared" si="144"/>
        <v>0.64075357297531399</v>
      </c>
      <c r="S445">
        <f t="shared" si="145"/>
        <v>8.6657461942282854E-2</v>
      </c>
      <c r="T445" s="4">
        <f t="shared" si="156"/>
        <v>-1.1303995805030339E-3</v>
      </c>
      <c r="U445" t="str">
        <f t="shared" si="146"/>
        <v>No Impact</v>
      </c>
      <c r="V445">
        <f t="shared" si="147"/>
        <v>7.5728121841196913E-2</v>
      </c>
      <c r="W445">
        <f t="shared" si="134"/>
        <v>0.12250031535308048</v>
      </c>
      <c r="X445" t="s">
        <v>1170</v>
      </c>
      <c r="Y445">
        <f t="shared" si="135"/>
        <v>9.7586802043368739E-2</v>
      </c>
      <c r="Z445">
        <f t="shared" si="148"/>
        <v>0.17764749539640812</v>
      </c>
      <c r="AA445" t="str">
        <f t="shared" si="149"/>
        <v>Low</v>
      </c>
      <c r="AB445">
        <f t="shared" si="136"/>
        <v>6.2751691133720894E-2</v>
      </c>
      <c r="AC445">
        <f t="shared" si="150"/>
        <v>0.15337634490887328</v>
      </c>
      <c r="AD445" t="str">
        <f t="shared" si="151"/>
        <v>Low</v>
      </c>
      <c r="AE445">
        <f t="shared" si="137"/>
        <v>1.9916593932261011E-2</v>
      </c>
      <c r="AF445">
        <f t="shared" si="152"/>
        <v>0.1202528774705615</v>
      </c>
      <c r="AG445" t="s">
        <v>1170</v>
      </c>
    </row>
    <row r="446" spans="1:33" customFormat="1" x14ac:dyDescent="0.3">
      <c r="A446">
        <v>508867</v>
      </c>
      <c r="B446" t="s">
        <v>475</v>
      </c>
      <c r="C446" t="s">
        <v>991</v>
      </c>
      <c r="D446" t="s">
        <v>996</v>
      </c>
      <c r="E446" s="21">
        <v>6.9</v>
      </c>
      <c r="F446" s="2">
        <f t="shared" si="153"/>
        <v>0.8222222222222223</v>
      </c>
      <c r="G446" s="26">
        <v>40.170960000000001</v>
      </c>
      <c r="H446">
        <f t="shared" si="154"/>
        <v>0.41181572255785887</v>
      </c>
      <c r="I446" s="12">
        <v>6.2</v>
      </c>
      <c r="J446" s="2">
        <f t="shared" si="140"/>
        <v>2.6072329688814129E-2</v>
      </c>
      <c r="K446" s="10">
        <v>0</v>
      </c>
      <c r="L446" s="2">
        <f t="shared" si="155"/>
        <v>0</v>
      </c>
      <c r="M446">
        <v>61653</v>
      </c>
      <c r="N446">
        <f t="shared" si="142"/>
        <v>0.29057548272321659</v>
      </c>
      <c r="O446" s="10">
        <v>0.66117635500000005</v>
      </c>
      <c r="P446">
        <f t="shared" si="143"/>
        <v>0.63268030937951336</v>
      </c>
      <c r="Q446" s="23">
        <v>0.25319999999999998</v>
      </c>
      <c r="R446" s="13">
        <f t="shared" si="144"/>
        <v>0.54828930272845389</v>
      </c>
      <c r="S446">
        <f t="shared" si="145"/>
        <v>7.4409618417218257E-2</v>
      </c>
      <c r="T446" s="4">
        <f t="shared" si="156"/>
        <v>-1.1304575302057828E-3</v>
      </c>
      <c r="U446" t="str">
        <f t="shared" si="146"/>
        <v>No Impact</v>
      </c>
      <c r="V446">
        <f t="shared" si="147"/>
        <v>6.9092375248241467E-2</v>
      </c>
      <c r="W446">
        <f t="shared" si="134"/>
        <v>0.11176611212082818</v>
      </c>
      <c r="X446" t="s">
        <v>1170</v>
      </c>
      <c r="Y446">
        <f t="shared" si="135"/>
        <v>7.9726861586195061E-2</v>
      </c>
      <c r="Z446">
        <f t="shared" si="148"/>
        <v>0.14513517176543325</v>
      </c>
      <c r="AA446" t="str">
        <f t="shared" si="149"/>
        <v>No Impact</v>
      </c>
      <c r="AB446">
        <f t="shared" si="136"/>
        <v>6.0916238246444966E-2</v>
      </c>
      <c r="AC446">
        <f t="shared" si="150"/>
        <v>0.14889017011395142</v>
      </c>
      <c r="AD446" t="str">
        <f t="shared" si="151"/>
        <v>No Impact</v>
      </c>
      <c r="AE446">
        <f t="shared" si="137"/>
        <v>3.6616709810576971E-2</v>
      </c>
      <c r="AF446">
        <f t="shared" si="152"/>
        <v>0.22108522838807226</v>
      </c>
      <c r="AG446" t="s">
        <v>1169</v>
      </c>
    </row>
    <row r="447" spans="1:33" customFormat="1" x14ac:dyDescent="0.3">
      <c r="A447">
        <v>508878</v>
      </c>
      <c r="B447" t="s">
        <v>493</v>
      </c>
      <c r="C447" t="s">
        <v>991</v>
      </c>
      <c r="D447" t="s">
        <v>997</v>
      </c>
      <c r="E447" s="21">
        <v>7</v>
      </c>
      <c r="F447" s="2">
        <f t="shared" si="153"/>
        <v>0.84444444444444444</v>
      </c>
      <c r="G447" s="26">
        <v>39.701520000000002</v>
      </c>
      <c r="H447">
        <f t="shared" si="154"/>
        <v>0.40700322186587734</v>
      </c>
      <c r="I447" s="12">
        <v>2.2999999999999998</v>
      </c>
      <c r="J447" s="2">
        <f t="shared" si="140"/>
        <v>9.6719932716568535E-3</v>
      </c>
      <c r="K447" s="10">
        <v>0</v>
      </c>
      <c r="L447" s="2">
        <f t="shared" si="155"/>
        <v>0</v>
      </c>
      <c r="M447">
        <v>46801</v>
      </c>
      <c r="N447">
        <f t="shared" si="142"/>
        <v>0.22030441962025615</v>
      </c>
      <c r="O447" s="10">
        <v>0.57676246600000003</v>
      </c>
      <c r="P447">
        <f t="shared" si="143"/>
        <v>0.53971623849064543</v>
      </c>
      <c r="Q447" s="23">
        <v>0.26729999999999998</v>
      </c>
      <c r="R447" s="13">
        <f t="shared" si="144"/>
        <v>0.57882200086617586</v>
      </c>
      <c r="S447">
        <f t="shared" si="145"/>
        <v>6.8874369425148629E-2</v>
      </c>
      <c r="T447" s="4">
        <f t="shared" si="156"/>
        <v>-1.1304837197985116E-3</v>
      </c>
      <c r="U447" t="str">
        <f t="shared" si="146"/>
        <v>No Impact</v>
      </c>
      <c r="V447">
        <f t="shared" si="147"/>
        <v>7.1282319935676644E-2</v>
      </c>
      <c r="W447">
        <f t="shared" si="134"/>
        <v>0.11530863910148111</v>
      </c>
      <c r="X447" t="s">
        <v>1170</v>
      </c>
      <c r="Y447">
        <f t="shared" si="135"/>
        <v>6.6466418914620629E-2</v>
      </c>
      <c r="Z447">
        <f t="shared" si="148"/>
        <v>0.12099579657199307</v>
      </c>
      <c r="AA447" t="str">
        <f t="shared" si="149"/>
        <v>No Impact</v>
      </c>
      <c r="AB447">
        <f t="shared" si="136"/>
        <v>5.4384460922049613E-2</v>
      </c>
      <c r="AC447">
        <f t="shared" si="150"/>
        <v>0.13292533930740652</v>
      </c>
      <c r="AD447" t="str">
        <f t="shared" si="151"/>
        <v>No Impact</v>
      </c>
      <c r="AE447">
        <f t="shared" si="137"/>
        <v>2.7130637914790305E-2</v>
      </c>
      <c r="AF447">
        <f t="shared" si="152"/>
        <v>0.16381000124628603</v>
      </c>
      <c r="AG447" t="s">
        <v>1170</v>
      </c>
    </row>
    <row r="448" spans="1:33" customFormat="1" x14ac:dyDescent="0.3">
      <c r="A448">
        <v>508889</v>
      </c>
      <c r="B448" t="s">
        <v>518</v>
      </c>
      <c r="C448" t="s">
        <v>991</v>
      </c>
      <c r="D448" t="s">
        <v>998</v>
      </c>
      <c r="E448" s="21">
        <v>6.9</v>
      </c>
      <c r="F448" s="2">
        <f t="shared" si="153"/>
        <v>0.8222222222222223</v>
      </c>
      <c r="G448" s="26">
        <v>40.230000000000004</v>
      </c>
      <c r="H448">
        <f t="shared" si="154"/>
        <v>0.41242097571237191</v>
      </c>
      <c r="I448" s="12">
        <v>1.9</v>
      </c>
      <c r="J448" s="2">
        <f t="shared" si="140"/>
        <v>7.989907485281748E-3</v>
      </c>
      <c r="K448" s="10">
        <v>0</v>
      </c>
      <c r="L448" s="2">
        <f t="shared" si="155"/>
        <v>0</v>
      </c>
      <c r="M448">
        <v>22985</v>
      </c>
      <c r="N448">
        <f t="shared" si="142"/>
        <v>0.10762089963236859</v>
      </c>
      <c r="O448" s="10">
        <v>0.54104416700000002</v>
      </c>
      <c r="P448">
        <f t="shared" si="143"/>
        <v>0.50038007569087473</v>
      </c>
      <c r="Q448" s="23">
        <v>0.2666</v>
      </c>
      <c r="R448" s="13">
        <f t="shared" si="144"/>
        <v>0.57730619315721099</v>
      </c>
      <c r="S448">
        <f t="shared" si="145"/>
        <v>6.5191887971649778E-2</v>
      </c>
      <c r="T448" s="4">
        <f t="shared" si="156"/>
        <v>-1.130501143168199E-3</v>
      </c>
      <c r="U448" t="str">
        <f t="shared" si="146"/>
        <v>No Impact</v>
      </c>
      <c r="V448">
        <f t="shared" si="147"/>
        <v>6.9845337660045401E-2</v>
      </c>
      <c r="W448">
        <f t="shared" si="134"/>
        <v>0.11298412902990224</v>
      </c>
      <c r="X448" t="s">
        <v>1170</v>
      </c>
      <c r="Y448">
        <f t="shared" si="135"/>
        <v>6.0538438283254156E-2</v>
      </c>
      <c r="Z448">
        <f t="shared" si="148"/>
        <v>0.11020447141459457</v>
      </c>
      <c r="AA448" t="str">
        <f t="shared" si="149"/>
        <v>No Impact</v>
      </c>
      <c r="AB448">
        <f t="shared" si="136"/>
        <v>4.7164576355102746E-2</v>
      </c>
      <c r="AC448">
        <f t="shared" si="150"/>
        <v>0.11527865145667492</v>
      </c>
      <c r="AD448" t="str">
        <f t="shared" si="151"/>
        <v>No Impact</v>
      </c>
      <c r="AE448">
        <f t="shared" si="137"/>
        <v>1.302050482603029E-2</v>
      </c>
      <c r="AF448">
        <f t="shared" si="152"/>
        <v>7.861550909632492E-2</v>
      </c>
      <c r="AG448" t="s">
        <v>1170</v>
      </c>
    </row>
    <row r="449" spans="1:33" customFormat="1" x14ac:dyDescent="0.3">
      <c r="A449">
        <v>508894</v>
      </c>
      <c r="B449" t="s">
        <v>534</v>
      </c>
      <c r="C449" t="s">
        <v>991</v>
      </c>
      <c r="D449" t="s">
        <v>999</v>
      </c>
      <c r="E449" s="21">
        <v>6.9</v>
      </c>
      <c r="F449" s="2">
        <f t="shared" si="153"/>
        <v>0.8222222222222223</v>
      </c>
      <c r="G449" s="26">
        <v>40.230000000000004</v>
      </c>
      <c r="H449">
        <f t="shared" si="154"/>
        <v>0.41242097571237191</v>
      </c>
      <c r="I449" s="12">
        <v>2.8</v>
      </c>
      <c r="J449" s="2">
        <f t="shared" si="140"/>
        <v>1.1774600504625735E-2</v>
      </c>
      <c r="K449" s="10">
        <v>0</v>
      </c>
      <c r="L449" s="2">
        <f t="shared" si="155"/>
        <v>0</v>
      </c>
      <c r="M449">
        <v>56867</v>
      </c>
      <c r="N449">
        <f t="shared" si="142"/>
        <v>0.26793090232927852</v>
      </c>
      <c r="O449" s="10">
        <v>0.56567332999999997</v>
      </c>
      <c r="P449">
        <f t="shared" si="143"/>
        <v>0.52750389716373058</v>
      </c>
      <c r="Q449" s="23">
        <v>0.27729999999999999</v>
      </c>
      <c r="R449" s="13">
        <f t="shared" si="144"/>
        <v>0.60047639670853181</v>
      </c>
      <c r="S449">
        <f t="shared" si="145"/>
        <v>6.8848567187014292E-2</v>
      </c>
      <c r="T449" s="4">
        <f t="shared" si="156"/>
        <v>-1.1304838418797604E-3</v>
      </c>
      <c r="U449" t="str">
        <f t="shared" si="146"/>
        <v>No Impact</v>
      </c>
      <c r="V449">
        <f t="shared" si="147"/>
        <v>7.3302591840643194E-2</v>
      </c>
      <c r="W449">
        <f t="shared" si="134"/>
        <v>0.1185766977755936</v>
      </c>
      <c r="X449" t="s">
        <v>1170</v>
      </c>
      <c r="Y449">
        <f t="shared" si="135"/>
        <v>6.4394542533385404E-2</v>
      </c>
      <c r="Z449">
        <f t="shared" si="148"/>
        <v>0.11722414259634747</v>
      </c>
      <c r="AA449" t="str">
        <f t="shared" si="149"/>
        <v>No Impact</v>
      </c>
      <c r="AB449">
        <f t="shared" si="136"/>
        <v>5.642186449564817E-2</v>
      </c>
      <c r="AC449">
        <f t="shared" si="150"/>
        <v>0.13790511766201569</v>
      </c>
      <c r="AD449" t="str">
        <f t="shared" si="151"/>
        <v>No Impact</v>
      </c>
      <c r="AE449">
        <f t="shared" si="137"/>
        <v>3.270741311830698E-2</v>
      </c>
      <c r="AF449">
        <f t="shared" si="152"/>
        <v>0.19748158522847872</v>
      </c>
      <c r="AG449" t="s">
        <v>1169</v>
      </c>
    </row>
    <row r="450" spans="1:33" customFormat="1" x14ac:dyDescent="0.3">
      <c r="A450">
        <v>552710</v>
      </c>
      <c r="B450" t="s">
        <v>78</v>
      </c>
      <c r="C450" t="s">
        <v>1001</v>
      </c>
      <c r="D450" t="s">
        <v>1000</v>
      </c>
      <c r="E450" s="21">
        <v>6.4</v>
      </c>
      <c r="F450" s="2">
        <f t="shared" si="153"/>
        <v>0.71111111111111114</v>
      </c>
      <c r="G450" s="26">
        <v>31.982400000000002</v>
      </c>
      <c r="H450">
        <f t="shared" ref="H450:H481" si="157">(G450-$AJ$6)/$AK$6</f>
        <v>0.3278700624813165</v>
      </c>
      <c r="I450" s="12">
        <v>0.1</v>
      </c>
      <c r="J450" s="2">
        <f t="shared" si="140"/>
        <v>4.2052144659377626E-4</v>
      </c>
      <c r="K450" s="10">
        <v>0</v>
      </c>
      <c r="L450" s="2">
        <f t="shared" ref="L450:L481" si="158">(K450-$AJ$7)/$AK$7</f>
        <v>0</v>
      </c>
      <c r="M450">
        <v>22770</v>
      </c>
      <c r="N450">
        <f t="shared" si="142"/>
        <v>0.10660364414037179</v>
      </c>
      <c r="O450" s="10">
        <v>0.83916186400000004</v>
      </c>
      <c r="P450">
        <f t="shared" si="143"/>
        <v>0.82869375778096332</v>
      </c>
      <c r="Q450" s="23">
        <v>0.2949</v>
      </c>
      <c r="R450" s="13">
        <f t="shared" si="144"/>
        <v>0.63858813339107845</v>
      </c>
      <c r="S450">
        <f t="shared" si="145"/>
        <v>5.9944245366720481E-2</v>
      </c>
      <c r="T450" s="4">
        <f t="shared" ref="T450:T481" si="159">(S450-$AJ$9)/$AK$9</f>
        <v>-1.130525971974059E-3</v>
      </c>
      <c r="U450" t="str">
        <f t="shared" si="146"/>
        <v>No Impact</v>
      </c>
      <c r="V450">
        <f t="shared" si="147"/>
        <v>5.2177681720986309E-2</v>
      </c>
      <c r="W450">
        <f t="shared" ref="W450:W513" si="160">(V450-$AJ$13)/$AK$13</f>
        <v>8.4404344248985283E-2</v>
      </c>
      <c r="X450" t="s">
        <v>1170</v>
      </c>
      <c r="Y450">
        <f t="shared" ref="Y450:Y513" si="161">F450*(P450*1)*(H450*0.35+J450*0.35+L450*0.3)</f>
        <v>6.7710809012454645E-2</v>
      </c>
      <c r="Z450">
        <f t="shared" si="148"/>
        <v>0.12326109043906805</v>
      </c>
      <c r="AA450" t="str">
        <f t="shared" si="149"/>
        <v>No Impact</v>
      </c>
      <c r="AB450">
        <f t="shared" ref="AB450:AB513" si="162">F450*(R450*0.35+P450*0.3+N450*0.35)*(H450*0.35+J450*0.35+L450*0.3)</f>
        <v>4.1624056473371564E-2</v>
      </c>
      <c r="AC450">
        <f t="shared" si="150"/>
        <v>0.10173663094691653</v>
      </c>
      <c r="AD450" t="str">
        <f t="shared" si="151"/>
        <v>No Impact</v>
      </c>
      <c r="AE450">
        <f t="shared" ref="AE450:AE513" si="163">F450*(N450*1)*(H450*0.35+J450*0.35+L450*0.3)</f>
        <v>8.7103576208284687E-3</v>
      </c>
      <c r="AF450">
        <f t="shared" si="152"/>
        <v>5.2591601318215324E-2</v>
      </c>
      <c r="AG450" t="s">
        <v>1170</v>
      </c>
    </row>
    <row r="451" spans="1:33" customFormat="1" x14ac:dyDescent="0.3">
      <c r="A451">
        <v>552712</v>
      </c>
      <c r="B451" t="s">
        <v>79</v>
      </c>
      <c r="C451" t="s">
        <v>1001</v>
      </c>
      <c r="D451" t="s">
        <v>1002</v>
      </c>
      <c r="E451" s="21">
        <v>6</v>
      </c>
      <c r="F451" s="2">
        <f t="shared" si="153"/>
        <v>0.62222222222222223</v>
      </c>
      <c r="G451" s="26">
        <v>38.580480000000001</v>
      </c>
      <c r="H451">
        <f t="shared" si="157"/>
        <v>0.39551079306616077</v>
      </c>
      <c r="I451" s="12">
        <v>0</v>
      </c>
      <c r="J451" s="2">
        <f t="shared" ref="J451:J514" si="164">(I451-$AJ$7)/$AK$7</f>
        <v>0</v>
      </c>
      <c r="K451" s="10">
        <v>0</v>
      </c>
      <c r="L451" s="2">
        <f t="shared" si="158"/>
        <v>0</v>
      </c>
      <c r="M451">
        <v>46581</v>
      </c>
      <c r="N451">
        <f t="shared" ref="N451:N514" si="165">(M451-$AJ$9)/$AK$9</f>
        <v>0.21926350702379432</v>
      </c>
      <c r="O451" s="10">
        <v>0.75271250199999995</v>
      </c>
      <c r="P451">
        <f t="shared" ref="P451:P514" si="166">(O451-$AJ$11)/$AK$11</f>
        <v>0.73348804326560191</v>
      </c>
      <c r="Q451" s="23">
        <v>0.2646</v>
      </c>
      <c r="R451" s="13">
        <f t="shared" ref="R451:R514" si="167">(Q451-$AJ$12)/$AK$12</f>
        <v>0.57297531398873969</v>
      </c>
      <c r="S451">
        <f t="shared" ref="S451:S514" si="168">F451*(R451*0.5+P451*0.5)*(H451*0.35+J451*0.35+L451*0.3)</f>
        <v>5.6265105707639179E-2</v>
      </c>
      <c r="T451" s="4">
        <f t="shared" si="159"/>
        <v>-1.1305433795323102E-3</v>
      </c>
      <c r="U451" t="str">
        <f t="shared" ref="U451:U514" si="169">IF(T451&gt;0.7,"High",IF(T451&gt;0.3,"Moderate",IF(T451&gt;0.15,"Low","No Impact")))</f>
        <v>No Impact</v>
      </c>
      <c r="V451">
        <f t="shared" ref="V451:V514" si="170">F451*(R451*1)*(H451*0.35+J451*0.35+L451*0.3)</f>
        <v>4.9352347205813003E-2</v>
      </c>
      <c r="W451">
        <f t="shared" si="160"/>
        <v>7.9833989661128757E-2</v>
      </c>
      <c r="X451" t="s">
        <v>1170</v>
      </c>
      <c r="Y451">
        <f t="shared" si="161"/>
        <v>6.3177864209465362E-2</v>
      </c>
      <c r="Z451">
        <f t="shared" ref="Z451:Z514" si="171">(Y451-$AJ$14)/$AK$14</f>
        <v>0.11500929537908298</v>
      </c>
      <c r="AA451" t="str">
        <f t="shared" ref="AA451:AA514" si="172">IF(Z451&gt;0.7,"High",IF(Z451&gt;0.3,"Moderate",IF(Z451&gt;0.15,"Low","No Impact")))</f>
        <v>No Impact</v>
      </c>
      <c r="AB451">
        <f t="shared" si="162"/>
        <v>4.283675448683702E-2</v>
      </c>
      <c r="AC451">
        <f t="shared" ref="AC451:AC514" si="173">(AB451-$AJ$15)/$AK$15</f>
        <v>0.10470068156329319</v>
      </c>
      <c r="AD451" t="str">
        <f t="shared" ref="AD451:AD514" si="174">IF(AC451&gt;0.7,"High",IF(AC451&gt;0.3,"Moderate",IF(AC451&gt;0.15,"Low","No Impact")))</f>
        <v>No Impact</v>
      </c>
      <c r="AE451">
        <f t="shared" si="163"/>
        <v>1.8885924862751029E-2</v>
      </c>
      <c r="AF451">
        <f t="shared" ref="AF451:AF514" si="175">(AE451-$AJ$16)/$AK$16</f>
        <v>0.11402987961510383</v>
      </c>
      <c r="AG451" t="s">
        <v>1170</v>
      </c>
    </row>
    <row r="452" spans="1:33" customFormat="1" x14ac:dyDescent="0.3">
      <c r="A452">
        <v>552717</v>
      </c>
      <c r="B452" t="s">
        <v>77</v>
      </c>
      <c r="C452" t="s">
        <v>1001</v>
      </c>
      <c r="D452" t="s">
        <v>1003</v>
      </c>
      <c r="E452" s="21">
        <v>6.4</v>
      </c>
      <c r="F452" s="2">
        <f t="shared" si="153"/>
        <v>0.71111111111111114</v>
      </c>
      <c r="G452" s="26">
        <v>38.580480000000001</v>
      </c>
      <c r="H452">
        <f t="shared" si="157"/>
        <v>0.39551079306616077</v>
      </c>
      <c r="I452" s="12">
        <v>0</v>
      </c>
      <c r="J452" s="2">
        <f t="shared" si="164"/>
        <v>0</v>
      </c>
      <c r="K452" s="10">
        <v>0</v>
      </c>
      <c r="L452" s="2">
        <f t="shared" si="158"/>
        <v>0</v>
      </c>
      <c r="M452">
        <v>39215</v>
      </c>
      <c r="N452">
        <f t="shared" si="165"/>
        <v>0.18441186072589461</v>
      </c>
      <c r="O452" s="10">
        <v>0.83980231900000002</v>
      </c>
      <c r="P452">
        <f t="shared" si="166"/>
        <v>0.82939908370216486</v>
      </c>
      <c r="Q452" s="23">
        <v>0.29970000000000002</v>
      </c>
      <c r="R452" s="13">
        <f t="shared" si="167"/>
        <v>0.64898224339540933</v>
      </c>
      <c r="S452">
        <f t="shared" si="168"/>
        <v>7.276462929674582E-2</v>
      </c>
      <c r="T452" s="4">
        <f t="shared" si="159"/>
        <v>-1.1304653133416759E-3</v>
      </c>
      <c r="U452" t="str">
        <f t="shared" si="169"/>
        <v>No Impact</v>
      </c>
      <c r="V452">
        <f t="shared" si="170"/>
        <v>6.3884671018603428E-2</v>
      </c>
      <c r="W452">
        <f t="shared" si="160"/>
        <v>0.10334195746221915</v>
      </c>
      <c r="X452" t="s">
        <v>1170</v>
      </c>
      <c r="Y452">
        <f t="shared" si="161"/>
        <v>8.1644587574888239E-2</v>
      </c>
      <c r="Z452">
        <f t="shared" si="171"/>
        <v>0.14862620960676493</v>
      </c>
      <c r="AA452" t="str">
        <f t="shared" si="172"/>
        <v>No Impact</v>
      </c>
      <c r="AB452">
        <f t="shared" si="162"/>
        <v>5.3206623898824322E-2</v>
      </c>
      <c r="AC452">
        <f t="shared" si="173"/>
        <v>0.13004649517975295</v>
      </c>
      <c r="AD452" t="str">
        <f t="shared" si="174"/>
        <v>No Impact</v>
      </c>
      <c r="AE452">
        <f t="shared" si="163"/>
        <v>1.8153179342419012E-2</v>
      </c>
      <c r="AF452">
        <f t="shared" si="175"/>
        <v>0.10960569154493084</v>
      </c>
      <c r="AG452" t="s">
        <v>1170</v>
      </c>
    </row>
    <row r="453" spans="1:33" customFormat="1" x14ac:dyDescent="0.3">
      <c r="A453">
        <v>552721</v>
      </c>
      <c r="B453" t="s">
        <v>85</v>
      </c>
      <c r="C453" t="s">
        <v>1001</v>
      </c>
      <c r="D453" t="s">
        <v>1004</v>
      </c>
      <c r="E453" s="21">
        <v>6.4</v>
      </c>
      <c r="F453" s="2">
        <f t="shared" si="153"/>
        <v>0.71111111111111114</v>
      </c>
      <c r="G453" s="26">
        <v>38.580480000000001</v>
      </c>
      <c r="H453">
        <f t="shared" si="157"/>
        <v>0.39551079306616077</v>
      </c>
      <c r="I453" s="12">
        <v>0</v>
      </c>
      <c r="J453" s="2">
        <f t="shared" si="164"/>
        <v>0</v>
      </c>
      <c r="K453" s="10">
        <v>0</v>
      </c>
      <c r="L453" s="2">
        <f t="shared" si="158"/>
        <v>0</v>
      </c>
      <c r="M453">
        <v>24638</v>
      </c>
      <c r="N453">
        <f t="shared" si="165"/>
        <v>0.11544193836851145</v>
      </c>
      <c r="O453" s="10">
        <v>0.79792084600000002</v>
      </c>
      <c r="P453">
        <f t="shared" si="166"/>
        <v>0.78327548637682176</v>
      </c>
      <c r="Q453" s="23">
        <v>0.27010000000000001</v>
      </c>
      <c r="R453" s="13">
        <f t="shared" si="167"/>
        <v>0.58488523170203555</v>
      </c>
      <c r="S453">
        <f t="shared" si="168"/>
        <v>6.7339667814139692E-2</v>
      </c>
      <c r="T453" s="4">
        <f t="shared" si="159"/>
        <v>-1.1304909811177787E-3</v>
      </c>
      <c r="U453" t="str">
        <f t="shared" si="169"/>
        <v>No Impact</v>
      </c>
      <c r="V453">
        <f t="shared" si="170"/>
        <v>5.7575073880963577E-2</v>
      </c>
      <c r="W453">
        <f t="shared" si="160"/>
        <v>9.3135344379530832E-2</v>
      </c>
      <c r="X453" t="s">
        <v>1170</v>
      </c>
      <c r="Y453">
        <f t="shared" si="161"/>
        <v>7.71042617473158E-2</v>
      </c>
      <c r="Z453">
        <f t="shared" si="171"/>
        <v>0.14036097809325129</v>
      </c>
      <c r="AA453" t="str">
        <f t="shared" si="172"/>
        <v>No Impact</v>
      </c>
      <c r="AB453">
        <f t="shared" si="162"/>
        <v>4.7259919888779124E-2</v>
      </c>
      <c r="AC453">
        <f t="shared" si="173"/>
        <v>0.11551168808790796</v>
      </c>
      <c r="AD453" t="str">
        <f t="shared" si="174"/>
        <v>No Impact</v>
      </c>
      <c r="AE453">
        <f t="shared" si="163"/>
        <v>1.1363901446420398E-2</v>
      </c>
      <c r="AF453">
        <f t="shared" si="175"/>
        <v>6.8613230398316072E-2</v>
      </c>
      <c r="AG453" t="s">
        <v>1170</v>
      </c>
    </row>
    <row r="454" spans="1:33" customFormat="1" x14ac:dyDescent="0.3">
      <c r="A454">
        <v>552730</v>
      </c>
      <c r="B454" t="s">
        <v>111</v>
      </c>
      <c r="C454" t="s">
        <v>1001</v>
      </c>
      <c r="D454" t="s">
        <v>1005</v>
      </c>
      <c r="E454" s="21">
        <v>6.4</v>
      </c>
      <c r="F454" s="2">
        <f t="shared" si="153"/>
        <v>0.71111111111111114</v>
      </c>
      <c r="G454" s="26">
        <v>37.11636</v>
      </c>
      <c r="H454">
        <f t="shared" si="157"/>
        <v>0.38050125294784115</v>
      </c>
      <c r="I454" s="12">
        <v>0</v>
      </c>
      <c r="J454" s="2">
        <f t="shared" si="164"/>
        <v>0</v>
      </c>
      <c r="K454" s="10">
        <v>0</v>
      </c>
      <c r="L454" s="2">
        <f t="shared" si="158"/>
        <v>0</v>
      </c>
      <c r="M454">
        <v>37811</v>
      </c>
      <c r="N454">
        <f t="shared" si="165"/>
        <v>0.17776894579211083</v>
      </c>
      <c r="O454" s="10">
        <v>0.789014255</v>
      </c>
      <c r="P454">
        <f t="shared" si="166"/>
        <v>0.77346675742343651</v>
      </c>
      <c r="Q454" s="23">
        <v>0.29620000000000002</v>
      </c>
      <c r="R454" s="13">
        <f t="shared" si="167"/>
        <v>0.64140320485058477</v>
      </c>
      <c r="S454">
        <f t="shared" si="168"/>
        <v>6.699588540132817E-2</v>
      </c>
      <c r="T454" s="4">
        <f t="shared" si="159"/>
        <v>-1.1304926076970692E-3</v>
      </c>
      <c r="U454" t="str">
        <f t="shared" si="169"/>
        <v>No Impact</v>
      </c>
      <c r="V454">
        <f t="shared" si="170"/>
        <v>6.0742508858057188E-2</v>
      </c>
      <c r="W454">
        <f t="shared" si="160"/>
        <v>9.8259091992973724E-2</v>
      </c>
      <c r="X454" t="s">
        <v>1170</v>
      </c>
      <c r="Y454">
        <f t="shared" si="161"/>
        <v>7.3249261944599131E-2</v>
      </c>
      <c r="Z454">
        <f t="shared" si="171"/>
        <v>0.13334331745301514</v>
      </c>
      <c r="AA454" t="str">
        <f t="shared" si="172"/>
        <v>No Impact</v>
      </c>
      <c r="AB454">
        <f t="shared" si="162"/>
        <v>4.9126966059427096E-2</v>
      </c>
      <c r="AC454">
        <f t="shared" si="173"/>
        <v>0.12007508251212951</v>
      </c>
      <c r="AD454" t="str">
        <f t="shared" si="174"/>
        <v>No Impact</v>
      </c>
      <c r="AE454">
        <f t="shared" si="163"/>
        <v>1.6835169644935297E-2</v>
      </c>
      <c r="AF454">
        <f t="shared" si="175"/>
        <v>0.10164778171378291</v>
      </c>
      <c r="AG454" t="s">
        <v>1170</v>
      </c>
    </row>
    <row r="455" spans="1:33" customFormat="1" x14ac:dyDescent="0.3">
      <c r="A455">
        <v>552738</v>
      </c>
      <c r="B455" t="s">
        <v>169</v>
      </c>
      <c r="C455" t="s">
        <v>1001</v>
      </c>
      <c r="D455" t="s">
        <v>1006</v>
      </c>
      <c r="E455" s="21">
        <v>6.4</v>
      </c>
      <c r="F455" s="2">
        <f t="shared" si="153"/>
        <v>0.71111111111111114</v>
      </c>
      <c r="G455" s="26">
        <v>31.982400000000002</v>
      </c>
      <c r="H455">
        <f t="shared" si="157"/>
        <v>0.3278700624813165</v>
      </c>
      <c r="I455" s="12">
        <v>0</v>
      </c>
      <c r="J455" s="2">
        <f t="shared" si="164"/>
        <v>0</v>
      </c>
      <c r="K455" s="10">
        <v>0</v>
      </c>
      <c r="L455" s="2">
        <f t="shared" si="158"/>
        <v>0</v>
      </c>
      <c r="M455">
        <v>22131</v>
      </c>
      <c r="N455">
        <f t="shared" si="165"/>
        <v>0.10358026618973944</v>
      </c>
      <c r="O455" s="10">
        <v>0.82547400500000001</v>
      </c>
      <c r="P455">
        <f t="shared" si="166"/>
        <v>0.81361947190849482</v>
      </c>
      <c r="Q455" s="23">
        <v>0.29909999999999998</v>
      </c>
      <c r="R455" s="13">
        <f t="shared" si="167"/>
        <v>0.64768297964486787</v>
      </c>
      <c r="S455">
        <f t="shared" si="168"/>
        <v>5.9623489469587794E-2</v>
      </c>
      <c r="T455" s="4">
        <f t="shared" si="159"/>
        <v>-1.1305274896052122E-3</v>
      </c>
      <c r="U455" t="str">
        <f t="shared" si="169"/>
        <v>No Impact</v>
      </c>
      <c r="V455">
        <f t="shared" si="170"/>
        <v>5.2853013796612856E-2</v>
      </c>
      <c r="W455">
        <f t="shared" si="160"/>
        <v>8.5496783757861322E-2</v>
      </c>
      <c r="X455" t="s">
        <v>1170</v>
      </c>
      <c r="Y455">
        <f t="shared" si="161"/>
        <v>6.6393965142562753E-2</v>
      </c>
      <c r="Z455">
        <f t="shared" si="171"/>
        <v>0.12086390136825041</v>
      </c>
      <c r="AA455" t="str">
        <f t="shared" si="172"/>
        <v>No Impact</v>
      </c>
      <c r="AB455">
        <f t="shared" si="162"/>
        <v>4.137511334762884E-2</v>
      </c>
      <c r="AC455">
        <f t="shared" si="173"/>
        <v>0.10112816946919723</v>
      </c>
      <c r="AD455" t="str">
        <f t="shared" si="174"/>
        <v>No Impact</v>
      </c>
      <c r="AE455">
        <f t="shared" si="163"/>
        <v>8.4524827887014712E-3</v>
      </c>
      <c r="AF455">
        <f t="shared" si="175"/>
        <v>5.1034598615043322E-2</v>
      </c>
      <c r="AG455" t="s">
        <v>1170</v>
      </c>
    </row>
    <row r="456" spans="1:33" customFormat="1" x14ac:dyDescent="0.3">
      <c r="A456">
        <v>552743</v>
      </c>
      <c r="B456" t="s">
        <v>185</v>
      </c>
      <c r="C456" t="s">
        <v>1001</v>
      </c>
      <c r="D456" t="s">
        <v>1007</v>
      </c>
      <c r="E456" s="21">
        <v>6.4</v>
      </c>
      <c r="F456" s="2">
        <f t="shared" si="153"/>
        <v>0.71111111111111114</v>
      </c>
      <c r="G456" s="26">
        <v>32.337000000000003</v>
      </c>
      <c r="H456">
        <f t="shared" si="157"/>
        <v>0.33150527197640989</v>
      </c>
      <c r="I456" s="12">
        <v>0.3</v>
      </c>
      <c r="J456" s="2">
        <f t="shared" si="164"/>
        <v>1.2615643397813287E-3</v>
      </c>
      <c r="K456" s="10">
        <v>0</v>
      </c>
      <c r="L456" s="2">
        <f t="shared" si="158"/>
        <v>0</v>
      </c>
      <c r="M456">
        <v>17312</v>
      </c>
      <c r="N456">
        <f t="shared" si="165"/>
        <v>8.0779548906332058E-2</v>
      </c>
      <c r="O456" s="10">
        <v>0.80166590900000001</v>
      </c>
      <c r="P456">
        <f t="shared" si="166"/>
        <v>0.78739988233037483</v>
      </c>
      <c r="Q456" s="23">
        <v>0.28439999999999999</v>
      </c>
      <c r="R456" s="13">
        <f t="shared" si="167"/>
        <v>0.61585101775660456</v>
      </c>
      <c r="S456">
        <f t="shared" si="168"/>
        <v>5.8110000676596323E-2</v>
      </c>
      <c r="T456" s="4">
        <f t="shared" si="159"/>
        <v>-1.1305346505577087E-3</v>
      </c>
      <c r="U456" t="str">
        <f t="shared" si="169"/>
        <v>No Impact</v>
      </c>
      <c r="V456">
        <f t="shared" si="170"/>
        <v>5.1005993377664094E-2</v>
      </c>
      <c r="W456">
        <f t="shared" si="160"/>
        <v>8.2508982419551707E-2</v>
      </c>
      <c r="X456" t="s">
        <v>1170</v>
      </c>
      <c r="Y456">
        <f t="shared" si="161"/>
        <v>6.5214007975528551E-2</v>
      </c>
      <c r="Z456">
        <f t="shared" si="171"/>
        <v>0.11871590152596118</v>
      </c>
      <c r="AA456" t="str">
        <f t="shared" si="172"/>
        <v>No Impact</v>
      </c>
      <c r="AB456">
        <f t="shared" si="162"/>
        <v>3.9757912504177616E-2</v>
      </c>
      <c r="AC456">
        <f t="shared" si="173"/>
        <v>9.7175441664243994E-2</v>
      </c>
      <c r="AD456" t="str">
        <f t="shared" si="174"/>
        <v>No Impact</v>
      </c>
      <c r="AE456">
        <f t="shared" si="163"/>
        <v>6.6903212266760581E-3</v>
      </c>
      <c r="AF456">
        <f t="shared" si="175"/>
        <v>4.0394978250120867E-2</v>
      </c>
      <c r="AG456" t="s">
        <v>1170</v>
      </c>
    </row>
    <row r="457" spans="1:33" customFormat="1" x14ac:dyDescent="0.3">
      <c r="A457">
        <v>552747</v>
      </c>
      <c r="B457" t="s">
        <v>200</v>
      </c>
      <c r="C457" t="s">
        <v>1001</v>
      </c>
      <c r="D457" t="s">
        <v>1008</v>
      </c>
      <c r="E457" s="21">
        <v>6.4</v>
      </c>
      <c r="F457" s="2">
        <f t="shared" si="153"/>
        <v>0.71111111111111114</v>
      </c>
      <c r="G457" s="26">
        <v>33.479279999999996</v>
      </c>
      <c r="H457">
        <f t="shared" si="157"/>
        <v>0.34321544428903045</v>
      </c>
      <c r="I457" s="12">
        <v>0.3</v>
      </c>
      <c r="J457" s="2">
        <f t="shared" si="164"/>
        <v>1.2615643397813287E-3</v>
      </c>
      <c r="K457" s="10">
        <v>0</v>
      </c>
      <c r="L457" s="2">
        <f t="shared" si="158"/>
        <v>0</v>
      </c>
      <c r="M457">
        <v>12348</v>
      </c>
      <c r="N457">
        <f t="shared" si="165"/>
        <v>5.7292775593438462E-2</v>
      </c>
      <c r="O457" s="10">
        <v>0.87054679000000001</v>
      </c>
      <c r="P457">
        <f t="shared" si="166"/>
        <v>0.86325762541068329</v>
      </c>
      <c r="Q457" s="23">
        <v>0.27939999999999998</v>
      </c>
      <c r="R457" s="13">
        <f t="shared" si="167"/>
        <v>0.60502381983542652</v>
      </c>
      <c r="S457">
        <f t="shared" si="168"/>
        <v>6.2942656010399625E-2</v>
      </c>
      <c r="T457" s="4">
        <f t="shared" si="159"/>
        <v>-1.1305117852312937E-3</v>
      </c>
      <c r="U457" t="str">
        <f t="shared" si="169"/>
        <v>No Impact</v>
      </c>
      <c r="V457">
        <f t="shared" si="170"/>
        <v>5.1872624684181121E-2</v>
      </c>
      <c r="W457">
        <f t="shared" si="160"/>
        <v>8.3910873893445814E-2</v>
      </c>
      <c r="X457" t="s">
        <v>1170</v>
      </c>
      <c r="Y457">
        <f t="shared" si="161"/>
        <v>7.4012687336618116E-2</v>
      </c>
      <c r="Z457">
        <f t="shared" si="171"/>
        <v>0.1347330607991894</v>
      </c>
      <c r="AA457" t="str">
        <f t="shared" si="172"/>
        <v>No Impact</v>
      </c>
      <c r="AB457">
        <f t="shared" si="162"/>
        <v>4.2078453558086169E-2</v>
      </c>
      <c r="AC457">
        <f t="shared" si="173"/>
        <v>0.10284725860860393</v>
      </c>
      <c r="AD457" t="str">
        <f t="shared" si="174"/>
        <v>No Impact</v>
      </c>
      <c r="AE457">
        <f t="shared" si="163"/>
        <v>4.9120820503924028E-3</v>
      </c>
      <c r="AF457">
        <f t="shared" si="175"/>
        <v>2.9658284089147186E-2</v>
      </c>
      <c r="AG457" t="s">
        <v>1170</v>
      </c>
    </row>
    <row r="458" spans="1:33" customFormat="1" x14ac:dyDescent="0.3">
      <c r="A458">
        <v>552756</v>
      </c>
      <c r="B458" t="s">
        <v>237</v>
      </c>
      <c r="C458" t="s">
        <v>1001</v>
      </c>
      <c r="D458" t="s">
        <v>1009</v>
      </c>
      <c r="E458" s="21">
        <v>5</v>
      </c>
      <c r="F458" s="2">
        <f t="shared" si="153"/>
        <v>0.39999999999999997</v>
      </c>
      <c r="G458" s="26">
        <v>38.580480000000001</v>
      </c>
      <c r="H458">
        <f t="shared" si="157"/>
        <v>0.39551079306616077</v>
      </c>
      <c r="I458" s="12">
        <v>0</v>
      </c>
      <c r="J458" s="2">
        <f t="shared" si="164"/>
        <v>0</v>
      </c>
      <c r="K458" s="10">
        <v>0</v>
      </c>
      <c r="L458" s="2">
        <f t="shared" si="158"/>
        <v>0</v>
      </c>
      <c r="M458">
        <v>26833</v>
      </c>
      <c r="N458">
        <f t="shared" si="165"/>
        <v>0.12582740722866484</v>
      </c>
      <c r="O458" s="10">
        <v>0.76015292700000003</v>
      </c>
      <c r="P458">
        <f t="shared" si="166"/>
        <v>0.74168210001784218</v>
      </c>
      <c r="Q458" s="23">
        <v>0.27579999999999999</v>
      </c>
      <c r="R458" s="13">
        <f t="shared" si="167"/>
        <v>0.59722823733217845</v>
      </c>
      <c r="S458">
        <f t="shared" si="168"/>
        <v>3.7068744255885119E-2</v>
      </c>
      <c r="T458" s="4">
        <f t="shared" si="159"/>
        <v>-1.1306342055979527E-3</v>
      </c>
      <c r="U458" t="str">
        <f t="shared" si="169"/>
        <v>No Impact</v>
      </c>
      <c r="V458">
        <f t="shared" si="170"/>
        <v>3.306942993042572E-2</v>
      </c>
      <c r="W458">
        <f t="shared" si="160"/>
        <v>5.349420395660668E-2</v>
      </c>
      <c r="X458" t="s">
        <v>1170</v>
      </c>
      <c r="Y458">
        <f t="shared" si="161"/>
        <v>4.1068058581344519E-2</v>
      </c>
      <c r="Z458">
        <f t="shared" si="171"/>
        <v>7.4760496245450794E-2</v>
      </c>
      <c r="AA458" t="str">
        <f t="shared" si="172"/>
        <v>No Impact</v>
      </c>
      <c r="AB458">
        <f t="shared" si="162"/>
        <v>2.6333256833553285E-2</v>
      </c>
      <c r="AC458">
        <f t="shared" si="173"/>
        <v>6.4363184636256426E-2</v>
      </c>
      <c r="AD458" t="str">
        <f t="shared" si="174"/>
        <v>No Impact</v>
      </c>
      <c r="AE458">
        <f t="shared" si="163"/>
        <v>6.9672536671455182E-3</v>
      </c>
      <c r="AF458">
        <f t="shared" si="175"/>
        <v>4.2067047427444146E-2</v>
      </c>
      <c r="AG458" t="s">
        <v>1170</v>
      </c>
    </row>
    <row r="459" spans="1:33" customFormat="1" x14ac:dyDescent="0.3">
      <c r="A459">
        <v>552760</v>
      </c>
      <c r="B459" t="s">
        <v>275</v>
      </c>
      <c r="C459" t="s">
        <v>1001</v>
      </c>
      <c r="D459" t="s">
        <v>1010</v>
      </c>
      <c r="E459" s="21">
        <v>6.3</v>
      </c>
      <c r="F459" s="2">
        <f t="shared" si="153"/>
        <v>0.68888888888888877</v>
      </c>
      <c r="G459" s="26">
        <v>37.11636</v>
      </c>
      <c r="H459">
        <f t="shared" si="157"/>
        <v>0.38050125294784115</v>
      </c>
      <c r="I459" s="12">
        <v>0</v>
      </c>
      <c r="J459" s="2">
        <f t="shared" si="164"/>
        <v>0</v>
      </c>
      <c r="K459" s="10">
        <v>0</v>
      </c>
      <c r="L459" s="2">
        <f t="shared" si="158"/>
        <v>0</v>
      </c>
      <c r="M459">
        <v>15773</v>
      </c>
      <c r="N459">
        <f t="shared" si="165"/>
        <v>7.3497892151992164E-2</v>
      </c>
      <c r="O459" s="10">
        <v>0.53395391199999998</v>
      </c>
      <c r="P459">
        <f t="shared" si="166"/>
        <v>0.49257165723926</v>
      </c>
      <c r="Q459" s="23">
        <v>0.26900000000000002</v>
      </c>
      <c r="R459" s="13">
        <f t="shared" si="167"/>
        <v>0.58250324815937637</v>
      </c>
      <c r="S459">
        <f t="shared" si="168"/>
        <v>4.9315341460100519E-2</v>
      </c>
      <c r="T459" s="4">
        <f t="shared" si="159"/>
        <v>-1.1305762617920725E-3</v>
      </c>
      <c r="U459" t="str">
        <f t="shared" si="169"/>
        <v>No Impact</v>
      </c>
      <c r="V459">
        <f t="shared" si="170"/>
        <v>5.3440642024744543E-2</v>
      </c>
      <c r="W459">
        <f t="shared" si="160"/>
        <v>8.644735062135038E-2</v>
      </c>
      <c r="X459" t="s">
        <v>1170</v>
      </c>
      <c r="Y459">
        <f t="shared" si="161"/>
        <v>4.5190040895456494E-2</v>
      </c>
      <c r="Z459">
        <f t="shared" si="171"/>
        <v>8.2264173165254542E-2</v>
      </c>
      <c r="AA459" t="str">
        <f t="shared" si="172"/>
        <v>No Impact</v>
      </c>
      <c r="AB459">
        <f t="shared" si="162"/>
        <v>3.4621260023980416E-2</v>
      </c>
      <c r="AC459">
        <f t="shared" si="173"/>
        <v>8.4620545242394693E-2</v>
      </c>
      <c r="AD459" t="str">
        <f t="shared" si="174"/>
        <v>No Impact</v>
      </c>
      <c r="AE459">
        <f t="shared" si="163"/>
        <v>6.7429229905225053E-3</v>
      </c>
      <c r="AF459">
        <f t="shared" si="175"/>
        <v>4.0712578412280931E-2</v>
      </c>
      <c r="AG459" t="s">
        <v>1170</v>
      </c>
    </row>
    <row r="460" spans="1:33" customFormat="1" x14ac:dyDescent="0.3">
      <c r="A460">
        <v>552764</v>
      </c>
      <c r="B460" t="s">
        <v>153</v>
      </c>
      <c r="C460" t="s">
        <v>1001</v>
      </c>
      <c r="D460" t="s">
        <v>1011</v>
      </c>
      <c r="E460" s="21">
        <v>6.4</v>
      </c>
      <c r="F460" s="2">
        <f t="shared" si="153"/>
        <v>0.71111111111111114</v>
      </c>
      <c r="G460" s="26">
        <v>37.11636</v>
      </c>
      <c r="H460">
        <f t="shared" si="157"/>
        <v>0.38050125294784115</v>
      </c>
      <c r="I460" s="12">
        <v>0</v>
      </c>
      <c r="J460" s="2">
        <f t="shared" si="164"/>
        <v>0</v>
      </c>
      <c r="K460" s="10">
        <v>0</v>
      </c>
      <c r="L460" s="2">
        <f t="shared" si="158"/>
        <v>0</v>
      </c>
      <c r="M460">
        <v>51759</v>
      </c>
      <c r="N460">
        <f t="shared" si="165"/>
        <v>0.24376280440779172</v>
      </c>
      <c r="O460" s="10">
        <v>0.80061995100000005</v>
      </c>
      <c r="P460">
        <f t="shared" si="166"/>
        <v>0.78624798049513567</v>
      </c>
      <c r="Q460" s="23">
        <v>0.29970000000000002</v>
      </c>
      <c r="R460" s="13">
        <f t="shared" si="167"/>
        <v>0.64898224339540933</v>
      </c>
      <c r="S460">
        <f t="shared" si="168"/>
        <v>6.7959969586004282E-2</v>
      </c>
      <c r="T460" s="4">
        <f t="shared" si="159"/>
        <v>-1.1304880462090152E-3</v>
      </c>
      <c r="U460" t="str">
        <f t="shared" si="169"/>
        <v>No Impact</v>
      </c>
      <c r="V460">
        <f t="shared" si="170"/>
        <v>6.1460263014043684E-2</v>
      </c>
      <c r="W460">
        <f t="shared" si="160"/>
        <v>9.9420154862573343E-2</v>
      </c>
      <c r="X460" t="s">
        <v>1170</v>
      </c>
      <c r="Y460">
        <f t="shared" si="161"/>
        <v>7.4459676157964894E-2</v>
      </c>
      <c r="Z460">
        <f t="shared" si="171"/>
        <v>0.13554676145255395</v>
      </c>
      <c r="AA460" t="str">
        <f t="shared" si="172"/>
        <v>No Impact</v>
      </c>
      <c r="AB460">
        <f t="shared" si="162"/>
        <v>5.1928729253350035E-2</v>
      </c>
      <c r="AC460">
        <f t="shared" si="173"/>
        <v>0.12692309234613364</v>
      </c>
      <c r="AD460" t="str">
        <f t="shared" si="174"/>
        <v>No Impact</v>
      </c>
      <c r="AE460">
        <f t="shared" si="163"/>
        <v>2.30849552887008E-2</v>
      </c>
      <c r="AF460">
        <f t="shared" si="175"/>
        <v>0.13938288390008771</v>
      </c>
      <c r="AG460" t="s">
        <v>1170</v>
      </c>
    </row>
    <row r="461" spans="1:33" customFormat="1" x14ac:dyDescent="0.3">
      <c r="A461">
        <v>552769</v>
      </c>
      <c r="B461" t="s">
        <v>381</v>
      </c>
      <c r="C461" t="s">
        <v>1001</v>
      </c>
      <c r="D461" t="s">
        <v>728</v>
      </c>
      <c r="E461" s="21">
        <v>6.3</v>
      </c>
      <c r="F461" s="2">
        <f t="shared" si="153"/>
        <v>0.68888888888888877</v>
      </c>
      <c r="G461" s="26">
        <v>31.982400000000002</v>
      </c>
      <c r="H461">
        <f t="shared" si="157"/>
        <v>0.3278700624813165</v>
      </c>
      <c r="I461" s="12">
        <v>0.3</v>
      </c>
      <c r="J461" s="2">
        <f t="shared" si="164"/>
        <v>1.2615643397813287E-3</v>
      </c>
      <c r="K461" s="10">
        <v>0</v>
      </c>
      <c r="L461" s="2">
        <f t="shared" si="158"/>
        <v>0</v>
      </c>
      <c r="M461">
        <v>37424</v>
      </c>
      <c r="N461">
        <f t="shared" si="165"/>
        <v>0.17593788590651657</v>
      </c>
      <c r="O461" s="10">
        <v>0.78850566799999999</v>
      </c>
      <c r="P461">
        <f t="shared" si="166"/>
        <v>0.77290665625428934</v>
      </c>
      <c r="Q461" s="23">
        <v>0.2606</v>
      </c>
      <c r="R461" s="13">
        <f t="shared" si="167"/>
        <v>0.56431355565179731</v>
      </c>
      <c r="S461">
        <f t="shared" si="168"/>
        <v>5.3059087575837022E-2</v>
      </c>
      <c r="T461" s="4">
        <f t="shared" si="159"/>
        <v>-1.1305585485534824E-3</v>
      </c>
      <c r="U461" t="str">
        <f t="shared" si="169"/>
        <v>No Impact</v>
      </c>
      <c r="V461">
        <f t="shared" si="170"/>
        <v>4.4782395753472988E-2</v>
      </c>
      <c r="W461">
        <f t="shared" si="160"/>
        <v>7.2441484995109537E-2</v>
      </c>
      <c r="X461" t="s">
        <v>1170</v>
      </c>
      <c r="Y461">
        <f t="shared" si="161"/>
        <v>6.1335779398201055E-2</v>
      </c>
      <c r="Z461">
        <f t="shared" si="171"/>
        <v>0.11165595510994045</v>
      </c>
      <c r="AA461" t="str">
        <f t="shared" si="172"/>
        <v>No Impact</v>
      </c>
      <c r="AB461">
        <f t="shared" si="162"/>
        <v>3.896125631325166E-2</v>
      </c>
      <c r="AC461">
        <f t="shared" si="173"/>
        <v>9.5228271595904787E-2</v>
      </c>
      <c r="AD461" t="str">
        <f t="shared" si="174"/>
        <v>No Impact</v>
      </c>
      <c r="AE461">
        <f t="shared" si="163"/>
        <v>1.3961954228787998E-2</v>
      </c>
      <c r="AF461">
        <f t="shared" si="175"/>
        <v>8.4299814357536001E-2</v>
      </c>
      <c r="AG461" t="s">
        <v>1170</v>
      </c>
    </row>
    <row r="462" spans="1:33" customFormat="1" x14ac:dyDescent="0.3">
      <c r="A462">
        <v>552777</v>
      </c>
      <c r="B462" t="s">
        <v>405</v>
      </c>
      <c r="C462" t="s">
        <v>1001</v>
      </c>
      <c r="D462" t="s">
        <v>1012</v>
      </c>
      <c r="E462" s="21">
        <v>6.4</v>
      </c>
      <c r="F462" s="2">
        <f t="shared" si="153"/>
        <v>0.71111111111111114</v>
      </c>
      <c r="G462" s="26">
        <v>36.888480000000001</v>
      </c>
      <c r="H462">
        <f t="shared" si="157"/>
        <v>0.3781651233941416</v>
      </c>
      <c r="I462" s="12">
        <v>0.1</v>
      </c>
      <c r="J462" s="2">
        <f t="shared" si="164"/>
        <v>4.2052144659377626E-4</v>
      </c>
      <c r="K462" s="10">
        <v>0</v>
      </c>
      <c r="L462" s="2">
        <f t="shared" si="158"/>
        <v>0</v>
      </c>
      <c r="M462">
        <v>48158</v>
      </c>
      <c r="N462">
        <f t="shared" si="165"/>
        <v>0.22672495777206852</v>
      </c>
      <c r="O462" s="10">
        <v>0.82996451500000001</v>
      </c>
      <c r="P462">
        <f t="shared" si="166"/>
        <v>0.81856482029739752</v>
      </c>
      <c r="Q462" s="23">
        <v>0.28949999999999998</v>
      </c>
      <c r="R462" s="13">
        <f t="shared" si="167"/>
        <v>0.62689475963620611</v>
      </c>
      <c r="S462">
        <f t="shared" si="168"/>
        <v>6.8099764091069742E-2</v>
      </c>
      <c r="T462" s="4">
        <f t="shared" si="159"/>
        <v>-1.1304873847823732E-3</v>
      </c>
      <c r="U462" t="str">
        <f t="shared" si="169"/>
        <v>No Impact</v>
      </c>
      <c r="V462">
        <f t="shared" si="170"/>
        <v>5.9069635476233111E-2</v>
      </c>
      <c r="W462">
        <f t="shared" si="160"/>
        <v>9.5552996663566758E-2</v>
      </c>
      <c r="X462" t="s">
        <v>1170</v>
      </c>
      <c r="Y462">
        <f t="shared" si="161"/>
        <v>7.7129892705906353E-2</v>
      </c>
      <c r="Z462">
        <f t="shared" si="171"/>
        <v>0.14040763681659174</v>
      </c>
      <c r="AA462" t="str">
        <f t="shared" si="172"/>
        <v>No Impact</v>
      </c>
      <c r="AB462">
        <f t="shared" si="162"/>
        <v>5.1290506277594336E-2</v>
      </c>
      <c r="AC462">
        <f t="shared" si="173"/>
        <v>0.12536316136276496</v>
      </c>
      <c r="AD462" t="str">
        <f t="shared" si="174"/>
        <v>No Impact</v>
      </c>
      <c r="AE462">
        <f t="shared" si="163"/>
        <v>2.1363331568973843E-2</v>
      </c>
      <c r="AF462">
        <f t="shared" si="175"/>
        <v>0.12898802386915695</v>
      </c>
      <c r="AG462" t="s">
        <v>1170</v>
      </c>
    </row>
    <row r="463" spans="1:33" customFormat="1" x14ac:dyDescent="0.3">
      <c r="A463">
        <v>553221</v>
      </c>
      <c r="B463" t="s">
        <v>171</v>
      </c>
      <c r="C463" t="s">
        <v>1014</v>
      </c>
      <c r="D463" t="s">
        <v>1013</v>
      </c>
      <c r="E463" s="21">
        <v>7</v>
      </c>
      <c r="F463" s="2">
        <f t="shared" si="153"/>
        <v>0.84444444444444444</v>
      </c>
      <c r="G463" s="26">
        <v>35.325719999999997</v>
      </c>
      <c r="H463">
        <f t="shared" si="157"/>
        <v>0.36214436763962338</v>
      </c>
      <c r="I463" s="12">
        <v>0.4</v>
      </c>
      <c r="J463" s="2">
        <f t="shared" si="164"/>
        <v>1.6820857863751051E-3</v>
      </c>
      <c r="K463" s="10">
        <v>0</v>
      </c>
      <c r="L463" s="2">
        <f t="shared" si="158"/>
        <v>0</v>
      </c>
      <c r="M463">
        <v>4647</v>
      </c>
      <c r="N463">
        <f t="shared" si="165"/>
        <v>2.0856103296380935E-2</v>
      </c>
      <c r="O463" s="10">
        <v>0.400477419</v>
      </c>
      <c r="P463">
        <f t="shared" si="166"/>
        <v>0.34557548985204878</v>
      </c>
      <c r="Q463" s="23">
        <v>0.22950000000000001</v>
      </c>
      <c r="R463" s="13">
        <f t="shared" si="167"/>
        <v>0.49696838458207021</v>
      </c>
      <c r="S463">
        <f t="shared" si="168"/>
        <v>4.5299763009916651E-2</v>
      </c>
      <c r="T463" s="4">
        <f t="shared" si="159"/>
        <v>-1.1305952611838492E-3</v>
      </c>
      <c r="U463" t="str">
        <f t="shared" si="169"/>
        <v>No Impact</v>
      </c>
      <c r="V463">
        <f t="shared" si="170"/>
        <v>5.3439472360081161E-2</v>
      </c>
      <c r="W463">
        <f t="shared" si="160"/>
        <v>8.6445458533092573E-2</v>
      </c>
      <c r="X463" t="s">
        <v>1170</v>
      </c>
      <c r="Y463">
        <f t="shared" si="161"/>
        <v>3.716005365975214E-2</v>
      </c>
      <c r="Z463">
        <f t="shared" si="171"/>
        <v>6.7646344825577534E-2</v>
      </c>
      <c r="AA463" t="str">
        <f t="shared" si="172"/>
        <v>No Impact</v>
      </c>
      <c r="AB463">
        <f t="shared" si="162"/>
        <v>3.0636768085074109E-2</v>
      </c>
      <c r="AC463">
        <f t="shared" si="173"/>
        <v>7.4881735038761513E-2</v>
      </c>
      <c r="AD463" t="str">
        <f t="shared" si="174"/>
        <v>No Impact</v>
      </c>
      <c r="AE463">
        <f t="shared" si="163"/>
        <v>2.2426761746287501E-3</v>
      </c>
      <c r="AF463">
        <f t="shared" si="175"/>
        <v>1.3540882750887244E-2</v>
      </c>
      <c r="AG463" t="s">
        <v>1170</v>
      </c>
    </row>
    <row r="464" spans="1:33" customFormat="1" x14ac:dyDescent="0.3">
      <c r="A464">
        <v>553224</v>
      </c>
      <c r="B464" t="s">
        <v>175</v>
      </c>
      <c r="C464" t="s">
        <v>1014</v>
      </c>
      <c r="D464" t="s">
        <v>1015</v>
      </c>
      <c r="E464" s="21">
        <v>7.1</v>
      </c>
      <c r="F464" s="2">
        <f t="shared" si="153"/>
        <v>0.86666666666666659</v>
      </c>
      <c r="G464" s="26">
        <v>32.732639999999996</v>
      </c>
      <c r="H464">
        <f t="shared" si="157"/>
        <v>0.33556120622525004</v>
      </c>
      <c r="I464" s="12">
        <v>0.4</v>
      </c>
      <c r="J464" s="2">
        <f t="shared" si="164"/>
        <v>1.6820857863751051E-3</v>
      </c>
      <c r="K464" s="10">
        <v>0</v>
      </c>
      <c r="L464" s="2">
        <f t="shared" si="158"/>
        <v>0</v>
      </c>
      <c r="M464">
        <v>17828</v>
      </c>
      <c r="N464">
        <f t="shared" si="165"/>
        <v>8.3220962087124387E-2</v>
      </c>
      <c r="O464" s="10">
        <v>0.68362840199999997</v>
      </c>
      <c r="P464">
        <f t="shared" si="166"/>
        <v>0.65740649737575862</v>
      </c>
      <c r="Q464" s="23">
        <v>0.30170000000000002</v>
      </c>
      <c r="R464" s="13">
        <f t="shared" si="167"/>
        <v>0.65331312256388052</v>
      </c>
      <c r="S464">
        <f t="shared" si="168"/>
        <v>6.7041428929121613E-2</v>
      </c>
      <c r="T464" s="4">
        <f t="shared" si="159"/>
        <v>-1.1304923922114702E-3</v>
      </c>
      <c r="U464" t="str">
        <f t="shared" si="169"/>
        <v>No Impact</v>
      </c>
      <c r="V464">
        <f t="shared" si="170"/>
        <v>6.6832058677577341E-2</v>
      </c>
      <c r="W464">
        <f t="shared" si="160"/>
        <v>0.10810974925361234</v>
      </c>
      <c r="X464" t="s">
        <v>1170</v>
      </c>
      <c r="Y464">
        <f t="shared" si="161"/>
        <v>6.7250799180665885E-2</v>
      </c>
      <c r="Z464">
        <f t="shared" si="171"/>
        <v>0.12242368627412084</v>
      </c>
      <c r="AA464" t="str">
        <f t="shared" si="172"/>
        <v>No Impact</v>
      </c>
      <c r="AB464">
        <f t="shared" si="162"/>
        <v>4.6546103299063744E-2</v>
      </c>
      <c r="AC464">
        <f t="shared" si="173"/>
        <v>0.11376699280579103</v>
      </c>
      <c r="AD464" t="str">
        <f t="shared" si="174"/>
        <v>No Impact</v>
      </c>
      <c r="AE464">
        <f t="shared" si="163"/>
        <v>8.5132657363197299E-3</v>
      </c>
      <c r="AF464">
        <f t="shared" si="175"/>
        <v>5.1401595320257981E-2</v>
      </c>
      <c r="AG464" t="s">
        <v>1170</v>
      </c>
    </row>
    <row r="465" spans="1:33" customFormat="1" x14ac:dyDescent="0.3">
      <c r="A465">
        <v>553230</v>
      </c>
      <c r="B465" t="s">
        <v>187</v>
      </c>
      <c r="C465" t="s">
        <v>1014</v>
      </c>
      <c r="D465" t="s">
        <v>1016</v>
      </c>
      <c r="E465" s="21">
        <v>6.7</v>
      </c>
      <c r="F465" s="2">
        <f t="shared" si="153"/>
        <v>0.77777777777777779</v>
      </c>
      <c r="G465" s="26">
        <v>36.143279999999997</v>
      </c>
      <c r="H465">
        <f t="shared" si="157"/>
        <v>0.3705256476024224</v>
      </c>
      <c r="I465" s="12">
        <v>0.3</v>
      </c>
      <c r="J465" s="2">
        <f t="shared" si="164"/>
        <v>1.2615643397813287E-3</v>
      </c>
      <c r="K465" s="10">
        <v>0</v>
      </c>
      <c r="L465" s="2">
        <f t="shared" si="158"/>
        <v>0</v>
      </c>
      <c r="M465">
        <v>31462</v>
      </c>
      <c r="N465">
        <f t="shared" si="165"/>
        <v>0.14772915454240063</v>
      </c>
      <c r="O465" s="10">
        <v>0.730715279</v>
      </c>
      <c r="P465">
        <f t="shared" si="166"/>
        <v>0.70926274784851451</v>
      </c>
      <c r="Q465" s="23">
        <v>0.29349999999999998</v>
      </c>
      <c r="R465" s="13">
        <f t="shared" si="167"/>
        <v>0.63555651797314849</v>
      </c>
      <c r="S465">
        <f t="shared" si="168"/>
        <v>6.8053732402482983E-2</v>
      </c>
      <c r="T465" s="4">
        <f t="shared" si="159"/>
        <v>-1.1304876025776663E-3</v>
      </c>
      <c r="U465" t="str">
        <f t="shared" si="169"/>
        <v>No Impact</v>
      </c>
      <c r="V465">
        <f t="shared" si="170"/>
        <v>6.432387503665371E-2</v>
      </c>
      <c r="W465">
        <f t="shared" si="160"/>
        <v>0.10405242841286975</v>
      </c>
      <c r="X465" t="s">
        <v>1170</v>
      </c>
      <c r="Y465">
        <f t="shared" si="161"/>
        <v>7.178358976831227E-2</v>
      </c>
      <c r="Z465">
        <f t="shared" si="171"/>
        <v>0.13067520059973564</v>
      </c>
      <c r="AA465" t="str">
        <f t="shared" si="172"/>
        <v>No Impact</v>
      </c>
      <c r="AB465">
        <f t="shared" si="162"/>
        <v>4.9281451803887759E-2</v>
      </c>
      <c r="AC465">
        <f t="shared" si="173"/>
        <v>0.12045267327339539</v>
      </c>
      <c r="AD465" t="str">
        <f t="shared" si="174"/>
        <v>No Impact</v>
      </c>
      <c r="AE465">
        <f t="shared" si="163"/>
        <v>1.4951481744472254E-2</v>
      </c>
      <c r="AF465">
        <f t="shared" si="175"/>
        <v>9.0274406775398247E-2</v>
      </c>
      <c r="AG465" t="s">
        <v>1170</v>
      </c>
    </row>
    <row r="466" spans="1:33" customFormat="1" x14ac:dyDescent="0.3">
      <c r="A466">
        <v>553267</v>
      </c>
      <c r="B466" t="s">
        <v>397</v>
      </c>
      <c r="C466" t="s">
        <v>1014</v>
      </c>
      <c r="D466" t="s">
        <v>1017</v>
      </c>
      <c r="E466" s="21">
        <v>7</v>
      </c>
      <c r="F466" s="2">
        <f t="shared" si="153"/>
        <v>0.84444444444444444</v>
      </c>
      <c r="G466" s="26">
        <v>33.344639999999998</v>
      </c>
      <c r="H466">
        <f t="shared" si="157"/>
        <v>0.34183517185129958</v>
      </c>
      <c r="I466" s="12">
        <v>0.3</v>
      </c>
      <c r="J466" s="2">
        <f t="shared" si="164"/>
        <v>1.2615643397813287E-3</v>
      </c>
      <c r="K466" s="10">
        <v>0</v>
      </c>
      <c r="L466" s="2">
        <f t="shared" si="158"/>
        <v>0</v>
      </c>
      <c r="M466">
        <v>6784</v>
      </c>
      <c r="N466">
        <f t="shared" si="165"/>
        <v>3.0967149744739842E-2</v>
      </c>
      <c r="O466" s="10">
        <v>0.77436753400000002</v>
      </c>
      <c r="P466">
        <f t="shared" si="166"/>
        <v>0.75733648756543404</v>
      </c>
      <c r="Q466" s="23">
        <v>0.31090000000000001</v>
      </c>
      <c r="R466" s="13">
        <f t="shared" si="167"/>
        <v>0.67323516673884798</v>
      </c>
      <c r="S466">
        <f t="shared" si="168"/>
        <v>7.2532948787492765E-2</v>
      </c>
      <c r="T466" s="4">
        <f t="shared" si="159"/>
        <v>-1.130466409519678E-3</v>
      </c>
      <c r="U466" t="str">
        <f t="shared" si="169"/>
        <v>No Impact</v>
      </c>
      <c r="V466">
        <f t="shared" si="170"/>
        <v>6.8268837459604131E-2</v>
      </c>
      <c r="W466">
        <f t="shared" si="160"/>
        <v>0.11043393014720408</v>
      </c>
      <c r="X466" t="s">
        <v>1170</v>
      </c>
      <c r="Y466">
        <f t="shared" si="161"/>
        <v>7.6797060115381399E-2</v>
      </c>
      <c r="Z466">
        <f t="shared" si="171"/>
        <v>0.13980174672843432</v>
      </c>
      <c r="AA466" t="str">
        <f t="shared" si="172"/>
        <v>No Impact</v>
      </c>
      <c r="AB466">
        <f t="shared" si="162"/>
        <v>4.8032280231487867E-2</v>
      </c>
      <c r="AC466">
        <f t="shared" si="173"/>
        <v>0.11739947476229089</v>
      </c>
      <c r="AD466" t="str">
        <f t="shared" si="174"/>
        <v>No Impact</v>
      </c>
      <c r="AE466">
        <f t="shared" si="163"/>
        <v>3.1401973886057187E-3</v>
      </c>
      <c r="AF466">
        <f t="shared" si="175"/>
        <v>1.8959957364683391E-2</v>
      </c>
      <c r="AG466" t="s">
        <v>1170</v>
      </c>
    </row>
    <row r="467" spans="1:33" customFormat="1" x14ac:dyDescent="0.3">
      <c r="A467">
        <v>553282</v>
      </c>
      <c r="B467" t="s">
        <v>454</v>
      </c>
      <c r="C467" t="s">
        <v>1014</v>
      </c>
      <c r="D467" t="s">
        <v>1018</v>
      </c>
      <c r="E467" s="21">
        <v>5.9</v>
      </c>
      <c r="F467" s="2">
        <f t="shared" si="153"/>
        <v>0.60000000000000009</v>
      </c>
      <c r="G467" s="26">
        <v>32.4846</v>
      </c>
      <c r="H467">
        <f t="shared" si="157"/>
        <v>0.33301840486269241</v>
      </c>
      <c r="I467" s="12">
        <v>0.8</v>
      </c>
      <c r="J467" s="2">
        <f t="shared" si="164"/>
        <v>3.3641715727502101E-3</v>
      </c>
      <c r="K467" s="10">
        <v>0</v>
      </c>
      <c r="L467" s="2">
        <f t="shared" si="158"/>
        <v>0</v>
      </c>
      <c r="M467">
        <v>9977</v>
      </c>
      <c r="N467">
        <f t="shared" si="165"/>
        <v>4.6074576656115598E-2</v>
      </c>
      <c r="O467" s="10">
        <v>0.76130952100000004</v>
      </c>
      <c r="P467">
        <f t="shared" si="166"/>
        <v>0.74295584404124149</v>
      </c>
      <c r="Q467" s="23">
        <v>0.32150000000000001</v>
      </c>
      <c r="R467" s="13">
        <f t="shared" si="167"/>
        <v>0.69618882633174539</v>
      </c>
      <c r="S467">
        <f t="shared" si="168"/>
        <v>5.0830835168757124E-2</v>
      </c>
      <c r="T467" s="4">
        <f t="shared" si="159"/>
        <v>-1.1305690913534761E-3</v>
      </c>
      <c r="U467" t="str">
        <f t="shared" si="169"/>
        <v>No Impact</v>
      </c>
      <c r="V467">
        <f t="shared" si="170"/>
        <v>4.9179016128278283E-2</v>
      </c>
      <c r="W467">
        <f t="shared" si="160"/>
        <v>7.9553603575454809E-2</v>
      </c>
      <c r="X467" t="s">
        <v>1170</v>
      </c>
      <c r="Y467">
        <f t="shared" si="161"/>
        <v>5.2482654209235959E-2</v>
      </c>
      <c r="Z467">
        <f t="shared" si="171"/>
        <v>9.55396823833113E-2</v>
      </c>
      <c r="AA467" t="str">
        <f t="shared" si="172"/>
        <v>No Impact</v>
      </c>
      <c r="AB467">
        <f t="shared" si="162"/>
        <v>3.4096605240744288E-2</v>
      </c>
      <c r="AC467">
        <f t="shared" si="173"/>
        <v>8.3338195212652261E-2</v>
      </c>
      <c r="AD467" t="str">
        <f t="shared" si="174"/>
        <v>No Impact</v>
      </c>
      <c r="AE467">
        <f t="shared" si="163"/>
        <v>3.2547238087888581E-3</v>
      </c>
      <c r="AF467">
        <f t="shared" si="175"/>
        <v>1.9651447667707388E-2</v>
      </c>
      <c r="AG467" t="s">
        <v>1170</v>
      </c>
    </row>
    <row r="468" spans="1:33" customFormat="1" x14ac:dyDescent="0.3">
      <c r="A468">
        <v>553288</v>
      </c>
      <c r="B468" t="s">
        <v>455</v>
      </c>
      <c r="C468" t="s">
        <v>1014</v>
      </c>
      <c r="D468" t="s">
        <v>1019</v>
      </c>
      <c r="E468" s="21">
        <v>7</v>
      </c>
      <c r="F468" s="2">
        <f t="shared" si="153"/>
        <v>0.84444444444444444</v>
      </c>
      <c r="G468" s="26">
        <v>35.974080000000001</v>
      </c>
      <c r="H468">
        <f t="shared" si="157"/>
        <v>0.36879108063522054</v>
      </c>
      <c r="I468" s="12">
        <v>0.3</v>
      </c>
      <c r="J468" s="2">
        <f t="shared" si="164"/>
        <v>1.2615643397813287E-3</v>
      </c>
      <c r="K468" s="10">
        <v>0</v>
      </c>
      <c r="L468" s="2">
        <f t="shared" si="158"/>
        <v>0</v>
      </c>
      <c r="M468">
        <v>16704</v>
      </c>
      <c r="N468">
        <f t="shared" si="165"/>
        <v>7.7902845003382973E-2</v>
      </c>
      <c r="O468" s="10">
        <v>0.59559640899999999</v>
      </c>
      <c r="P468">
        <f t="shared" si="166"/>
        <v>0.56045784905865159</v>
      </c>
      <c r="Q468" s="23">
        <v>0.27210000000000001</v>
      </c>
      <c r="R468" s="13">
        <f t="shared" si="167"/>
        <v>0.58921611087050674</v>
      </c>
      <c r="S468">
        <f t="shared" si="168"/>
        <v>6.2870561482421136E-2</v>
      </c>
      <c r="T468" s="4">
        <f t="shared" si="159"/>
        <v>-1.1305121263408496E-3</v>
      </c>
      <c r="U468" t="str">
        <f t="shared" si="169"/>
        <v>No Impact</v>
      </c>
      <c r="V468">
        <f t="shared" si="170"/>
        <v>6.4443223063345545E-2</v>
      </c>
      <c r="W468">
        <f t="shared" si="160"/>
        <v>0.10424548972947253</v>
      </c>
      <c r="X468" t="s">
        <v>1170</v>
      </c>
      <c r="Y468">
        <f t="shared" si="161"/>
        <v>6.1297899901496748E-2</v>
      </c>
      <c r="Z468">
        <f t="shared" si="171"/>
        <v>0.11158699908745079</v>
      </c>
      <c r="AA468" t="str">
        <f t="shared" si="172"/>
        <v>No Impact</v>
      </c>
      <c r="AB468">
        <f t="shared" si="162"/>
        <v>4.3926610401431455E-2</v>
      </c>
      <c r="AC468">
        <f t="shared" si="173"/>
        <v>0.10736448414196163</v>
      </c>
      <c r="AD468" t="str">
        <f t="shared" si="174"/>
        <v>No Impact</v>
      </c>
      <c r="AE468">
        <f t="shared" si="163"/>
        <v>8.520321025175713E-3</v>
      </c>
      <c r="AF468">
        <f t="shared" si="175"/>
        <v>5.1444193908611165E-2</v>
      </c>
      <c r="AG468" t="s">
        <v>1170</v>
      </c>
    </row>
    <row r="469" spans="1:33" customFormat="1" x14ac:dyDescent="0.3">
      <c r="A469">
        <v>553291</v>
      </c>
      <c r="B469" t="s">
        <v>509</v>
      </c>
      <c r="C469" t="s">
        <v>1014</v>
      </c>
      <c r="D469" t="s">
        <v>1020</v>
      </c>
      <c r="E469" s="21">
        <v>7.1</v>
      </c>
      <c r="F469" s="2">
        <f t="shared" si="153"/>
        <v>0.86666666666666659</v>
      </c>
      <c r="G469" s="26">
        <v>37.937159999999999</v>
      </c>
      <c r="H469">
        <f t="shared" si="157"/>
        <v>0.38891574802277812</v>
      </c>
      <c r="I469" s="12">
        <v>0.8</v>
      </c>
      <c r="J469" s="2">
        <f t="shared" si="164"/>
        <v>3.3641715727502101E-3</v>
      </c>
      <c r="K469" s="10">
        <v>0</v>
      </c>
      <c r="L469" s="2">
        <f t="shared" si="158"/>
        <v>0</v>
      </c>
      <c r="M469">
        <v>13827</v>
      </c>
      <c r="N469">
        <f t="shared" si="165"/>
        <v>6.4290547094197861E-2</v>
      </c>
      <c r="O469" s="10">
        <v>0.62726754200000001</v>
      </c>
      <c r="P469">
        <f t="shared" si="166"/>
        <v>0.59533691325320326</v>
      </c>
      <c r="Q469" s="23">
        <v>0.28420000000000001</v>
      </c>
      <c r="R469" s="13">
        <f t="shared" si="167"/>
        <v>0.61541792983975752</v>
      </c>
      <c r="S469">
        <f t="shared" si="168"/>
        <v>7.2034813228924466E-2</v>
      </c>
      <c r="T469" s="4">
        <f t="shared" si="159"/>
        <v>-1.1304687664086674E-3</v>
      </c>
      <c r="U469" t="str">
        <f t="shared" si="169"/>
        <v>No Impact</v>
      </c>
      <c r="V469">
        <f t="shared" si="170"/>
        <v>7.3229549130673241E-2</v>
      </c>
      <c r="W469">
        <f t="shared" si="160"/>
        <v>0.11845854147133021</v>
      </c>
      <c r="X469" t="s">
        <v>1170</v>
      </c>
      <c r="Y469">
        <f t="shared" si="161"/>
        <v>7.0840077327175677E-2</v>
      </c>
      <c r="Z469">
        <f t="shared" si="171"/>
        <v>0.1289576259017885</v>
      </c>
      <c r="AA469" t="str">
        <f t="shared" si="172"/>
        <v>No Impact</v>
      </c>
      <c r="AB469">
        <f t="shared" si="162"/>
        <v>4.9559877117351443E-2</v>
      </c>
      <c r="AC469">
        <f t="shared" si="173"/>
        <v>0.1211331944854559</v>
      </c>
      <c r="AD469" t="str">
        <f t="shared" si="174"/>
        <v>No Impact</v>
      </c>
      <c r="AE469">
        <f t="shared" si="163"/>
        <v>7.6500334956088861E-3</v>
      </c>
      <c r="AF469">
        <f t="shared" si="175"/>
        <v>4.6189551472605214E-2</v>
      </c>
      <c r="AG469" t="s">
        <v>1170</v>
      </c>
    </row>
    <row r="470" spans="1:33" customFormat="1" x14ac:dyDescent="0.3">
      <c r="A470">
        <v>554906</v>
      </c>
      <c r="B470" t="s">
        <v>74</v>
      </c>
      <c r="C470" t="s">
        <v>1022</v>
      </c>
      <c r="D470" t="s">
        <v>1021</v>
      </c>
      <c r="E470" s="21">
        <v>7.5</v>
      </c>
      <c r="F470" s="2">
        <f t="shared" si="153"/>
        <v>0.95555555555555549</v>
      </c>
      <c r="G470" s="26">
        <v>0</v>
      </c>
      <c r="H470">
        <f t="shared" si="157"/>
        <v>0</v>
      </c>
      <c r="I470" s="12">
        <v>0</v>
      </c>
      <c r="J470" s="2">
        <f t="shared" si="164"/>
        <v>0</v>
      </c>
      <c r="K470" s="10">
        <v>0</v>
      </c>
      <c r="L470" s="2">
        <f t="shared" si="158"/>
        <v>0</v>
      </c>
      <c r="M470">
        <v>22341</v>
      </c>
      <c r="N470">
        <f t="shared" si="165"/>
        <v>0.10457386457727121</v>
      </c>
      <c r="O470" s="10">
        <v>0.67523175300000005</v>
      </c>
      <c r="P470">
        <f t="shared" si="166"/>
        <v>0.6481593618378505</v>
      </c>
      <c r="Q470" s="23">
        <v>0.29389999999999999</v>
      </c>
      <c r="R470" s="13">
        <f t="shared" si="167"/>
        <v>0.6364226938068428</v>
      </c>
      <c r="S470">
        <f t="shared" si="168"/>
        <v>0</v>
      </c>
      <c r="T470" s="4">
        <f t="shared" si="159"/>
        <v>-1.1308095934290028E-3</v>
      </c>
      <c r="U470" t="str">
        <f t="shared" si="169"/>
        <v>No Impact</v>
      </c>
      <c r="V470">
        <f t="shared" si="170"/>
        <v>0</v>
      </c>
      <c r="W470">
        <f t="shared" si="160"/>
        <v>0</v>
      </c>
      <c r="X470" t="s">
        <v>1170</v>
      </c>
      <c r="Y470">
        <f t="shared" si="161"/>
        <v>0</v>
      </c>
      <c r="Z470">
        <f t="shared" si="171"/>
        <v>0</v>
      </c>
      <c r="AA470" t="str">
        <f t="shared" si="172"/>
        <v>No Impact</v>
      </c>
      <c r="AB470">
        <f t="shared" si="162"/>
        <v>0</v>
      </c>
      <c r="AC470">
        <f t="shared" si="173"/>
        <v>0</v>
      </c>
      <c r="AD470" t="str">
        <f t="shared" si="174"/>
        <v>No Impact</v>
      </c>
      <c r="AE470">
        <f t="shared" si="163"/>
        <v>0</v>
      </c>
      <c r="AF470">
        <f t="shared" si="175"/>
        <v>0</v>
      </c>
      <c r="AG470" t="s">
        <v>1170</v>
      </c>
    </row>
    <row r="471" spans="1:33" customFormat="1" x14ac:dyDescent="0.3">
      <c r="A471">
        <v>554908</v>
      </c>
      <c r="B471" t="s">
        <v>101</v>
      </c>
      <c r="C471" t="s">
        <v>1022</v>
      </c>
      <c r="D471" t="s">
        <v>1023</v>
      </c>
      <c r="E471" s="21">
        <v>7.4</v>
      </c>
      <c r="F471" s="2">
        <f t="shared" si="153"/>
        <v>0.93333333333333335</v>
      </c>
      <c r="G471" s="26">
        <v>37.937159999999999</v>
      </c>
      <c r="H471">
        <f t="shared" si="157"/>
        <v>0.38891574802277812</v>
      </c>
      <c r="I471" s="12">
        <v>0.8</v>
      </c>
      <c r="J471" s="2">
        <f t="shared" si="164"/>
        <v>3.3641715727502101E-3</v>
      </c>
      <c r="K471" s="10">
        <v>0</v>
      </c>
      <c r="L471" s="2">
        <f t="shared" si="158"/>
        <v>0</v>
      </c>
      <c r="M471">
        <v>15830</v>
      </c>
      <c r="N471">
        <f t="shared" si="165"/>
        <v>7.3767583142893639E-2</v>
      </c>
      <c r="O471" s="10">
        <v>0.33490561699999999</v>
      </c>
      <c r="P471">
        <f t="shared" si="166"/>
        <v>0.27336199842720976</v>
      </c>
      <c r="Q471" s="23">
        <v>0.26190000000000002</v>
      </c>
      <c r="R471" s="13">
        <f t="shared" si="167"/>
        <v>0.56712862711130363</v>
      </c>
      <c r="S471">
        <f t="shared" si="168"/>
        <v>5.385224051781707E-2</v>
      </c>
      <c r="T471" s="4">
        <f t="shared" si="159"/>
        <v>-1.1305547958130814E-3</v>
      </c>
      <c r="U471" t="str">
        <f t="shared" si="169"/>
        <v>No Impact</v>
      </c>
      <c r="V471">
        <f t="shared" si="170"/>
        <v>7.2674569599557884E-2</v>
      </c>
      <c r="W471">
        <f t="shared" si="160"/>
        <v>0.11756078822031599</v>
      </c>
      <c r="X471" t="s">
        <v>1170</v>
      </c>
      <c r="Y471">
        <f t="shared" si="161"/>
        <v>3.5029911436076262E-2</v>
      </c>
      <c r="Z471">
        <f t="shared" si="171"/>
        <v>6.3768623423189716E-2</v>
      </c>
      <c r="AA471" t="str">
        <f t="shared" si="172"/>
        <v>No Impact</v>
      </c>
      <c r="AB471">
        <f t="shared" si="162"/>
        <v>3.9253598378444603E-2</v>
      </c>
      <c r="AC471">
        <f t="shared" si="173"/>
        <v>9.5942807835682875E-2</v>
      </c>
      <c r="AD471" t="str">
        <f t="shared" si="174"/>
        <v>No Impact</v>
      </c>
      <c r="AE471">
        <f t="shared" si="163"/>
        <v>9.4529302507899166E-3</v>
      </c>
      <c r="AF471">
        <f t="shared" si="175"/>
        <v>5.7075123741148474E-2</v>
      </c>
      <c r="AG471" t="s">
        <v>1170</v>
      </c>
    </row>
    <row r="472" spans="1:33" customFormat="1" x14ac:dyDescent="0.3">
      <c r="A472">
        <v>554909</v>
      </c>
      <c r="B472" t="s">
        <v>110</v>
      </c>
      <c r="C472" t="s">
        <v>1022</v>
      </c>
      <c r="D472" t="s">
        <v>1024</v>
      </c>
      <c r="E472" s="21">
        <v>7.5</v>
      </c>
      <c r="F472" s="2">
        <f t="shared" ref="F472:F535" si="176">(E472-$AJ$5)/$AK$5</f>
        <v>0.95555555555555549</v>
      </c>
      <c r="G472" s="26">
        <v>37.937159999999999</v>
      </c>
      <c r="H472">
        <f t="shared" si="157"/>
        <v>0.38891574802277812</v>
      </c>
      <c r="I472" s="12">
        <v>0.8</v>
      </c>
      <c r="J472" s="2">
        <f t="shared" si="164"/>
        <v>3.3641715727502101E-3</v>
      </c>
      <c r="K472" s="10">
        <v>0</v>
      </c>
      <c r="L472" s="2">
        <f t="shared" si="158"/>
        <v>0</v>
      </c>
      <c r="M472">
        <v>8414</v>
      </c>
      <c r="N472">
        <f t="shared" si="165"/>
        <v>3.86793658003435E-2</v>
      </c>
      <c r="O472" s="10">
        <v>0.39530975600000001</v>
      </c>
      <c r="P472">
        <f t="shared" si="166"/>
        <v>0.33988440044540175</v>
      </c>
      <c r="Q472" s="23">
        <v>0.26379999999999998</v>
      </c>
      <c r="R472" s="13">
        <f t="shared" si="167"/>
        <v>0.57124296232135119</v>
      </c>
      <c r="S472">
        <f t="shared" si="168"/>
        <v>5.9768059750464272E-2</v>
      </c>
      <c r="T472" s="4">
        <f t="shared" si="159"/>
        <v>-1.1305268055823647E-3</v>
      </c>
      <c r="U472" t="str">
        <f t="shared" si="169"/>
        <v>No Impact</v>
      </c>
      <c r="V472">
        <f t="shared" si="170"/>
        <v>7.4944700157786925E-2</v>
      </c>
      <c r="W472">
        <f t="shared" si="160"/>
        <v>0.12123302651851234</v>
      </c>
      <c r="X472" t="s">
        <v>1170</v>
      </c>
      <c r="Y472">
        <f t="shared" si="161"/>
        <v>4.4591419343141619E-2</v>
      </c>
      <c r="Z472">
        <f t="shared" si="171"/>
        <v>8.1174439541113572E-2</v>
      </c>
      <c r="AA472" t="str">
        <f t="shared" si="172"/>
        <v>No Impact</v>
      </c>
      <c r="AB472">
        <f t="shared" si="162"/>
        <v>4.1384171015528423E-2</v>
      </c>
      <c r="AC472">
        <f t="shared" si="173"/>
        <v>0.10115030802786772</v>
      </c>
      <c r="AD472" t="str">
        <f t="shared" si="174"/>
        <v>No Impact</v>
      </c>
      <c r="AE472">
        <f t="shared" si="163"/>
        <v>5.074571878172885E-3</v>
      </c>
      <c r="AF472">
        <f t="shared" si="175"/>
        <v>3.0639368978298245E-2</v>
      </c>
      <c r="AG472" t="s">
        <v>1170</v>
      </c>
    </row>
    <row r="473" spans="1:33" customFormat="1" x14ac:dyDescent="0.3">
      <c r="A473">
        <v>554918</v>
      </c>
      <c r="B473" t="s">
        <v>414</v>
      </c>
      <c r="C473" t="s">
        <v>1022</v>
      </c>
      <c r="D473" t="s">
        <v>1025</v>
      </c>
      <c r="E473" s="21">
        <v>6.6</v>
      </c>
      <c r="F473" s="2">
        <f t="shared" si="176"/>
        <v>0.75555555555555542</v>
      </c>
      <c r="G473" s="26">
        <v>0</v>
      </c>
      <c r="H473">
        <f t="shared" si="157"/>
        <v>0</v>
      </c>
      <c r="I473" s="12">
        <v>0</v>
      </c>
      <c r="J473" s="2">
        <f t="shared" si="164"/>
        <v>0</v>
      </c>
      <c r="K473" s="10">
        <v>0</v>
      </c>
      <c r="L473" s="2">
        <f t="shared" si="158"/>
        <v>0</v>
      </c>
      <c r="M473">
        <v>21184</v>
      </c>
      <c r="N473">
        <f t="shared" si="165"/>
        <v>9.9099610604060501E-2</v>
      </c>
      <c r="O473" s="10">
        <v>0.73629583600000004</v>
      </c>
      <c r="P473">
        <f t="shared" si="166"/>
        <v>0.71540855279475224</v>
      </c>
      <c r="Q473" s="23">
        <v>0.28389999999999999</v>
      </c>
      <c r="R473" s="13">
        <f t="shared" si="167"/>
        <v>0.61476829796448673</v>
      </c>
      <c r="S473">
        <f t="shared" si="168"/>
        <v>0</v>
      </c>
      <c r="T473" s="4">
        <f t="shared" si="159"/>
        <v>-1.1308095934290028E-3</v>
      </c>
      <c r="U473" t="str">
        <f t="shared" si="169"/>
        <v>No Impact</v>
      </c>
      <c r="V473">
        <f t="shared" si="170"/>
        <v>0</v>
      </c>
      <c r="W473">
        <f t="shared" si="160"/>
        <v>0</v>
      </c>
      <c r="X473" t="s">
        <v>1170</v>
      </c>
      <c r="Y473">
        <f t="shared" si="161"/>
        <v>0</v>
      </c>
      <c r="Z473">
        <f t="shared" si="171"/>
        <v>0</v>
      </c>
      <c r="AA473" t="str">
        <f t="shared" si="172"/>
        <v>No Impact</v>
      </c>
      <c r="AB473">
        <f t="shared" si="162"/>
        <v>0</v>
      </c>
      <c r="AC473">
        <f t="shared" si="173"/>
        <v>0</v>
      </c>
      <c r="AD473" t="str">
        <f t="shared" si="174"/>
        <v>No Impact</v>
      </c>
      <c r="AE473">
        <f t="shared" si="163"/>
        <v>0</v>
      </c>
      <c r="AF473">
        <f t="shared" si="175"/>
        <v>0</v>
      </c>
      <c r="AG473" t="s">
        <v>1170</v>
      </c>
    </row>
    <row r="474" spans="1:33" customFormat="1" x14ac:dyDescent="0.3">
      <c r="A474">
        <v>554952</v>
      </c>
      <c r="B474" t="s">
        <v>293</v>
      </c>
      <c r="C474" t="s">
        <v>1022</v>
      </c>
      <c r="D474" t="s">
        <v>1026</v>
      </c>
      <c r="E474" s="21">
        <v>7.5</v>
      </c>
      <c r="F474" s="2">
        <f t="shared" si="176"/>
        <v>0.95555555555555549</v>
      </c>
      <c r="G474" s="26">
        <v>38.782440000000001</v>
      </c>
      <c r="H474">
        <f t="shared" si="157"/>
        <v>0.39758120172275713</v>
      </c>
      <c r="I474" s="12">
        <v>0.2</v>
      </c>
      <c r="J474" s="2">
        <f t="shared" si="164"/>
        <v>8.4104289318755253E-4</v>
      </c>
      <c r="K474" s="10">
        <v>0</v>
      </c>
      <c r="L474" s="2">
        <f t="shared" si="158"/>
        <v>0</v>
      </c>
      <c r="M474">
        <v>24931</v>
      </c>
      <c r="N474">
        <f t="shared" si="165"/>
        <v>0.1168282446901629</v>
      </c>
      <c r="O474" s="10">
        <v>0.59991996999999997</v>
      </c>
      <c r="P474">
        <f t="shared" si="166"/>
        <v>0.56521933838295391</v>
      </c>
      <c r="Q474" s="23">
        <v>0.28079999999999999</v>
      </c>
      <c r="R474" s="13">
        <f t="shared" si="167"/>
        <v>0.60805543525335648</v>
      </c>
      <c r="S474">
        <f t="shared" si="168"/>
        <v>7.8169494126609104E-2</v>
      </c>
      <c r="T474" s="4">
        <f t="shared" si="159"/>
        <v>-1.1304397406512962E-3</v>
      </c>
      <c r="U474" t="str">
        <f t="shared" si="169"/>
        <v>No Impact</v>
      </c>
      <c r="V474">
        <f t="shared" si="170"/>
        <v>8.1023451356372025E-2</v>
      </c>
      <c r="W474">
        <f t="shared" si="160"/>
        <v>0.13106621557265435</v>
      </c>
      <c r="X474" t="s">
        <v>1170</v>
      </c>
      <c r="Y474">
        <f t="shared" si="161"/>
        <v>7.5315536896846183E-2</v>
      </c>
      <c r="Z474">
        <f t="shared" si="171"/>
        <v>0.13710477455972403</v>
      </c>
      <c r="AA474" t="str">
        <f t="shared" si="172"/>
        <v>No Impact</v>
      </c>
      <c r="AB474">
        <f t="shared" si="162"/>
        <v>5.6401450650271745E-2</v>
      </c>
      <c r="AC474">
        <f t="shared" si="173"/>
        <v>0.1378552225765956</v>
      </c>
      <c r="AD474" t="str">
        <f t="shared" si="174"/>
        <v>No Impact</v>
      </c>
      <c r="AE474">
        <f t="shared" si="163"/>
        <v>1.5567376018536278E-2</v>
      </c>
      <c r="AF474">
        <f t="shared" si="175"/>
        <v>9.3993067653143705E-2</v>
      </c>
      <c r="AG474" t="s">
        <v>1170</v>
      </c>
    </row>
    <row r="475" spans="1:33" customFormat="1" x14ac:dyDescent="0.3">
      <c r="A475">
        <v>554961</v>
      </c>
      <c r="B475" t="s">
        <v>364</v>
      </c>
      <c r="C475" t="s">
        <v>1022</v>
      </c>
      <c r="D475" t="s">
        <v>1027</v>
      </c>
      <c r="E475" s="21">
        <v>7.5</v>
      </c>
      <c r="F475" s="2">
        <f t="shared" si="176"/>
        <v>0.95555555555555549</v>
      </c>
      <c r="G475" s="26">
        <v>38.782440000000001</v>
      </c>
      <c r="H475">
        <f t="shared" si="157"/>
        <v>0.39758120172275713</v>
      </c>
      <c r="I475" s="12">
        <v>0.2</v>
      </c>
      <c r="J475" s="2">
        <f t="shared" si="164"/>
        <v>8.4104289318755253E-4</v>
      </c>
      <c r="K475" s="10">
        <v>0</v>
      </c>
      <c r="L475" s="2">
        <f t="shared" si="158"/>
        <v>0</v>
      </c>
      <c r="M475">
        <v>39159</v>
      </c>
      <c r="N475">
        <f t="shared" si="165"/>
        <v>0.18414690115588611</v>
      </c>
      <c r="O475" s="10">
        <v>0.669822476</v>
      </c>
      <c r="P475">
        <f t="shared" si="166"/>
        <v>0.64220218563802489</v>
      </c>
      <c r="Q475" s="23">
        <v>0.28120000000000001</v>
      </c>
      <c r="R475" s="13">
        <f t="shared" si="167"/>
        <v>0.60892161108705067</v>
      </c>
      <c r="S475">
        <f t="shared" si="168"/>
        <v>8.3356189425817698E-2</v>
      </c>
      <c r="T475" s="4">
        <f t="shared" si="159"/>
        <v>-1.1304152002127917E-3</v>
      </c>
      <c r="U475" t="str">
        <f t="shared" si="169"/>
        <v>No Impact</v>
      </c>
      <c r="V475">
        <f t="shared" si="170"/>
        <v>8.1138869378247172E-2</v>
      </c>
      <c r="W475">
        <f t="shared" si="160"/>
        <v>0.13125291958344157</v>
      </c>
      <c r="X475" t="s">
        <v>1170</v>
      </c>
      <c r="Y475">
        <f t="shared" si="161"/>
        <v>8.5573509473388223E-2</v>
      </c>
      <c r="Z475">
        <f t="shared" si="171"/>
        <v>0.15577843839449013</v>
      </c>
      <c r="AA475" t="str">
        <f t="shared" si="172"/>
        <v>Low</v>
      </c>
      <c r="AB475">
        <f t="shared" si="162"/>
        <v>6.2658815075338548E-2</v>
      </c>
      <c r="AC475">
        <f t="shared" si="173"/>
        <v>0.15314933922812005</v>
      </c>
      <c r="AD475" t="str">
        <f t="shared" si="174"/>
        <v>Low</v>
      </c>
      <c r="AE475">
        <f t="shared" si="163"/>
        <v>2.4537594145530209E-2</v>
      </c>
      <c r="AF475">
        <f t="shared" si="175"/>
        <v>0.14815366082376288</v>
      </c>
      <c r="AG475" t="s">
        <v>1170</v>
      </c>
    </row>
    <row r="476" spans="1:33" customFormat="1" x14ac:dyDescent="0.3">
      <c r="A476">
        <v>554977</v>
      </c>
      <c r="B476" t="s">
        <v>425</v>
      </c>
      <c r="C476" t="s">
        <v>1022</v>
      </c>
      <c r="D476" t="s">
        <v>1028</v>
      </c>
      <c r="E476" s="21">
        <v>7</v>
      </c>
      <c r="F476" s="2">
        <f t="shared" si="176"/>
        <v>0.84444444444444444</v>
      </c>
      <c r="G476" s="26">
        <v>38.266919999999999</v>
      </c>
      <c r="H476">
        <f t="shared" si="157"/>
        <v>0.39229630832481421</v>
      </c>
      <c r="I476" s="12">
        <v>0.3</v>
      </c>
      <c r="J476" s="2">
        <f t="shared" si="164"/>
        <v>1.2615643397813287E-3</v>
      </c>
      <c r="K476" s="10">
        <v>0</v>
      </c>
      <c r="L476" s="2">
        <f t="shared" si="158"/>
        <v>0</v>
      </c>
      <c r="M476">
        <v>11356</v>
      </c>
      <c r="N476">
        <f t="shared" si="165"/>
        <v>5.259920606757415E-2</v>
      </c>
      <c r="O476" s="10">
        <v>0.68355307200000004</v>
      </c>
      <c r="P476">
        <f t="shared" si="166"/>
        <v>0.65732353729012571</v>
      </c>
      <c r="Q476" s="23">
        <v>0.2878</v>
      </c>
      <c r="R476" s="13">
        <f t="shared" si="167"/>
        <v>0.62321351234300559</v>
      </c>
      <c r="S476">
        <f t="shared" si="168"/>
        <v>7.4474892374667867E-2</v>
      </c>
      <c r="T476" s="4">
        <f t="shared" si="159"/>
        <v>-1.1304572213672165E-3</v>
      </c>
      <c r="U476" t="str">
        <f t="shared" si="169"/>
        <v>No Impact</v>
      </c>
      <c r="V476">
        <f t="shared" si="170"/>
        <v>7.2491083755025207E-2</v>
      </c>
      <c r="W476">
        <f t="shared" si="160"/>
        <v>0.11726397544757598</v>
      </c>
      <c r="X476" t="s">
        <v>1170</v>
      </c>
      <c r="Y476">
        <f t="shared" si="161"/>
        <v>7.6458700994310555E-2</v>
      </c>
      <c r="Z476">
        <f t="shared" si="171"/>
        <v>0.13918579611683365</v>
      </c>
      <c r="AA476" t="str">
        <f t="shared" si="172"/>
        <v>No Impact</v>
      </c>
      <c r="AB476">
        <f t="shared" si="162"/>
        <v>5.045087564148297E-2</v>
      </c>
      <c r="AC476">
        <f t="shared" si="173"/>
        <v>0.12331095407219408</v>
      </c>
      <c r="AD476" t="str">
        <f t="shared" si="174"/>
        <v>No Impact</v>
      </c>
      <c r="AE476">
        <f t="shared" si="163"/>
        <v>6.1182457969456792E-3</v>
      </c>
      <c r="AF476">
        <f t="shared" si="175"/>
        <v>3.6940887817325845E-2</v>
      </c>
      <c r="AG476" t="s">
        <v>1170</v>
      </c>
    </row>
    <row r="477" spans="1:33" customFormat="1" x14ac:dyDescent="0.3">
      <c r="A477">
        <v>554979</v>
      </c>
      <c r="B477" t="s">
        <v>444</v>
      </c>
      <c r="C477" t="s">
        <v>1022</v>
      </c>
      <c r="D477" t="s">
        <v>1029</v>
      </c>
      <c r="E477" s="21">
        <v>7.4</v>
      </c>
      <c r="F477" s="2">
        <f t="shared" si="176"/>
        <v>0.93333333333333335</v>
      </c>
      <c r="G477" s="26">
        <v>38.094839999999998</v>
      </c>
      <c r="H477">
        <f t="shared" si="157"/>
        <v>0.39053221681348971</v>
      </c>
      <c r="I477" s="12">
        <v>0.2</v>
      </c>
      <c r="J477" s="2">
        <f t="shared" si="164"/>
        <v>8.4104289318755253E-4</v>
      </c>
      <c r="K477" s="10">
        <v>0</v>
      </c>
      <c r="L477" s="2">
        <f t="shared" si="158"/>
        <v>0</v>
      </c>
      <c r="M477">
        <v>21408</v>
      </c>
      <c r="N477">
        <f t="shared" si="165"/>
        <v>0.10015944888409438</v>
      </c>
      <c r="O477" s="10">
        <v>0.54487443599999996</v>
      </c>
      <c r="P477">
        <f t="shared" si="166"/>
        <v>0.50459830805829264</v>
      </c>
      <c r="Q477" s="23">
        <v>0.27910000000000001</v>
      </c>
      <c r="R477" s="13">
        <f t="shared" si="167"/>
        <v>0.60437418796015596</v>
      </c>
      <c r="S477">
        <f t="shared" si="168"/>
        <v>7.0890289512992422E-2</v>
      </c>
      <c r="T477" s="4">
        <f t="shared" si="159"/>
        <v>-1.1304741816320896E-3</v>
      </c>
      <c r="U477" t="str">
        <f t="shared" si="169"/>
        <v>No Impact</v>
      </c>
      <c r="V477">
        <f t="shared" si="170"/>
        <v>7.7268392701350483E-2</v>
      </c>
      <c r="W477">
        <f t="shared" si="160"/>
        <v>0.12499190845628255</v>
      </c>
      <c r="X477" t="s">
        <v>1170</v>
      </c>
      <c r="Y477">
        <f t="shared" si="161"/>
        <v>6.4512186324634374E-2</v>
      </c>
      <c r="Z477">
        <f t="shared" si="171"/>
        <v>0.11743830193374465</v>
      </c>
      <c r="AA477" t="str">
        <f t="shared" si="172"/>
        <v>No Impact</v>
      </c>
      <c r="AB477">
        <f t="shared" si="162"/>
        <v>5.0879429139551631E-2</v>
      </c>
      <c r="AC477">
        <f t="shared" si="173"/>
        <v>0.12435841539067259</v>
      </c>
      <c r="AD477" t="str">
        <f t="shared" si="174"/>
        <v>No Impact</v>
      </c>
      <c r="AE477">
        <f t="shared" si="163"/>
        <v>1.2805245133396162E-2</v>
      </c>
      <c r="AF477">
        <f t="shared" si="175"/>
        <v>7.7315809080814091E-2</v>
      </c>
      <c r="AG477" t="s">
        <v>1170</v>
      </c>
    </row>
    <row r="478" spans="1:33" customFormat="1" x14ac:dyDescent="0.3">
      <c r="A478">
        <v>554994</v>
      </c>
      <c r="B478" t="s">
        <v>533</v>
      </c>
      <c r="C478" t="s">
        <v>1022</v>
      </c>
      <c r="D478" t="s">
        <v>1030</v>
      </c>
      <c r="E478" s="21">
        <v>6.7</v>
      </c>
      <c r="F478" s="2">
        <f t="shared" si="176"/>
        <v>0.77777777777777779</v>
      </c>
      <c r="G478" s="26">
        <v>38.782440000000001</v>
      </c>
      <c r="H478">
        <f t="shared" si="157"/>
        <v>0.39758120172275713</v>
      </c>
      <c r="I478" s="12">
        <v>0.8</v>
      </c>
      <c r="J478" s="2">
        <f t="shared" si="164"/>
        <v>3.3641715727502101E-3</v>
      </c>
      <c r="K478" s="10">
        <v>0</v>
      </c>
      <c r="L478" s="2">
        <f t="shared" si="158"/>
        <v>0</v>
      </c>
      <c r="M478">
        <v>22322</v>
      </c>
      <c r="N478">
        <f t="shared" si="165"/>
        <v>0.10448396758030404</v>
      </c>
      <c r="O478" s="10">
        <v>0.88725491000000001</v>
      </c>
      <c r="P478">
        <f t="shared" si="166"/>
        <v>0.88165809090872127</v>
      </c>
      <c r="Q478" s="23">
        <v>0.26889999999999997</v>
      </c>
      <c r="R478" s="13">
        <f t="shared" si="167"/>
        <v>0.58228670420095274</v>
      </c>
      <c r="S478">
        <f t="shared" si="168"/>
        <v>7.9892035348899715E-2</v>
      </c>
      <c r="T478" s="4">
        <f t="shared" si="159"/>
        <v>-1.130431590583768E-3</v>
      </c>
      <c r="U478" t="str">
        <f t="shared" si="169"/>
        <v>No Impact</v>
      </c>
      <c r="V478">
        <f t="shared" si="170"/>
        <v>6.3554404661456773E-2</v>
      </c>
      <c r="W478">
        <f t="shared" si="160"/>
        <v>0.10280770767604568</v>
      </c>
      <c r="X478" t="s">
        <v>1170</v>
      </c>
      <c r="Y478">
        <f t="shared" si="161"/>
        <v>9.6229666036342656E-2</v>
      </c>
      <c r="Z478">
        <f t="shared" si="171"/>
        <v>0.17517695832057154</v>
      </c>
      <c r="AA478" t="str">
        <f t="shared" si="172"/>
        <v>Low</v>
      </c>
      <c r="AB478">
        <f t="shared" si="162"/>
        <v>5.5104352731583241E-2</v>
      </c>
      <c r="AC478">
        <f t="shared" si="173"/>
        <v>0.13468488351221231</v>
      </c>
      <c r="AD478" t="str">
        <f t="shared" si="174"/>
        <v>No Impact</v>
      </c>
      <c r="AE478">
        <f t="shared" si="163"/>
        <v>1.1404032254773076E-2</v>
      </c>
      <c r="AF478">
        <f t="shared" si="175"/>
        <v>6.8855533133213548E-2</v>
      </c>
      <c r="AG478" t="s">
        <v>1170</v>
      </c>
    </row>
    <row r="479" spans="1:33" customFormat="1" x14ac:dyDescent="0.3">
      <c r="A479">
        <v>555202</v>
      </c>
      <c r="B479" t="s">
        <v>3</v>
      </c>
      <c r="C479" t="s">
        <v>1032</v>
      </c>
      <c r="D479" t="s">
        <v>1031</v>
      </c>
      <c r="E479" s="21">
        <v>6.2</v>
      </c>
      <c r="F479" s="2">
        <f t="shared" si="176"/>
        <v>0.66666666666666663</v>
      </c>
      <c r="G479" s="26">
        <v>38.685600000000001</v>
      </c>
      <c r="H479">
        <f t="shared" si="157"/>
        <v>0.3965884389266352</v>
      </c>
      <c r="I479" s="12">
        <v>0.6</v>
      </c>
      <c r="J479" s="2">
        <f t="shared" si="164"/>
        <v>2.5231286795626574E-3</v>
      </c>
      <c r="K479" s="10">
        <v>0</v>
      </c>
      <c r="L479" s="2">
        <f t="shared" si="158"/>
        <v>0</v>
      </c>
      <c r="M479">
        <v>25242</v>
      </c>
      <c r="N479">
        <f t="shared" si="165"/>
        <v>0.11829971658788851</v>
      </c>
      <c r="O479" s="10">
        <v>0.806422533</v>
      </c>
      <c r="P479">
        <f t="shared" si="166"/>
        <v>0.79263829908816319</v>
      </c>
      <c r="Q479" s="23">
        <v>0.26269999999999999</v>
      </c>
      <c r="R479" s="13">
        <f t="shared" si="167"/>
        <v>0.56886097877869202</v>
      </c>
      <c r="S479">
        <f t="shared" si="168"/>
        <v>6.3395512959817116E-2</v>
      </c>
      <c r="T479" s="4">
        <f t="shared" si="159"/>
        <v>-1.1305096425744615E-3</v>
      </c>
      <c r="U479" t="str">
        <f t="shared" si="169"/>
        <v>No Impact</v>
      </c>
      <c r="V479">
        <f t="shared" si="170"/>
        <v>5.2975765964417276E-2</v>
      </c>
      <c r="W479">
        <f t="shared" si="160"/>
        <v>8.5695351725753738E-2</v>
      </c>
      <c r="X479" t="s">
        <v>1170</v>
      </c>
      <c r="Y479">
        <f t="shared" si="161"/>
        <v>7.3815259955216983E-2</v>
      </c>
      <c r="Z479">
        <f t="shared" si="171"/>
        <v>0.13437366302106571</v>
      </c>
      <c r="AA479" t="str">
        <f t="shared" si="172"/>
        <v>No Impact</v>
      </c>
      <c r="AB479">
        <f t="shared" si="162"/>
        <v>4.4541970209783295E-2</v>
      </c>
      <c r="AC479">
        <f t="shared" si="173"/>
        <v>0.10886853345925744</v>
      </c>
      <c r="AD479" t="str">
        <f t="shared" si="174"/>
        <v>No Impact</v>
      </c>
      <c r="AE479">
        <f t="shared" si="163"/>
        <v>1.1016783244777591E-2</v>
      </c>
      <c r="AF479">
        <f t="shared" si="175"/>
        <v>6.6517391987796479E-2</v>
      </c>
      <c r="AG479" t="s">
        <v>1170</v>
      </c>
    </row>
    <row r="480" spans="1:33" customFormat="1" x14ac:dyDescent="0.3">
      <c r="A480">
        <v>555233</v>
      </c>
      <c r="B480" t="s">
        <v>207</v>
      </c>
      <c r="C480" t="s">
        <v>1032</v>
      </c>
      <c r="D480" t="s">
        <v>1033</v>
      </c>
      <c r="E480" s="21">
        <v>5.9</v>
      </c>
      <c r="F480" s="2">
        <f t="shared" si="176"/>
        <v>0.60000000000000009</v>
      </c>
      <c r="G480" s="26">
        <v>0</v>
      </c>
      <c r="H480">
        <f t="shared" si="157"/>
        <v>0</v>
      </c>
      <c r="I480" s="12">
        <v>0</v>
      </c>
      <c r="J480" s="2">
        <f t="shared" si="164"/>
        <v>0</v>
      </c>
      <c r="K480" s="10">
        <v>0</v>
      </c>
      <c r="L480" s="2">
        <f t="shared" si="158"/>
        <v>0</v>
      </c>
      <c r="M480">
        <v>21858</v>
      </c>
      <c r="N480">
        <f t="shared" si="165"/>
        <v>0.10228858828594815</v>
      </c>
      <c r="O480" s="10">
        <v>0.73880113700000005</v>
      </c>
      <c r="P480">
        <f t="shared" si="166"/>
        <v>0.71816761273762442</v>
      </c>
      <c r="Q480" s="23">
        <v>0.2283</v>
      </c>
      <c r="R480" s="13">
        <f t="shared" si="167"/>
        <v>0.49436985708098746</v>
      </c>
      <c r="S480">
        <f t="shared" si="168"/>
        <v>0</v>
      </c>
      <c r="T480" s="4">
        <f t="shared" si="159"/>
        <v>-1.1308095934290028E-3</v>
      </c>
      <c r="U480" t="str">
        <f t="shared" si="169"/>
        <v>No Impact</v>
      </c>
      <c r="V480">
        <f t="shared" si="170"/>
        <v>0</v>
      </c>
      <c r="W480">
        <f t="shared" si="160"/>
        <v>0</v>
      </c>
      <c r="X480" t="s">
        <v>1170</v>
      </c>
      <c r="Y480">
        <f t="shared" si="161"/>
        <v>0</v>
      </c>
      <c r="Z480">
        <f t="shared" si="171"/>
        <v>0</v>
      </c>
      <c r="AA480" t="str">
        <f t="shared" si="172"/>
        <v>No Impact</v>
      </c>
      <c r="AB480">
        <f t="shared" si="162"/>
        <v>0</v>
      </c>
      <c r="AC480">
        <f t="shared" si="173"/>
        <v>0</v>
      </c>
      <c r="AD480" t="str">
        <f t="shared" si="174"/>
        <v>No Impact</v>
      </c>
      <c r="AE480">
        <f t="shared" si="163"/>
        <v>0</v>
      </c>
      <c r="AF480">
        <f t="shared" si="175"/>
        <v>0</v>
      </c>
      <c r="AG480" t="s">
        <v>1170</v>
      </c>
    </row>
    <row r="481" spans="1:33" customFormat="1" x14ac:dyDescent="0.3">
      <c r="A481">
        <v>555239</v>
      </c>
      <c r="B481" t="s">
        <v>247</v>
      </c>
      <c r="C481" t="s">
        <v>888</v>
      </c>
      <c r="D481" t="s">
        <v>1139</v>
      </c>
      <c r="E481" s="21">
        <v>6.2</v>
      </c>
      <c r="F481" s="2">
        <f t="shared" si="176"/>
        <v>0.66666666666666663</v>
      </c>
      <c r="G481" s="26">
        <v>0</v>
      </c>
      <c r="H481">
        <f t="shared" si="157"/>
        <v>0</v>
      </c>
      <c r="I481" s="12">
        <v>0</v>
      </c>
      <c r="J481" s="2">
        <f t="shared" si="164"/>
        <v>0</v>
      </c>
      <c r="K481" s="10">
        <v>0</v>
      </c>
      <c r="L481" s="2">
        <f t="shared" si="158"/>
        <v>0</v>
      </c>
      <c r="M481">
        <v>24184</v>
      </c>
      <c r="N481">
        <f t="shared" si="165"/>
        <v>0.11329387328308564</v>
      </c>
      <c r="O481" s="10">
        <v>0.75270867500000005</v>
      </c>
      <c r="P481">
        <f t="shared" si="166"/>
        <v>0.73348382863334771</v>
      </c>
      <c r="Q481" s="23">
        <v>0.26300000000000001</v>
      </c>
      <c r="R481" s="13">
        <f t="shared" si="167"/>
        <v>0.5695106106539628</v>
      </c>
      <c r="S481">
        <f t="shared" si="168"/>
        <v>0</v>
      </c>
      <c r="T481" s="4">
        <f t="shared" si="159"/>
        <v>-1.1308095934290028E-3</v>
      </c>
      <c r="U481" t="str">
        <f t="shared" si="169"/>
        <v>No Impact</v>
      </c>
      <c r="V481">
        <f t="shared" si="170"/>
        <v>0</v>
      </c>
      <c r="W481">
        <f t="shared" si="160"/>
        <v>0</v>
      </c>
      <c r="X481" t="s">
        <v>1170</v>
      </c>
      <c r="Y481">
        <f t="shared" si="161"/>
        <v>0</v>
      </c>
      <c r="Z481">
        <f t="shared" si="171"/>
        <v>0</v>
      </c>
      <c r="AA481" t="str">
        <f t="shared" si="172"/>
        <v>No Impact</v>
      </c>
      <c r="AB481">
        <f t="shared" si="162"/>
        <v>0</v>
      </c>
      <c r="AC481">
        <f t="shared" si="173"/>
        <v>0</v>
      </c>
      <c r="AD481" t="str">
        <f t="shared" si="174"/>
        <v>No Impact</v>
      </c>
      <c r="AE481">
        <f t="shared" si="163"/>
        <v>0</v>
      </c>
      <c r="AF481">
        <f t="shared" si="175"/>
        <v>0</v>
      </c>
      <c r="AG481" t="s">
        <v>1170</v>
      </c>
    </row>
    <row r="482" spans="1:33" customFormat="1" x14ac:dyDescent="0.3">
      <c r="A482">
        <v>555255</v>
      </c>
      <c r="B482" t="s">
        <v>302</v>
      </c>
      <c r="C482" t="s">
        <v>1032</v>
      </c>
      <c r="D482" t="s">
        <v>1034</v>
      </c>
      <c r="E482" s="21">
        <v>6.2</v>
      </c>
      <c r="F482" s="2">
        <f t="shared" si="176"/>
        <v>0.66666666666666663</v>
      </c>
      <c r="G482" s="26">
        <v>38.685600000000001</v>
      </c>
      <c r="H482">
        <f t="shared" ref="H482:H513" si="177">(G482-$AJ$6)/$AK$6</f>
        <v>0.3965884389266352</v>
      </c>
      <c r="I482" s="12">
        <v>0.6</v>
      </c>
      <c r="J482" s="2">
        <f t="shared" si="164"/>
        <v>2.5231286795626574E-3</v>
      </c>
      <c r="K482" s="10">
        <v>0</v>
      </c>
      <c r="L482" s="2">
        <f t="shared" ref="L482:L513" si="178">(K482-$AJ$7)/$AK$7</f>
        <v>0</v>
      </c>
      <c r="M482">
        <v>29622</v>
      </c>
      <c r="N482">
        <f t="shared" si="165"/>
        <v>0.1390233400992652</v>
      </c>
      <c r="O482" s="10">
        <v>0.54589342600000001</v>
      </c>
      <c r="P482">
        <f t="shared" si="166"/>
        <v>0.50572051033705578</v>
      </c>
      <c r="Q482" s="23">
        <v>0.26419999999999999</v>
      </c>
      <c r="R482" s="13">
        <f t="shared" si="167"/>
        <v>0.57210913815504549</v>
      </c>
      <c r="S482">
        <f t="shared" si="168"/>
        <v>5.0186999405913958E-2</v>
      </c>
      <c r="T482" s="4">
        <f t="shared" ref="T482:T513" si="179">(S482-$AJ$9)/$AK$9</f>
        <v>-1.1305721376114561E-3</v>
      </c>
      <c r="U482" t="str">
        <f t="shared" si="169"/>
        <v>No Impact</v>
      </c>
      <c r="V482">
        <f t="shared" si="170"/>
        <v>5.3278254159874555E-2</v>
      </c>
      <c r="W482">
        <f t="shared" si="160"/>
        <v>8.6184666638538798E-2</v>
      </c>
      <c r="X482" t="s">
        <v>1170</v>
      </c>
      <c r="Y482">
        <f t="shared" si="161"/>
        <v>4.7095744651953354E-2</v>
      </c>
      <c r="Z482">
        <f t="shared" si="171"/>
        <v>8.5733325675844449E-2</v>
      </c>
      <c r="AA482" t="str">
        <f t="shared" si="172"/>
        <v>No Impact</v>
      </c>
      <c r="AB482">
        <f t="shared" si="162"/>
        <v>3.7307454579612924E-2</v>
      </c>
      <c r="AC482">
        <f t="shared" si="173"/>
        <v>9.1186084675891066E-2</v>
      </c>
      <c r="AD482" t="str">
        <f t="shared" si="174"/>
        <v>No Impact</v>
      </c>
      <c r="AE482">
        <f t="shared" si="163"/>
        <v>1.294669208020237E-2</v>
      </c>
      <c r="AF482">
        <f t="shared" si="175"/>
        <v>7.8169840770204516E-2</v>
      </c>
      <c r="AG482" t="s">
        <v>1170</v>
      </c>
    </row>
    <row r="483" spans="1:33" customFormat="1" x14ac:dyDescent="0.3">
      <c r="A483">
        <v>555270</v>
      </c>
      <c r="B483" t="s">
        <v>408</v>
      </c>
      <c r="C483" t="s">
        <v>1032</v>
      </c>
      <c r="D483" t="s">
        <v>1035</v>
      </c>
      <c r="E483" s="21">
        <v>6.2</v>
      </c>
      <c r="F483" s="2">
        <f t="shared" si="176"/>
        <v>0.66666666666666663</v>
      </c>
      <c r="G483" s="26">
        <v>0</v>
      </c>
      <c r="H483">
        <f t="shared" si="177"/>
        <v>0</v>
      </c>
      <c r="I483" s="12">
        <v>0</v>
      </c>
      <c r="J483" s="2">
        <f t="shared" si="164"/>
        <v>0</v>
      </c>
      <c r="K483" s="10">
        <v>0</v>
      </c>
      <c r="L483" s="2">
        <f t="shared" si="178"/>
        <v>0</v>
      </c>
      <c r="M483">
        <v>23187</v>
      </c>
      <c r="N483">
        <f t="shared" si="165"/>
        <v>0.10857664665275629</v>
      </c>
      <c r="O483" s="10">
        <v>0.83868091</v>
      </c>
      <c r="P483">
        <f t="shared" si="166"/>
        <v>0.82816408852534729</v>
      </c>
      <c r="Q483" s="23">
        <v>0.23169999999999999</v>
      </c>
      <c r="R483" s="13">
        <f t="shared" si="167"/>
        <v>0.5017323516673885</v>
      </c>
      <c r="S483">
        <f t="shared" si="168"/>
        <v>0</v>
      </c>
      <c r="T483" s="4">
        <f t="shared" si="179"/>
        <v>-1.1308095934290028E-3</v>
      </c>
      <c r="U483" t="str">
        <f t="shared" si="169"/>
        <v>No Impact</v>
      </c>
      <c r="V483">
        <f t="shared" si="170"/>
        <v>0</v>
      </c>
      <c r="W483">
        <f t="shared" si="160"/>
        <v>0</v>
      </c>
      <c r="X483" t="s">
        <v>1170</v>
      </c>
      <c r="Y483">
        <f t="shared" si="161"/>
        <v>0</v>
      </c>
      <c r="Z483">
        <f t="shared" si="171"/>
        <v>0</v>
      </c>
      <c r="AA483" t="str">
        <f t="shared" si="172"/>
        <v>No Impact</v>
      </c>
      <c r="AB483">
        <f t="shared" si="162"/>
        <v>0</v>
      </c>
      <c r="AC483">
        <f t="shared" si="173"/>
        <v>0</v>
      </c>
      <c r="AD483" t="str">
        <f t="shared" si="174"/>
        <v>No Impact</v>
      </c>
      <c r="AE483">
        <f t="shared" si="163"/>
        <v>0</v>
      </c>
      <c r="AF483">
        <f t="shared" si="175"/>
        <v>0</v>
      </c>
      <c r="AG483" t="s">
        <v>1170</v>
      </c>
    </row>
    <row r="484" spans="1:33" customFormat="1" x14ac:dyDescent="0.3">
      <c r="A484">
        <v>557312</v>
      </c>
      <c r="B484" t="s">
        <v>152</v>
      </c>
      <c r="C484" t="s">
        <v>1037</v>
      </c>
      <c r="D484" t="s">
        <v>1036</v>
      </c>
      <c r="E484" s="21">
        <v>5.9</v>
      </c>
      <c r="F484" s="2">
        <f t="shared" si="176"/>
        <v>0.60000000000000009</v>
      </c>
      <c r="G484" s="26">
        <v>0</v>
      </c>
      <c r="H484">
        <f t="shared" si="177"/>
        <v>0</v>
      </c>
      <c r="I484" s="12">
        <v>0</v>
      </c>
      <c r="J484" s="2">
        <f t="shared" si="164"/>
        <v>0</v>
      </c>
      <c r="K484" s="10">
        <v>0</v>
      </c>
      <c r="L484" s="2">
        <f t="shared" si="178"/>
        <v>0</v>
      </c>
      <c r="M484">
        <v>27341</v>
      </c>
      <c r="N484">
        <f t="shared" si="165"/>
        <v>0.1282309690423131</v>
      </c>
      <c r="O484" s="10">
        <v>0.80249892599999995</v>
      </c>
      <c r="P484">
        <f t="shared" si="166"/>
        <v>0.78831727462632306</v>
      </c>
      <c r="Q484" s="23">
        <v>0.23780000000000001</v>
      </c>
      <c r="R484" s="13">
        <f t="shared" si="167"/>
        <v>0.5149415331312257</v>
      </c>
      <c r="S484">
        <f t="shared" si="168"/>
        <v>0</v>
      </c>
      <c r="T484" s="4">
        <f t="shared" si="179"/>
        <v>-1.1308095934290028E-3</v>
      </c>
      <c r="U484" t="str">
        <f t="shared" si="169"/>
        <v>No Impact</v>
      </c>
      <c r="V484">
        <f t="shared" si="170"/>
        <v>0</v>
      </c>
      <c r="W484">
        <f t="shared" si="160"/>
        <v>0</v>
      </c>
      <c r="X484" t="s">
        <v>1170</v>
      </c>
      <c r="Y484">
        <f t="shared" si="161"/>
        <v>0</v>
      </c>
      <c r="Z484">
        <f t="shared" si="171"/>
        <v>0</v>
      </c>
      <c r="AA484" t="str">
        <f t="shared" si="172"/>
        <v>No Impact</v>
      </c>
      <c r="AB484">
        <f t="shared" si="162"/>
        <v>0</v>
      </c>
      <c r="AC484">
        <f t="shared" si="173"/>
        <v>0</v>
      </c>
      <c r="AD484" t="str">
        <f t="shared" si="174"/>
        <v>No Impact</v>
      </c>
      <c r="AE484">
        <f t="shared" si="163"/>
        <v>0</v>
      </c>
      <c r="AF484">
        <f t="shared" si="175"/>
        <v>0</v>
      </c>
      <c r="AG484" t="s">
        <v>1170</v>
      </c>
    </row>
    <row r="485" spans="1:33" customFormat="1" x14ac:dyDescent="0.3">
      <c r="A485">
        <v>557315</v>
      </c>
      <c r="B485" t="s">
        <v>155</v>
      </c>
      <c r="C485" t="s">
        <v>1037</v>
      </c>
      <c r="D485" t="s">
        <v>1038</v>
      </c>
      <c r="E485" s="21">
        <v>5.9</v>
      </c>
      <c r="F485" s="2">
        <f t="shared" si="176"/>
        <v>0.60000000000000009</v>
      </c>
      <c r="G485" s="26">
        <v>0</v>
      </c>
      <c r="H485">
        <f t="shared" si="177"/>
        <v>0</v>
      </c>
      <c r="I485" s="12">
        <v>0</v>
      </c>
      <c r="J485" s="2">
        <f t="shared" si="164"/>
        <v>0</v>
      </c>
      <c r="K485" s="10">
        <v>0</v>
      </c>
      <c r="L485" s="2">
        <f t="shared" si="178"/>
        <v>0</v>
      </c>
      <c r="M485">
        <v>28057</v>
      </c>
      <c r="N485">
        <f t="shared" si="165"/>
        <v>0.13161866640170711</v>
      </c>
      <c r="O485" s="10">
        <v>0.77375728600000004</v>
      </c>
      <c r="P485">
        <f t="shared" si="166"/>
        <v>0.75666442827514602</v>
      </c>
      <c r="Q485" s="23">
        <v>0.27089999999999997</v>
      </c>
      <c r="R485" s="13">
        <f t="shared" si="167"/>
        <v>0.58661758336942393</v>
      </c>
      <c r="S485">
        <f t="shared" si="168"/>
        <v>0</v>
      </c>
      <c r="T485" s="4">
        <f t="shared" si="179"/>
        <v>-1.1308095934290028E-3</v>
      </c>
      <c r="U485" t="str">
        <f t="shared" si="169"/>
        <v>No Impact</v>
      </c>
      <c r="V485">
        <f t="shared" si="170"/>
        <v>0</v>
      </c>
      <c r="W485">
        <f t="shared" si="160"/>
        <v>0</v>
      </c>
      <c r="X485" t="s">
        <v>1170</v>
      </c>
      <c r="Y485">
        <f t="shared" si="161"/>
        <v>0</v>
      </c>
      <c r="Z485">
        <f t="shared" si="171"/>
        <v>0</v>
      </c>
      <c r="AA485" t="str">
        <f t="shared" si="172"/>
        <v>No Impact</v>
      </c>
      <c r="AB485">
        <f t="shared" si="162"/>
        <v>0</v>
      </c>
      <c r="AC485">
        <f t="shared" si="173"/>
        <v>0</v>
      </c>
      <c r="AD485" t="str">
        <f t="shared" si="174"/>
        <v>No Impact</v>
      </c>
      <c r="AE485">
        <f t="shared" si="163"/>
        <v>0</v>
      </c>
      <c r="AF485">
        <f t="shared" si="175"/>
        <v>0</v>
      </c>
      <c r="AG485" t="s">
        <v>1170</v>
      </c>
    </row>
    <row r="486" spans="1:33" customFormat="1" x14ac:dyDescent="0.3">
      <c r="A486">
        <v>557336</v>
      </c>
      <c r="B486" t="s">
        <v>219</v>
      </c>
      <c r="C486" t="s">
        <v>1037</v>
      </c>
      <c r="D486" t="s">
        <v>1039</v>
      </c>
      <c r="E486" s="21">
        <v>5.9</v>
      </c>
      <c r="F486" s="2">
        <f t="shared" si="176"/>
        <v>0.60000000000000009</v>
      </c>
      <c r="G486" s="26">
        <v>0</v>
      </c>
      <c r="H486">
        <f t="shared" si="177"/>
        <v>0</v>
      </c>
      <c r="I486" s="12">
        <v>0</v>
      </c>
      <c r="J486" s="2">
        <f t="shared" si="164"/>
        <v>0</v>
      </c>
      <c r="K486" s="10">
        <v>0</v>
      </c>
      <c r="L486" s="2">
        <f t="shared" si="178"/>
        <v>0</v>
      </c>
      <c r="M486">
        <v>28976</v>
      </c>
      <c r="N486">
        <f t="shared" si="165"/>
        <v>0.13596684220238181</v>
      </c>
      <c r="O486" s="10">
        <v>0.64076593500000001</v>
      </c>
      <c r="P486">
        <f t="shared" si="166"/>
        <v>0.61020254234106341</v>
      </c>
      <c r="Q486" s="23">
        <v>0.25779999999999997</v>
      </c>
      <c r="R486" s="13">
        <f t="shared" si="167"/>
        <v>0.55825032481593762</v>
      </c>
      <c r="S486">
        <f t="shared" si="168"/>
        <v>0</v>
      </c>
      <c r="T486" s="4">
        <f t="shared" si="179"/>
        <v>-1.1308095934290028E-3</v>
      </c>
      <c r="U486" t="str">
        <f t="shared" si="169"/>
        <v>No Impact</v>
      </c>
      <c r="V486">
        <f t="shared" si="170"/>
        <v>0</v>
      </c>
      <c r="W486">
        <f t="shared" si="160"/>
        <v>0</v>
      </c>
      <c r="X486" t="s">
        <v>1170</v>
      </c>
      <c r="Y486">
        <f t="shared" si="161"/>
        <v>0</v>
      </c>
      <c r="Z486">
        <f t="shared" si="171"/>
        <v>0</v>
      </c>
      <c r="AA486" t="str">
        <f t="shared" si="172"/>
        <v>No Impact</v>
      </c>
      <c r="AB486">
        <f t="shared" si="162"/>
        <v>0</v>
      </c>
      <c r="AC486">
        <f t="shared" si="173"/>
        <v>0</v>
      </c>
      <c r="AD486" t="str">
        <f t="shared" si="174"/>
        <v>No Impact</v>
      </c>
      <c r="AE486">
        <f t="shared" si="163"/>
        <v>0</v>
      </c>
      <c r="AF486">
        <f t="shared" si="175"/>
        <v>0</v>
      </c>
      <c r="AG486" t="s">
        <v>1170</v>
      </c>
    </row>
    <row r="487" spans="1:33" customFormat="1" x14ac:dyDescent="0.3">
      <c r="A487">
        <v>557345</v>
      </c>
      <c r="B487" t="s">
        <v>282</v>
      </c>
      <c r="C487" t="s">
        <v>1037</v>
      </c>
      <c r="D487" t="s">
        <v>764</v>
      </c>
      <c r="E487" s="21">
        <v>5.9</v>
      </c>
      <c r="F487" s="2">
        <f t="shared" si="176"/>
        <v>0.60000000000000009</v>
      </c>
      <c r="G487" s="26">
        <v>36.888480000000001</v>
      </c>
      <c r="H487">
        <f t="shared" si="177"/>
        <v>0.3781651233941416</v>
      </c>
      <c r="I487" s="12">
        <v>0</v>
      </c>
      <c r="J487" s="2">
        <f t="shared" si="164"/>
        <v>0</v>
      </c>
      <c r="K487" s="10">
        <v>0</v>
      </c>
      <c r="L487" s="2">
        <f t="shared" si="178"/>
        <v>0</v>
      </c>
      <c r="M487">
        <v>24819</v>
      </c>
      <c r="N487">
        <f t="shared" si="165"/>
        <v>0.11629832555014596</v>
      </c>
      <c r="O487" s="10">
        <v>0.82154650699999998</v>
      </c>
      <c r="P487">
        <f t="shared" si="166"/>
        <v>0.80929416233191676</v>
      </c>
      <c r="Q487" s="23">
        <v>0.27939999999999998</v>
      </c>
      <c r="R487" s="13">
        <f t="shared" si="167"/>
        <v>0.60502381983542652</v>
      </c>
      <c r="S487">
        <f t="shared" si="168"/>
        <v>5.6158802095711009E-2</v>
      </c>
      <c r="T487" s="4">
        <f t="shared" si="179"/>
        <v>-1.1305438824994406E-3</v>
      </c>
      <c r="U487" t="str">
        <f t="shared" si="169"/>
        <v>No Impact</v>
      </c>
      <c r="V487">
        <f t="shared" si="170"/>
        <v>4.8047770571736384E-2</v>
      </c>
      <c r="W487">
        <f t="shared" si="160"/>
        <v>7.7723663335965532E-2</v>
      </c>
      <c r="X487" t="s">
        <v>1170</v>
      </c>
      <c r="Y487">
        <f t="shared" si="161"/>
        <v>6.4269833619685635E-2</v>
      </c>
      <c r="Z487">
        <f t="shared" si="171"/>
        <v>0.11699712187522039</v>
      </c>
      <c r="AA487" t="str">
        <f t="shared" si="172"/>
        <v>No Impact</v>
      </c>
      <c r="AB487">
        <f t="shared" si="162"/>
        <v>3.9330197627480336E-2</v>
      </c>
      <c r="AC487">
        <f t="shared" si="173"/>
        <v>9.6130030086232734E-2</v>
      </c>
      <c r="AD487" t="str">
        <f t="shared" si="174"/>
        <v>No Impact</v>
      </c>
      <c r="AE487">
        <f t="shared" si="163"/>
        <v>9.2357938327626305E-3</v>
      </c>
      <c r="AF487">
        <f t="shared" si="175"/>
        <v>5.5764092389088991E-2</v>
      </c>
      <c r="AG487" t="s">
        <v>1170</v>
      </c>
    </row>
    <row r="488" spans="1:33" customFormat="1" x14ac:dyDescent="0.3">
      <c r="A488">
        <v>557364</v>
      </c>
      <c r="B488" t="s">
        <v>389</v>
      </c>
      <c r="C488" t="s">
        <v>1037</v>
      </c>
      <c r="D488" t="s">
        <v>1040</v>
      </c>
      <c r="E488" s="21">
        <v>5.9</v>
      </c>
      <c r="F488" s="2">
        <f t="shared" si="176"/>
        <v>0.60000000000000009</v>
      </c>
      <c r="G488" s="26">
        <v>36.888480000000001</v>
      </c>
      <c r="H488">
        <f t="shared" si="177"/>
        <v>0.3781651233941416</v>
      </c>
      <c r="I488" s="12">
        <v>0</v>
      </c>
      <c r="J488" s="2">
        <f t="shared" si="164"/>
        <v>0</v>
      </c>
      <c r="K488" s="10">
        <v>0</v>
      </c>
      <c r="L488" s="2">
        <f t="shared" si="178"/>
        <v>0</v>
      </c>
      <c r="M488">
        <v>45805</v>
      </c>
      <c r="N488">
        <f t="shared" si="165"/>
        <v>0.21559192441081981</v>
      </c>
      <c r="O488" s="10">
        <v>0.70370164099999999</v>
      </c>
      <c r="P488">
        <f t="shared" si="166"/>
        <v>0.67951293075386299</v>
      </c>
      <c r="Q488" s="23">
        <v>0.26879999999999998</v>
      </c>
      <c r="R488" s="13">
        <f t="shared" si="167"/>
        <v>0.58207016024252922</v>
      </c>
      <c r="S488">
        <f t="shared" si="168"/>
        <v>5.0094106154254386E-2</v>
      </c>
      <c r="T488" s="4">
        <f t="shared" si="179"/>
        <v>-1.1305725771285277E-3</v>
      </c>
      <c r="U488" t="str">
        <f t="shared" si="169"/>
        <v>No Impact</v>
      </c>
      <c r="V488">
        <f t="shared" si="170"/>
        <v>4.6224913134154409E-2</v>
      </c>
      <c r="W488">
        <f t="shared" si="160"/>
        <v>7.4774948835746369E-2</v>
      </c>
      <c r="X488" t="s">
        <v>1170</v>
      </c>
      <c r="Y488">
        <f t="shared" si="161"/>
        <v>5.3963299174354371E-2</v>
      </c>
      <c r="Z488">
        <f t="shared" si="171"/>
        <v>9.8235055775173177E-2</v>
      </c>
      <c r="AA488" t="str">
        <f t="shared" si="172"/>
        <v>No Impact</v>
      </c>
      <c r="AB488">
        <f t="shared" si="162"/>
        <v>3.8360116331533814E-2</v>
      </c>
      <c r="AC488">
        <f t="shared" si="173"/>
        <v>9.37589780755438E-2</v>
      </c>
      <c r="AD488" t="str">
        <f t="shared" si="174"/>
        <v>No Impact</v>
      </c>
      <c r="AE488">
        <f t="shared" si="163"/>
        <v>1.7121162806495609E-2</v>
      </c>
      <c r="AF488">
        <f t="shared" si="175"/>
        <v>0.1033745579251924</v>
      </c>
      <c r="AG488" t="s">
        <v>1170</v>
      </c>
    </row>
    <row r="489" spans="1:33" customFormat="1" x14ac:dyDescent="0.3">
      <c r="A489">
        <v>557385</v>
      </c>
      <c r="B489" t="s">
        <v>456</v>
      </c>
      <c r="C489" t="s">
        <v>1037</v>
      </c>
      <c r="D489" t="s">
        <v>1041</v>
      </c>
      <c r="E489" s="21">
        <v>5.9</v>
      </c>
      <c r="F489" s="2">
        <f t="shared" si="176"/>
        <v>0.60000000000000009</v>
      </c>
      <c r="G489" s="26">
        <v>36.888480000000001</v>
      </c>
      <c r="H489">
        <f t="shared" si="177"/>
        <v>0.3781651233941416</v>
      </c>
      <c r="I489" s="12">
        <v>0</v>
      </c>
      <c r="J489" s="2">
        <f t="shared" si="164"/>
        <v>0</v>
      </c>
      <c r="K489" s="10">
        <v>0</v>
      </c>
      <c r="L489" s="2">
        <f t="shared" si="178"/>
        <v>0</v>
      </c>
      <c r="M489">
        <v>25576</v>
      </c>
      <c r="N489">
        <f t="shared" si="165"/>
        <v>0.11988001116615331</v>
      </c>
      <c r="O489" s="10">
        <v>0.75867773400000005</v>
      </c>
      <c r="P489">
        <f t="shared" si="166"/>
        <v>0.74005748648266012</v>
      </c>
      <c r="Q489" s="23">
        <v>0.27839999999999998</v>
      </c>
      <c r="R489" s="13">
        <f t="shared" si="167"/>
        <v>0.60285838025119098</v>
      </c>
      <c r="S489">
        <f t="shared" si="168"/>
        <v>5.3323614167392529E-2</v>
      </c>
      <c r="T489" s="4">
        <f t="shared" si="179"/>
        <v>-1.1305572969668404E-3</v>
      </c>
      <c r="U489" t="str">
        <f t="shared" si="169"/>
        <v>No Impact</v>
      </c>
      <c r="V489">
        <f t="shared" si="170"/>
        <v>4.7875802888945641E-2</v>
      </c>
      <c r="W489">
        <f t="shared" si="160"/>
        <v>7.7445482722737324E-2</v>
      </c>
      <c r="X489" t="s">
        <v>1170</v>
      </c>
      <c r="Y489">
        <f t="shared" si="161"/>
        <v>5.877142544583943E-2</v>
      </c>
      <c r="Z489">
        <f t="shared" si="171"/>
        <v>0.10698779253664012</v>
      </c>
      <c r="AA489" t="str">
        <f t="shared" si="172"/>
        <v>No Impact</v>
      </c>
      <c r="AB489">
        <f t="shared" si="162"/>
        <v>3.7720039927195546E-2</v>
      </c>
      <c r="AC489">
        <f t="shared" si="173"/>
        <v>9.2194516981569191E-2</v>
      </c>
      <c r="AD489" t="str">
        <f t="shared" si="174"/>
        <v>No Impact</v>
      </c>
      <c r="AE489">
        <f t="shared" si="163"/>
        <v>9.520232235179284E-3</v>
      </c>
      <c r="AF489">
        <f t="shared" si="175"/>
        <v>5.7481481239314396E-2</v>
      </c>
      <c r="AG489" t="s">
        <v>1170</v>
      </c>
    </row>
    <row r="490" spans="1:33" customFormat="1" x14ac:dyDescent="0.3">
      <c r="A490">
        <v>557704</v>
      </c>
      <c r="B490" t="s">
        <v>18</v>
      </c>
      <c r="C490" t="s">
        <v>1043</v>
      </c>
      <c r="D490" t="s">
        <v>1042</v>
      </c>
      <c r="E490" s="21">
        <v>5.0999999999999996</v>
      </c>
      <c r="F490" s="2">
        <f t="shared" si="176"/>
        <v>0.42222222222222211</v>
      </c>
      <c r="G490" s="26">
        <v>0</v>
      </c>
      <c r="H490">
        <f t="shared" si="177"/>
        <v>0</v>
      </c>
      <c r="I490" s="12">
        <v>0</v>
      </c>
      <c r="J490" s="2">
        <f t="shared" si="164"/>
        <v>0</v>
      </c>
      <c r="K490" s="10">
        <v>0</v>
      </c>
      <c r="L490" s="2">
        <f t="shared" si="178"/>
        <v>0</v>
      </c>
      <c r="M490">
        <v>20430</v>
      </c>
      <c r="N490">
        <f t="shared" si="165"/>
        <v>9.5532119250732184E-2</v>
      </c>
      <c r="O490" s="10">
        <v>0.58595961699999999</v>
      </c>
      <c r="P490">
        <f t="shared" si="166"/>
        <v>0.54984495791902788</v>
      </c>
      <c r="Q490" s="23">
        <v>0.29380000000000001</v>
      </c>
      <c r="R490" s="13">
        <f t="shared" si="167"/>
        <v>0.63620614984841928</v>
      </c>
      <c r="S490">
        <f t="shared" si="168"/>
        <v>0</v>
      </c>
      <c r="T490" s="4">
        <f t="shared" si="179"/>
        <v>-1.1308095934290028E-3</v>
      </c>
      <c r="U490" t="str">
        <f t="shared" si="169"/>
        <v>No Impact</v>
      </c>
      <c r="V490">
        <f t="shared" si="170"/>
        <v>0</v>
      </c>
      <c r="W490">
        <f t="shared" si="160"/>
        <v>0</v>
      </c>
      <c r="X490" t="s">
        <v>1170</v>
      </c>
      <c r="Y490">
        <f t="shared" si="161"/>
        <v>0</v>
      </c>
      <c r="Z490">
        <f t="shared" si="171"/>
        <v>0</v>
      </c>
      <c r="AA490" t="str">
        <f t="shared" si="172"/>
        <v>No Impact</v>
      </c>
      <c r="AB490">
        <f t="shared" si="162"/>
        <v>0</v>
      </c>
      <c r="AC490">
        <f t="shared" si="173"/>
        <v>0</v>
      </c>
      <c r="AD490" t="str">
        <f t="shared" si="174"/>
        <v>No Impact</v>
      </c>
      <c r="AE490">
        <f t="shared" si="163"/>
        <v>0</v>
      </c>
      <c r="AF490">
        <f t="shared" si="175"/>
        <v>0</v>
      </c>
      <c r="AG490" t="s">
        <v>1170</v>
      </c>
    </row>
    <row r="491" spans="1:33" customFormat="1" x14ac:dyDescent="0.3">
      <c r="A491">
        <v>557725</v>
      </c>
      <c r="B491" t="s">
        <v>86</v>
      </c>
      <c r="C491" t="s">
        <v>1043</v>
      </c>
      <c r="D491" t="s">
        <v>1044</v>
      </c>
      <c r="E491" s="21">
        <v>5.3</v>
      </c>
      <c r="F491" s="2">
        <f t="shared" si="176"/>
        <v>0.46666666666666656</v>
      </c>
      <c r="G491" s="26">
        <v>0</v>
      </c>
      <c r="H491">
        <f t="shared" si="177"/>
        <v>0</v>
      </c>
      <c r="I491" s="12">
        <v>0</v>
      </c>
      <c r="J491" s="2">
        <f t="shared" si="164"/>
        <v>0</v>
      </c>
      <c r="K491" s="10">
        <v>0</v>
      </c>
      <c r="L491" s="2">
        <f t="shared" si="178"/>
        <v>0</v>
      </c>
      <c r="M491">
        <v>33064</v>
      </c>
      <c r="N491">
        <f t="shared" si="165"/>
        <v>0.15530889081300006</v>
      </c>
      <c r="O491" s="10">
        <v>0.74789636199999998</v>
      </c>
      <c r="P491">
        <f t="shared" si="166"/>
        <v>0.72818408220333275</v>
      </c>
      <c r="Q491" s="23">
        <v>0.28799999999999998</v>
      </c>
      <c r="R491" s="13">
        <f t="shared" si="167"/>
        <v>0.62364660025985275</v>
      </c>
      <c r="S491">
        <f t="shared" si="168"/>
        <v>0</v>
      </c>
      <c r="T491" s="4">
        <f t="shared" si="179"/>
        <v>-1.1308095934290028E-3</v>
      </c>
      <c r="U491" t="str">
        <f t="shared" si="169"/>
        <v>No Impact</v>
      </c>
      <c r="V491">
        <f t="shared" si="170"/>
        <v>0</v>
      </c>
      <c r="W491">
        <f t="shared" si="160"/>
        <v>0</v>
      </c>
      <c r="X491" t="s">
        <v>1170</v>
      </c>
      <c r="Y491">
        <f t="shared" si="161"/>
        <v>0</v>
      </c>
      <c r="Z491">
        <f t="shared" si="171"/>
        <v>0</v>
      </c>
      <c r="AA491" t="str">
        <f t="shared" si="172"/>
        <v>No Impact</v>
      </c>
      <c r="AB491">
        <f t="shared" si="162"/>
        <v>0</v>
      </c>
      <c r="AC491">
        <f t="shared" si="173"/>
        <v>0</v>
      </c>
      <c r="AD491" t="str">
        <f t="shared" si="174"/>
        <v>No Impact</v>
      </c>
      <c r="AE491">
        <f t="shared" si="163"/>
        <v>0</v>
      </c>
      <c r="AF491">
        <f t="shared" si="175"/>
        <v>0</v>
      </c>
      <c r="AG491" t="s">
        <v>1170</v>
      </c>
    </row>
    <row r="492" spans="1:33" customFormat="1" x14ac:dyDescent="0.3">
      <c r="A492">
        <v>557734</v>
      </c>
      <c r="B492" t="s">
        <v>137</v>
      </c>
      <c r="C492" t="s">
        <v>1043</v>
      </c>
      <c r="D492" t="s">
        <v>1045</v>
      </c>
      <c r="E492" s="21">
        <v>5.3</v>
      </c>
      <c r="F492" s="2">
        <f t="shared" si="176"/>
        <v>0.46666666666666656</v>
      </c>
      <c r="G492" s="26">
        <v>0</v>
      </c>
      <c r="H492">
        <f t="shared" si="177"/>
        <v>0</v>
      </c>
      <c r="I492" s="12">
        <v>0</v>
      </c>
      <c r="J492" s="2">
        <f t="shared" si="164"/>
        <v>0</v>
      </c>
      <c r="K492" s="10">
        <v>0</v>
      </c>
      <c r="L492" s="2">
        <f t="shared" si="178"/>
        <v>0</v>
      </c>
      <c r="M492">
        <v>34418</v>
      </c>
      <c r="N492">
        <f t="shared" si="165"/>
        <v>0.16171523470213339</v>
      </c>
      <c r="O492" s="10">
        <v>0.71916983700000003</v>
      </c>
      <c r="P492">
        <f t="shared" si="166"/>
        <v>0.69654788183243377</v>
      </c>
      <c r="Q492" s="23">
        <v>0.27150000000000002</v>
      </c>
      <c r="R492" s="13">
        <f t="shared" si="167"/>
        <v>0.58791684711996539</v>
      </c>
      <c r="S492">
        <f t="shared" si="168"/>
        <v>0</v>
      </c>
      <c r="T492" s="4">
        <f t="shared" si="179"/>
        <v>-1.1308095934290028E-3</v>
      </c>
      <c r="U492" t="str">
        <f t="shared" si="169"/>
        <v>No Impact</v>
      </c>
      <c r="V492">
        <f t="shared" si="170"/>
        <v>0</v>
      </c>
      <c r="W492">
        <f t="shared" si="160"/>
        <v>0</v>
      </c>
      <c r="X492" t="s">
        <v>1170</v>
      </c>
      <c r="Y492">
        <f t="shared" si="161"/>
        <v>0</v>
      </c>
      <c r="Z492">
        <f t="shared" si="171"/>
        <v>0</v>
      </c>
      <c r="AA492" t="str">
        <f t="shared" si="172"/>
        <v>No Impact</v>
      </c>
      <c r="AB492">
        <f t="shared" si="162"/>
        <v>0</v>
      </c>
      <c r="AC492">
        <f t="shared" si="173"/>
        <v>0</v>
      </c>
      <c r="AD492" t="str">
        <f t="shared" si="174"/>
        <v>No Impact</v>
      </c>
      <c r="AE492">
        <f t="shared" si="163"/>
        <v>0</v>
      </c>
      <c r="AF492">
        <f t="shared" si="175"/>
        <v>0</v>
      </c>
      <c r="AG492" t="s">
        <v>1170</v>
      </c>
    </row>
    <row r="493" spans="1:33" customFormat="1" x14ac:dyDescent="0.3">
      <c r="A493">
        <v>557773</v>
      </c>
      <c r="B493" t="s">
        <v>400</v>
      </c>
      <c r="C493" t="s">
        <v>1043</v>
      </c>
      <c r="D493" t="s">
        <v>1046</v>
      </c>
      <c r="E493" s="21">
        <v>5.5</v>
      </c>
      <c r="F493" s="2">
        <f t="shared" si="176"/>
        <v>0.51111111111111107</v>
      </c>
      <c r="G493" s="26">
        <v>0</v>
      </c>
      <c r="H493">
        <f t="shared" si="177"/>
        <v>0</v>
      </c>
      <c r="I493" s="12">
        <v>0</v>
      </c>
      <c r="J493" s="2">
        <f t="shared" si="164"/>
        <v>0</v>
      </c>
      <c r="K493" s="10">
        <v>0</v>
      </c>
      <c r="L493" s="2">
        <f t="shared" si="178"/>
        <v>0</v>
      </c>
      <c r="M493">
        <v>44101</v>
      </c>
      <c r="N493">
        <f t="shared" si="165"/>
        <v>0.20752958320913353</v>
      </c>
      <c r="O493" s="10">
        <v>0.62526978300000002</v>
      </c>
      <c r="P493">
        <f t="shared" si="166"/>
        <v>0.59313680363267773</v>
      </c>
      <c r="Q493" s="23">
        <v>0.29070000000000001</v>
      </c>
      <c r="R493" s="13">
        <f t="shared" si="167"/>
        <v>0.62949328713728891</v>
      </c>
      <c r="S493">
        <f t="shared" si="168"/>
        <v>0</v>
      </c>
      <c r="T493" s="4">
        <f t="shared" si="179"/>
        <v>-1.1308095934290028E-3</v>
      </c>
      <c r="U493" t="str">
        <f t="shared" si="169"/>
        <v>No Impact</v>
      </c>
      <c r="V493">
        <f t="shared" si="170"/>
        <v>0</v>
      </c>
      <c r="W493">
        <f t="shared" si="160"/>
        <v>0</v>
      </c>
      <c r="X493" t="s">
        <v>1170</v>
      </c>
      <c r="Y493">
        <f t="shared" si="161"/>
        <v>0</v>
      </c>
      <c r="Z493">
        <f t="shared" si="171"/>
        <v>0</v>
      </c>
      <c r="AA493" t="str">
        <f t="shared" si="172"/>
        <v>No Impact</v>
      </c>
      <c r="AB493">
        <f t="shared" si="162"/>
        <v>0</v>
      </c>
      <c r="AC493">
        <f t="shared" si="173"/>
        <v>0</v>
      </c>
      <c r="AD493" t="str">
        <f t="shared" si="174"/>
        <v>No Impact</v>
      </c>
      <c r="AE493">
        <f t="shared" si="163"/>
        <v>0</v>
      </c>
      <c r="AF493">
        <f t="shared" si="175"/>
        <v>0</v>
      </c>
      <c r="AG493" t="s">
        <v>1170</v>
      </c>
    </row>
    <row r="494" spans="1:33" customFormat="1" x14ac:dyDescent="0.3">
      <c r="A494">
        <v>557790</v>
      </c>
      <c r="B494" t="s">
        <v>523</v>
      </c>
      <c r="C494" t="s">
        <v>1043</v>
      </c>
      <c r="D494" t="s">
        <v>1047</v>
      </c>
      <c r="E494" s="21">
        <v>5.4</v>
      </c>
      <c r="F494" s="2">
        <f t="shared" si="176"/>
        <v>0.48888888888888893</v>
      </c>
      <c r="G494" s="26">
        <v>0</v>
      </c>
      <c r="H494">
        <f t="shared" si="177"/>
        <v>0</v>
      </c>
      <c r="I494" s="12">
        <v>0</v>
      </c>
      <c r="J494" s="2">
        <f t="shared" si="164"/>
        <v>0</v>
      </c>
      <c r="K494" s="10">
        <v>0</v>
      </c>
      <c r="L494" s="2">
        <f t="shared" si="178"/>
        <v>0</v>
      </c>
      <c r="M494">
        <v>24227</v>
      </c>
      <c r="N494">
        <f t="shared" si="165"/>
        <v>0.11349732438148501</v>
      </c>
      <c r="O494" s="10">
        <v>0.86287359799999996</v>
      </c>
      <c r="P494">
        <f t="shared" si="166"/>
        <v>0.85480722496731665</v>
      </c>
      <c r="Q494" s="23">
        <v>0.27829999999999999</v>
      </c>
      <c r="R494" s="13">
        <f t="shared" si="167"/>
        <v>0.60264183629276746</v>
      </c>
      <c r="S494">
        <f t="shared" si="168"/>
        <v>0</v>
      </c>
      <c r="T494" s="4">
        <f t="shared" si="179"/>
        <v>-1.1308095934290028E-3</v>
      </c>
      <c r="U494" t="str">
        <f t="shared" si="169"/>
        <v>No Impact</v>
      </c>
      <c r="V494">
        <f t="shared" si="170"/>
        <v>0</v>
      </c>
      <c r="W494">
        <f t="shared" si="160"/>
        <v>0</v>
      </c>
      <c r="X494" t="s">
        <v>1170</v>
      </c>
      <c r="Y494">
        <f t="shared" si="161"/>
        <v>0</v>
      </c>
      <c r="Z494">
        <f t="shared" si="171"/>
        <v>0</v>
      </c>
      <c r="AA494" t="str">
        <f t="shared" si="172"/>
        <v>No Impact</v>
      </c>
      <c r="AB494">
        <f t="shared" si="162"/>
        <v>0</v>
      </c>
      <c r="AC494">
        <f t="shared" si="173"/>
        <v>0</v>
      </c>
      <c r="AD494" t="str">
        <f t="shared" si="174"/>
        <v>No Impact</v>
      </c>
      <c r="AE494">
        <f t="shared" si="163"/>
        <v>0</v>
      </c>
      <c r="AF494">
        <f t="shared" si="175"/>
        <v>0</v>
      </c>
      <c r="AG494" t="s">
        <v>1170</v>
      </c>
    </row>
    <row r="495" spans="1:33" customFormat="1" x14ac:dyDescent="0.3">
      <c r="A495">
        <v>558503</v>
      </c>
      <c r="B495" t="s">
        <v>22</v>
      </c>
      <c r="C495" t="s">
        <v>1049</v>
      </c>
      <c r="D495" t="s">
        <v>1048</v>
      </c>
      <c r="E495" s="21">
        <v>6.3</v>
      </c>
      <c r="F495" s="2">
        <f t="shared" si="176"/>
        <v>0.68888888888888877</v>
      </c>
      <c r="G495" s="26">
        <v>36.888480000000001</v>
      </c>
      <c r="H495">
        <f t="shared" si="177"/>
        <v>0.3781651233941416</v>
      </c>
      <c r="I495" s="12">
        <v>0.1</v>
      </c>
      <c r="J495" s="2">
        <f t="shared" si="164"/>
        <v>4.2052144659377626E-4</v>
      </c>
      <c r="K495" s="10">
        <v>0</v>
      </c>
      <c r="L495" s="2">
        <f t="shared" si="178"/>
        <v>0</v>
      </c>
      <c r="M495">
        <v>34851</v>
      </c>
      <c r="N495">
        <f t="shared" si="165"/>
        <v>0.16376393994880603</v>
      </c>
      <c r="O495" s="10">
        <v>0.76748575200000002</v>
      </c>
      <c r="P495">
        <f t="shared" si="166"/>
        <v>0.74975765809473238</v>
      </c>
      <c r="Q495" s="23">
        <v>0.28070000000000001</v>
      </c>
      <c r="R495" s="13">
        <f t="shared" si="167"/>
        <v>0.60783889129493285</v>
      </c>
      <c r="S495">
        <f t="shared" si="168"/>
        <v>6.196152479071159E-2</v>
      </c>
      <c r="T495" s="4">
        <f t="shared" si="179"/>
        <v>-1.1305164273760452E-3</v>
      </c>
      <c r="U495" t="str">
        <f t="shared" si="169"/>
        <v>No Impact</v>
      </c>
      <c r="V495">
        <f t="shared" si="170"/>
        <v>5.5484266733974261E-2</v>
      </c>
      <c r="W495">
        <f t="shared" si="160"/>
        <v>8.9753185564265842E-2</v>
      </c>
      <c r="X495" t="s">
        <v>1170</v>
      </c>
      <c r="Y495">
        <f t="shared" si="161"/>
        <v>6.8438782847448906E-2</v>
      </c>
      <c r="Z495">
        <f t="shared" si="171"/>
        <v>0.12458629759611144</v>
      </c>
      <c r="AA495" t="str">
        <f t="shared" si="172"/>
        <v>No Impact</v>
      </c>
      <c r="AB495">
        <f t="shared" si="162"/>
        <v>4.518312765946475E-2</v>
      </c>
      <c r="AC495">
        <f t="shared" si="173"/>
        <v>0.11043563682120003</v>
      </c>
      <c r="AD495" t="str">
        <f t="shared" si="174"/>
        <v>No Impact</v>
      </c>
      <c r="AE495">
        <f t="shared" si="163"/>
        <v>1.4948569852397406E-2</v>
      </c>
      <c r="AF495">
        <f t="shared" si="175"/>
        <v>9.0256825285205941E-2</v>
      </c>
      <c r="AG495" t="s">
        <v>1170</v>
      </c>
    </row>
    <row r="496" spans="1:33" customFormat="1" x14ac:dyDescent="0.3">
      <c r="A496">
        <v>558527</v>
      </c>
      <c r="B496" t="s">
        <v>176</v>
      </c>
      <c r="C496" t="s">
        <v>1049</v>
      </c>
      <c r="D496" t="s">
        <v>1050</v>
      </c>
      <c r="E496" s="21">
        <v>6.3</v>
      </c>
      <c r="F496" s="2">
        <f t="shared" si="176"/>
        <v>0.68888888888888877</v>
      </c>
      <c r="G496" s="26">
        <v>38.685600000000001</v>
      </c>
      <c r="H496">
        <f t="shared" si="177"/>
        <v>0.3965884389266352</v>
      </c>
      <c r="I496" s="12">
        <v>0.6</v>
      </c>
      <c r="J496" s="2">
        <f t="shared" si="164"/>
        <v>2.5231286795626574E-3</v>
      </c>
      <c r="K496" s="10">
        <v>0</v>
      </c>
      <c r="L496" s="2">
        <f t="shared" si="178"/>
        <v>0</v>
      </c>
      <c r="M496">
        <v>23068</v>
      </c>
      <c r="N496">
        <f t="shared" si="165"/>
        <v>0.1080136075664883</v>
      </c>
      <c r="O496" s="10">
        <v>0.67622420800000005</v>
      </c>
      <c r="P496">
        <f t="shared" si="166"/>
        <v>0.64925234141818966</v>
      </c>
      <c r="Q496" s="23">
        <v>0.24979999999999999</v>
      </c>
      <c r="R496" s="13">
        <f t="shared" si="167"/>
        <v>0.54092680814205285</v>
      </c>
      <c r="S496">
        <f t="shared" si="168"/>
        <v>5.7265608748091286E-2</v>
      </c>
      <c r="T496" s="4">
        <f t="shared" si="179"/>
        <v>-1.1305386457313212E-3</v>
      </c>
      <c r="U496" t="str">
        <f t="shared" si="169"/>
        <v>No Impact</v>
      </c>
      <c r="V496">
        <f t="shared" si="170"/>
        <v>5.205351306626755E-2</v>
      </c>
      <c r="W496">
        <f t="shared" si="160"/>
        <v>8.4203484924995797E-2</v>
      </c>
      <c r="X496" t="s">
        <v>1170</v>
      </c>
      <c r="Y496">
        <f t="shared" si="161"/>
        <v>6.2477704429915029E-2</v>
      </c>
      <c r="Z496">
        <f t="shared" si="171"/>
        <v>0.11373472106565133</v>
      </c>
      <c r="AA496" t="str">
        <f t="shared" si="172"/>
        <v>No Impact</v>
      </c>
      <c r="AB496">
        <f t="shared" si="162"/>
        <v>4.0600002040086326E-2</v>
      </c>
      <c r="AC496">
        <f t="shared" si="173"/>
        <v>9.923365894524859E-2</v>
      </c>
      <c r="AD496" t="str">
        <f t="shared" si="174"/>
        <v>No Impact</v>
      </c>
      <c r="AE496">
        <f t="shared" si="163"/>
        <v>1.0394174679766234E-2</v>
      </c>
      <c r="AF496">
        <f t="shared" si="175"/>
        <v>6.2758191406859939E-2</v>
      </c>
      <c r="AG496" t="s">
        <v>1170</v>
      </c>
    </row>
    <row r="497" spans="1:33" customFormat="1" x14ac:dyDescent="0.3">
      <c r="A497">
        <v>558542</v>
      </c>
      <c r="B497" t="s">
        <v>264</v>
      </c>
      <c r="C497" t="s">
        <v>1049</v>
      </c>
      <c r="D497" t="s">
        <v>1051</v>
      </c>
      <c r="E497" s="21">
        <v>6.4</v>
      </c>
      <c r="F497" s="2">
        <f t="shared" si="176"/>
        <v>0.71111111111111114</v>
      </c>
      <c r="G497" s="26">
        <v>38.685600000000001</v>
      </c>
      <c r="H497">
        <f t="shared" si="177"/>
        <v>0.3965884389266352</v>
      </c>
      <c r="I497" s="12">
        <v>0.6</v>
      </c>
      <c r="J497" s="2">
        <f t="shared" si="164"/>
        <v>2.5231286795626574E-3</v>
      </c>
      <c r="K497" s="10">
        <v>0</v>
      </c>
      <c r="L497" s="2">
        <f t="shared" si="178"/>
        <v>0</v>
      </c>
      <c r="M497">
        <v>14370</v>
      </c>
      <c r="N497">
        <f t="shared" si="165"/>
        <v>6.6859708639101414E-2</v>
      </c>
      <c r="O497" s="10">
        <v>0.62991818499999996</v>
      </c>
      <c r="P497">
        <f t="shared" si="166"/>
        <v>0.59825603671347982</v>
      </c>
      <c r="Q497" s="23">
        <v>0.2681</v>
      </c>
      <c r="R497" s="13">
        <f t="shared" si="167"/>
        <v>0.58055435253356436</v>
      </c>
      <c r="S497">
        <f t="shared" si="168"/>
        <v>5.8548231760711472E-2</v>
      </c>
      <c r="T497" s="4">
        <f t="shared" si="179"/>
        <v>-1.1305325771020015E-3</v>
      </c>
      <c r="U497" t="str">
        <f t="shared" si="169"/>
        <v>No Impact</v>
      </c>
      <c r="V497">
        <f t="shared" si="170"/>
        <v>5.7669038365934379E-2</v>
      </c>
      <c r="W497">
        <f t="shared" si="160"/>
        <v>9.3287344439231923E-2</v>
      </c>
      <c r="X497" t="s">
        <v>1170</v>
      </c>
      <c r="Y497">
        <f t="shared" si="161"/>
        <v>5.9427425155488559E-2</v>
      </c>
      <c r="Z497">
        <f t="shared" si="171"/>
        <v>0.10818197764118066</v>
      </c>
      <c r="AA497" t="str">
        <f t="shared" si="172"/>
        <v>No Impact</v>
      </c>
      <c r="AB497">
        <f t="shared" si="162"/>
        <v>4.0336905949137157E-2</v>
      </c>
      <c r="AC497">
        <f t="shared" si="173"/>
        <v>9.8590605091869468E-2</v>
      </c>
      <c r="AD497" t="str">
        <f t="shared" si="174"/>
        <v>No Impact</v>
      </c>
      <c r="AE497">
        <f t="shared" si="163"/>
        <v>6.6414713554673018E-3</v>
      </c>
      <c r="AF497">
        <f t="shared" si="175"/>
        <v>4.0100031353231834E-2</v>
      </c>
      <c r="AG497" t="s">
        <v>1170</v>
      </c>
    </row>
    <row r="498" spans="1:33" customFormat="1" x14ac:dyDescent="0.3">
      <c r="A498">
        <v>558549</v>
      </c>
      <c r="B498" t="s">
        <v>439</v>
      </c>
      <c r="C498" t="s">
        <v>1049</v>
      </c>
      <c r="D498" t="s">
        <v>1052</v>
      </c>
      <c r="E498" s="21">
        <v>6.3</v>
      </c>
      <c r="F498" s="2">
        <f t="shared" si="176"/>
        <v>0.68888888888888877</v>
      </c>
      <c r="G498" s="26">
        <v>38.685600000000001</v>
      </c>
      <c r="H498">
        <f t="shared" si="177"/>
        <v>0.3965884389266352</v>
      </c>
      <c r="I498" s="12">
        <v>0.6</v>
      </c>
      <c r="J498" s="2">
        <f t="shared" si="164"/>
        <v>2.5231286795626574E-3</v>
      </c>
      <c r="K498" s="10">
        <v>0</v>
      </c>
      <c r="L498" s="2">
        <f t="shared" si="178"/>
        <v>0</v>
      </c>
      <c r="M498">
        <v>70957</v>
      </c>
      <c r="N498">
        <f t="shared" si="165"/>
        <v>0.33459662271176654</v>
      </c>
      <c r="O498" s="10">
        <v>0.58055679800000004</v>
      </c>
      <c r="P498">
        <f t="shared" si="166"/>
        <v>0.54389489384230094</v>
      </c>
      <c r="Q498" s="23">
        <v>0.26840000000000003</v>
      </c>
      <c r="R498" s="13">
        <f t="shared" si="167"/>
        <v>0.58120398440883503</v>
      </c>
      <c r="S498">
        <f t="shared" si="168"/>
        <v>5.4134263895189133E-2</v>
      </c>
      <c r="T498" s="4">
        <f t="shared" si="179"/>
        <v>-1.1305534614417813E-3</v>
      </c>
      <c r="U498" t="str">
        <f t="shared" si="169"/>
        <v>No Impact</v>
      </c>
      <c r="V498">
        <f t="shared" si="170"/>
        <v>5.5929395144060083E-2</v>
      </c>
      <c r="W498">
        <f t="shared" si="160"/>
        <v>9.047324000748147E-2</v>
      </c>
      <c r="X498" t="s">
        <v>1170</v>
      </c>
      <c r="Y498">
        <f t="shared" si="161"/>
        <v>5.2339132646318183E-2</v>
      </c>
      <c r="Z498">
        <f t="shared" si="171"/>
        <v>9.5278415022829605E-2</v>
      </c>
      <c r="AA498" t="str">
        <f t="shared" si="172"/>
        <v>No Impact</v>
      </c>
      <c r="AB498">
        <f t="shared" si="162"/>
        <v>4.6546436993142454E-2</v>
      </c>
      <c r="AC498">
        <f t="shared" si="173"/>
        <v>0.11376780841374017</v>
      </c>
      <c r="AD498" t="str">
        <f t="shared" si="174"/>
        <v>No Impact</v>
      </c>
      <c r="AE498">
        <f t="shared" si="163"/>
        <v>3.2198311139502757E-2</v>
      </c>
      <c r="AF498">
        <f t="shared" si="175"/>
        <v>0.19440771737309215</v>
      </c>
      <c r="AG498" t="s">
        <v>1169</v>
      </c>
    </row>
    <row r="499" spans="1:33" customFormat="1" x14ac:dyDescent="0.3">
      <c r="A499">
        <v>558558</v>
      </c>
      <c r="B499" t="s">
        <v>342</v>
      </c>
      <c r="C499" t="s">
        <v>1049</v>
      </c>
      <c r="D499" t="s">
        <v>1053</v>
      </c>
      <c r="E499" s="21">
        <v>6.3</v>
      </c>
      <c r="F499" s="2">
        <f t="shared" si="176"/>
        <v>0.68888888888888877</v>
      </c>
      <c r="G499" s="26">
        <v>33.993000000000002</v>
      </c>
      <c r="H499">
        <f t="shared" si="177"/>
        <v>0.34848188484689679</v>
      </c>
      <c r="I499" s="12">
        <v>0.2</v>
      </c>
      <c r="J499" s="2">
        <f t="shared" si="164"/>
        <v>8.4104289318755253E-4</v>
      </c>
      <c r="K499" s="10">
        <v>0</v>
      </c>
      <c r="L499" s="2">
        <f t="shared" si="178"/>
        <v>0</v>
      </c>
      <c r="M499">
        <v>23688</v>
      </c>
      <c r="N499">
        <f t="shared" si="165"/>
        <v>0.11094708852015349</v>
      </c>
      <c r="O499" s="10">
        <v>0.65306410800000003</v>
      </c>
      <c r="P499">
        <f t="shared" si="166"/>
        <v>0.62374638258014503</v>
      </c>
      <c r="Q499" s="23">
        <v>0.28810000000000002</v>
      </c>
      <c r="R499" s="13">
        <f t="shared" si="167"/>
        <v>0.62386314421827638</v>
      </c>
      <c r="S499">
        <f t="shared" si="168"/>
        <v>5.2540354960749512E-2</v>
      </c>
      <c r="T499" s="4">
        <f t="shared" si="179"/>
        <v>-1.1305610028958153E-3</v>
      </c>
      <c r="U499" t="str">
        <f t="shared" si="169"/>
        <v>No Impact</v>
      </c>
      <c r="V499">
        <f t="shared" si="170"/>
        <v>5.2545272122554908E-2</v>
      </c>
      <c r="W499">
        <f t="shared" si="160"/>
        <v>8.499897064428065E-2</v>
      </c>
      <c r="X499" t="s">
        <v>1170</v>
      </c>
      <c r="Y499">
        <f t="shared" si="161"/>
        <v>5.2535437798944117E-2</v>
      </c>
      <c r="Z499">
        <f t="shared" si="171"/>
        <v>9.5635769890160011E-2</v>
      </c>
      <c r="AA499" t="str">
        <f t="shared" si="172"/>
        <v>No Impact</v>
      </c>
      <c r="AB499">
        <f t="shared" si="162"/>
        <v>3.7422082891082072E-2</v>
      </c>
      <c r="AC499">
        <f t="shared" si="173"/>
        <v>9.1466256749640429E-2</v>
      </c>
      <c r="AD499" t="str">
        <f t="shared" si="174"/>
        <v>No Impact</v>
      </c>
      <c r="AE499">
        <f t="shared" si="163"/>
        <v>9.34458945287037E-3</v>
      </c>
      <c r="AF499">
        <f t="shared" si="175"/>
        <v>5.6420981133150687E-2</v>
      </c>
      <c r="AG499" t="s">
        <v>1170</v>
      </c>
    </row>
    <row r="500" spans="1:33" customFormat="1" x14ac:dyDescent="0.3">
      <c r="A500">
        <v>558573</v>
      </c>
      <c r="B500" t="s">
        <v>417</v>
      </c>
      <c r="C500" t="s">
        <v>1049</v>
      </c>
      <c r="D500" t="s">
        <v>1054</v>
      </c>
      <c r="E500" s="21">
        <v>6.3</v>
      </c>
      <c r="F500" s="2">
        <f t="shared" si="176"/>
        <v>0.68888888888888877</v>
      </c>
      <c r="G500" s="26">
        <v>38.685600000000001</v>
      </c>
      <c r="H500">
        <f t="shared" si="177"/>
        <v>0.3965884389266352</v>
      </c>
      <c r="I500" s="12">
        <v>0.6</v>
      </c>
      <c r="J500" s="2">
        <f t="shared" si="164"/>
        <v>2.5231286795626574E-3</v>
      </c>
      <c r="K500" s="10">
        <v>0</v>
      </c>
      <c r="L500" s="2">
        <f t="shared" si="178"/>
        <v>0</v>
      </c>
      <c r="M500">
        <v>13223</v>
      </c>
      <c r="N500">
        <f t="shared" si="165"/>
        <v>6.1432768874820798E-2</v>
      </c>
      <c r="O500" s="10">
        <v>0.72838832799999997</v>
      </c>
      <c r="P500">
        <f t="shared" si="166"/>
        <v>0.70670010276390138</v>
      </c>
      <c r="Q500" s="23">
        <v>0.28960000000000002</v>
      </c>
      <c r="R500" s="13">
        <f t="shared" si="167"/>
        <v>0.62711130359462974</v>
      </c>
      <c r="S500">
        <f t="shared" si="168"/>
        <v>6.4176491554646317E-2</v>
      </c>
      <c r="T500" s="4">
        <f t="shared" si="179"/>
        <v>-1.1305059474360211E-3</v>
      </c>
      <c r="U500" t="str">
        <f t="shared" si="169"/>
        <v>No Impact</v>
      </c>
      <c r="V500">
        <f t="shared" si="170"/>
        <v>6.0347067189716101E-2</v>
      </c>
      <c r="W500">
        <f t="shared" si="160"/>
        <v>9.7619412467088815E-2</v>
      </c>
      <c r="X500" t="s">
        <v>1170</v>
      </c>
      <c r="Y500">
        <f t="shared" si="161"/>
        <v>6.800591591957654E-2</v>
      </c>
      <c r="Z500">
        <f t="shared" si="171"/>
        <v>0.12379830450722747</v>
      </c>
      <c r="AA500" t="str">
        <f t="shared" si="172"/>
        <v>No Impact</v>
      </c>
      <c r="AB500">
        <f t="shared" si="162"/>
        <v>4.3592339685445868E-2</v>
      </c>
      <c r="AC500">
        <f t="shared" si="173"/>
        <v>0.10654746678829878</v>
      </c>
      <c r="AD500" t="str">
        <f t="shared" si="174"/>
        <v>No Impact</v>
      </c>
      <c r="AE500">
        <f t="shared" si="163"/>
        <v>5.911689694777904E-3</v>
      </c>
      <c r="AF500">
        <f t="shared" si="175"/>
        <v>3.5693738544249391E-2</v>
      </c>
      <c r="AG500" t="s">
        <v>1170</v>
      </c>
    </row>
    <row r="501" spans="1:33" customFormat="1" x14ac:dyDescent="0.3">
      <c r="A501">
        <v>558576</v>
      </c>
      <c r="B501" t="s">
        <v>418</v>
      </c>
      <c r="C501" t="s">
        <v>1049</v>
      </c>
      <c r="D501" t="s">
        <v>1151</v>
      </c>
      <c r="E501" s="21">
        <v>6.3</v>
      </c>
      <c r="F501" s="2">
        <f t="shared" si="176"/>
        <v>0.68888888888888877</v>
      </c>
      <c r="G501" s="26">
        <v>32.4846</v>
      </c>
      <c r="H501">
        <f t="shared" si="177"/>
        <v>0.33301840486269241</v>
      </c>
      <c r="I501" s="12">
        <v>0.8</v>
      </c>
      <c r="J501" s="2">
        <f t="shared" si="164"/>
        <v>3.3641715727502101E-3</v>
      </c>
      <c r="K501" s="10">
        <v>0</v>
      </c>
      <c r="L501" s="2">
        <f t="shared" si="178"/>
        <v>0</v>
      </c>
      <c r="M501">
        <v>36763</v>
      </c>
      <c r="N501">
        <f t="shared" si="165"/>
        <v>0.17281041669623803</v>
      </c>
      <c r="O501" s="10">
        <v>0.70937620400000001</v>
      </c>
      <c r="P501">
        <f t="shared" si="166"/>
        <v>0.68576226345544422</v>
      </c>
      <c r="Q501" s="23">
        <v>0.30659999999999998</v>
      </c>
      <c r="R501" s="13">
        <f t="shared" si="167"/>
        <v>0.66392377652663492</v>
      </c>
      <c r="S501">
        <f t="shared" si="168"/>
        <v>5.4733532360701311E-2</v>
      </c>
      <c r="T501" s="4">
        <f t="shared" si="179"/>
        <v>-1.1305506260504432E-3</v>
      </c>
      <c r="U501" t="str">
        <f t="shared" si="169"/>
        <v>No Impact</v>
      </c>
      <c r="V501">
        <f t="shared" si="170"/>
        <v>5.3847920821707689E-2</v>
      </c>
      <c r="W501">
        <f t="shared" si="160"/>
        <v>8.7106178278125404E-2</v>
      </c>
      <c r="X501" t="s">
        <v>1170</v>
      </c>
      <c r="Y501">
        <f t="shared" si="161"/>
        <v>5.5619143899694932E-2</v>
      </c>
      <c r="Z501">
        <f t="shared" si="171"/>
        <v>0.10124936367401566</v>
      </c>
      <c r="AA501" t="str">
        <f t="shared" si="172"/>
        <v>No Impact</v>
      </c>
      <c r="AB501">
        <f t="shared" si="162"/>
        <v>4.0438076438373091E-2</v>
      </c>
      <c r="AC501">
        <f t="shared" si="173"/>
        <v>9.8837883843586036E-2</v>
      </c>
      <c r="AD501" t="str">
        <f t="shared" si="174"/>
        <v>No Impact</v>
      </c>
      <c r="AE501">
        <f t="shared" si="163"/>
        <v>1.4015888516762626E-2</v>
      </c>
      <c r="AF501">
        <f t="shared" si="175"/>
        <v>8.4625460065096927E-2</v>
      </c>
      <c r="AG501" t="s">
        <v>1170</v>
      </c>
    </row>
    <row r="502" spans="1:33" customFormat="1" x14ac:dyDescent="0.3">
      <c r="A502">
        <v>558592</v>
      </c>
      <c r="B502" t="s">
        <v>516</v>
      </c>
      <c r="C502" t="s">
        <v>1049</v>
      </c>
      <c r="D502" t="s">
        <v>1055</v>
      </c>
      <c r="E502" s="21">
        <v>6</v>
      </c>
      <c r="F502" s="2">
        <f t="shared" si="176"/>
        <v>0.62222222222222223</v>
      </c>
      <c r="G502" s="26">
        <v>36.888480000000001</v>
      </c>
      <c r="H502">
        <f t="shared" si="177"/>
        <v>0.3781651233941416</v>
      </c>
      <c r="I502" s="12">
        <v>0.1</v>
      </c>
      <c r="J502" s="2">
        <f t="shared" si="164"/>
        <v>4.2052144659377626E-4</v>
      </c>
      <c r="K502" s="10">
        <v>0</v>
      </c>
      <c r="L502" s="2">
        <f t="shared" si="178"/>
        <v>0</v>
      </c>
      <c r="M502">
        <v>16160</v>
      </c>
      <c r="N502">
        <f t="shared" si="165"/>
        <v>7.5328952037586411E-2</v>
      </c>
      <c r="O502" s="10">
        <v>0.77558193399999997</v>
      </c>
      <c r="P502">
        <f t="shared" si="166"/>
        <v>0.75867389268945851</v>
      </c>
      <c r="Q502" s="23">
        <v>0.28789999999999999</v>
      </c>
      <c r="R502" s="13">
        <f t="shared" si="167"/>
        <v>0.62343005630142923</v>
      </c>
      <c r="S502">
        <f t="shared" si="168"/>
        <v>5.6975535607814355E-2</v>
      </c>
      <c r="T502" s="4">
        <f t="shared" si="179"/>
        <v>-1.1305400181894376E-3</v>
      </c>
      <c r="U502" t="str">
        <f t="shared" si="169"/>
        <v>No Impact</v>
      </c>
      <c r="V502">
        <f t="shared" si="170"/>
        <v>5.1400274773425125E-2</v>
      </c>
      <c r="W502">
        <f t="shared" si="160"/>
        <v>8.3146785050123531E-2</v>
      </c>
      <c r="X502" t="s">
        <v>1170</v>
      </c>
      <c r="Y502">
        <f t="shared" si="161"/>
        <v>6.2550796442203585E-2</v>
      </c>
      <c r="Z502">
        <f t="shared" si="171"/>
        <v>0.11386777812505547</v>
      </c>
      <c r="AA502" t="str">
        <f t="shared" si="172"/>
        <v>No Impact</v>
      </c>
      <c r="AB502">
        <f t="shared" si="162"/>
        <v>3.8929075489946091E-2</v>
      </c>
      <c r="AC502">
        <f t="shared" si="173"/>
        <v>9.5149615914032426E-2</v>
      </c>
      <c r="AD502" t="str">
        <f t="shared" si="174"/>
        <v>No Impact</v>
      </c>
      <c r="AE502">
        <f t="shared" si="163"/>
        <v>6.2106868188177653E-3</v>
      </c>
      <c r="AF502">
        <f t="shared" si="175"/>
        <v>3.7499030384988044E-2</v>
      </c>
      <c r="AG502" t="s">
        <v>1170</v>
      </c>
    </row>
    <row r="503" spans="1:33" customFormat="1" x14ac:dyDescent="0.3">
      <c r="A503">
        <v>559408</v>
      </c>
      <c r="B503" t="s">
        <v>37</v>
      </c>
      <c r="C503" t="s">
        <v>809</v>
      </c>
      <c r="D503" t="s">
        <v>1152</v>
      </c>
      <c r="E503" s="21">
        <v>5.5</v>
      </c>
      <c r="F503" s="2">
        <f t="shared" si="176"/>
        <v>0.51111111111111107</v>
      </c>
      <c r="G503" s="26">
        <v>0</v>
      </c>
      <c r="H503">
        <f t="shared" si="177"/>
        <v>0</v>
      </c>
      <c r="I503" s="12">
        <v>0</v>
      </c>
      <c r="J503" s="2">
        <f t="shared" si="164"/>
        <v>0</v>
      </c>
      <c r="K503" s="10">
        <v>0</v>
      </c>
      <c r="L503" s="2">
        <f t="shared" si="178"/>
        <v>0</v>
      </c>
      <c r="M503">
        <v>24763</v>
      </c>
      <c r="N503">
        <f t="shared" si="165"/>
        <v>0.1160333659801375</v>
      </c>
      <c r="O503" s="10">
        <v>0.95506547600000002</v>
      </c>
      <c r="P503">
        <f t="shared" si="166"/>
        <v>0.95633710806238248</v>
      </c>
      <c r="Q503" s="23">
        <v>0.26050000000000001</v>
      </c>
      <c r="R503" s="13">
        <f t="shared" si="167"/>
        <v>0.56409701169337378</v>
      </c>
      <c r="S503">
        <f t="shared" si="168"/>
        <v>0</v>
      </c>
      <c r="T503" s="4">
        <f t="shared" si="179"/>
        <v>-1.1308095934290028E-3</v>
      </c>
      <c r="U503" t="str">
        <f t="shared" si="169"/>
        <v>No Impact</v>
      </c>
      <c r="V503">
        <f t="shared" si="170"/>
        <v>0</v>
      </c>
      <c r="W503">
        <f t="shared" si="160"/>
        <v>0</v>
      </c>
      <c r="X503" t="s">
        <v>1170</v>
      </c>
      <c r="Y503">
        <f t="shared" si="161"/>
        <v>0</v>
      </c>
      <c r="Z503">
        <f t="shared" si="171"/>
        <v>0</v>
      </c>
      <c r="AA503" t="str">
        <f t="shared" si="172"/>
        <v>No Impact</v>
      </c>
      <c r="AB503">
        <f t="shared" si="162"/>
        <v>0</v>
      </c>
      <c r="AC503">
        <f t="shared" si="173"/>
        <v>0</v>
      </c>
      <c r="AD503" t="str">
        <f t="shared" si="174"/>
        <v>No Impact</v>
      </c>
      <c r="AE503">
        <f t="shared" si="163"/>
        <v>0</v>
      </c>
      <c r="AF503">
        <f t="shared" si="175"/>
        <v>0</v>
      </c>
      <c r="AG503" t="s">
        <v>1170</v>
      </c>
    </row>
    <row r="504" spans="1:33" customFormat="1" x14ac:dyDescent="0.3">
      <c r="A504">
        <v>559451</v>
      </c>
      <c r="B504" t="s">
        <v>204</v>
      </c>
      <c r="C504" t="s">
        <v>1057</v>
      </c>
      <c r="D504" t="s">
        <v>1058</v>
      </c>
      <c r="E504" s="21">
        <v>5.6</v>
      </c>
      <c r="F504" s="2">
        <f t="shared" si="176"/>
        <v>0.53333333333333321</v>
      </c>
      <c r="G504" s="26">
        <v>39.575160000000004</v>
      </c>
      <c r="H504">
        <f t="shared" si="177"/>
        <v>0.40570783249249892</v>
      </c>
      <c r="I504" s="12">
        <v>0</v>
      </c>
      <c r="J504" s="2">
        <f t="shared" si="164"/>
        <v>0</v>
      </c>
      <c r="K504" s="10">
        <v>0</v>
      </c>
      <c r="L504" s="2">
        <f t="shared" si="178"/>
        <v>0</v>
      </c>
      <c r="M504">
        <v>7570</v>
      </c>
      <c r="N504">
        <f t="shared" si="165"/>
        <v>3.4686046566644431E-2</v>
      </c>
      <c r="O504" s="10">
        <v>0.80998207700000002</v>
      </c>
      <c r="P504">
        <f t="shared" si="166"/>
        <v>0.79655838504401877</v>
      </c>
      <c r="Q504" s="23">
        <v>0.25700000000000001</v>
      </c>
      <c r="R504" s="13">
        <f t="shared" si="167"/>
        <v>0.55651797314854923</v>
      </c>
      <c r="S504">
        <f t="shared" si="168"/>
        <v>5.1235676471387395E-2</v>
      </c>
      <c r="T504" s="4">
        <f t="shared" si="179"/>
        <v>-1.1305671758788786E-3</v>
      </c>
      <c r="U504" t="str">
        <f t="shared" si="169"/>
        <v>No Impact</v>
      </c>
      <c r="V504">
        <f t="shared" si="170"/>
        <v>4.2146290784120417E-2</v>
      </c>
      <c r="W504">
        <f t="shared" si="160"/>
        <v>6.8177234381226776E-2</v>
      </c>
      <c r="X504" t="s">
        <v>1170</v>
      </c>
      <c r="Y504">
        <f t="shared" si="161"/>
        <v>6.0325062158654373E-2</v>
      </c>
      <c r="Z504">
        <f t="shared" si="171"/>
        <v>0.10981604046574867</v>
      </c>
      <c r="AA504" t="str">
        <f t="shared" si="172"/>
        <v>No Impact</v>
      </c>
      <c r="AB504">
        <f t="shared" si="162"/>
        <v>3.3768117272363889E-2</v>
      </c>
      <c r="AC504">
        <f t="shared" si="173"/>
        <v>8.2535311927333876E-2</v>
      </c>
      <c r="AD504" t="str">
        <f t="shared" si="174"/>
        <v>No Impact</v>
      </c>
      <c r="AE504">
        <f t="shared" si="163"/>
        <v>2.6268481437869422E-3</v>
      </c>
      <c r="AF504">
        <f t="shared" si="175"/>
        <v>1.5860445267044838E-2</v>
      </c>
      <c r="AG504" t="s">
        <v>1170</v>
      </c>
    </row>
    <row r="505" spans="1:33" customFormat="1" x14ac:dyDescent="0.3">
      <c r="A505">
        <v>559482</v>
      </c>
      <c r="B505" t="s">
        <v>419</v>
      </c>
      <c r="C505" t="s">
        <v>1057</v>
      </c>
      <c r="D505" t="s">
        <v>1151</v>
      </c>
      <c r="E505" s="21">
        <v>5.6</v>
      </c>
      <c r="F505" s="2">
        <f t="shared" si="176"/>
        <v>0.53333333333333321</v>
      </c>
      <c r="G505" s="26">
        <v>39.575160000000004</v>
      </c>
      <c r="H505">
        <f t="shared" si="177"/>
        <v>0.40570783249249892</v>
      </c>
      <c r="I505" s="12">
        <v>0</v>
      </c>
      <c r="J505" s="2">
        <f t="shared" si="164"/>
        <v>0</v>
      </c>
      <c r="K505" s="10">
        <v>0</v>
      </c>
      <c r="L505" s="2">
        <f t="shared" si="178"/>
        <v>0</v>
      </c>
      <c r="M505">
        <v>41019</v>
      </c>
      <c r="N505">
        <f t="shared" si="165"/>
        <v>0.19294734401688171</v>
      </c>
      <c r="O505" s="10">
        <v>0.697872618</v>
      </c>
      <c r="P505">
        <f t="shared" si="166"/>
        <v>0.67309349298355903</v>
      </c>
      <c r="Q505" s="23">
        <v>0.26669999999999999</v>
      </c>
      <c r="R505" s="13">
        <f t="shared" si="167"/>
        <v>0.57752273711563451</v>
      </c>
      <c r="S505">
        <f t="shared" si="168"/>
        <v>4.7355914666058492E-2</v>
      </c>
      <c r="T505" s="4">
        <f t="shared" si="179"/>
        <v>-1.1305855326649442E-3</v>
      </c>
      <c r="U505" t="str">
        <f t="shared" si="169"/>
        <v>No Impact</v>
      </c>
      <c r="V505">
        <f t="shared" si="170"/>
        <v>4.3737026272859601E-2</v>
      </c>
      <c r="W505">
        <f t="shared" si="160"/>
        <v>7.0750460737249748E-2</v>
      </c>
      <c r="X505" t="s">
        <v>1170</v>
      </c>
      <c r="Y505">
        <f t="shared" si="161"/>
        <v>5.0974803059257404E-2</v>
      </c>
      <c r="Z505">
        <f t="shared" si="171"/>
        <v>9.279478271844431E-2</v>
      </c>
      <c r="AA505" t="str">
        <f t="shared" si="172"/>
        <v>No Impact</v>
      </c>
      <c r="AB505">
        <f t="shared" si="162"/>
        <v>3.5714709696727957E-2</v>
      </c>
      <c r="AC505">
        <f t="shared" si="173"/>
        <v>8.7293131608082289E-2</v>
      </c>
      <c r="AD505" t="str">
        <f t="shared" si="174"/>
        <v>No Impact</v>
      </c>
      <c r="AE505">
        <f t="shared" si="163"/>
        <v>1.461231309557107E-2</v>
      </c>
      <c r="AF505">
        <f t="shared" si="175"/>
        <v>8.822656636067229E-2</v>
      </c>
      <c r="AG505" t="s">
        <v>1170</v>
      </c>
    </row>
    <row r="506" spans="1:33" customFormat="1" x14ac:dyDescent="0.3">
      <c r="A506">
        <v>559486</v>
      </c>
      <c r="B506" t="s">
        <v>442</v>
      </c>
      <c r="C506" t="s">
        <v>1057</v>
      </c>
      <c r="D506" t="s">
        <v>1059</v>
      </c>
      <c r="E506" s="21">
        <v>5.7</v>
      </c>
      <c r="F506" s="2">
        <f t="shared" si="176"/>
        <v>0.55555555555555558</v>
      </c>
      <c r="G506" s="26">
        <v>39.575160000000004</v>
      </c>
      <c r="H506">
        <f t="shared" si="177"/>
        <v>0.40570783249249892</v>
      </c>
      <c r="I506" s="12">
        <v>0</v>
      </c>
      <c r="J506" s="2">
        <f t="shared" si="164"/>
        <v>0</v>
      </c>
      <c r="K506" s="10">
        <v>0</v>
      </c>
      <c r="L506" s="2">
        <f t="shared" si="178"/>
        <v>0</v>
      </c>
      <c r="M506">
        <v>19234</v>
      </c>
      <c r="N506">
        <f t="shared" si="165"/>
        <v>8.9873339862694163E-2</v>
      </c>
      <c r="O506" s="10">
        <v>0.68167785999999997</v>
      </c>
      <c r="P506">
        <f t="shared" si="166"/>
        <v>0.655258387308709</v>
      </c>
      <c r="Q506" s="23">
        <v>0.26400000000000001</v>
      </c>
      <c r="R506" s="13">
        <f t="shared" si="167"/>
        <v>0.57167605023819834</v>
      </c>
      <c r="S506">
        <f t="shared" si="168"/>
        <v>4.839497748434602E-2</v>
      </c>
      <c r="T506" s="4">
        <f t="shared" si="179"/>
        <v>-1.1305806164214165E-3</v>
      </c>
      <c r="U506" t="str">
        <f t="shared" si="169"/>
        <v>No Impact</v>
      </c>
      <c r="V506">
        <f t="shared" si="170"/>
        <v>4.5098171072502406E-2</v>
      </c>
      <c r="W506">
        <f t="shared" si="160"/>
        <v>7.2952293598588985E-2</v>
      </c>
      <c r="X506" t="s">
        <v>1170</v>
      </c>
      <c r="Y506">
        <f t="shared" si="161"/>
        <v>5.1691783896189634E-2</v>
      </c>
      <c r="Z506">
        <f t="shared" si="171"/>
        <v>9.4099978167636572E-2</v>
      </c>
      <c r="AA506" t="str">
        <f t="shared" si="172"/>
        <v>No Impact</v>
      </c>
      <c r="AB506">
        <f t="shared" si="162"/>
        <v>3.3773358346751083E-2</v>
      </c>
      <c r="AC506">
        <f t="shared" si="173"/>
        <v>8.2548122049553377E-2</v>
      </c>
      <c r="AD506" t="str">
        <f t="shared" si="174"/>
        <v>No Impact</v>
      </c>
      <c r="AE506">
        <f t="shared" si="163"/>
        <v>7.0898951500524294E-3</v>
      </c>
      <c r="AF506">
        <f t="shared" si="175"/>
        <v>4.2807535046309735E-2</v>
      </c>
      <c r="AG506" t="s">
        <v>1170</v>
      </c>
    </row>
    <row r="507" spans="1:33" customFormat="1" x14ac:dyDescent="0.3">
      <c r="A507">
        <v>559494</v>
      </c>
      <c r="B507" t="s">
        <v>525</v>
      </c>
      <c r="C507" t="s">
        <v>1057</v>
      </c>
      <c r="D507" t="s">
        <v>1060</v>
      </c>
      <c r="E507" s="21">
        <v>5.7</v>
      </c>
      <c r="F507" s="2">
        <f t="shared" si="176"/>
        <v>0.55555555555555558</v>
      </c>
      <c r="G507" s="26">
        <v>0</v>
      </c>
      <c r="H507">
        <f t="shared" si="177"/>
        <v>0</v>
      </c>
      <c r="I507" s="12">
        <v>0</v>
      </c>
      <c r="J507" s="2">
        <f t="shared" si="164"/>
        <v>0</v>
      </c>
      <c r="K507" s="10">
        <v>0</v>
      </c>
      <c r="L507" s="2">
        <f t="shared" si="178"/>
        <v>0</v>
      </c>
      <c r="M507">
        <v>95551</v>
      </c>
      <c r="N507">
        <f t="shared" si="165"/>
        <v>0.45096118815441466</v>
      </c>
      <c r="O507" s="10">
        <v>0.77834855800000002</v>
      </c>
      <c r="P507">
        <f t="shared" si="166"/>
        <v>0.7617207447265546</v>
      </c>
      <c r="Q507" s="23">
        <v>0.2742</v>
      </c>
      <c r="R507" s="13">
        <f t="shared" si="167"/>
        <v>0.59376353399740145</v>
      </c>
      <c r="S507">
        <f t="shared" si="168"/>
        <v>0</v>
      </c>
      <c r="T507" s="4">
        <f t="shared" si="179"/>
        <v>-1.1308095934290028E-3</v>
      </c>
      <c r="U507" t="str">
        <f t="shared" si="169"/>
        <v>No Impact</v>
      </c>
      <c r="V507">
        <f t="shared" si="170"/>
        <v>0</v>
      </c>
      <c r="W507">
        <f t="shared" si="160"/>
        <v>0</v>
      </c>
      <c r="X507" t="s">
        <v>1170</v>
      </c>
      <c r="Y507">
        <f t="shared" si="161"/>
        <v>0</v>
      </c>
      <c r="Z507">
        <f t="shared" si="171"/>
        <v>0</v>
      </c>
      <c r="AA507" t="str">
        <f t="shared" si="172"/>
        <v>No Impact</v>
      </c>
      <c r="AB507">
        <f t="shared" si="162"/>
        <v>0</v>
      </c>
      <c r="AC507">
        <f t="shared" si="173"/>
        <v>0</v>
      </c>
      <c r="AD507" t="str">
        <f t="shared" si="174"/>
        <v>No Impact</v>
      </c>
      <c r="AE507">
        <f t="shared" si="163"/>
        <v>0</v>
      </c>
      <c r="AF507">
        <f t="shared" si="175"/>
        <v>0</v>
      </c>
      <c r="AG507" t="s">
        <v>1170</v>
      </c>
    </row>
    <row r="508" spans="1:33" customFormat="1" x14ac:dyDescent="0.3">
      <c r="A508">
        <v>603602</v>
      </c>
      <c r="B508" t="s">
        <v>5</v>
      </c>
      <c r="C508" t="s">
        <v>1062</v>
      </c>
      <c r="D508" t="s">
        <v>1061</v>
      </c>
      <c r="E508" s="21">
        <v>5.7</v>
      </c>
      <c r="F508" s="2">
        <f t="shared" si="176"/>
        <v>0.55555555555555558</v>
      </c>
      <c r="G508" s="26">
        <v>56.171880000000002</v>
      </c>
      <c r="H508">
        <f t="shared" si="177"/>
        <v>0.57585039913493086</v>
      </c>
      <c r="I508" s="12">
        <v>175.3</v>
      </c>
      <c r="J508" s="2">
        <f t="shared" si="164"/>
        <v>0.73717409587888982</v>
      </c>
      <c r="K508" s="10">
        <v>0</v>
      </c>
      <c r="L508" s="2">
        <f t="shared" si="178"/>
        <v>0</v>
      </c>
      <c r="M508">
        <v>7462</v>
      </c>
      <c r="N508">
        <f t="shared" si="165"/>
        <v>3.4175053110199527E-2</v>
      </c>
      <c r="O508" s="10">
        <v>0.75686461000000005</v>
      </c>
      <c r="P508">
        <f t="shared" si="166"/>
        <v>0.73806071332052903</v>
      </c>
      <c r="Q508" s="23">
        <v>0.26629999999999998</v>
      </c>
      <c r="R508" s="13">
        <f t="shared" si="167"/>
        <v>0.57665656128194021</v>
      </c>
      <c r="S508">
        <f t="shared" si="168"/>
        <v>0.16783044304161077</v>
      </c>
      <c r="T508" s="4">
        <f t="shared" si="179"/>
        <v>-1.1300155169643128E-3</v>
      </c>
      <c r="U508" t="str">
        <f t="shared" si="169"/>
        <v>No Impact</v>
      </c>
      <c r="V508">
        <f t="shared" si="170"/>
        <v>0.14722637031153835</v>
      </c>
      <c r="W508">
        <f t="shared" si="160"/>
        <v>0.23815824759622478</v>
      </c>
      <c r="X508" t="s">
        <v>1170</v>
      </c>
      <c r="Y508">
        <f t="shared" si="161"/>
        <v>0.18843451577168319</v>
      </c>
      <c r="Z508">
        <f t="shared" si="171"/>
        <v>0.34302712121048728</v>
      </c>
      <c r="AA508" t="str">
        <f t="shared" si="172"/>
        <v>Moderate</v>
      </c>
      <c r="AB508">
        <f t="shared" si="162"/>
        <v>0.11111341963325508</v>
      </c>
      <c r="AC508">
        <f t="shared" si="173"/>
        <v>0.27158105010044181</v>
      </c>
      <c r="AD508" t="str">
        <f t="shared" si="174"/>
        <v>Low</v>
      </c>
      <c r="AE508">
        <f t="shared" si="163"/>
        <v>8.7252436934619898E-3</v>
      </c>
      <c r="AF508">
        <f t="shared" si="175"/>
        <v>5.2681480796328145E-2</v>
      </c>
      <c r="AG508" t="s">
        <v>1170</v>
      </c>
    </row>
    <row r="509" spans="1:33" customFormat="1" x14ac:dyDescent="0.3">
      <c r="A509">
        <v>603605</v>
      </c>
      <c r="B509" t="s">
        <v>30</v>
      </c>
      <c r="C509" t="s">
        <v>1062</v>
      </c>
      <c r="D509" t="s">
        <v>1063</v>
      </c>
      <c r="E509" s="21">
        <v>5.6</v>
      </c>
      <c r="F509" s="2">
        <f t="shared" si="176"/>
        <v>0.53333333333333321</v>
      </c>
      <c r="G509" s="26">
        <v>60.526440000000001</v>
      </c>
      <c r="H509">
        <f t="shared" si="177"/>
        <v>0.62049150984828072</v>
      </c>
      <c r="I509" s="12">
        <v>162.1</v>
      </c>
      <c r="J509" s="2">
        <f t="shared" si="164"/>
        <v>0.68166526492851132</v>
      </c>
      <c r="K509" s="10">
        <v>0</v>
      </c>
      <c r="L509" s="2">
        <f t="shared" si="178"/>
        <v>0</v>
      </c>
      <c r="M509">
        <v>12557</v>
      </c>
      <c r="N509">
        <f t="shared" si="165"/>
        <v>5.8281642560077215E-2</v>
      </c>
      <c r="O509" s="10">
        <v>0.62515933000000001</v>
      </c>
      <c r="P509">
        <f t="shared" si="166"/>
        <v>0.59301516298036894</v>
      </c>
      <c r="Q509" s="23">
        <v>0.33179999999999998</v>
      </c>
      <c r="R509" s="13">
        <f t="shared" si="167"/>
        <v>0.71849285404937202</v>
      </c>
      <c r="S509">
        <f t="shared" si="168"/>
        <v>0.15939364462460628</v>
      </c>
      <c r="T509" s="4">
        <f t="shared" si="179"/>
        <v>-1.1300554350086132E-3</v>
      </c>
      <c r="U509" t="str">
        <f t="shared" si="169"/>
        <v>No Impact</v>
      </c>
      <c r="V509">
        <f t="shared" si="170"/>
        <v>0.17464352967209912</v>
      </c>
      <c r="W509">
        <f t="shared" si="160"/>
        <v>0.28250915167380664</v>
      </c>
      <c r="X509" t="s">
        <v>1170</v>
      </c>
      <c r="Y509">
        <f t="shared" si="161"/>
        <v>0.14414375957711348</v>
      </c>
      <c r="Z509">
        <f t="shared" si="171"/>
        <v>0.26240001034685267</v>
      </c>
      <c r="AA509" t="str">
        <f t="shared" si="172"/>
        <v>Low</v>
      </c>
      <c r="AB509">
        <f t="shared" si="162"/>
        <v>0.10932662985774402</v>
      </c>
      <c r="AC509">
        <f t="shared" si="173"/>
        <v>0.26721381664525984</v>
      </c>
      <c r="AD509" t="str">
        <f t="shared" si="174"/>
        <v>Low</v>
      </c>
      <c r="AE509">
        <f t="shared" si="163"/>
        <v>1.4166475998215135E-2</v>
      </c>
      <c r="AF509">
        <f t="shared" si="175"/>
        <v>8.5534680688728604E-2</v>
      </c>
      <c r="AG509" t="s">
        <v>1170</v>
      </c>
    </row>
    <row r="510" spans="1:33" customFormat="1" x14ac:dyDescent="0.3">
      <c r="A510">
        <v>603611</v>
      </c>
      <c r="B510" t="s">
        <v>44</v>
      </c>
      <c r="C510" t="s">
        <v>1062</v>
      </c>
      <c r="D510" t="s">
        <v>1064</v>
      </c>
      <c r="E510" s="21">
        <v>5.7</v>
      </c>
      <c r="F510" s="2">
        <f t="shared" si="176"/>
        <v>0.55555555555555558</v>
      </c>
      <c r="G510" s="26">
        <v>60.526440000000001</v>
      </c>
      <c r="H510">
        <f t="shared" si="177"/>
        <v>0.62049150984828072</v>
      </c>
      <c r="I510" s="12">
        <v>175.8</v>
      </c>
      <c r="J510" s="2">
        <f t="shared" si="164"/>
        <v>0.73927670311185867</v>
      </c>
      <c r="K510" s="10">
        <v>0</v>
      </c>
      <c r="L510" s="2">
        <f t="shared" si="178"/>
        <v>0</v>
      </c>
      <c r="M510">
        <v>22652</v>
      </c>
      <c r="N510">
        <f t="shared" si="165"/>
        <v>0.10604533647499681</v>
      </c>
      <c r="O510" s="10">
        <v>0.70385863199999998</v>
      </c>
      <c r="P510">
        <f t="shared" si="166"/>
        <v>0.67968582318454951</v>
      </c>
      <c r="Q510" s="23">
        <v>0.24349999999999999</v>
      </c>
      <c r="R510" s="13">
        <f t="shared" si="167"/>
        <v>0.5272845387613686</v>
      </c>
      <c r="S510">
        <f t="shared" si="168"/>
        <v>0.15956110451546357</v>
      </c>
      <c r="T510" s="4">
        <f t="shared" si="179"/>
        <v>-1.1300546426853868E-3</v>
      </c>
      <c r="U510" t="str">
        <f t="shared" si="169"/>
        <v>No Impact</v>
      </c>
      <c r="V510">
        <f t="shared" si="170"/>
        <v>0.13941370235976119</v>
      </c>
      <c r="W510">
        <f t="shared" si="160"/>
        <v>0.22552021743553277</v>
      </c>
      <c r="X510" t="s">
        <v>1170</v>
      </c>
      <c r="Y510">
        <f t="shared" si="161"/>
        <v>0.17970850667116592</v>
      </c>
      <c r="Z510">
        <f t="shared" si="171"/>
        <v>0.32714225123776036</v>
      </c>
      <c r="AA510" t="str">
        <f t="shared" si="172"/>
        <v>Moderate</v>
      </c>
      <c r="AB510">
        <f t="shared" si="162"/>
        <v>0.11252076005767839</v>
      </c>
      <c r="AC510">
        <f t="shared" si="173"/>
        <v>0.27502084154575246</v>
      </c>
      <c r="AD510" t="str">
        <f t="shared" si="174"/>
        <v>Low</v>
      </c>
      <c r="AE510">
        <f t="shared" si="163"/>
        <v>2.8038320658320601E-2</v>
      </c>
      <c r="AF510">
        <f t="shared" si="175"/>
        <v>0.16929042938129396</v>
      </c>
      <c r="AG510" t="s">
        <v>1170</v>
      </c>
    </row>
    <row r="511" spans="1:33" customFormat="1" x14ac:dyDescent="0.3">
      <c r="A511">
        <v>603626</v>
      </c>
      <c r="B511" t="s">
        <v>115</v>
      </c>
      <c r="C511" t="s">
        <v>1062</v>
      </c>
      <c r="D511" t="s">
        <v>1065</v>
      </c>
      <c r="E511" s="21">
        <v>5.2</v>
      </c>
      <c r="F511" s="2">
        <f t="shared" si="176"/>
        <v>0.44444444444444442</v>
      </c>
      <c r="G511" s="26">
        <v>59.790959999999998</v>
      </c>
      <c r="H511">
        <f t="shared" si="177"/>
        <v>0.61295167939297535</v>
      </c>
      <c r="I511" s="12">
        <v>113.69999999999999</v>
      </c>
      <c r="J511" s="2">
        <f t="shared" si="164"/>
        <v>0.47813288477712357</v>
      </c>
      <c r="K511" s="10">
        <v>0</v>
      </c>
      <c r="L511" s="2">
        <f t="shared" si="178"/>
        <v>0</v>
      </c>
      <c r="M511">
        <v>8086</v>
      </c>
      <c r="N511">
        <f t="shared" si="165"/>
        <v>3.7127459747436753E-2</v>
      </c>
      <c r="O511" s="10">
        <v>0.565529163</v>
      </c>
      <c r="P511">
        <f t="shared" si="166"/>
        <v>0.52734512766067132</v>
      </c>
      <c r="Q511" s="23">
        <v>0.39050000000000001</v>
      </c>
      <c r="R511" s="13">
        <f t="shared" si="167"/>
        <v>0.84560415764400176</v>
      </c>
      <c r="S511">
        <f t="shared" si="168"/>
        <v>0.11651140453433427</v>
      </c>
      <c r="T511" s="4">
        <f t="shared" si="179"/>
        <v>-1.1302583289353153E-3</v>
      </c>
      <c r="U511" t="str">
        <f t="shared" si="169"/>
        <v>No Impact</v>
      </c>
      <c r="V511">
        <f t="shared" si="170"/>
        <v>0.14351954459164454</v>
      </c>
      <c r="W511">
        <f t="shared" si="160"/>
        <v>0.23216196367150088</v>
      </c>
      <c r="X511" t="s">
        <v>1170</v>
      </c>
      <c r="Y511">
        <f t="shared" si="161"/>
        <v>8.9503264477024017E-2</v>
      </c>
      <c r="Z511">
        <f t="shared" si="171"/>
        <v>0.16293218377091051</v>
      </c>
      <c r="AA511" t="str">
        <f t="shared" si="172"/>
        <v>Low</v>
      </c>
      <c r="AB511">
        <f t="shared" si="162"/>
        <v>7.928832074310109E-2</v>
      </c>
      <c r="AC511">
        <f t="shared" si="173"/>
        <v>0.19379482225626124</v>
      </c>
      <c r="AD511" t="str">
        <f t="shared" si="174"/>
        <v>Low</v>
      </c>
      <c r="AE511">
        <f t="shared" si="163"/>
        <v>6.3014308369094309E-3</v>
      </c>
      <c r="AF511">
        <f t="shared" si="175"/>
        <v>3.8046926743465673E-2</v>
      </c>
      <c r="AG511" t="s">
        <v>1170</v>
      </c>
    </row>
    <row r="512" spans="1:33" customFormat="1" x14ac:dyDescent="0.3">
      <c r="A512">
        <v>603644</v>
      </c>
      <c r="B512" t="s">
        <v>197</v>
      </c>
      <c r="C512" t="s">
        <v>1062</v>
      </c>
      <c r="D512" t="s">
        <v>1066</v>
      </c>
      <c r="E512" s="21">
        <v>5.7</v>
      </c>
      <c r="F512" s="2">
        <f t="shared" si="176"/>
        <v>0.55555555555555558</v>
      </c>
      <c r="G512" s="26">
        <v>60.526440000000001</v>
      </c>
      <c r="H512">
        <f t="shared" si="177"/>
        <v>0.62049150984828072</v>
      </c>
      <c r="I512" s="12">
        <v>175.3</v>
      </c>
      <c r="J512" s="2">
        <f t="shared" si="164"/>
        <v>0.73717409587888982</v>
      </c>
      <c r="K512" s="10">
        <v>0</v>
      </c>
      <c r="L512" s="2">
        <f t="shared" si="178"/>
        <v>0</v>
      </c>
      <c r="M512">
        <v>33136</v>
      </c>
      <c r="N512">
        <f t="shared" si="165"/>
        <v>0.15564955311729667</v>
      </c>
      <c r="O512" s="10">
        <v>0.66296292999999995</v>
      </c>
      <c r="P512">
        <f t="shared" si="166"/>
        <v>0.63464784442517708</v>
      </c>
      <c r="Q512" s="23">
        <v>0.30669999999999997</v>
      </c>
      <c r="R512" s="13">
        <f t="shared" si="167"/>
        <v>0.66414032048505844</v>
      </c>
      <c r="S512">
        <f t="shared" si="168"/>
        <v>0.17143389089401312</v>
      </c>
      <c r="T512" s="4">
        <f t="shared" si="179"/>
        <v>-1.1299984675358569E-3</v>
      </c>
      <c r="U512" t="str">
        <f t="shared" si="169"/>
        <v>No Impact</v>
      </c>
      <c r="V512">
        <f t="shared" si="170"/>
        <v>0.17532675815261911</v>
      </c>
      <c r="W512">
        <f t="shared" si="160"/>
        <v>0.28361436466849066</v>
      </c>
      <c r="X512" t="s">
        <v>1170</v>
      </c>
      <c r="Y512">
        <f t="shared" si="161"/>
        <v>0.16754102363540715</v>
      </c>
      <c r="Z512">
        <f t="shared" si="171"/>
        <v>0.30499250515201176</v>
      </c>
      <c r="AA512" t="str">
        <f t="shared" si="172"/>
        <v>Moderate</v>
      </c>
      <c r="AB512">
        <f t="shared" si="162"/>
        <v>0.12600817549389123</v>
      </c>
      <c r="AC512">
        <f t="shared" si="173"/>
        <v>0.30798649465405908</v>
      </c>
      <c r="AD512" t="str">
        <f t="shared" si="174"/>
        <v>Moderate</v>
      </c>
      <c r="AE512">
        <f t="shared" si="163"/>
        <v>4.1090008713864049E-2</v>
      </c>
      <c r="AF512">
        <f t="shared" si="175"/>
        <v>0.24809421731136605</v>
      </c>
      <c r="AG512" t="s">
        <v>1169</v>
      </c>
    </row>
    <row r="513" spans="1:33" customFormat="1" x14ac:dyDescent="0.3">
      <c r="A513">
        <v>603668</v>
      </c>
      <c r="B513" t="s">
        <v>296</v>
      </c>
      <c r="C513" t="s">
        <v>1062</v>
      </c>
      <c r="D513" t="s">
        <v>1067</v>
      </c>
      <c r="E513" s="21">
        <v>5.6</v>
      </c>
      <c r="F513" s="2">
        <f t="shared" si="176"/>
        <v>0.53333333333333321</v>
      </c>
      <c r="G513" s="26">
        <v>58.307400000000001</v>
      </c>
      <c r="H513">
        <f t="shared" si="177"/>
        <v>0.59774284860182825</v>
      </c>
      <c r="I513" s="12">
        <v>175.8</v>
      </c>
      <c r="J513" s="2">
        <f t="shared" si="164"/>
        <v>0.73927670311185867</v>
      </c>
      <c r="K513" s="10">
        <v>0</v>
      </c>
      <c r="L513" s="2">
        <f t="shared" si="178"/>
        <v>0</v>
      </c>
      <c r="M513">
        <v>9664</v>
      </c>
      <c r="N513">
        <f t="shared" si="165"/>
        <v>4.4593641916603977E-2</v>
      </c>
      <c r="O513" s="10">
        <v>0.57147596499999997</v>
      </c>
      <c r="P513">
        <f t="shared" si="166"/>
        <v>0.53389427412506485</v>
      </c>
      <c r="Q513" s="23">
        <v>0.26369999999999999</v>
      </c>
      <c r="R513" s="13">
        <f t="shared" si="167"/>
        <v>0.57102641836292767</v>
      </c>
      <c r="S513">
        <f t="shared" si="168"/>
        <v>0.13788138643528403</v>
      </c>
      <c r="T513" s="4">
        <f t="shared" si="179"/>
        <v>-1.1301572185564658E-3</v>
      </c>
      <c r="U513" t="str">
        <f t="shared" si="169"/>
        <v>No Impact</v>
      </c>
      <c r="V513">
        <f t="shared" si="170"/>
        <v>0.14251505070063772</v>
      </c>
      <c r="W513">
        <f t="shared" si="160"/>
        <v>0.23053706111975641</v>
      </c>
      <c r="X513" t="s">
        <v>1170</v>
      </c>
      <c r="Y513">
        <f t="shared" si="161"/>
        <v>0.13324772216993033</v>
      </c>
      <c r="Z513">
        <f t="shared" si="171"/>
        <v>0.24256481014968434</v>
      </c>
      <c r="AA513" t="str">
        <f t="shared" si="172"/>
        <v>Low</v>
      </c>
      <c r="AB513">
        <f t="shared" si="162"/>
        <v>9.374992570967737E-2</v>
      </c>
      <c r="AC513">
        <f t="shared" si="173"/>
        <v>0.22914156863418561</v>
      </c>
      <c r="AD513" t="str">
        <f t="shared" si="174"/>
        <v>Low</v>
      </c>
      <c r="AE513">
        <f t="shared" si="163"/>
        <v>1.1129546609928787E-2</v>
      </c>
      <c r="AF513">
        <f t="shared" si="175"/>
        <v>6.7198237275841954E-2</v>
      </c>
      <c r="AG513" t="s">
        <v>1170</v>
      </c>
    </row>
    <row r="514" spans="1:33" customFormat="1" x14ac:dyDescent="0.3">
      <c r="A514">
        <v>603671</v>
      </c>
      <c r="B514" t="s">
        <v>312</v>
      </c>
      <c r="C514" t="s">
        <v>1062</v>
      </c>
      <c r="D514" t="s">
        <v>1068</v>
      </c>
      <c r="E514" s="21">
        <v>5.5</v>
      </c>
      <c r="F514" s="2">
        <f t="shared" si="176"/>
        <v>0.51111111111111107</v>
      </c>
      <c r="G514" s="26">
        <v>59.790959999999998</v>
      </c>
      <c r="H514">
        <f t="shared" ref="H514:H545" si="180">(G514-$AJ$6)/$AK$6</f>
        <v>0.61295167939297535</v>
      </c>
      <c r="I514" s="12">
        <v>147.29999999999998</v>
      </c>
      <c r="J514" s="2">
        <f t="shared" si="164"/>
        <v>0.61942809083263239</v>
      </c>
      <c r="K514" s="10">
        <v>0</v>
      </c>
      <c r="L514" s="2">
        <f t="shared" ref="L514:L545" si="181">(K514-$AJ$7)/$AK$7</f>
        <v>0</v>
      </c>
      <c r="M514">
        <v>31830</v>
      </c>
      <c r="N514">
        <f t="shared" si="165"/>
        <v>0.1494703174310277</v>
      </c>
      <c r="O514" s="10">
        <v>0.58537915799999996</v>
      </c>
      <c r="P514">
        <f t="shared" si="166"/>
        <v>0.54920570492093324</v>
      </c>
      <c r="Q514" s="23">
        <v>0.3417</v>
      </c>
      <c r="R514" s="13">
        <f t="shared" si="167"/>
        <v>0.73993070593330446</v>
      </c>
      <c r="S514">
        <f t="shared" si="168"/>
        <v>0.142100892800822</v>
      </c>
      <c r="T514" s="4">
        <f t="shared" ref="T514:T545" si="182">(S514-$AJ$9)/$AK$9</f>
        <v>-1.1301372542958897E-3</v>
      </c>
      <c r="U514" t="str">
        <f t="shared" si="169"/>
        <v>No Impact</v>
      </c>
      <c r="V514">
        <f t="shared" si="170"/>
        <v>0.16312441885679349</v>
      </c>
      <c r="W514">
        <f t="shared" ref="W514:W545" si="183">(V514-$AJ$13)/$AK$13</f>
        <v>0.26387545690951408</v>
      </c>
      <c r="X514" t="s">
        <v>1170</v>
      </c>
      <c r="Y514">
        <f t="shared" ref="Y514:Y545" si="184">F514*(P514*1)*(H514*0.35+J514*0.35+L514*0.3)</f>
        <v>0.12107736674485051</v>
      </c>
      <c r="Z514">
        <f t="shared" si="171"/>
        <v>0.22040983515225912</v>
      </c>
      <c r="AA514" t="str">
        <f t="shared" si="172"/>
        <v>Low</v>
      </c>
      <c r="AB514">
        <f t="shared" ref="AB514:AB545" si="185">F514*(R514*0.35+P514*0.3+N514*0.35)*(H514*0.35+J514*0.35+L514*0.3)</f>
        <v>0.10494998597186068</v>
      </c>
      <c r="AC514">
        <f t="shared" si="173"/>
        <v>0.25651651701784256</v>
      </c>
      <c r="AD514" t="str">
        <f t="shared" si="174"/>
        <v>Low</v>
      </c>
      <c r="AE514">
        <f t="shared" ref="AE514:AE545" si="186">F514*(N514*1)*(H514*0.35+J514*0.35+L514*0.3)</f>
        <v>3.2952083852936631E-2</v>
      </c>
      <c r="AF514">
        <f t="shared" si="175"/>
        <v>0.19895886392242212</v>
      </c>
      <c r="AG514" t="s">
        <v>1169</v>
      </c>
    </row>
    <row r="515" spans="1:33" customFormat="1" x14ac:dyDescent="0.3">
      <c r="A515">
        <v>603677</v>
      </c>
      <c r="B515" t="s">
        <v>359</v>
      </c>
      <c r="C515" t="s">
        <v>1062</v>
      </c>
      <c r="D515" t="s">
        <v>1069</v>
      </c>
      <c r="E515" s="21">
        <v>5.8</v>
      </c>
      <c r="F515" s="2">
        <f t="shared" si="176"/>
        <v>0.57777777777777772</v>
      </c>
      <c r="G515" s="26">
        <v>60.759360000000008</v>
      </c>
      <c r="H515">
        <f t="shared" si="180"/>
        <v>0.62287930735419494</v>
      </c>
      <c r="I515" s="12">
        <v>162.1</v>
      </c>
      <c r="J515" s="2">
        <f t="shared" ref="J515:J545" si="187">(I515-$AJ$7)/$AK$7</f>
        <v>0.68166526492851132</v>
      </c>
      <c r="K515" s="10">
        <v>0</v>
      </c>
      <c r="L515" s="2">
        <f t="shared" si="181"/>
        <v>0</v>
      </c>
      <c r="M515">
        <v>22206</v>
      </c>
      <c r="N515">
        <f t="shared" ref="N515:N545" si="188">(M515-$AJ$9)/$AK$9</f>
        <v>0.10393512275671507</v>
      </c>
      <c r="O515" s="10">
        <v>0.72290107299999995</v>
      </c>
      <c r="P515">
        <f t="shared" ref="P515:P545" si="189">(O515-$AJ$11)/$AK$11</f>
        <v>0.7006570502656887</v>
      </c>
      <c r="Q515" s="23">
        <v>0.28000000000000003</v>
      </c>
      <c r="R515" s="13">
        <f t="shared" ref="R515:R545" si="190">(Q515-$AJ$12)/$AK$12</f>
        <v>0.60632308358596798</v>
      </c>
      <c r="S515">
        <f t="shared" ref="S515:S545" si="191">F515*(R515*0.5+P515*0.5)*(H515*0.35+J515*0.35+L515*0.3)</f>
        <v>0.17239584379163644</v>
      </c>
      <c r="T515" s="4">
        <f t="shared" si="182"/>
        <v>-1.1299939161318192E-3</v>
      </c>
      <c r="U515" t="str">
        <f t="shared" ref="U515:U545" si="192">IF(T515&gt;0.7,"High",IF(T515&gt;0.3,"Moderate",IF(T515&gt;0.15,"Low","No Impact")))</f>
        <v>No Impact</v>
      </c>
      <c r="V515">
        <f t="shared" ref="V515:V545" si="193">F515*(R515*1)*(H515*0.35+J515*0.35+L515*0.3)</f>
        <v>0.15995282085445048</v>
      </c>
      <c r="W515">
        <f t="shared" si="183"/>
        <v>0.2587449750486942</v>
      </c>
      <c r="X515" t="s">
        <v>1170</v>
      </c>
      <c r="Y515">
        <f t="shared" si="184"/>
        <v>0.18483886672882241</v>
      </c>
      <c r="Z515">
        <f t="shared" ref="Z515:Z545" si="194">(Y515-$AJ$14)/$AK$14</f>
        <v>0.33648158397170336</v>
      </c>
      <c r="AA515" t="str">
        <f t="shared" ref="AA515:AA545" si="195">IF(Z515&gt;0.7,"High",IF(Z515&gt;0.3,"Moderate",IF(Z515&gt;0.15,"Low","No Impact")))</f>
        <v>Moderate</v>
      </c>
      <c r="AB515">
        <f t="shared" si="185"/>
        <v>0.12103176466956801</v>
      </c>
      <c r="AC515">
        <f t="shared" ref="AC515:AC545" si="196">(AB515-$AJ$15)/$AK$15</f>
        <v>0.29582325746937238</v>
      </c>
      <c r="AD515" t="str">
        <f t="shared" ref="AD515:AD545" si="197">IF(AC515&gt;0.7,"High",IF(AC515&gt;0.3,"Moderate",IF(AC515&gt;0.15,"Low","No Impact")))</f>
        <v>Low</v>
      </c>
      <c r="AE515">
        <f t="shared" si="186"/>
        <v>2.741890671961035E-2</v>
      </c>
      <c r="AF515">
        <f t="shared" ref="AF515:AF545" si="198">(AE515-$AJ$16)/$AK$16</f>
        <v>0.16555051738988522</v>
      </c>
      <c r="AG515" t="s">
        <v>1170</v>
      </c>
    </row>
    <row r="516" spans="1:33" customFormat="1" x14ac:dyDescent="0.3">
      <c r="A516">
        <v>605814</v>
      </c>
      <c r="B516" t="s">
        <v>51</v>
      </c>
      <c r="C516" t="s">
        <v>1071</v>
      </c>
      <c r="D516" t="s">
        <v>1070</v>
      </c>
      <c r="E516" s="21">
        <v>5.4</v>
      </c>
      <c r="F516" s="2">
        <f t="shared" si="176"/>
        <v>0.48888888888888893</v>
      </c>
      <c r="G516" s="26">
        <v>48.6828</v>
      </c>
      <c r="H516">
        <f t="shared" si="180"/>
        <v>0.4990755127121615</v>
      </c>
      <c r="I516" s="12">
        <v>132.1</v>
      </c>
      <c r="J516" s="2">
        <f t="shared" si="187"/>
        <v>0.5555088309503784</v>
      </c>
      <c r="K516" s="10">
        <v>0</v>
      </c>
      <c r="L516" s="2">
        <f t="shared" si="181"/>
        <v>0</v>
      </c>
      <c r="M516">
        <v>18472</v>
      </c>
      <c r="N516">
        <f t="shared" si="188"/>
        <v>8.6267997142221775E-2</v>
      </c>
      <c r="O516" s="10">
        <v>0.52065890699999995</v>
      </c>
      <c r="P516">
        <f t="shared" si="189"/>
        <v>0.47793001707874266</v>
      </c>
      <c r="Q516" s="23">
        <v>0.3745</v>
      </c>
      <c r="R516" s="13">
        <f t="shared" si="190"/>
        <v>0.81095712429623212</v>
      </c>
      <c r="S516">
        <f t="shared" si="191"/>
        <v>0.11629055044803907</v>
      </c>
      <c r="T516" s="4">
        <f t="shared" si="182"/>
        <v>-1.1302593738889534E-3</v>
      </c>
      <c r="U516" t="str">
        <f t="shared" si="192"/>
        <v>No Impact</v>
      </c>
      <c r="V516">
        <f t="shared" si="193"/>
        <v>0.14633810416257559</v>
      </c>
      <c r="W516">
        <f t="shared" si="183"/>
        <v>0.23672135888540233</v>
      </c>
      <c r="X516" t="s">
        <v>1170</v>
      </c>
      <c r="Y516">
        <f t="shared" si="184"/>
        <v>8.6242996733502553E-2</v>
      </c>
      <c r="Z516">
        <f t="shared" si="194"/>
        <v>0.15699717630237092</v>
      </c>
      <c r="AA516" t="str">
        <f t="shared" si="195"/>
        <v>Low</v>
      </c>
      <c r="AB516">
        <f t="shared" si="185"/>
        <v>8.2539739683543667E-2</v>
      </c>
      <c r="AC516">
        <f t="shared" si="196"/>
        <v>0.20174187107427441</v>
      </c>
      <c r="AD516" t="str">
        <f t="shared" si="197"/>
        <v>Low</v>
      </c>
      <c r="AE516">
        <f t="shared" si="186"/>
        <v>1.5567154875975578E-2</v>
      </c>
      <c r="AF516">
        <f t="shared" si="198"/>
        <v>9.3991732433409553E-2</v>
      </c>
      <c r="AG516" t="s">
        <v>1170</v>
      </c>
    </row>
    <row r="517" spans="1:33" customFormat="1" x14ac:dyDescent="0.3">
      <c r="A517">
        <v>605835</v>
      </c>
      <c r="B517" t="s">
        <v>230</v>
      </c>
      <c r="C517" t="s">
        <v>1071</v>
      </c>
      <c r="D517" t="s">
        <v>1072</v>
      </c>
      <c r="E517" s="21">
        <v>5.4</v>
      </c>
      <c r="F517" s="2">
        <f t="shared" si="176"/>
        <v>0.48888888888888893</v>
      </c>
      <c r="G517" s="26">
        <v>51.756839999999997</v>
      </c>
      <c r="H517">
        <f t="shared" si="180"/>
        <v>0.53058927299500658</v>
      </c>
      <c r="I517" s="12">
        <v>143.5</v>
      </c>
      <c r="J517" s="2">
        <f t="shared" si="187"/>
        <v>0.60344827586206895</v>
      </c>
      <c r="K517" s="10">
        <v>0</v>
      </c>
      <c r="L517" s="2">
        <f t="shared" si="181"/>
        <v>0</v>
      </c>
      <c r="M517">
        <v>9958</v>
      </c>
      <c r="N517">
        <f t="shared" si="188"/>
        <v>4.5984679659148438E-2</v>
      </c>
      <c r="O517" s="10">
        <v>0.34759056999999999</v>
      </c>
      <c r="P517">
        <f t="shared" si="189"/>
        <v>0.28733179515004476</v>
      </c>
      <c r="Q517" s="23">
        <v>0.37530000000000002</v>
      </c>
      <c r="R517" s="13">
        <f t="shared" si="190"/>
        <v>0.81268947596362073</v>
      </c>
      <c r="S517">
        <f t="shared" si="191"/>
        <v>0.10672759755644189</v>
      </c>
      <c r="T517" s="4">
        <f t="shared" si="182"/>
        <v>-1.1303046202440635E-3</v>
      </c>
      <c r="U517" t="str">
        <f t="shared" si="192"/>
        <v>No Impact</v>
      </c>
      <c r="V517">
        <f t="shared" si="193"/>
        <v>0.15769948746752641</v>
      </c>
      <c r="W517">
        <f t="shared" si="183"/>
        <v>0.2550999084105347</v>
      </c>
      <c r="X517" t="s">
        <v>1170</v>
      </c>
      <c r="Y517">
        <f t="shared" si="184"/>
        <v>5.5755707645357394E-2</v>
      </c>
      <c r="Z517">
        <f t="shared" si="194"/>
        <v>0.10149796498967417</v>
      </c>
      <c r="AA517" t="str">
        <f t="shared" si="195"/>
        <v>No Impact</v>
      </c>
      <c r="AB517">
        <f t="shared" si="185"/>
        <v>7.5044639850090245E-2</v>
      </c>
      <c r="AC517">
        <f t="shared" si="196"/>
        <v>0.18342250793978121</v>
      </c>
      <c r="AD517" t="str">
        <f t="shared" si="197"/>
        <v>Low</v>
      </c>
      <c r="AE517">
        <f t="shared" si="186"/>
        <v>8.923162693853702E-3</v>
      </c>
      <c r="AF517">
        <f t="shared" si="198"/>
        <v>5.3876480773942227E-2</v>
      </c>
      <c r="AG517" t="s">
        <v>1170</v>
      </c>
    </row>
    <row r="518" spans="1:33" customFormat="1" x14ac:dyDescent="0.3">
      <c r="A518">
        <v>605856</v>
      </c>
      <c r="B518" t="s">
        <v>252</v>
      </c>
      <c r="C518" t="s">
        <v>1071</v>
      </c>
      <c r="D518" t="s">
        <v>1073</v>
      </c>
      <c r="E518" s="21">
        <v>5.4</v>
      </c>
      <c r="F518" s="2">
        <f t="shared" si="176"/>
        <v>0.48888888888888893</v>
      </c>
      <c r="G518" s="26">
        <v>55.53828</v>
      </c>
      <c r="H518">
        <f t="shared" si="180"/>
        <v>0.56935499942796186</v>
      </c>
      <c r="I518" s="12">
        <v>137</v>
      </c>
      <c r="J518" s="2">
        <f t="shared" si="187"/>
        <v>0.57611438183347352</v>
      </c>
      <c r="K518" s="10">
        <v>0</v>
      </c>
      <c r="L518" s="2">
        <f t="shared" si="181"/>
        <v>0</v>
      </c>
      <c r="M518">
        <v>24711</v>
      </c>
      <c r="N518">
        <f t="shared" si="188"/>
        <v>0.11578733209370105</v>
      </c>
      <c r="O518" s="10">
        <v>0.53289375100000003</v>
      </c>
      <c r="P518">
        <f t="shared" si="189"/>
        <v>0.49140411379913246</v>
      </c>
      <c r="Q518" s="23">
        <v>0.39929999999999999</v>
      </c>
      <c r="R518" s="13">
        <f t="shared" si="190"/>
        <v>0.86466002598527503</v>
      </c>
      <c r="S518">
        <f t="shared" si="191"/>
        <v>0.13289600693169365</v>
      </c>
      <c r="T518" s="4">
        <f t="shared" si="182"/>
        <v>-1.1301808064852086E-3</v>
      </c>
      <c r="U518" t="str">
        <f t="shared" si="192"/>
        <v>No Impact</v>
      </c>
      <c r="V518">
        <f t="shared" si="193"/>
        <v>0.16947556009432763</v>
      </c>
      <c r="W518">
        <f t="shared" si="183"/>
        <v>0.27414927310267678</v>
      </c>
      <c r="X518" t="s">
        <v>1170</v>
      </c>
      <c r="Y518">
        <f t="shared" si="184"/>
        <v>9.6316453769059673E-2</v>
      </c>
      <c r="Z518">
        <f t="shared" si="194"/>
        <v>0.17533494713694303</v>
      </c>
      <c r="AA518" t="str">
        <f t="shared" si="195"/>
        <v>Low</v>
      </c>
      <c r="AB518">
        <f t="shared" si="185"/>
        <v>9.6154496022403904E-2</v>
      </c>
      <c r="AC518">
        <f t="shared" si="196"/>
        <v>0.2350187681005152</v>
      </c>
      <c r="AD518" t="str">
        <f t="shared" si="197"/>
        <v>Low</v>
      </c>
      <c r="AE518">
        <f t="shared" si="186"/>
        <v>2.2694611024775276E-2</v>
      </c>
      <c r="AF518">
        <f t="shared" si="198"/>
        <v>0.13702605415797309</v>
      </c>
      <c r="AG518" t="s">
        <v>1170</v>
      </c>
    </row>
    <row r="519" spans="1:33" customFormat="1" x14ac:dyDescent="0.3">
      <c r="A519">
        <v>605865</v>
      </c>
      <c r="B519" t="s">
        <v>290</v>
      </c>
      <c r="C519" t="s">
        <v>1071</v>
      </c>
      <c r="D519" t="s">
        <v>1074</v>
      </c>
      <c r="E519" s="21">
        <v>5.3</v>
      </c>
      <c r="F519" s="2">
        <f t="shared" si="176"/>
        <v>0.46666666666666656</v>
      </c>
      <c r="G519" s="26">
        <v>55.53828</v>
      </c>
      <c r="H519">
        <f t="shared" si="180"/>
        <v>0.56935499942796186</v>
      </c>
      <c r="I519" s="12">
        <v>143.5</v>
      </c>
      <c r="J519" s="2">
        <f t="shared" si="187"/>
        <v>0.60344827586206895</v>
      </c>
      <c r="K519" s="10">
        <v>0</v>
      </c>
      <c r="L519" s="2">
        <f t="shared" si="181"/>
        <v>0</v>
      </c>
      <c r="M519">
        <v>33224</v>
      </c>
      <c r="N519">
        <f t="shared" si="188"/>
        <v>0.15606591815588139</v>
      </c>
      <c r="O519" s="10">
        <v>0.52490398299999996</v>
      </c>
      <c r="P519">
        <f t="shared" si="189"/>
        <v>0.48260507175123418</v>
      </c>
      <c r="Q519" s="23">
        <v>0.37619999999999998</v>
      </c>
      <c r="R519" s="13">
        <f t="shared" si="190"/>
        <v>0.81463837158943264</v>
      </c>
      <c r="S519">
        <f t="shared" si="191"/>
        <v>0.12424859433454019</v>
      </c>
      <c r="T519" s="4">
        <f t="shared" si="182"/>
        <v>-1.1302217210338412E-3</v>
      </c>
      <c r="U519" t="str">
        <f t="shared" si="192"/>
        <v>No Impact</v>
      </c>
      <c r="V519">
        <f t="shared" si="193"/>
        <v>0.15605038989491385</v>
      </c>
      <c r="W519">
        <f t="shared" si="183"/>
        <v>0.25243227361673032</v>
      </c>
      <c r="X519" t="s">
        <v>1170</v>
      </c>
      <c r="Y519">
        <f t="shared" si="184"/>
        <v>9.2446798774166519E-2</v>
      </c>
      <c r="Z519">
        <f t="shared" si="194"/>
        <v>0.16829060811264071</v>
      </c>
      <c r="AA519" t="str">
        <f t="shared" si="195"/>
        <v>Low</v>
      </c>
      <c r="AB519">
        <f t="shared" si="185"/>
        <v>9.281515520400424E-2</v>
      </c>
      <c r="AC519">
        <f t="shared" si="196"/>
        <v>0.22685682250386627</v>
      </c>
      <c r="AD519" t="str">
        <f t="shared" si="197"/>
        <v>Low</v>
      </c>
      <c r="AE519">
        <f t="shared" si="186"/>
        <v>2.9895654595812709E-2</v>
      </c>
      <c r="AF519">
        <f t="shared" si="198"/>
        <v>0.1805046837446051</v>
      </c>
      <c r="AG519" t="s">
        <v>1169</v>
      </c>
    </row>
    <row r="520" spans="1:33" customFormat="1" x14ac:dyDescent="0.3">
      <c r="A520">
        <v>605874</v>
      </c>
      <c r="B520" t="s">
        <v>332</v>
      </c>
      <c r="C520" t="s">
        <v>1071</v>
      </c>
      <c r="D520" t="s">
        <v>1075</v>
      </c>
      <c r="E520" s="21">
        <v>5.3</v>
      </c>
      <c r="F520" s="2">
        <f t="shared" si="176"/>
        <v>0.46666666666666656</v>
      </c>
      <c r="G520" s="26">
        <v>60.759360000000008</v>
      </c>
      <c r="H520">
        <f t="shared" si="180"/>
        <v>0.62287930735419494</v>
      </c>
      <c r="I520" s="12">
        <v>129.80000000000001</v>
      </c>
      <c r="J520" s="2">
        <f t="shared" si="187"/>
        <v>0.5458368376787216</v>
      </c>
      <c r="K520" s="10">
        <v>0</v>
      </c>
      <c r="L520" s="2">
        <f t="shared" si="181"/>
        <v>0</v>
      </c>
      <c r="M520">
        <v>39868</v>
      </c>
      <c r="N520">
        <f t="shared" si="188"/>
        <v>0.18750147856902907</v>
      </c>
      <c r="O520" s="10">
        <v>0.63099400999999999</v>
      </c>
      <c r="P520">
        <f t="shared" si="189"/>
        <v>0.59944083074143906</v>
      </c>
      <c r="Q520" s="23">
        <v>0.32219999999999999</v>
      </c>
      <c r="R520" s="13">
        <f t="shared" si="190"/>
        <v>0.69770463404071026</v>
      </c>
      <c r="S520">
        <f t="shared" si="191"/>
        <v>0.12380624585034845</v>
      </c>
      <c r="T520" s="4">
        <f t="shared" si="182"/>
        <v>-1.1302238139707015E-3</v>
      </c>
      <c r="U520" t="str">
        <f t="shared" si="192"/>
        <v>No Impact</v>
      </c>
      <c r="V520">
        <f t="shared" si="193"/>
        <v>0.13318504947705123</v>
      </c>
      <c r="W520">
        <f t="shared" si="183"/>
        <v>0.2154445424576574</v>
      </c>
      <c r="X520" t="s">
        <v>1170</v>
      </c>
      <c r="Y520">
        <f t="shared" si="184"/>
        <v>0.1144274422236457</v>
      </c>
      <c r="Z520">
        <f t="shared" si="194"/>
        <v>0.20830427977969768</v>
      </c>
      <c r="AA520" t="str">
        <f t="shared" si="195"/>
        <v>Low</v>
      </c>
      <c r="AB520">
        <f t="shared" si="185"/>
        <v>9.3470274949205068E-2</v>
      </c>
      <c r="AC520">
        <f t="shared" si="196"/>
        <v>0.22845805221068671</v>
      </c>
      <c r="AD520" t="str">
        <f t="shared" si="197"/>
        <v>Low</v>
      </c>
      <c r="AE520">
        <f t="shared" si="186"/>
        <v>3.5792214186124049E-2</v>
      </c>
      <c r="AF520">
        <f t="shared" si="198"/>
        <v>0.21610706938962268</v>
      </c>
      <c r="AG520" t="s">
        <v>1169</v>
      </c>
    </row>
    <row r="521" spans="1:33" customFormat="1" x14ac:dyDescent="0.3">
      <c r="A521">
        <v>605880</v>
      </c>
      <c r="B521" t="s">
        <v>428</v>
      </c>
      <c r="C521" t="s">
        <v>1071</v>
      </c>
      <c r="D521" t="s">
        <v>1076</v>
      </c>
      <c r="E521" s="21">
        <v>5.2</v>
      </c>
      <c r="F521" s="2">
        <f t="shared" si="176"/>
        <v>0.44444444444444442</v>
      </c>
      <c r="G521" s="26">
        <v>56.31156</v>
      </c>
      <c r="H521">
        <f t="shared" si="180"/>
        <v>0.57728233952487618</v>
      </c>
      <c r="I521" s="12">
        <v>137.30000000000001</v>
      </c>
      <c r="J521" s="2">
        <f t="shared" si="187"/>
        <v>0.57737594617325483</v>
      </c>
      <c r="K521" s="10">
        <v>0</v>
      </c>
      <c r="L521" s="2">
        <f t="shared" si="181"/>
        <v>0</v>
      </c>
      <c r="M521">
        <v>16043</v>
      </c>
      <c r="N521">
        <f t="shared" si="188"/>
        <v>7.4775375793104421E-2</v>
      </c>
      <c r="O521" s="10">
        <v>0.69975964800000001</v>
      </c>
      <c r="P521">
        <f t="shared" si="189"/>
        <v>0.67517165799606571</v>
      </c>
      <c r="Q521" s="23">
        <v>0.33250000000000002</v>
      </c>
      <c r="R521" s="13">
        <f t="shared" si="190"/>
        <v>0.720008661758337</v>
      </c>
      <c r="S521">
        <f t="shared" si="191"/>
        <v>0.12529661793035246</v>
      </c>
      <c r="T521" s="4">
        <f t="shared" si="182"/>
        <v>-1.1302167623931036E-3</v>
      </c>
      <c r="U521" t="str">
        <f t="shared" si="192"/>
        <v>No Impact</v>
      </c>
      <c r="V521">
        <f t="shared" si="193"/>
        <v>0.12932328376701796</v>
      </c>
      <c r="W521">
        <f t="shared" si="183"/>
        <v>0.20919762247869875</v>
      </c>
      <c r="X521" t="s">
        <v>1170</v>
      </c>
      <c r="Y521">
        <f t="shared" si="184"/>
        <v>0.12126995209368698</v>
      </c>
      <c r="Z521">
        <f t="shared" si="194"/>
        <v>0.22076041847043812</v>
      </c>
      <c r="AA521" t="str">
        <f t="shared" si="195"/>
        <v>Low</v>
      </c>
      <c r="AB521">
        <f t="shared" si="185"/>
        <v>8.6344868673294897E-2</v>
      </c>
      <c r="AC521">
        <f t="shared" si="196"/>
        <v>0.21104228618358481</v>
      </c>
      <c r="AD521" t="str">
        <f t="shared" si="197"/>
        <v>Low</v>
      </c>
      <c r="AE521">
        <f t="shared" si="186"/>
        <v>1.3430667790664364E-2</v>
      </c>
      <c r="AF521">
        <f t="shared" si="198"/>
        <v>8.1092000653910451E-2</v>
      </c>
      <c r="AG521" t="s">
        <v>1170</v>
      </c>
    </row>
    <row r="522" spans="1:33" customFormat="1" x14ac:dyDescent="0.3">
      <c r="A522">
        <v>605883</v>
      </c>
      <c r="B522" t="s">
        <v>501</v>
      </c>
      <c r="C522" t="s">
        <v>1071</v>
      </c>
      <c r="D522" t="s">
        <v>1077</v>
      </c>
      <c r="E522" s="21">
        <v>5.4</v>
      </c>
      <c r="F522" s="2">
        <f t="shared" si="176"/>
        <v>0.48888888888888893</v>
      </c>
      <c r="G522" s="26">
        <v>57.739319999999999</v>
      </c>
      <c r="H522">
        <f t="shared" si="180"/>
        <v>0.59191913227364823</v>
      </c>
      <c r="I522" s="12">
        <v>129.80000000000001</v>
      </c>
      <c r="J522" s="2">
        <f t="shared" si="187"/>
        <v>0.5458368376787216</v>
      </c>
      <c r="K522" s="10">
        <v>0</v>
      </c>
      <c r="L522" s="2">
        <f t="shared" si="181"/>
        <v>0</v>
      </c>
      <c r="M522">
        <v>37332</v>
      </c>
      <c r="N522">
        <f t="shared" si="188"/>
        <v>0.17550259518435982</v>
      </c>
      <c r="O522" s="10">
        <v>0.57027192800000004</v>
      </c>
      <c r="P522">
        <f t="shared" si="189"/>
        <v>0.53256828165692005</v>
      </c>
      <c r="Q522" s="23">
        <v>0.37559999999999999</v>
      </c>
      <c r="R522" s="13">
        <f t="shared" si="190"/>
        <v>0.8133391078388913</v>
      </c>
      <c r="S522">
        <f t="shared" si="191"/>
        <v>0.13101243432215989</v>
      </c>
      <c r="T522" s="4">
        <f t="shared" si="182"/>
        <v>-1.1301897184600067E-3</v>
      </c>
      <c r="U522" t="str">
        <f t="shared" si="192"/>
        <v>No Impact</v>
      </c>
      <c r="V522">
        <f t="shared" si="193"/>
        <v>0.15834304392563631</v>
      </c>
      <c r="W522">
        <f t="shared" si="183"/>
        <v>0.25614094662922043</v>
      </c>
      <c r="X522" t="s">
        <v>1170</v>
      </c>
      <c r="Y522">
        <f t="shared" si="184"/>
        <v>0.10368182471868349</v>
      </c>
      <c r="Z522">
        <f t="shared" si="194"/>
        <v>0.18874290471387695</v>
      </c>
      <c r="AA522" t="str">
        <f t="shared" si="195"/>
        <v>Low</v>
      </c>
      <c r="AB522">
        <f t="shared" si="185"/>
        <v>9.8483173744875765E-2</v>
      </c>
      <c r="AC522">
        <f t="shared" si="196"/>
        <v>0.24071047251661376</v>
      </c>
      <c r="AD522" t="str">
        <f t="shared" si="197"/>
        <v>Low</v>
      </c>
      <c r="AE522">
        <f t="shared" si="186"/>
        <v>3.4167317015137193E-2</v>
      </c>
      <c r="AF522">
        <f t="shared" si="198"/>
        <v>0.20629622718088353</v>
      </c>
      <c r="AG522" t="s">
        <v>1169</v>
      </c>
    </row>
    <row r="523" spans="1:33" customFormat="1" x14ac:dyDescent="0.3">
      <c r="A523">
        <v>609018</v>
      </c>
      <c r="B523" t="s">
        <v>80</v>
      </c>
      <c r="C523" t="s">
        <v>1079</v>
      </c>
      <c r="D523" t="s">
        <v>1078</v>
      </c>
      <c r="E523" s="21">
        <v>6.2</v>
      </c>
      <c r="F523" s="2">
        <f t="shared" si="176"/>
        <v>0.66666666666666663</v>
      </c>
      <c r="G523" s="26">
        <v>32.153040000000004</v>
      </c>
      <c r="H523">
        <f t="shared" si="180"/>
        <v>0.32961939172057975</v>
      </c>
      <c r="I523" s="12">
        <v>38.699999999999996</v>
      </c>
      <c r="J523" s="2">
        <f t="shared" si="187"/>
        <v>0.16274179983179141</v>
      </c>
      <c r="K523" s="10">
        <v>0</v>
      </c>
      <c r="L523" s="2">
        <f t="shared" si="181"/>
        <v>0</v>
      </c>
      <c r="M523">
        <v>14050</v>
      </c>
      <c r="N523">
        <f t="shared" si="188"/>
        <v>6.5345653953338731E-2</v>
      </c>
      <c r="O523" s="10">
        <v>0.53592805099999996</v>
      </c>
      <c r="P523">
        <f t="shared" si="189"/>
        <v>0.49474575441822638</v>
      </c>
      <c r="Q523" s="23">
        <v>0.29430000000000001</v>
      </c>
      <c r="R523" s="13">
        <f t="shared" si="190"/>
        <v>0.6372888696405371</v>
      </c>
      <c r="S523">
        <f t="shared" si="191"/>
        <v>6.5026490244346549E-2</v>
      </c>
      <c r="T523" s="4">
        <f t="shared" si="182"/>
        <v>-1.1305019257344616E-3</v>
      </c>
      <c r="U523" t="str">
        <f t="shared" si="192"/>
        <v>No Impact</v>
      </c>
      <c r="V523">
        <f t="shared" si="193"/>
        <v>7.3214471684498322E-2</v>
      </c>
      <c r="W523">
        <f t="shared" si="183"/>
        <v>0.11843415169556079</v>
      </c>
      <c r="X523" t="s">
        <v>1170</v>
      </c>
      <c r="Y523">
        <f t="shared" si="184"/>
        <v>5.6838508804194755E-2</v>
      </c>
      <c r="Z523">
        <f t="shared" si="194"/>
        <v>0.10346910155580838</v>
      </c>
      <c r="AA523" t="str">
        <f t="shared" si="195"/>
        <v>No Impact</v>
      </c>
      <c r="AB523">
        <f t="shared" si="185"/>
        <v>4.5304133627697009E-2</v>
      </c>
      <c r="AC523">
        <f t="shared" si="196"/>
        <v>0.11073139702756758</v>
      </c>
      <c r="AD523" t="str">
        <f t="shared" si="197"/>
        <v>No Impact</v>
      </c>
      <c r="AE523">
        <f t="shared" si="186"/>
        <v>7.5071882767547777E-3</v>
      </c>
      <c r="AF523">
        <f t="shared" si="198"/>
        <v>4.5327077263483825E-2</v>
      </c>
      <c r="AG523" t="s">
        <v>1170</v>
      </c>
    </row>
    <row r="524" spans="1:33" customFormat="1" x14ac:dyDescent="0.3">
      <c r="A524">
        <v>609023</v>
      </c>
      <c r="B524" t="s">
        <v>109</v>
      </c>
      <c r="C524" t="s">
        <v>1079</v>
      </c>
      <c r="D524" t="s">
        <v>1080</v>
      </c>
      <c r="E524" s="21">
        <v>6.5</v>
      </c>
      <c r="F524" s="2">
        <f t="shared" si="176"/>
        <v>0.73333333333333328</v>
      </c>
      <c r="G524" s="26">
        <v>45.229320000000001</v>
      </c>
      <c r="H524">
        <f t="shared" si="180"/>
        <v>0.46367189374116569</v>
      </c>
      <c r="I524" s="12">
        <v>49</v>
      </c>
      <c r="J524" s="2">
        <f t="shared" si="187"/>
        <v>0.20605550883095036</v>
      </c>
      <c r="K524" s="10">
        <v>0</v>
      </c>
      <c r="L524" s="2">
        <f t="shared" si="181"/>
        <v>0</v>
      </c>
      <c r="M524">
        <v>23393</v>
      </c>
      <c r="N524">
        <f t="shared" si="188"/>
        <v>0.10955131935671601</v>
      </c>
      <c r="O524" s="10">
        <v>0.63452906200000003</v>
      </c>
      <c r="P524">
        <f t="shared" si="189"/>
        <v>0.6033339439318981</v>
      </c>
      <c r="Q524" s="23">
        <v>0.27379999999999999</v>
      </c>
      <c r="R524" s="13">
        <f t="shared" si="190"/>
        <v>0.59289735816370726</v>
      </c>
      <c r="S524">
        <f t="shared" si="191"/>
        <v>0.1028141066295869</v>
      </c>
      <c r="T524" s="4">
        <f t="shared" si="182"/>
        <v>-1.1303231366167994E-3</v>
      </c>
      <c r="U524" t="str">
        <f t="shared" si="192"/>
        <v>No Impact</v>
      </c>
      <c r="V524">
        <f t="shared" si="193"/>
        <v>0.10191709930321127</v>
      </c>
      <c r="W524">
        <f t="shared" si="183"/>
        <v>0.16486447175721045</v>
      </c>
      <c r="X524" t="s">
        <v>1170</v>
      </c>
      <c r="Y524">
        <f t="shared" si="184"/>
        <v>0.10371111395596251</v>
      </c>
      <c r="Z524">
        <f t="shared" si="194"/>
        <v>0.1887962229857717</v>
      </c>
      <c r="AA524" t="str">
        <f t="shared" si="195"/>
        <v>Low</v>
      </c>
      <c r="AB524">
        <f t="shared" si="185"/>
        <v>7.3375347539986799E-2</v>
      </c>
      <c r="AC524">
        <f t="shared" si="196"/>
        <v>0.17934245928320289</v>
      </c>
      <c r="AD524" t="str">
        <f t="shared" si="197"/>
        <v>Low</v>
      </c>
      <c r="AE524">
        <f t="shared" si="186"/>
        <v>1.883151027735459E-2</v>
      </c>
      <c r="AF524">
        <f t="shared" si="198"/>
        <v>0.11370133395651659</v>
      </c>
      <c r="AG524" t="s">
        <v>1170</v>
      </c>
    </row>
    <row r="525" spans="1:33" customFormat="1" x14ac:dyDescent="0.3">
      <c r="A525">
        <v>609027</v>
      </c>
      <c r="B525" t="s">
        <v>123</v>
      </c>
      <c r="C525" t="s">
        <v>1079</v>
      </c>
      <c r="D525" t="s">
        <v>1081</v>
      </c>
      <c r="E525" s="21">
        <v>6.3</v>
      </c>
      <c r="F525" s="2">
        <f t="shared" si="176"/>
        <v>0.68888888888888877</v>
      </c>
      <c r="G525" s="26">
        <v>45.229320000000001</v>
      </c>
      <c r="H525">
        <f t="shared" si="180"/>
        <v>0.46367189374116569</v>
      </c>
      <c r="I525" s="12">
        <v>49</v>
      </c>
      <c r="J525" s="2">
        <f t="shared" si="187"/>
        <v>0.20605550883095036</v>
      </c>
      <c r="K525" s="10">
        <v>0</v>
      </c>
      <c r="L525" s="2">
        <f t="shared" si="181"/>
        <v>0</v>
      </c>
      <c r="M525">
        <v>9097</v>
      </c>
      <c r="N525">
        <f t="shared" si="188"/>
        <v>4.1910926270268226E-2</v>
      </c>
      <c r="O525" s="10">
        <v>0.74545498899999996</v>
      </c>
      <c r="P525">
        <f t="shared" si="189"/>
        <v>0.72549542545114631</v>
      </c>
      <c r="Q525" s="23">
        <v>0.17280000000000001</v>
      </c>
      <c r="R525" s="13">
        <f t="shared" si="190"/>
        <v>0.37418796015591166</v>
      </c>
      <c r="S525">
        <f t="shared" si="191"/>
        <v>8.8787731753482563E-2</v>
      </c>
      <c r="T525" s="4">
        <f t="shared" si="182"/>
        <v>-1.1303895012999413E-3</v>
      </c>
      <c r="U525" t="str">
        <f t="shared" si="192"/>
        <v>No Impact</v>
      </c>
      <c r="V525">
        <f t="shared" si="193"/>
        <v>6.0423392162764482E-2</v>
      </c>
      <c r="W525">
        <f t="shared" si="183"/>
        <v>9.7742878268701427E-2</v>
      </c>
      <c r="X525" t="s">
        <v>1170</v>
      </c>
      <c r="Y525">
        <f t="shared" si="184"/>
        <v>0.11715207134420064</v>
      </c>
      <c r="Z525">
        <f t="shared" si="194"/>
        <v>0.21326420805909344</v>
      </c>
      <c r="AA525" t="str">
        <f t="shared" si="195"/>
        <v>Low</v>
      </c>
      <c r="AB525">
        <f t="shared" si="185"/>
        <v>5.8662511588315779E-2</v>
      </c>
      <c r="AC525">
        <f t="shared" si="196"/>
        <v>0.14338165949053347</v>
      </c>
      <c r="AD525" t="str">
        <f t="shared" si="197"/>
        <v>No Impact</v>
      </c>
      <c r="AE525">
        <f t="shared" si="186"/>
        <v>6.7677226516800748E-3</v>
      </c>
      <c r="AF525">
        <f t="shared" si="198"/>
        <v>4.0862314387449958E-2</v>
      </c>
      <c r="AG525" t="s">
        <v>1170</v>
      </c>
    </row>
    <row r="526" spans="1:33" customFormat="1" x14ac:dyDescent="0.3">
      <c r="A526">
        <v>609029</v>
      </c>
      <c r="B526" t="s">
        <v>140</v>
      </c>
      <c r="C526" t="s">
        <v>1079</v>
      </c>
      <c r="D526" t="s">
        <v>1082</v>
      </c>
      <c r="E526" s="21">
        <v>6.5</v>
      </c>
      <c r="F526" s="2">
        <f t="shared" si="176"/>
        <v>0.73333333333333328</v>
      </c>
      <c r="G526" s="26">
        <v>49.167000000000002</v>
      </c>
      <c r="H526">
        <f t="shared" si="180"/>
        <v>0.50403932669277129</v>
      </c>
      <c r="I526" s="12">
        <v>53.5</v>
      </c>
      <c r="J526" s="2">
        <f t="shared" si="187"/>
        <v>0.2249789739276703</v>
      </c>
      <c r="K526" s="10">
        <v>0</v>
      </c>
      <c r="L526" s="2">
        <f t="shared" si="181"/>
        <v>0</v>
      </c>
      <c r="M526">
        <v>10856</v>
      </c>
      <c r="N526">
        <f t="shared" si="188"/>
        <v>5.0233495621069962E-2</v>
      </c>
      <c r="O526" s="10">
        <v>0.85093448500000002</v>
      </c>
      <c r="P526">
        <f t="shared" si="189"/>
        <v>0.84165881348633165</v>
      </c>
      <c r="Q526" s="23">
        <v>0.1512</v>
      </c>
      <c r="R526" s="13">
        <f t="shared" si="190"/>
        <v>0.32741446513642269</v>
      </c>
      <c r="S526">
        <f t="shared" si="191"/>
        <v>0.10937539624323211</v>
      </c>
      <c r="T526" s="4">
        <f t="shared" si="182"/>
        <v>-1.1302920923940364E-3</v>
      </c>
      <c r="U526" t="str">
        <f t="shared" si="192"/>
        <v>No Impact</v>
      </c>
      <c r="V526">
        <f t="shared" si="193"/>
        <v>6.1264058489558453E-2</v>
      </c>
      <c r="W526">
        <f t="shared" si="183"/>
        <v>9.9102767932344904E-2</v>
      </c>
      <c r="X526" t="s">
        <v>1170</v>
      </c>
      <c r="Y526">
        <f t="shared" si="184"/>
        <v>0.1574867339969058</v>
      </c>
      <c r="Z526">
        <f t="shared" si="194"/>
        <v>0.28668962674150655</v>
      </c>
      <c r="AA526" t="str">
        <f t="shared" si="195"/>
        <v>Low</v>
      </c>
      <c r="AB526">
        <f t="shared" si="185"/>
        <v>7.1978239532552599E-2</v>
      </c>
      <c r="AC526">
        <f t="shared" si="196"/>
        <v>0.17592767769322867</v>
      </c>
      <c r="AD526" t="str">
        <f t="shared" si="197"/>
        <v>Low</v>
      </c>
      <c r="AE526">
        <f t="shared" si="186"/>
        <v>9.3994253203868484E-3</v>
      </c>
      <c r="AF526">
        <f t="shared" si="198"/>
        <v>5.675207041879253E-2</v>
      </c>
      <c r="AG526" t="s">
        <v>1170</v>
      </c>
    </row>
    <row r="527" spans="1:33" customFormat="1" x14ac:dyDescent="0.3">
      <c r="A527">
        <v>609032</v>
      </c>
      <c r="B527" t="s">
        <v>146</v>
      </c>
      <c r="C527" t="s">
        <v>1079</v>
      </c>
      <c r="D527" t="s">
        <v>1083</v>
      </c>
      <c r="E527" s="21">
        <v>6.4</v>
      </c>
      <c r="F527" s="2">
        <f t="shared" si="176"/>
        <v>0.71111111111111114</v>
      </c>
      <c r="G527" s="26">
        <v>41.359319999999997</v>
      </c>
      <c r="H527">
        <f t="shared" si="180"/>
        <v>0.42399828757644081</v>
      </c>
      <c r="I527" s="12">
        <v>47.7</v>
      </c>
      <c r="J527" s="2">
        <f t="shared" si="187"/>
        <v>0.20058873002523128</v>
      </c>
      <c r="K527" s="10">
        <v>0</v>
      </c>
      <c r="L527" s="2">
        <f t="shared" si="181"/>
        <v>0</v>
      </c>
      <c r="M527">
        <v>11765</v>
      </c>
      <c r="N527">
        <f t="shared" si="188"/>
        <v>5.4534357212814577E-2</v>
      </c>
      <c r="O527" s="10">
        <v>0.72317944700000003</v>
      </c>
      <c r="P527">
        <f t="shared" si="189"/>
        <v>0.7009636204353159</v>
      </c>
      <c r="Q527" s="23">
        <v>0.1913</v>
      </c>
      <c r="R527" s="13">
        <f t="shared" si="190"/>
        <v>0.41424859246427026</v>
      </c>
      <c r="S527">
        <f t="shared" si="191"/>
        <v>8.6681413161518103E-2</v>
      </c>
      <c r="T527" s="4">
        <f t="shared" si="182"/>
        <v>-1.1303994671797348E-3</v>
      </c>
      <c r="U527" t="str">
        <f t="shared" si="192"/>
        <v>No Impact</v>
      </c>
      <c r="V527">
        <f t="shared" si="193"/>
        <v>6.4396090680556212E-2</v>
      </c>
      <c r="W527">
        <f t="shared" si="183"/>
        <v>0.10416924682769897</v>
      </c>
      <c r="X527" t="s">
        <v>1170</v>
      </c>
      <c r="Y527">
        <f t="shared" si="184"/>
        <v>0.10896673564248004</v>
      </c>
      <c r="Z527">
        <f t="shared" si="194"/>
        <v>0.1983635826062454</v>
      </c>
      <c r="AA527" t="str">
        <f t="shared" si="195"/>
        <v>Low</v>
      </c>
      <c r="AB527">
        <f t="shared" si="185"/>
        <v>5.8195783319632773E-2</v>
      </c>
      <c r="AC527">
        <f t="shared" si="196"/>
        <v>0.14224089221202774</v>
      </c>
      <c r="AD527" t="str">
        <f t="shared" si="197"/>
        <v>No Impact</v>
      </c>
      <c r="AE527">
        <f t="shared" si="186"/>
        <v>8.4775168248402717E-3</v>
      </c>
      <c r="AF527">
        <f t="shared" si="198"/>
        <v>5.11857497049652E-2</v>
      </c>
      <c r="AG527" t="s">
        <v>1170</v>
      </c>
    </row>
    <row r="528" spans="1:33" customFormat="1" x14ac:dyDescent="0.3">
      <c r="A528">
        <v>609033</v>
      </c>
      <c r="B528" t="s">
        <v>157</v>
      </c>
      <c r="C528" t="s">
        <v>1079</v>
      </c>
      <c r="D528" t="s">
        <v>1084</v>
      </c>
      <c r="E528" s="21">
        <v>5.9</v>
      </c>
      <c r="F528" s="2">
        <f t="shared" si="176"/>
        <v>0.60000000000000009</v>
      </c>
      <c r="G528" s="26">
        <v>45.229320000000001</v>
      </c>
      <c r="H528">
        <f t="shared" si="180"/>
        <v>0.46367189374116569</v>
      </c>
      <c r="I528" s="12">
        <v>48.800000000000004</v>
      </c>
      <c r="J528" s="2">
        <f t="shared" si="187"/>
        <v>0.20521446593776282</v>
      </c>
      <c r="K528" s="10">
        <v>0</v>
      </c>
      <c r="L528" s="2">
        <f t="shared" si="181"/>
        <v>0</v>
      </c>
      <c r="M528">
        <v>20104</v>
      </c>
      <c r="N528">
        <f t="shared" si="188"/>
        <v>9.3989676039611461E-2</v>
      </c>
      <c r="O528" s="10">
        <v>0.52899560700000003</v>
      </c>
      <c r="P528">
        <f t="shared" si="189"/>
        <v>0.48711113145411794</v>
      </c>
      <c r="Q528" s="23">
        <v>0.28339999999999999</v>
      </c>
      <c r="R528" s="13">
        <f t="shared" si="190"/>
        <v>0.61368557817236902</v>
      </c>
      <c r="S528">
        <f t="shared" si="191"/>
        <v>7.7312329904103361E-2</v>
      </c>
      <c r="T528" s="4">
        <f t="shared" si="182"/>
        <v>-1.1304437962560072E-3</v>
      </c>
      <c r="U528" t="str">
        <f t="shared" si="192"/>
        <v>No Impact</v>
      </c>
      <c r="V528">
        <f t="shared" si="193"/>
        <v>8.620204159794663E-2</v>
      </c>
      <c r="W528">
        <f t="shared" si="183"/>
        <v>0.13944327448093649</v>
      </c>
      <c r="X528" t="s">
        <v>1170</v>
      </c>
      <c r="Y528">
        <f t="shared" si="184"/>
        <v>6.8422618210260092E-2</v>
      </c>
      <c r="Z528">
        <f t="shared" si="194"/>
        <v>0.12455687141090549</v>
      </c>
      <c r="AA528" t="str">
        <f t="shared" si="195"/>
        <v>No Impact</v>
      </c>
      <c r="AB528">
        <f t="shared" si="185"/>
        <v>5.5318328322994353E-2</v>
      </c>
      <c r="AC528">
        <f t="shared" si="196"/>
        <v>0.13520787808841292</v>
      </c>
      <c r="AD528" t="str">
        <f t="shared" si="197"/>
        <v>No Impact</v>
      </c>
      <c r="AE528">
        <f t="shared" si="186"/>
        <v>1.3202366573242879E-2</v>
      </c>
      <c r="AF528">
        <f t="shared" si="198"/>
        <v>7.971355821448832E-2</v>
      </c>
      <c r="AG528" t="s">
        <v>1170</v>
      </c>
    </row>
    <row r="529" spans="1:33" customFormat="1" x14ac:dyDescent="0.3">
      <c r="A529">
        <v>609047</v>
      </c>
      <c r="B529" t="s">
        <v>217</v>
      </c>
      <c r="C529" t="s">
        <v>1079</v>
      </c>
      <c r="D529" t="s">
        <v>1085</v>
      </c>
      <c r="E529" s="21">
        <v>6.5</v>
      </c>
      <c r="F529" s="2">
        <f t="shared" si="176"/>
        <v>0.73333333333333328</v>
      </c>
      <c r="G529" s="26">
        <v>50.438879999999997</v>
      </c>
      <c r="H529">
        <f t="shared" si="180"/>
        <v>0.51707810349090821</v>
      </c>
      <c r="I529" s="12">
        <v>76.899999999999991</v>
      </c>
      <c r="J529" s="2">
        <f t="shared" si="187"/>
        <v>0.32338099243061391</v>
      </c>
      <c r="K529" s="10">
        <v>0</v>
      </c>
      <c r="L529" s="2">
        <f t="shared" si="181"/>
        <v>0</v>
      </c>
      <c r="M529">
        <v>19694</v>
      </c>
      <c r="N529">
        <f t="shared" si="188"/>
        <v>9.2049793473478025E-2</v>
      </c>
      <c r="O529" s="10">
        <v>0.85585733399999997</v>
      </c>
      <c r="P529">
        <f t="shared" si="189"/>
        <v>0.84708029197562607</v>
      </c>
      <c r="Q529" s="23">
        <v>0.2427</v>
      </c>
      <c r="R529" s="13">
        <f t="shared" si="190"/>
        <v>0.52555218709398011</v>
      </c>
      <c r="S529">
        <f t="shared" si="191"/>
        <v>0.14805065305689102</v>
      </c>
      <c r="T529" s="4">
        <f t="shared" si="182"/>
        <v>-1.1301091034759058E-3</v>
      </c>
      <c r="U529" t="str">
        <f t="shared" si="192"/>
        <v>No Impact</v>
      </c>
      <c r="V529">
        <f t="shared" si="193"/>
        <v>0.11337097977964351</v>
      </c>
      <c r="W529">
        <f t="shared" si="183"/>
        <v>0.18339264776719749</v>
      </c>
      <c r="X529" t="s">
        <v>1170</v>
      </c>
      <c r="Y529">
        <f t="shared" si="184"/>
        <v>0.18273032633413855</v>
      </c>
      <c r="Z529">
        <f t="shared" si="194"/>
        <v>0.3326431866452772</v>
      </c>
      <c r="AA529" t="str">
        <f t="shared" si="195"/>
        <v>Moderate</v>
      </c>
      <c r="AB529">
        <f t="shared" si="185"/>
        <v>0.10144881456697309</v>
      </c>
      <c r="AC529">
        <f t="shared" si="196"/>
        <v>0.24795902855371801</v>
      </c>
      <c r="AD529" t="str">
        <f t="shared" si="197"/>
        <v>Low</v>
      </c>
      <c r="AE529">
        <f t="shared" si="186"/>
        <v>1.9856782125303753E-2</v>
      </c>
      <c r="AF529">
        <f t="shared" si="198"/>
        <v>0.11989174434118272</v>
      </c>
      <c r="AG529" t="s">
        <v>1170</v>
      </c>
    </row>
    <row r="530" spans="1:33" customFormat="1" x14ac:dyDescent="0.3">
      <c r="A530">
        <v>609050</v>
      </c>
      <c r="B530" t="s">
        <v>220</v>
      </c>
      <c r="C530" t="s">
        <v>1079</v>
      </c>
      <c r="D530" t="s">
        <v>1086</v>
      </c>
      <c r="E530" s="21">
        <v>6.4</v>
      </c>
      <c r="F530" s="2">
        <f t="shared" si="176"/>
        <v>0.71111111111111114</v>
      </c>
      <c r="G530" s="26">
        <v>41.359319999999997</v>
      </c>
      <c r="H530">
        <f t="shared" si="180"/>
        <v>0.42399828757644081</v>
      </c>
      <c r="I530" s="12">
        <v>47.7</v>
      </c>
      <c r="J530" s="2">
        <f t="shared" si="187"/>
        <v>0.20058873002523128</v>
      </c>
      <c r="K530" s="10">
        <v>0</v>
      </c>
      <c r="L530" s="2">
        <f t="shared" si="181"/>
        <v>0</v>
      </c>
      <c r="M530">
        <v>10210</v>
      </c>
      <c r="N530">
        <f t="shared" si="188"/>
        <v>4.7176997724186549E-2</v>
      </c>
      <c r="O530" s="10">
        <v>0.68110752500000005</v>
      </c>
      <c r="P530">
        <f t="shared" si="189"/>
        <v>0.65463028375846988</v>
      </c>
      <c r="Q530" s="23">
        <v>0.17899999999999999</v>
      </c>
      <c r="R530" s="13">
        <f t="shared" si="190"/>
        <v>0.38761368557817238</v>
      </c>
      <c r="S530">
        <f t="shared" si="191"/>
        <v>8.1009855412428694E-2</v>
      </c>
      <c r="T530" s="4">
        <f t="shared" si="182"/>
        <v>-1.1304263017065648E-3</v>
      </c>
      <c r="U530" t="str">
        <f t="shared" si="192"/>
        <v>No Impact</v>
      </c>
      <c r="V530">
        <f t="shared" si="193"/>
        <v>6.0255620657708106E-2</v>
      </c>
      <c r="W530">
        <f t="shared" si="183"/>
        <v>9.7471485531406762E-2</v>
      </c>
      <c r="X530" t="s">
        <v>1170</v>
      </c>
      <c r="Y530">
        <f t="shared" si="184"/>
        <v>0.10176409016714925</v>
      </c>
      <c r="Z530">
        <f t="shared" si="194"/>
        <v>0.1852518512847072</v>
      </c>
      <c r="AA530" t="str">
        <f t="shared" si="195"/>
        <v>Low</v>
      </c>
      <c r="AB530">
        <f t="shared" si="185"/>
        <v>5.4185522502724084E-2</v>
      </c>
      <c r="AC530">
        <f t="shared" si="196"/>
        <v>0.13243909826645867</v>
      </c>
      <c r="AD530" t="str">
        <f t="shared" si="197"/>
        <v>No Impact</v>
      </c>
      <c r="AE530">
        <f t="shared" si="186"/>
        <v>7.3337949210899138E-3</v>
      </c>
      <c r="AF530">
        <f t="shared" si="198"/>
        <v>4.4280158798213433E-2</v>
      </c>
      <c r="AG530" t="s">
        <v>1170</v>
      </c>
    </row>
    <row r="531" spans="1:33" customFormat="1" x14ac:dyDescent="0.3">
      <c r="A531">
        <v>609086</v>
      </c>
      <c r="B531" t="s">
        <v>507</v>
      </c>
      <c r="C531" t="s">
        <v>1079</v>
      </c>
      <c r="D531" t="s">
        <v>1087</v>
      </c>
      <c r="E531" s="21">
        <v>6.5</v>
      </c>
      <c r="F531" s="2">
        <f t="shared" si="176"/>
        <v>0.73333333333333328</v>
      </c>
      <c r="G531" s="26">
        <v>51.908040000000007</v>
      </c>
      <c r="H531">
        <f t="shared" si="180"/>
        <v>0.53213931156144245</v>
      </c>
      <c r="I531" s="12">
        <v>86.2</v>
      </c>
      <c r="J531" s="2">
        <f t="shared" si="187"/>
        <v>0.36248948696383515</v>
      </c>
      <c r="K531" s="10">
        <v>0</v>
      </c>
      <c r="L531" s="2">
        <f t="shared" si="181"/>
        <v>0</v>
      </c>
      <c r="M531">
        <v>7371</v>
      </c>
      <c r="N531">
        <f t="shared" si="188"/>
        <v>3.3744493808935759E-2</v>
      </c>
      <c r="O531" s="10">
        <v>0.82080018700000001</v>
      </c>
      <c r="P531">
        <f t="shared" si="189"/>
        <v>0.80847224847144084</v>
      </c>
      <c r="Q531" s="23">
        <v>0.1681</v>
      </c>
      <c r="R531" s="13">
        <f t="shared" si="190"/>
        <v>0.36401039411000435</v>
      </c>
      <c r="S531">
        <f t="shared" si="191"/>
        <v>0.1346135480207955</v>
      </c>
      <c r="T531" s="4">
        <f t="shared" si="182"/>
        <v>-1.1301726800754151E-3</v>
      </c>
      <c r="U531" t="str">
        <f t="shared" si="192"/>
        <v>No Impact</v>
      </c>
      <c r="V531">
        <f t="shared" si="193"/>
        <v>8.3584573260225448E-2</v>
      </c>
      <c r="W531">
        <f t="shared" si="183"/>
        <v>0.1352091710989731</v>
      </c>
      <c r="X531" t="s">
        <v>1170</v>
      </c>
      <c r="Y531">
        <f t="shared" si="184"/>
        <v>0.18564252278136556</v>
      </c>
      <c r="Z531">
        <f t="shared" si="194"/>
        <v>0.33794456341057261</v>
      </c>
      <c r="AA531" t="str">
        <f t="shared" si="195"/>
        <v>Moderate</v>
      </c>
      <c r="AB531">
        <f t="shared" si="185"/>
        <v>8.7659317645278262E-2</v>
      </c>
      <c r="AC531">
        <f t="shared" si="196"/>
        <v>0.21425503432231502</v>
      </c>
      <c r="AD531" t="str">
        <f t="shared" si="197"/>
        <v>Low</v>
      </c>
      <c r="AE531">
        <f t="shared" si="186"/>
        <v>7.7484576279705118E-3</v>
      </c>
      <c r="AF531">
        <f t="shared" si="198"/>
        <v>4.6783819004959593E-2</v>
      </c>
      <c r="AG531" t="s">
        <v>1170</v>
      </c>
    </row>
    <row r="532" spans="1:33" customFormat="1" x14ac:dyDescent="0.3">
      <c r="A532">
        <v>609089</v>
      </c>
      <c r="B532" t="s">
        <v>508</v>
      </c>
      <c r="C532" t="s">
        <v>1079</v>
      </c>
      <c r="D532" t="s">
        <v>1088</v>
      </c>
      <c r="E532" s="21">
        <v>6.5</v>
      </c>
      <c r="F532" s="2">
        <f t="shared" si="176"/>
        <v>0.73333333333333328</v>
      </c>
      <c r="G532" s="26">
        <v>45.229320000000001</v>
      </c>
      <c r="H532">
        <f t="shared" si="180"/>
        <v>0.46367189374116569</v>
      </c>
      <c r="I532" s="12">
        <v>48.800000000000004</v>
      </c>
      <c r="J532" s="2">
        <f t="shared" si="187"/>
        <v>0.20521446593776282</v>
      </c>
      <c r="K532" s="10">
        <v>0</v>
      </c>
      <c r="L532" s="2">
        <f t="shared" si="181"/>
        <v>0</v>
      </c>
      <c r="M532">
        <v>23247</v>
      </c>
      <c r="N532">
        <f t="shared" si="188"/>
        <v>0.10886053190633679</v>
      </c>
      <c r="O532" s="10">
        <v>0.63690659999999999</v>
      </c>
      <c r="P532">
        <f t="shared" si="189"/>
        <v>0.60595229991325761</v>
      </c>
      <c r="Q532" s="23">
        <v>0.245</v>
      </c>
      <c r="R532" s="13">
        <f t="shared" si="190"/>
        <v>0.53053269813772197</v>
      </c>
      <c r="S532">
        <f t="shared" si="191"/>
        <v>9.7556345190924321E-2</v>
      </c>
      <c r="T532" s="4">
        <f t="shared" si="182"/>
        <v>-1.1303480132991207E-3</v>
      </c>
      <c r="U532" t="str">
        <f t="shared" si="192"/>
        <v>No Impact</v>
      </c>
      <c r="V532">
        <f t="shared" si="193"/>
        <v>9.1082295187981693E-2</v>
      </c>
      <c r="W532">
        <f t="shared" si="183"/>
        <v>0.14733773415122864</v>
      </c>
      <c r="X532" t="s">
        <v>1170</v>
      </c>
      <c r="Y532">
        <f t="shared" si="184"/>
        <v>0.10403039519386696</v>
      </c>
      <c r="Z532">
        <f t="shared" si="194"/>
        <v>0.1893774441248309</v>
      </c>
      <c r="AA532" t="str">
        <f t="shared" si="195"/>
        <v>Low</v>
      </c>
      <c r="AB532">
        <f t="shared" si="185"/>
        <v>6.9629165227429152E-2</v>
      </c>
      <c r="AC532">
        <f t="shared" si="196"/>
        <v>0.17018612038489386</v>
      </c>
      <c r="AD532" t="str">
        <f t="shared" si="197"/>
        <v>Low</v>
      </c>
      <c r="AE532">
        <f t="shared" si="186"/>
        <v>1.8689266724215638E-2</v>
      </c>
      <c r="AF532">
        <f t="shared" si="198"/>
        <v>0.11284249249874662</v>
      </c>
      <c r="AG532" t="s">
        <v>1170</v>
      </c>
    </row>
    <row r="533" spans="1:33" customFormat="1" x14ac:dyDescent="0.3">
      <c r="A533">
        <v>609092</v>
      </c>
      <c r="B533" t="s">
        <v>512</v>
      </c>
      <c r="C533" t="s">
        <v>1079</v>
      </c>
      <c r="D533" t="s">
        <v>1089</v>
      </c>
      <c r="E533" s="21">
        <v>6.4</v>
      </c>
      <c r="F533" s="2">
        <f t="shared" si="176"/>
        <v>0.71111111111111114</v>
      </c>
      <c r="G533" s="26">
        <v>33.590879999999999</v>
      </c>
      <c r="H533">
        <f t="shared" si="180"/>
        <v>0.3443595203737807</v>
      </c>
      <c r="I533" s="12">
        <v>36.299999999999997</v>
      </c>
      <c r="J533" s="2">
        <f t="shared" si="187"/>
        <v>0.15264928511354078</v>
      </c>
      <c r="K533" s="10">
        <v>0</v>
      </c>
      <c r="L533" s="2">
        <f t="shared" si="181"/>
        <v>0</v>
      </c>
      <c r="M533">
        <v>18280</v>
      </c>
      <c r="N533">
        <f t="shared" si="188"/>
        <v>8.5359564330764165E-2</v>
      </c>
      <c r="O533" s="10">
        <v>0.52975439300000005</v>
      </c>
      <c r="P533">
        <f t="shared" si="189"/>
        <v>0.48794677398082914</v>
      </c>
      <c r="Q533" s="23">
        <v>0.2722</v>
      </c>
      <c r="R533" s="13">
        <f t="shared" si="190"/>
        <v>0.58943265482893026</v>
      </c>
      <c r="S533">
        <f t="shared" si="191"/>
        <v>6.6635901169519271E-2</v>
      </c>
      <c r="T533" s="4">
        <f t="shared" si="182"/>
        <v>-1.1304943109339848E-3</v>
      </c>
      <c r="U533" t="str">
        <f t="shared" si="192"/>
        <v>No Impact</v>
      </c>
      <c r="V533">
        <f t="shared" si="193"/>
        <v>7.2912801345501557E-2</v>
      </c>
      <c r="W533">
        <f t="shared" si="183"/>
        <v>0.11794615977444503</v>
      </c>
      <c r="X533" t="s">
        <v>1170</v>
      </c>
      <c r="Y533">
        <f t="shared" si="184"/>
        <v>6.0359000993536978E-2</v>
      </c>
      <c r="Z533">
        <f t="shared" si="194"/>
        <v>0.10987782288803653</v>
      </c>
      <c r="AA533" t="str">
        <f t="shared" si="195"/>
        <v>No Impact</v>
      </c>
      <c r="AB533">
        <f t="shared" si="185"/>
        <v>4.7322822191462388E-2</v>
      </c>
      <c r="AC533">
        <f t="shared" si="196"/>
        <v>0.11566543255435352</v>
      </c>
      <c r="AD533" t="str">
        <f t="shared" si="197"/>
        <v>No Impact</v>
      </c>
      <c r="AE533">
        <f t="shared" si="186"/>
        <v>1.0558975492787873E-2</v>
      </c>
      <c r="AF533">
        <f t="shared" si="198"/>
        <v>6.3753229616844181E-2</v>
      </c>
      <c r="AG533" t="s">
        <v>1170</v>
      </c>
    </row>
    <row r="534" spans="1:33" customFormat="1" x14ac:dyDescent="0.3">
      <c r="A534">
        <v>609108</v>
      </c>
      <c r="B534" t="s">
        <v>35</v>
      </c>
      <c r="C534" t="s">
        <v>1091</v>
      </c>
      <c r="D534" t="s">
        <v>1090</v>
      </c>
      <c r="E534" s="21">
        <v>7</v>
      </c>
      <c r="F534" s="2">
        <f t="shared" si="176"/>
        <v>0.84444444444444444</v>
      </c>
      <c r="G534" s="26">
        <v>56.31156</v>
      </c>
      <c r="H534">
        <f t="shared" si="180"/>
        <v>0.57728233952487618</v>
      </c>
      <c r="I534" s="12">
        <v>122</v>
      </c>
      <c r="J534" s="2">
        <f t="shared" si="187"/>
        <v>0.51303616484440706</v>
      </c>
      <c r="K534" s="10">
        <v>0</v>
      </c>
      <c r="L534" s="2">
        <f t="shared" si="181"/>
        <v>0</v>
      </c>
      <c r="M534">
        <v>33148</v>
      </c>
      <c r="N534">
        <f t="shared" si="188"/>
        <v>0.15570633016801275</v>
      </c>
      <c r="O534" s="10">
        <v>0.84004630300000005</v>
      </c>
      <c r="P534">
        <f t="shared" si="189"/>
        <v>0.82966778054980983</v>
      </c>
      <c r="Q534" s="23">
        <v>0.28139999999999998</v>
      </c>
      <c r="R534" s="13">
        <f t="shared" si="190"/>
        <v>0.60935469900389783</v>
      </c>
      <c r="S534">
        <f t="shared" si="191"/>
        <v>0.2318622748987591</v>
      </c>
      <c r="T534" s="4">
        <f t="shared" si="182"/>
        <v>-1.1297125554172462E-3</v>
      </c>
      <c r="U534" t="str">
        <f t="shared" si="192"/>
        <v>No Impact</v>
      </c>
      <c r="V534">
        <f t="shared" si="193"/>
        <v>0.19636436364094928</v>
      </c>
      <c r="W534">
        <f t="shared" si="183"/>
        <v>0.31764549133499365</v>
      </c>
      <c r="X534" t="str">
        <f t="shared" ref="X534:X545" si="199">IF(W534&gt;0.7,"High",IF(W534&gt;0.3,"Moderate",IF(W534&gt;0.15,"Low","No Impact")))</f>
        <v>Moderate</v>
      </c>
      <c r="Y534">
        <f t="shared" si="184"/>
        <v>0.26736018615656892</v>
      </c>
      <c r="Z534">
        <f t="shared" si="194"/>
        <v>0.48670380056438534</v>
      </c>
      <c r="AA534" t="str">
        <f t="shared" si="195"/>
        <v>Moderate</v>
      </c>
      <c r="AB534">
        <f t="shared" si="185"/>
        <v>0.16649729401136668</v>
      </c>
      <c r="AC534">
        <f t="shared" si="196"/>
        <v>0.40694913445860537</v>
      </c>
      <c r="AD534" t="str">
        <f t="shared" si="197"/>
        <v>Moderate</v>
      </c>
      <c r="AE534">
        <f t="shared" si="186"/>
        <v>5.0176316828753599E-2</v>
      </c>
      <c r="AF534">
        <f t="shared" si="198"/>
        <v>0.30295574133077652</v>
      </c>
      <c r="AG534" t="str">
        <f t="shared" ref="AG534" si="200">IF(AF534&gt;0.7,"High",IF(AF534&gt;0.3,"Moderate",IF(AF534&gt;0.15,"Low","No Impact")))</f>
        <v>Moderate</v>
      </c>
    </row>
    <row r="535" spans="1:33" customFormat="1" x14ac:dyDescent="0.3">
      <c r="A535">
        <v>609117</v>
      </c>
      <c r="B535" t="s">
        <v>57</v>
      </c>
      <c r="C535" t="s">
        <v>1091</v>
      </c>
      <c r="D535" t="s">
        <v>1092</v>
      </c>
      <c r="E535" s="21">
        <v>6.1</v>
      </c>
      <c r="F535" s="2">
        <f t="shared" si="176"/>
        <v>0.64444444444444438</v>
      </c>
      <c r="G535" s="26">
        <v>39.43224</v>
      </c>
      <c r="H535">
        <f t="shared" si="180"/>
        <v>0.40424267699041555</v>
      </c>
      <c r="I535" s="12">
        <v>102.2</v>
      </c>
      <c r="J535" s="2">
        <f t="shared" si="187"/>
        <v>0.42977291841883936</v>
      </c>
      <c r="K535" s="10">
        <v>0</v>
      </c>
      <c r="L535" s="2">
        <f t="shared" si="181"/>
        <v>0</v>
      </c>
      <c r="M535">
        <v>29012</v>
      </c>
      <c r="N535">
        <f t="shared" si="188"/>
        <v>0.1361371733545301</v>
      </c>
      <c r="O535" s="10">
        <v>0.70535434100000005</v>
      </c>
      <c r="P535">
        <f t="shared" si="189"/>
        <v>0.68133303076084206</v>
      </c>
      <c r="Q535" s="23">
        <v>0.32329999999999998</v>
      </c>
      <c r="R535" s="13">
        <f t="shared" si="190"/>
        <v>0.70008661758336943</v>
      </c>
      <c r="S535">
        <f t="shared" si="191"/>
        <v>0.12993415705352207</v>
      </c>
      <c r="T535" s="4">
        <f t="shared" si="182"/>
        <v>-1.1301948202436041E-3</v>
      </c>
      <c r="U535" t="str">
        <f t="shared" si="192"/>
        <v>No Impact</v>
      </c>
      <c r="V535">
        <f t="shared" si="193"/>
        <v>0.13169808990219398</v>
      </c>
      <c r="W535">
        <f t="shared" si="183"/>
        <v>0.21303918745335301</v>
      </c>
      <c r="X535" t="s">
        <v>1170</v>
      </c>
      <c r="Y535">
        <f t="shared" si="184"/>
        <v>0.12817022420485016</v>
      </c>
      <c r="Z535">
        <f t="shared" si="194"/>
        <v>0.23332170782959816</v>
      </c>
      <c r="AA535" t="str">
        <f t="shared" si="195"/>
        <v>Low</v>
      </c>
      <c r="AB535">
        <f t="shared" si="185"/>
        <v>9.3508792449956302E-2</v>
      </c>
      <c r="AC535">
        <f t="shared" si="196"/>
        <v>0.22855219586440373</v>
      </c>
      <c r="AD535" t="str">
        <f t="shared" si="197"/>
        <v>Low</v>
      </c>
      <c r="AE535">
        <f t="shared" si="186"/>
        <v>2.5609696350666789E-2</v>
      </c>
      <c r="AF535">
        <f t="shared" si="198"/>
        <v>0.15462682463624475</v>
      </c>
      <c r="AG535" t="s">
        <v>1170</v>
      </c>
    </row>
    <row r="536" spans="1:33" customFormat="1" x14ac:dyDescent="0.3">
      <c r="A536">
        <v>609120</v>
      </c>
      <c r="B536" t="s">
        <v>81</v>
      </c>
      <c r="C536" t="s">
        <v>1091</v>
      </c>
      <c r="D536" t="s">
        <v>1093</v>
      </c>
      <c r="E536" s="21">
        <v>7</v>
      </c>
      <c r="F536" s="2">
        <f t="shared" ref="F536:F545" si="201">(E536-$AJ$5)/$AK$5</f>
        <v>0.84444444444444444</v>
      </c>
      <c r="G536" s="26">
        <v>50.309280000000001</v>
      </c>
      <c r="H536">
        <f t="shared" si="180"/>
        <v>0.51574949900539191</v>
      </c>
      <c r="I536" s="12">
        <v>76.899999999999991</v>
      </c>
      <c r="J536" s="2">
        <f t="shared" si="187"/>
        <v>0.32338099243061391</v>
      </c>
      <c r="K536" s="10">
        <v>0</v>
      </c>
      <c r="L536" s="2">
        <f t="shared" si="181"/>
        <v>0</v>
      </c>
      <c r="M536">
        <v>16977</v>
      </c>
      <c r="N536">
        <f t="shared" si="188"/>
        <v>7.9194522907174256E-2</v>
      </c>
      <c r="O536" s="10">
        <v>0.63327610999999995</v>
      </c>
      <c r="P536">
        <f t="shared" si="189"/>
        <v>0.60195408192188737</v>
      </c>
      <c r="Q536" s="23">
        <v>0.31209999999999999</v>
      </c>
      <c r="R536" s="13">
        <f t="shared" si="190"/>
        <v>0.67583369423993067</v>
      </c>
      <c r="S536">
        <f t="shared" si="191"/>
        <v>0.15845186782965681</v>
      </c>
      <c r="T536" s="4">
        <f t="shared" si="182"/>
        <v>-1.1300598909510173E-3</v>
      </c>
      <c r="U536" t="str">
        <f t="shared" si="192"/>
        <v>No Impact</v>
      </c>
      <c r="V536">
        <f t="shared" si="193"/>
        <v>0.16761329728196236</v>
      </c>
      <c r="W536">
        <f t="shared" si="183"/>
        <v>0.27113681516448246</v>
      </c>
      <c r="X536" t="s">
        <v>1170</v>
      </c>
      <c r="Y536">
        <f t="shared" si="184"/>
        <v>0.14929043837735129</v>
      </c>
      <c r="Z536">
        <f t="shared" si="194"/>
        <v>0.27176904980021765</v>
      </c>
      <c r="AA536" t="str">
        <f t="shared" si="195"/>
        <v>Low</v>
      </c>
      <c r="AB536">
        <f t="shared" si="185"/>
        <v>0.11032613842191816</v>
      </c>
      <c r="AC536">
        <f t="shared" si="196"/>
        <v>0.26965679415723587</v>
      </c>
      <c r="AD536" t="str">
        <f t="shared" si="197"/>
        <v>Low</v>
      </c>
      <c r="AE536">
        <f t="shared" si="186"/>
        <v>1.9641008171502758E-2</v>
      </c>
      <c r="AF536">
        <f t="shared" si="198"/>
        <v>0.11858893930754993</v>
      </c>
      <c r="AG536" t="s">
        <v>1170</v>
      </c>
    </row>
    <row r="537" spans="1:33" customFormat="1" x14ac:dyDescent="0.3">
      <c r="A537">
        <v>609127</v>
      </c>
      <c r="B537" t="s">
        <v>119</v>
      </c>
      <c r="C537" t="s">
        <v>1091</v>
      </c>
      <c r="D537" t="s">
        <v>1131</v>
      </c>
      <c r="E537" s="21">
        <v>6.9</v>
      </c>
      <c r="F537" s="2">
        <f t="shared" si="201"/>
        <v>0.8222222222222223</v>
      </c>
      <c r="G537" s="26">
        <v>36.555120000000002</v>
      </c>
      <c r="H537">
        <f t="shared" si="180"/>
        <v>0.37474765741195226</v>
      </c>
      <c r="I537" s="12">
        <v>44.5</v>
      </c>
      <c r="J537" s="2">
        <f t="shared" si="187"/>
        <v>0.18713204373423042</v>
      </c>
      <c r="K537" s="10">
        <v>0</v>
      </c>
      <c r="L537" s="2">
        <f t="shared" si="181"/>
        <v>0</v>
      </c>
      <c r="M537">
        <v>8775</v>
      </c>
      <c r="N537">
        <f t="shared" si="188"/>
        <v>4.0387408742719524E-2</v>
      </c>
      <c r="O537" s="10">
        <v>0.50451622399999996</v>
      </c>
      <c r="P537">
        <f t="shared" si="189"/>
        <v>0.46015226101838008</v>
      </c>
      <c r="Q537" s="23">
        <v>0.2712</v>
      </c>
      <c r="R537" s="13">
        <f t="shared" si="190"/>
        <v>0.58726721524469472</v>
      </c>
      <c r="S537">
        <f t="shared" si="191"/>
        <v>8.4682027363901888E-2</v>
      </c>
      <c r="T537" s="4">
        <f t="shared" si="182"/>
        <v>-1.1304089271154708E-3</v>
      </c>
      <c r="U537" t="str">
        <f t="shared" si="192"/>
        <v>No Impact</v>
      </c>
      <c r="V537">
        <f t="shared" si="193"/>
        <v>9.4959048439124172E-2</v>
      </c>
      <c r="W537">
        <f t="shared" si="183"/>
        <v>0.15360889847254791</v>
      </c>
      <c r="X537" t="s">
        <v>1170</v>
      </c>
      <c r="Y537">
        <f t="shared" si="184"/>
        <v>7.4405006288679604E-2</v>
      </c>
      <c r="Z537">
        <f t="shared" si="194"/>
        <v>0.1354472401530665</v>
      </c>
      <c r="AA537" t="str">
        <f t="shared" si="195"/>
        <v>No Impact</v>
      </c>
      <c r="AB537">
        <f t="shared" si="185"/>
        <v>5.7842844647240543E-2</v>
      </c>
      <c r="AC537">
        <f t="shared" si="196"/>
        <v>0.14137824703752311</v>
      </c>
      <c r="AD537" t="str">
        <f t="shared" si="197"/>
        <v>No Impact</v>
      </c>
      <c r="AE537">
        <f t="shared" si="186"/>
        <v>6.5305023055520495E-3</v>
      </c>
      <c r="AF537">
        <f t="shared" si="198"/>
        <v>3.9430019823756997E-2</v>
      </c>
      <c r="AG537" t="s">
        <v>1170</v>
      </c>
    </row>
    <row r="538" spans="1:33" customFormat="1" x14ac:dyDescent="0.3">
      <c r="A538">
        <v>609131</v>
      </c>
      <c r="B538" t="s">
        <v>124</v>
      </c>
      <c r="C538" t="s">
        <v>1091</v>
      </c>
      <c r="D538" t="s">
        <v>1094</v>
      </c>
      <c r="E538" s="21">
        <v>7</v>
      </c>
      <c r="F538" s="2">
        <f t="shared" si="201"/>
        <v>0.84444444444444444</v>
      </c>
      <c r="G538" s="26">
        <v>49.595400000000005</v>
      </c>
      <c r="H538">
        <f t="shared" si="180"/>
        <v>0.50843110263100599</v>
      </c>
      <c r="I538" s="12">
        <v>100.2</v>
      </c>
      <c r="J538" s="2">
        <f t="shared" si="187"/>
        <v>0.42136248948696381</v>
      </c>
      <c r="K538" s="10">
        <v>0</v>
      </c>
      <c r="L538" s="2">
        <f t="shared" si="181"/>
        <v>0</v>
      </c>
      <c r="M538">
        <v>13160</v>
      </c>
      <c r="N538">
        <f t="shared" si="188"/>
        <v>6.113468935856127E-2</v>
      </c>
      <c r="O538" s="10">
        <v>0.66942065399999995</v>
      </c>
      <c r="P538">
        <f t="shared" si="189"/>
        <v>0.64175966356807601</v>
      </c>
      <c r="Q538" s="23">
        <v>0.313</v>
      </c>
      <c r="R538" s="13">
        <f t="shared" si="190"/>
        <v>0.6777825898657428</v>
      </c>
      <c r="S538">
        <f t="shared" si="191"/>
        <v>0.18130884102848024</v>
      </c>
      <c r="T538" s="4">
        <f t="shared" si="182"/>
        <v>-1.1299517449904733E-3</v>
      </c>
      <c r="U538" t="str">
        <f t="shared" si="192"/>
        <v>No Impact</v>
      </c>
      <c r="V538">
        <f t="shared" si="193"/>
        <v>0.18625849307674786</v>
      </c>
      <c r="W538">
        <f t="shared" si="183"/>
        <v>0.30129790075790081</v>
      </c>
      <c r="X538" t="str">
        <f t="shared" si="199"/>
        <v>Moderate</v>
      </c>
      <c r="Y538">
        <f t="shared" si="184"/>
        <v>0.17635918898021263</v>
      </c>
      <c r="Z538">
        <f t="shared" si="194"/>
        <v>0.32104513680603314</v>
      </c>
      <c r="AA538" t="str">
        <f t="shared" si="195"/>
        <v>Moderate</v>
      </c>
      <c r="AB538">
        <f t="shared" si="185"/>
        <v>0.12397828483699386</v>
      </c>
      <c r="AC538">
        <f t="shared" si="196"/>
        <v>0.30302507921019245</v>
      </c>
      <c r="AD538" t="str">
        <f t="shared" si="197"/>
        <v>Moderate</v>
      </c>
      <c r="AE538">
        <f t="shared" si="186"/>
        <v>1.6800158760195149E-2</v>
      </c>
      <c r="AF538">
        <f t="shared" si="198"/>
        <v>0.101436392173628</v>
      </c>
      <c r="AG538" t="s">
        <v>1170</v>
      </c>
    </row>
    <row r="539" spans="1:33" customFormat="1" x14ac:dyDescent="0.3">
      <c r="A539">
        <v>609135</v>
      </c>
      <c r="B539" t="s">
        <v>167</v>
      </c>
      <c r="C539" t="s">
        <v>1091</v>
      </c>
      <c r="D539" t="s">
        <v>1095</v>
      </c>
      <c r="E539" s="21">
        <v>7</v>
      </c>
      <c r="F539" s="2">
        <f t="shared" si="201"/>
        <v>0.84444444444444444</v>
      </c>
      <c r="G539" s="26">
        <v>49.595400000000005</v>
      </c>
      <c r="H539">
        <f t="shared" si="180"/>
        <v>0.50843110263100599</v>
      </c>
      <c r="I539" s="12">
        <v>113.8</v>
      </c>
      <c r="J539" s="2">
        <f t="shared" si="187"/>
        <v>0.47855340622371739</v>
      </c>
      <c r="K539" s="10">
        <v>0</v>
      </c>
      <c r="L539" s="2">
        <f t="shared" si="181"/>
        <v>0</v>
      </c>
      <c r="M539">
        <v>11651</v>
      </c>
      <c r="N539">
        <f t="shared" si="188"/>
        <v>5.3994975231011627E-2</v>
      </c>
      <c r="O539" s="10">
        <v>0.82015491200000001</v>
      </c>
      <c r="P539">
        <f t="shared" si="189"/>
        <v>0.80776161433820226</v>
      </c>
      <c r="Q539" s="23">
        <v>0.30640000000000001</v>
      </c>
      <c r="R539" s="13">
        <f t="shared" si="190"/>
        <v>0.66349068860978777</v>
      </c>
      <c r="S539">
        <f t="shared" si="191"/>
        <v>0.21458858867369429</v>
      </c>
      <c r="T539" s="4">
        <f t="shared" si="182"/>
        <v>-1.1297942844971506E-3</v>
      </c>
      <c r="U539" t="str">
        <f t="shared" si="192"/>
        <v>No Impact</v>
      </c>
      <c r="V539">
        <f t="shared" si="193"/>
        <v>0.1935460426218209</v>
      </c>
      <c r="W539">
        <f t="shared" si="183"/>
        <v>0.3130864820103807</v>
      </c>
      <c r="X539" t="str">
        <f t="shared" si="199"/>
        <v>Moderate</v>
      </c>
      <c r="Y539">
        <f t="shared" si="184"/>
        <v>0.23563113472556765</v>
      </c>
      <c r="Z539">
        <f t="shared" si="194"/>
        <v>0.42894407896272629</v>
      </c>
      <c r="AA539" t="str">
        <f t="shared" si="195"/>
        <v>Moderate</v>
      </c>
      <c r="AB539">
        <f t="shared" si="185"/>
        <v>0.14394323778258336</v>
      </c>
      <c r="AC539">
        <f t="shared" si="196"/>
        <v>0.35182299132616812</v>
      </c>
      <c r="AD539" t="str">
        <f t="shared" si="197"/>
        <v>Moderate</v>
      </c>
      <c r="AE539">
        <f t="shared" si="186"/>
        <v>1.5750806992216433E-2</v>
      </c>
      <c r="AF539">
        <f t="shared" si="198"/>
        <v>9.5100591483638419E-2</v>
      </c>
      <c r="AG539" t="s">
        <v>1170</v>
      </c>
    </row>
    <row r="540" spans="1:33" customFormat="1" x14ac:dyDescent="0.3">
      <c r="A540">
        <v>609138</v>
      </c>
      <c r="B540" t="s">
        <v>189</v>
      </c>
      <c r="C540" t="s">
        <v>1091</v>
      </c>
      <c r="D540" t="s">
        <v>1096</v>
      </c>
      <c r="E540" s="21">
        <v>6.5</v>
      </c>
      <c r="F540" s="2">
        <f t="shared" si="201"/>
        <v>0.73333333333333328</v>
      </c>
      <c r="G540" s="26">
        <v>49.595400000000005</v>
      </c>
      <c r="H540">
        <f t="shared" si="180"/>
        <v>0.50843110263100599</v>
      </c>
      <c r="I540" s="12">
        <v>113.8</v>
      </c>
      <c r="J540" s="2">
        <f t="shared" si="187"/>
        <v>0.47855340622371739</v>
      </c>
      <c r="K540" s="10">
        <v>0</v>
      </c>
      <c r="L540" s="2">
        <f t="shared" si="181"/>
        <v>0</v>
      </c>
      <c r="M540">
        <v>29178</v>
      </c>
      <c r="N540">
        <f t="shared" si="188"/>
        <v>0.13692258922276948</v>
      </c>
      <c r="O540" s="10">
        <v>0.70556847600000006</v>
      </c>
      <c r="P540">
        <f t="shared" si="189"/>
        <v>0.68156885523896549</v>
      </c>
      <c r="Q540" s="23">
        <v>0.32540000000000002</v>
      </c>
      <c r="R540" s="13">
        <f t="shared" si="190"/>
        <v>0.70463404071026425</v>
      </c>
      <c r="S540">
        <f t="shared" si="191"/>
        <v>0.17558063400203555</v>
      </c>
      <c r="T540" s="4">
        <f t="shared" si="182"/>
        <v>-1.1299788475488777E-3</v>
      </c>
      <c r="U540" t="str">
        <f t="shared" si="192"/>
        <v>No Impact</v>
      </c>
      <c r="V540">
        <f t="shared" si="193"/>
        <v>0.17850213986546976</v>
      </c>
      <c r="W540">
        <f t="shared" si="183"/>
        <v>0.28875096718461163</v>
      </c>
      <c r="X540" t="s">
        <v>1169</v>
      </c>
      <c r="Y540">
        <f t="shared" si="184"/>
        <v>0.17265912813860129</v>
      </c>
      <c r="Z540">
        <f t="shared" si="194"/>
        <v>0.31430952781420995</v>
      </c>
      <c r="AA540" t="str">
        <f t="shared" si="195"/>
        <v>Moderate</v>
      </c>
      <c r="AB540">
        <f t="shared" si="185"/>
        <v>0.12641360668484594</v>
      </c>
      <c r="AC540">
        <f t="shared" si="196"/>
        <v>0.30897744092271301</v>
      </c>
      <c r="AD540" t="str">
        <f t="shared" si="197"/>
        <v>Moderate</v>
      </c>
      <c r="AE540">
        <f t="shared" si="186"/>
        <v>3.4686055115289056E-2</v>
      </c>
      <c r="AF540">
        <f t="shared" si="198"/>
        <v>0.2094282762355078</v>
      </c>
      <c r="AG540" t="s">
        <v>1169</v>
      </c>
    </row>
    <row r="541" spans="1:33" customFormat="1" x14ac:dyDescent="0.3">
      <c r="A541">
        <v>609141</v>
      </c>
      <c r="B541" t="s">
        <v>194</v>
      </c>
      <c r="C541" t="s">
        <v>1091</v>
      </c>
      <c r="D541" t="s">
        <v>1097</v>
      </c>
      <c r="E541" s="21">
        <v>6.9</v>
      </c>
      <c r="F541" s="2">
        <f t="shared" si="201"/>
        <v>0.8222222222222223</v>
      </c>
      <c r="G541" s="26">
        <v>38.703600000000002</v>
      </c>
      <c r="H541">
        <f t="shared" si="180"/>
        <v>0.39677296732740136</v>
      </c>
      <c r="I541" s="12">
        <v>51.1</v>
      </c>
      <c r="J541" s="2">
        <f t="shared" si="187"/>
        <v>0.21488645920941968</v>
      </c>
      <c r="K541" s="10">
        <v>0</v>
      </c>
      <c r="L541" s="2">
        <f t="shared" si="181"/>
        <v>0</v>
      </c>
      <c r="M541">
        <v>28466</v>
      </c>
      <c r="N541">
        <f t="shared" si="188"/>
        <v>0.13355381754694753</v>
      </c>
      <c r="O541" s="10">
        <v>0.45570841400000001</v>
      </c>
      <c r="P541">
        <f t="shared" si="189"/>
        <v>0.40640076629965688</v>
      </c>
      <c r="Q541" s="23">
        <v>0.28100000000000003</v>
      </c>
      <c r="R541" s="13">
        <f t="shared" si="190"/>
        <v>0.60848852317020363</v>
      </c>
      <c r="S541">
        <f t="shared" si="191"/>
        <v>8.9321416447796467E-2</v>
      </c>
      <c r="T541" s="4">
        <f t="shared" si="182"/>
        <v>-1.1303869762130285E-3</v>
      </c>
      <c r="U541" t="str">
        <f t="shared" si="192"/>
        <v>No Impact</v>
      </c>
      <c r="V541">
        <f t="shared" si="193"/>
        <v>0.10710736106039968</v>
      </c>
      <c r="W541">
        <f t="shared" si="183"/>
        <v>0.17326041089530123</v>
      </c>
      <c r="X541" t="s">
        <v>1170</v>
      </c>
      <c r="Y541">
        <f t="shared" si="184"/>
        <v>7.1535471835193279E-2</v>
      </c>
      <c r="Z541">
        <f t="shared" si="194"/>
        <v>0.13022352549143631</v>
      </c>
      <c r="AA541" t="str">
        <f t="shared" si="195"/>
        <v>No Impact</v>
      </c>
      <c r="AB541">
        <f t="shared" si="185"/>
        <v>6.717616100411497E-2</v>
      </c>
      <c r="AC541">
        <f t="shared" si="196"/>
        <v>0.16419053978745268</v>
      </c>
      <c r="AD541" t="str">
        <f t="shared" si="197"/>
        <v>Low</v>
      </c>
      <c r="AE541">
        <f t="shared" si="186"/>
        <v>2.3508408806906016E-2</v>
      </c>
      <c r="AF541">
        <f t="shared" si="198"/>
        <v>0.14193962147340977</v>
      </c>
      <c r="AG541" t="s">
        <v>1170</v>
      </c>
    </row>
    <row r="542" spans="1:33" customFormat="1" x14ac:dyDescent="0.3">
      <c r="A542">
        <v>609153</v>
      </c>
      <c r="B542" t="s">
        <v>218</v>
      </c>
      <c r="C542" t="s">
        <v>1091</v>
      </c>
      <c r="D542" t="s">
        <v>1098</v>
      </c>
      <c r="E542" s="21">
        <v>7</v>
      </c>
      <c r="F542" s="2">
        <f t="shared" si="201"/>
        <v>0.84444444444444444</v>
      </c>
      <c r="G542" s="26">
        <v>46.320839999999997</v>
      </c>
      <c r="H542">
        <f t="shared" si="180"/>
        <v>0.47486169596362571</v>
      </c>
      <c r="I542" s="12">
        <v>60.5</v>
      </c>
      <c r="J542" s="2">
        <f t="shared" si="187"/>
        <v>0.25441547518923463</v>
      </c>
      <c r="K542" s="10">
        <v>0</v>
      </c>
      <c r="L542" s="2">
        <f t="shared" si="181"/>
        <v>0</v>
      </c>
      <c r="M542">
        <v>17294</v>
      </c>
      <c r="N542">
        <f t="shared" si="188"/>
        <v>8.0694383330257913E-2</v>
      </c>
      <c r="O542" s="10">
        <v>0.40542265500000002</v>
      </c>
      <c r="P542">
        <f t="shared" si="189"/>
        <v>0.35102162289380662</v>
      </c>
      <c r="Q542" s="23">
        <v>0.30580000000000002</v>
      </c>
      <c r="R542" s="13">
        <f t="shared" si="190"/>
        <v>0.66219142485924642</v>
      </c>
      <c r="S542">
        <f t="shared" si="191"/>
        <v>0.10919494257443159</v>
      </c>
      <c r="T542" s="4">
        <f t="shared" si="182"/>
        <v>-1.1302929461962951E-3</v>
      </c>
      <c r="U542" t="str">
        <f t="shared" si="192"/>
        <v>No Impact</v>
      </c>
      <c r="V542">
        <f t="shared" si="193"/>
        <v>0.14273001077342981</v>
      </c>
      <c r="W542">
        <f t="shared" si="183"/>
        <v>0.23088478764545281</v>
      </c>
      <c r="X542" t="s">
        <v>1170</v>
      </c>
      <c r="Y542">
        <f t="shared" si="184"/>
        <v>7.5659874375433395E-2</v>
      </c>
      <c r="Z542">
        <f t="shared" si="194"/>
        <v>0.13773160820281183</v>
      </c>
      <c r="AA542" t="str">
        <f t="shared" si="195"/>
        <v>No Impact</v>
      </c>
      <c r="AB542">
        <f t="shared" si="185"/>
        <v>7.8741023879153438E-2</v>
      </c>
      <c r="AC542">
        <f t="shared" si="196"/>
        <v>0.19245713093582331</v>
      </c>
      <c r="AD542" t="str">
        <f t="shared" si="197"/>
        <v>Low</v>
      </c>
      <c r="AE542">
        <f t="shared" si="186"/>
        <v>1.7393022273779996E-2</v>
      </c>
      <c r="AF542">
        <f t="shared" si="198"/>
        <v>0.10501599738616405</v>
      </c>
      <c r="AG542" t="s">
        <v>1170</v>
      </c>
    </row>
    <row r="543" spans="1:33" customFormat="1" x14ac:dyDescent="0.3">
      <c r="A543">
        <v>609159</v>
      </c>
      <c r="B543" t="s">
        <v>256</v>
      </c>
      <c r="C543" t="s">
        <v>1091</v>
      </c>
      <c r="D543" t="s">
        <v>1099</v>
      </c>
      <c r="E543" s="21">
        <v>7</v>
      </c>
      <c r="F543" s="2">
        <f t="shared" si="201"/>
        <v>0.84444444444444444</v>
      </c>
      <c r="G543" s="26">
        <v>31.975919999999999</v>
      </c>
      <c r="H543">
        <f t="shared" si="180"/>
        <v>0.32780363225704062</v>
      </c>
      <c r="I543" s="12">
        <v>80.900000000000006</v>
      </c>
      <c r="J543" s="2">
        <f t="shared" si="187"/>
        <v>0.340201850294365</v>
      </c>
      <c r="K543" s="10">
        <v>0</v>
      </c>
      <c r="L543" s="2">
        <f t="shared" si="181"/>
        <v>0</v>
      </c>
      <c r="M543">
        <v>16637</v>
      </c>
      <c r="N543">
        <f t="shared" si="188"/>
        <v>7.758583980355141E-2</v>
      </c>
      <c r="O543" s="10">
        <v>0.57596453800000003</v>
      </c>
      <c r="P543">
        <f t="shared" si="189"/>
        <v>0.53883748931755371</v>
      </c>
      <c r="Q543" s="23">
        <v>0.30570000000000003</v>
      </c>
      <c r="R543" s="13">
        <f t="shared" si="190"/>
        <v>0.6619748809008229</v>
      </c>
      <c r="S543">
        <f t="shared" si="191"/>
        <v>0.11853983314138818</v>
      </c>
      <c r="T543" s="4">
        <f t="shared" si="182"/>
        <v>-1.1302487315858238E-3</v>
      </c>
      <c r="U543" t="str">
        <f t="shared" si="192"/>
        <v>No Impact</v>
      </c>
      <c r="V543">
        <f t="shared" si="193"/>
        <v>0.13069550892701651</v>
      </c>
      <c r="W543">
        <f t="shared" si="183"/>
        <v>0.21141737929754284</v>
      </c>
      <c r="X543" t="s">
        <v>1170</v>
      </c>
      <c r="Y543">
        <f t="shared" si="184"/>
        <v>0.10638415735575983</v>
      </c>
      <c r="Z543">
        <f t="shared" si="194"/>
        <v>0.19366224436486004</v>
      </c>
      <c r="AA543" t="str">
        <f t="shared" si="195"/>
        <v>Low</v>
      </c>
      <c r="AB543">
        <f t="shared" si="185"/>
        <v>8.3019969828793241E-2</v>
      </c>
      <c r="AC543">
        <f t="shared" si="196"/>
        <v>0.20291563935147477</v>
      </c>
      <c r="AD543" t="str">
        <f t="shared" si="197"/>
        <v>Low</v>
      </c>
      <c r="AE543">
        <f t="shared" si="186"/>
        <v>1.5317984278884323E-2</v>
      </c>
      <c r="AF543">
        <f t="shared" si="198"/>
        <v>9.2487284364468098E-2</v>
      </c>
      <c r="AG543" t="s">
        <v>1170</v>
      </c>
    </row>
    <row r="544" spans="1:33" customFormat="1" x14ac:dyDescent="0.3">
      <c r="A544">
        <v>609162</v>
      </c>
      <c r="B544" t="s">
        <v>511</v>
      </c>
      <c r="C544" t="s">
        <v>1091</v>
      </c>
      <c r="D544" t="s">
        <v>1100</v>
      </c>
      <c r="E544" s="21">
        <v>7</v>
      </c>
      <c r="F544" s="2">
        <f t="shared" si="201"/>
        <v>0.84444444444444444</v>
      </c>
      <c r="G544" s="26">
        <v>41.785920000000004</v>
      </c>
      <c r="H544">
        <f t="shared" si="180"/>
        <v>0.42837161067459895</v>
      </c>
      <c r="I544" s="12">
        <v>61.1</v>
      </c>
      <c r="J544" s="2">
        <f t="shared" si="187"/>
        <v>0.2569386038687973</v>
      </c>
      <c r="K544" s="10">
        <v>0</v>
      </c>
      <c r="L544" s="2">
        <f t="shared" si="181"/>
        <v>0</v>
      </c>
      <c r="M544">
        <v>11227</v>
      </c>
      <c r="N544">
        <f t="shared" si="188"/>
        <v>5.1988852772376075E-2</v>
      </c>
      <c r="O544" s="10">
        <v>0.38565521200000002</v>
      </c>
      <c r="P544">
        <f t="shared" si="189"/>
        <v>0.32925195922692296</v>
      </c>
      <c r="Q544" s="23">
        <v>0.30199999999999999</v>
      </c>
      <c r="R544" s="13">
        <f t="shared" si="190"/>
        <v>0.65396275443915119</v>
      </c>
      <c r="S544">
        <f t="shared" si="191"/>
        <v>9.9573713873897671E-2</v>
      </c>
      <c r="T544" s="4">
        <f t="shared" si="182"/>
        <v>-1.1303384682787854E-3</v>
      </c>
      <c r="U544" t="str">
        <f t="shared" si="192"/>
        <v>No Impact</v>
      </c>
      <c r="V544">
        <f t="shared" si="193"/>
        <v>0.13245835175087847</v>
      </c>
      <c r="W544">
        <f t="shared" si="183"/>
        <v>0.21426901217302671</v>
      </c>
      <c r="X544" t="s">
        <v>1170</v>
      </c>
      <c r="Y544">
        <f t="shared" si="184"/>
        <v>6.6689075996916897E-2</v>
      </c>
      <c r="Z544">
        <f t="shared" si="194"/>
        <v>0.12140112262197086</v>
      </c>
      <c r="AA544" t="str">
        <f t="shared" si="195"/>
        <v>No Impact</v>
      </c>
      <c r="AB544">
        <f t="shared" si="185"/>
        <v>7.0052715457420103E-2</v>
      </c>
      <c r="AC544">
        <f t="shared" si="196"/>
        <v>0.17122135282226184</v>
      </c>
      <c r="AD544" t="str">
        <f t="shared" si="197"/>
        <v>Low</v>
      </c>
      <c r="AE544">
        <f t="shared" si="186"/>
        <v>1.0530198701535948E-2</v>
      </c>
      <c r="AF544">
        <f t="shared" si="198"/>
        <v>6.3579480432411184E-2</v>
      </c>
      <c r="AG544" t="s">
        <v>1170</v>
      </c>
    </row>
    <row r="545" spans="1:33" customFormat="1" x14ac:dyDescent="0.3">
      <c r="A545" s="7">
        <v>609194</v>
      </c>
      <c r="B545" s="7" t="s">
        <v>538</v>
      </c>
      <c r="C545" t="s">
        <v>1091</v>
      </c>
      <c r="D545" t="s">
        <v>1101</v>
      </c>
      <c r="E545" s="21">
        <v>7</v>
      </c>
      <c r="F545" s="6">
        <f t="shared" si="201"/>
        <v>0.84444444444444444</v>
      </c>
      <c r="G545" s="26">
        <v>35.135280000000002</v>
      </c>
      <c r="H545">
        <f t="shared" si="180"/>
        <v>0.36019205715951741</v>
      </c>
      <c r="I545" s="12">
        <v>102.5</v>
      </c>
      <c r="J545" s="2">
        <f t="shared" si="187"/>
        <v>0.43103448275862066</v>
      </c>
      <c r="K545" s="10">
        <v>0</v>
      </c>
      <c r="L545" s="2">
        <f t="shared" si="181"/>
        <v>0</v>
      </c>
      <c r="M545">
        <v>13447</v>
      </c>
      <c r="N545">
        <f t="shared" si="188"/>
        <v>6.2492607154854676E-2</v>
      </c>
      <c r="O545" s="10">
        <v>0.59413714100000004</v>
      </c>
      <c r="P545">
        <f t="shared" si="189"/>
        <v>0.55885077354767909</v>
      </c>
      <c r="Q545" s="23">
        <v>0.32250000000000001</v>
      </c>
      <c r="R545" s="13">
        <f t="shared" si="190"/>
        <v>0.69835426591598093</v>
      </c>
      <c r="S545">
        <f t="shared" si="191"/>
        <v>0.14699957901616614</v>
      </c>
      <c r="T545" s="4">
        <f t="shared" si="182"/>
        <v>-1.1301140765495822E-3</v>
      </c>
      <c r="U545" t="str">
        <f t="shared" si="192"/>
        <v>No Impact</v>
      </c>
      <c r="V545">
        <f t="shared" si="193"/>
        <v>0.16331112248418617</v>
      </c>
      <c r="W545">
        <f t="shared" si="183"/>
        <v>0.26417747487426868</v>
      </c>
      <c r="X545" t="s">
        <v>1170</v>
      </c>
      <c r="Y545">
        <f t="shared" si="184"/>
        <v>0.13068803554814612</v>
      </c>
      <c r="Z545">
        <f t="shared" si="194"/>
        <v>0.23790514400797005</v>
      </c>
      <c r="AA545" t="str">
        <f t="shared" si="195"/>
        <v>Low</v>
      </c>
      <c r="AB545">
        <f t="shared" si="185"/>
        <v>0.1014801978101153</v>
      </c>
      <c r="AC545">
        <f t="shared" si="196"/>
        <v>0.24803573480716834</v>
      </c>
      <c r="AD545" t="str">
        <f t="shared" si="197"/>
        <v>Low</v>
      </c>
      <c r="AE545">
        <f t="shared" si="186"/>
        <v>1.4613983646303745E-2</v>
      </c>
      <c r="AF545">
        <f t="shared" si="198"/>
        <v>8.8236652851025402E-2</v>
      </c>
      <c r="AG545" t="s">
        <v>1170</v>
      </c>
    </row>
    <row r="546" spans="1:33" x14ac:dyDescent="0.3">
      <c r="I546" s="16"/>
    </row>
    <row r="547" spans="1:33" x14ac:dyDescent="0.3">
      <c r="I547" s="16"/>
    </row>
    <row r="548" spans="1:33" x14ac:dyDescent="0.3">
      <c r="I548" s="16"/>
    </row>
    <row r="549" spans="1:33" x14ac:dyDescent="0.3">
      <c r="I549" s="16"/>
    </row>
    <row r="550" spans="1:33" x14ac:dyDescent="0.3">
      <c r="I550" s="16"/>
    </row>
    <row r="551" spans="1:33" x14ac:dyDescent="0.3">
      <c r="I551" s="16"/>
    </row>
    <row r="552" spans="1:33" x14ac:dyDescent="0.3">
      <c r="I552" s="16"/>
    </row>
    <row r="553" spans="1:33" x14ac:dyDescent="0.3">
      <c r="I553" s="16"/>
    </row>
    <row r="554" spans="1:33" x14ac:dyDescent="0.3">
      <c r="I554" s="16"/>
    </row>
    <row r="555" spans="1:33" x14ac:dyDescent="0.3">
      <c r="I555" s="16"/>
    </row>
    <row r="556" spans="1:33" x14ac:dyDescent="0.3">
      <c r="I556" s="16"/>
    </row>
    <row r="557" spans="1:33" x14ac:dyDescent="0.3">
      <c r="I557" s="16"/>
    </row>
    <row r="558" spans="1:33" x14ac:dyDescent="0.3">
      <c r="I558" s="16"/>
    </row>
    <row r="559" spans="1:33" x14ac:dyDescent="0.3">
      <c r="I559" s="16"/>
    </row>
    <row r="560" spans="1:33" x14ac:dyDescent="0.3">
      <c r="I560" s="16"/>
    </row>
    <row r="561" spans="9:9" x14ac:dyDescent="0.3">
      <c r="I561" s="16"/>
    </row>
    <row r="562" spans="9:9" x14ac:dyDescent="0.3">
      <c r="I562" s="16"/>
    </row>
    <row r="563" spans="9:9" x14ac:dyDescent="0.3">
      <c r="I563" s="16"/>
    </row>
    <row r="564" spans="9:9" x14ac:dyDescent="0.3">
      <c r="I564" s="16"/>
    </row>
    <row r="565" spans="9:9" x14ac:dyDescent="0.3">
      <c r="I565" s="16"/>
    </row>
    <row r="566" spans="9:9" x14ac:dyDescent="0.3">
      <c r="I566" s="16"/>
    </row>
    <row r="567" spans="9:9" x14ac:dyDescent="0.3">
      <c r="I567" s="16"/>
    </row>
    <row r="568" spans="9:9" x14ac:dyDescent="0.3">
      <c r="I568" s="16"/>
    </row>
    <row r="569" spans="9:9" x14ac:dyDescent="0.3">
      <c r="I569" s="16"/>
    </row>
    <row r="570" spans="9:9" x14ac:dyDescent="0.3">
      <c r="I570" s="16"/>
    </row>
    <row r="571" spans="9:9" x14ac:dyDescent="0.3">
      <c r="I571" s="16"/>
    </row>
    <row r="572" spans="9:9" x14ac:dyDescent="0.3">
      <c r="I572" s="16"/>
    </row>
    <row r="573" spans="9:9" x14ac:dyDescent="0.3">
      <c r="I573" s="16"/>
    </row>
    <row r="574" spans="9:9" x14ac:dyDescent="0.3">
      <c r="I574" s="16"/>
    </row>
    <row r="575" spans="9:9" x14ac:dyDescent="0.3">
      <c r="I575" s="16"/>
    </row>
    <row r="576" spans="9:9" x14ac:dyDescent="0.3">
      <c r="I576" s="16"/>
    </row>
    <row r="577" spans="9:9" x14ac:dyDescent="0.3">
      <c r="I577" s="16"/>
    </row>
    <row r="578" spans="9:9" x14ac:dyDescent="0.3">
      <c r="I578" s="16"/>
    </row>
    <row r="579" spans="9:9" x14ac:dyDescent="0.3">
      <c r="I579" s="16"/>
    </row>
    <row r="580" spans="9:9" x14ac:dyDescent="0.3">
      <c r="I580" s="16"/>
    </row>
    <row r="581" spans="9:9" x14ac:dyDescent="0.3">
      <c r="I581" s="16"/>
    </row>
    <row r="582" spans="9:9" x14ac:dyDescent="0.3">
      <c r="I582" s="16"/>
    </row>
    <row r="583" spans="9:9" x14ac:dyDescent="0.3">
      <c r="I583" s="16"/>
    </row>
    <row r="584" spans="9:9" x14ac:dyDescent="0.3">
      <c r="I584" s="16"/>
    </row>
    <row r="585" spans="9:9" x14ac:dyDescent="0.3">
      <c r="I585" s="16"/>
    </row>
    <row r="586" spans="9:9" x14ac:dyDescent="0.3">
      <c r="I586" s="16"/>
    </row>
    <row r="587" spans="9:9" x14ac:dyDescent="0.3">
      <c r="I587" s="16"/>
    </row>
    <row r="588" spans="9:9" x14ac:dyDescent="0.3">
      <c r="I588" s="16"/>
    </row>
    <row r="589" spans="9:9" x14ac:dyDescent="0.3">
      <c r="I589" s="16"/>
    </row>
    <row r="590" spans="9:9" x14ac:dyDescent="0.3">
      <c r="I590" s="16"/>
    </row>
    <row r="591" spans="9:9" x14ac:dyDescent="0.3">
      <c r="I591" s="16"/>
    </row>
    <row r="592" spans="9:9" x14ac:dyDescent="0.3">
      <c r="I592" s="16"/>
    </row>
    <row r="593" spans="9:9" x14ac:dyDescent="0.3">
      <c r="I593" s="16"/>
    </row>
    <row r="594" spans="9:9" x14ac:dyDescent="0.3">
      <c r="I594" s="16"/>
    </row>
    <row r="595" spans="9:9" x14ac:dyDescent="0.3">
      <c r="I595" s="16"/>
    </row>
    <row r="596" spans="9:9" x14ac:dyDescent="0.3">
      <c r="I596" s="16"/>
    </row>
    <row r="597" spans="9:9" x14ac:dyDescent="0.3">
      <c r="I597" s="16"/>
    </row>
    <row r="598" spans="9:9" x14ac:dyDescent="0.3">
      <c r="I598" s="16"/>
    </row>
    <row r="599" spans="9:9" x14ac:dyDescent="0.3">
      <c r="I599" s="16"/>
    </row>
    <row r="600" spans="9:9" x14ac:dyDescent="0.3">
      <c r="I600" s="16"/>
    </row>
    <row r="601" spans="9:9" x14ac:dyDescent="0.3">
      <c r="I601" s="16"/>
    </row>
    <row r="602" spans="9:9" x14ac:dyDescent="0.3">
      <c r="I602" s="16"/>
    </row>
    <row r="603" spans="9:9" x14ac:dyDescent="0.3">
      <c r="I603" s="16"/>
    </row>
    <row r="604" spans="9:9" x14ac:dyDescent="0.3">
      <c r="I604" s="16"/>
    </row>
    <row r="605" spans="9:9" x14ac:dyDescent="0.3">
      <c r="I605" s="16"/>
    </row>
    <row r="606" spans="9:9" x14ac:dyDescent="0.3">
      <c r="I606" s="16"/>
    </row>
    <row r="607" spans="9:9" x14ac:dyDescent="0.3">
      <c r="I607" s="16"/>
    </row>
    <row r="608" spans="9:9" x14ac:dyDescent="0.3">
      <c r="I608" s="16"/>
    </row>
    <row r="609" spans="9:9" x14ac:dyDescent="0.3">
      <c r="I609" s="16"/>
    </row>
    <row r="610" spans="9:9" x14ac:dyDescent="0.3">
      <c r="I610" s="16"/>
    </row>
    <row r="611" spans="9:9" x14ac:dyDescent="0.3">
      <c r="I611" s="16"/>
    </row>
    <row r="612" spans="9:9" x14ac:dyDescent="0.3">
      <c r="I612" s="16"/>
    </row>
    <row r="613" spans="9:9" x14ac:dyDescent="0.3">
      <c r="I613" s="16"/>
    </row>
    <row r="614" spans="9:9" x14ac:dyDescent="0.3">
      <c r="I614" s="16"/>
    </row>
    <row r="615" spans="9:9" x14ac:dyDescent="0.3">
      <c r="I615" s="16"/>
    </row>
    <row r="616" spans="9:9" x14ac:dyDescent="0.3">
      <c r="I616" s="16"/>
    </row>
    <row r="617" spans="9:9" x14ac:dyDescent="0.3">
      <c r="I617" s="16"/>
    </row>
    <row r="618" spans="9:9" x14ac:dyDescent="0.3">
      <c r="I618" s="16"/>
    </row>
    <row r="619" spans="9:9" x14ac:dyDescent="0.3">
      <c r="I619" s="16"/>
    </row>
    <row r="620" spans="9:9" x14ac:dyDescent="0.3">
      <c r="I620" s="16"/>
    </row>
    <row r="621" spans="9:9" x14ac:dyDescent="0.3">
      <c r="I621" s="16"/>
    </row>
    <row r="622" spans="9:9" x14ac:dyDescent="0.3">
      <c r="I622" s="16"/>
    </row>
    <row r="623" spans="9:9" x14ac:dyDescent="0.3">
      <c r="I623" s="16"/>
    </row>
    <row r="624" spans="9:9" x14ac:dyDescent="0.3">
      <c r="I624" s="16"/>
    </row>
    <row r="625" spans="9:9" x14ac:dyDescent="0.3">
      <c r="I625" s="16"/>
    </row>
    <row r="626" spans="9:9" x14ac:dyDescent="0.3">
      <c r="I626" s="16"/>
    </row>
    <row r="627" spans="9:9" x14ac:dyDescent="0.3">
      <c r="I627" s="16"/>
    </row>
    <row r="628" spans="9:9" x14ac:dyDescent="0.3">
      <c r="I628" s="16"/>
    </row>
    <row r="629" spans="9:9" x14ac:dyDescent="0.3">
      <c r="I629" s="16"/>
    </row>
    <row r="630" spans="9:9" x14ac:dyDescent="0.3">
      <c r="I630" s="16"/>
    </row>
    <row r="631" spans="9:9" x14ac:dyDescent="0.3">
      <c r="I631" s="16"/>
    </row>
    <row r="632" spans="9:9" x14ac:dyDescent="0.3">
      <c r="I632" s="16"/>
    </row>
    <row r="633" spans="9:9" x14ac:dyDescent="0.3">
      <c r="I633" s="16"/>
    </row>
    <row r="634" spans="9:9" x14ac:dyDescent="0.3">
      <c r="I634" s="16"/>
    </row>
    <row r="635" spans="9:9" x14ac:dyDescent="0.3">
      <c r="I635" s="16"/>
    </row>
    <row r="636" spans="9:9" x14ac:dyDescent="0.3">
      <c r="I636" s="16"/>
    </row>
    <row r="637" spans="9:9" x14ac:dyDescent="0.3">
      <c r="I637" s="16"/>
    </row>
    <row r="638" spans="9:9" x14ac:dyDescent="0.3">
      <c r="I638" s="16"/>
    </row>
    <row r="639" spans="9:9" x14ac:dyDescent="0.3">
      <c r="I639" s="16"/>
    </row>
    <row r="640" spans="9:9" x14ac:dyDescent="0.3">
      <c r="I640" s="16"/>
    </row>
    <row r="641" spans="9:9" x14ac:dyDescent="0.3">
      <c r="I641" s="16"/>
    </row>
    <row r="642" spans="9:9" x14ac:dyDescent="0.3">
      <c r="I642" s="16"/>
    </row>
    <row r="643" spans="9:9" x14ac:dyDescent="0.3">
      <c r="I643" s="16"/>
    </row>
    <row r="644" spans="9:9" x14ac:dyDescent="0.3">
      <c r="I644" s="16"/>
    </row>
    <row r="645" spans="9:9" x14ac:dyDescent="0.3">
      <c r="I645" s="16"/>
    </row>
    <row r="646" spans="9:9" x14ac:dyDescent="0.3">
      <c r="I646" s="16"/>
    </row>
    <row r="647" spans="9:9" x14ac:dyDescent="0.3">
      <c r="I647" s="16"/>
    </row>
    <row r="648" spans="9:9" x14ac:dyDescent="0.3">
      <c r="I648" s="16"/>
    </row>
    <row r="649" spans="9:9" x14ac:dyDescent="0.3">
      <c r="I649" s="16"/>
    </row>
    <row r="650" spans="9:9" x14ac:dyDescent="0.3">
      <c r="I650" s="16"/>
    </row>
    <row r="651" spans="9:9" x14ac:dyDescent="0.3">
      <c r="I651" s="16"/>
    </row>
    <row r="652" spans="9:9" x14ac:dyDescent="0.3">
      <c r="I652" s="16"/>
    </row>
    <row r="653" spans="9:9" x14ac:dyDescent="0.3">
      <c r="I653" s="16"/>
    </row>
    <row r="654" spans="9:9" x14ac:dyDescent="0.3">
      <c r="I654" s="16"/>
    </row>
    <row r="655" spans="9:9" x14ac:dyDescent="0.3">
      <c r="I655" s="16"/>
    </row>
    <row r="656" spans="9:9" x14ac:dyDescent="0.3">
      <c r="I656" s="16"/>
    </row>
    <row r="657" spans="9:9" x14ac:dyDescent="0.3">
      <c r="I657" s="16"/>
    </row>
    <row r="658" spans="9:9" x14ac:dyDescent="0.3">
      <c r="I658" s="16"/>
    </row>
    <row r="659" spans="9:9" x14ac:dyDescent="0.3">
      <c r="I659" s="16"/>
    </row>
    <row r="660" spans="9:9" x14ac:dyDescent="0.3">
      <c r="I660" s="16"/>
    </row>
    <row r="661" spans="9:9" x14ac:dyDescent="0.3">
      <c r="I661" s="16"/>
    </row>
    <row r="662" spans="9:9" x14ac:dyDescent="0.3">
      <c r="I662" s="16"/>
    </row>
    <row r="663" spans="9:9" x14ac:dyDescent="0.3">
      <c r="I663" s="16"/>
    </row>
    <row r="664" spans="9:9" x14ac:dyDescent="0.3">
      <c r="I664" s="16"/>
    </row>
    <row r="665" spans="9:9" x14ac:dyDescent="0.3">
      <c r="I665" s="16"/>
    </row>
    <row r="666" spans="9:9" x14ac:dyDescent="0.3">
      <c r="I666" s="16"/>
    </row>
    <row r="667" spans="9:9" x14ac:dyDescent="0.3">
      <c r="I667" s="16"/>
    </row>
    <row r="668" spans="9:9" x14ac:dyDescent="0.3">
      <c r="I668" s="16"/>
    </row>
    <row r="669" spans="9:9" x14ac:dyDescent="0.3">
      <c r="I669" s="16"/>
    </row>
    <row r="670" spans="9:9" x14ac:dyDescent="0.3">
      <c r="I670" s="16"/>
    </row>
    <row r="671" spans="9:9" x14ac:dyDescent="0.3">
      <c r="I671" s="16"/>
    </row>
    <row r="672" spans="9:9" x14ac:dyDescent="0.3">
      <c r="I672" s="16"/>
    </row>
    <row r="673" spans="9:9" x14ac:dyDescent="0.3">
      <c r="I673" s="16"/>
    </row>
    <row r="674" spans="9:9" x14ac:dyDescent="0.3">
      <c r="I674" s="16"/>
    </row>
    <row r="675" spans="9:9" x14ac:dyDescent="0.3">
      <c r="I675" s="16"/>
    </row>
    <row r="676" spans="9:9" x14ac:dyDescent="0.3">
      <c r="I676" s="16"/>
    </row>
    <row r="677" spans="9:9" x14ac:dyDescent="0.3">
      <c r="I677" s="16"/>
    </row>
    <row r="678" spans="9:9" x14ac:dyDescent="0.3">
      <c r="I678" s="16"/>
    </row>
    <row r="679" spans="9:9" x14ac:dyDescent="0.3">
      <c r="I679" s="16"/>
    </row>
    <row r="680" spans="9:9" x14ac:dyDescent="0.3">
      <c r="I680" s="16"/>
    </row>
    <row r="681" spans="9:9" x14ac:dyDescent="0.3">
      <c r="I681" s="16"/>
    </row>
    <row r="682" spans="9:9" x14ac:dyDescent="0.3">
      <c r="I682" s="16"/>
    </row>
    <row r="683" spans="9:9" x14ac:dyDescent="0.3">
      <c r="I683" s="16"/>
    </row>
    <row r="684" spans="9:9" x14ac:dyDescent="0.3">
      <c r="I684" s="16"/>
    </row>
    <row r="685" spans="9:9" x14ac:dyDescent="0.3">
      <c r="I685" s="16"/>
    </row>
    <row r="686" spans="9:9" x14ac:dyDescent="0.3">
      <c r="I686" s="16"/>
    </row>
    <row r="687" spans="9:9" x14ac:dyDescent="0.3">
      <c r="I687" s="16"/>
    </row>
    <row r="688" spans="9:9" x14ac:dyDescent="0.3">
      <c r="I688" s="16"/>
    </row>
    <row r="689" spans="9:9" x14ac:dyDescent="0.3">
      <c r="I689" s="16"/>
    </row>
    <row r="690" spans="9:9" x14ac:dyDescent="0.3">
      <c r="I690" s="16"/>
    </row>
    <row r="691" spans="9:9" x14ac:dyDescent="0.3">
      <c r="I691" s="16"/>
    </row>
    <row r="692" spans="9:9" x14ac:dyDescent="0.3">
      <c r="I692" s="16"/>
    </row>
    <row r="693" spans="9:9" x14ac:dyDescent="0.3">
      <c r="I693" s="16"/>
    </row>
    <row r="694" spans="9:9" x14ac:dyDescent="0.3">
      <c r="I694" s="16"/>
    </row>
    <row r="695" spans="9:9" x14ac:dyDescent="0.3">
      <c r="I695" s="16"/>
    </row>
    <row r="696" spans="9:9" x14ac:dyDescent="0.3">
      <c r="I696" s="16"/>
    </row>
    <row r="697" spans="9:9" x14ac:dyDescent="0.3">
      <c r="I697" s="16"/>
    </row>
    <row r="698" spans="9:9" x14ac:dyDescent="0.3">
      <c r="I698" s="16"/>
    </row>
    <row r="699" spans="9:9" x14ac:dyDescent="0.3">
      <c r="I699" s="16"/>
    </row>
    <row r="700" spans="9:9" x14ac:dyDescent="0.3">
      <c r="I700" s="16"/>
    </row>
    <row r="701" spans="9:9" x14ac:dyDescent="0.3">
      <c r="I701" s="16"/>
    </row>
    <row r="702" spans="9:9" x14ac:dyDescent="0.3">
      <c r="I702" s="16"/>
    </row>
    <row r="703" spans="9:9" x14ac:dyDescent="0.3">
      <c r="I703" s="16"/>
    </row>
    <row r="704" spans="9:9" x14ac:dyDescent="0.3">
      <c r="I704" s="16"/>
    </row>
    <row r="705" spans="9:9" x14ac:dyDescent="0.3">
      <c r="I705" s="16"/>
    </row>
    <row r="706" spans="9:9" x14ac:dyDescent="0.3">
      <c r="I706" s="16"/>
    </row>
    <row r="707" spans="9:9" x14ac:dyDescent="0.3">
      <c r="I707" s="16"/>
    </row>
    <row r="708" spans="9:9" x14ac:dyDescent="0.3">
      <c r="I708" s="16"/>
    </row>
    <row r="709" spans="9:9" x14ac:dyDescent="0.3">
      <c r="I709" s="16"/>
    </row>
    <row r="710" spans="9:9" x14ac:dyDescent="0.3">
      <c r="I710" s="16"/>
    </row>
    <row r="711" spans="9:9" x14ac:dyDescent="0.3">
      <c r="I711" s="16"/>
    </row>
    <row r="712" spans="9:9" x14ac:dyDescent="0.3">
      <c r="I712" s="16"/>
    </row>
    <row r="713" spans="9:9" x14ac:dyDescent="0.3">
      <c r="I713" s="16"/>
    </row>
    <row r="714" spans="9:9" x14ac:dyDescent="0.3">
      <c r="I714" s="16"/>
    </row>
    <row r="715" spans="9:9" x14ac:dyDescent="0.3">
      <c r="I715" s="16"/>
    </row>
    <row r="716" spans="9:9" x14ac:dyDescent="0.3">
      <c r="I716" s="16"/>
    </row>
    <row r="717" spans="9:9" x14ac:dyDescent="0.3">
      <c r="I717" s="16"/>
    </row>
    <row r="718" spans="9:9" x14ac:dyDescent="0.3">
      <c r="I718" s="16"/>
    </row>
    <row r="719" spans="9:9" x14ac:dyDescent="0.3">
      <c r="I719" s="16"/>
    </row>
    <row r="720" spans="9:9" x14ac:dyDescent="0.3">
      <c r="I720" s="16"/>
    </row>
    <row r="721" spans="9:9" x14ac:dyDescent="0.3">
      <c r="I721" s="16"/>
    </row>
    <row r="722" spans="9:9" x14ac:dyDescent="0.3">
      <c r="I722" s="16"/>
    </row>
    <row r="723" spans="9:9" x14ac:dyDescent="0.3">
      <c r="I723" s="16"/>
    </row>
    <row r="724" spans="9:9" x14ac:dyDescent="0.3">
      <c r="I724" s="16"/>
    </row>
    <row r="725" spans="9:9" x14ac:dyDescent="0.3">
      <c r="I725" s="16"/>
    </row>
    <row r="726" spans="9:9" x14ac:dyDescent="0.3">
      <c r="I726" s="16"/>
    </row>
    <row r="727" spans="9:9" x14ac:dyDescent="0.3">
      <c r="I727" s="16"/>
    </row>
    <row r="728" spans="9:9" x14ac:dyDescent="0.3">
      <c r="I728" s="16"/>
    </row>
    <row r="729" spans="9:9" x14ac:dyDescent="0.3">
      <c r="I729" s="16"/>
    </row>
    <row r="730" spans="9:9" x14ac:dyDescent="0.3">
      <c r="I730" s="16"/>
    </row>
    <row r="731" spans="9:9" x14ac:dyDescent="0.3">
      <c r="I731" s="16"/>
    </row>
    <row r="732" spans="9:9" x14ac:dyDescent="0.3">
      <c r="I732" s="16"/>
    </row>
    <row r="733" spans="9:9" x14ac:dyDescent="0.3">
      <c r="I733" s="16"/>
    </row>
    <row r="734" spans="9:9" x14ac:dyDescent="0.3">
      <c r="I734" s="16"/>
    </row>
    <row r="735" spans="9:9" x14ac:dyDescent="0.3">
      <c r="I735" s="16"/>
    </row>
    <row r="736" spans="9:9" x14ac:dyDescent="0.3">
      <c r="I736" s="16"/>
    </row>
    <row r="737" spans="9:9" x14ac:dyDescent="0.3">
      <c r="I737" s="16"/>
    </row>
    <row r="738" spans="9:9" x14ac:dyDescent="0.3">
      <c r="I738" s="16"/>
    </row>
    <row r="739" spans="9:9" x14ac:dyDescent="0.3">
      <c r="I739" s="16"/>
    </row>
    <row r="740" spans="9:9" x14ac:dyDescent="0.3">
      <c r="I740" s="16"/>
    </row>
    <row r="741" spans="9:9" x14ac:dyDescent="0.3">
      <c r="I741" s="16"/>
    </row>
    <row r="742" spans="9:9" x14ac:dyDescent="0.3">
      <c r="I742" s="16"/>
    </row>
    <row r="743" spans="9:9" x14ac:dyDescent="0.3">
      <c r="I743" s="16"/>
    </row>
    <row r="744" spans="9:9" x14ac:dyDescent="0.3">
      <c r="I744" s="16"/>
    </row>
    <row r="745" spans="9:9" x14ac:dyDescent="0.3">
      <c r="I745" s="16"/>
    </row>
    <row r="746" spans="9:9" x14ac:dyDescent="0.3">
      <c r="I746" s="16"/>
    </row>
    <row r="747" spans="9:9" x14ac:dyDescent="0.3">
      <c r="I747" s="16"/>
    </row>
    <row r="748" spans="9:9" x14ac:dyDescent="0.3">
      <c r="I748" s="16"/>
    </row>
    <row r="749" spans="9:9" x14ac:dyDescent="0.3">
      <c r="I749" s="16"/>
    </row>
    <row r="750" spans="9:9" x14ac:dyDescent="0.3">
      <c r="I750" s="16"/>
    </row>
    <row r="751" spans="9:9" x14ac:dyDescent="0.3">
      <c r="I751" s="16"/>
    </row>
    <row r="752" spans="9:9" x14ac:dyDescent="0.3">
      <c r="I752" s="16"/>
    </row>
    <row r="753" spans="9:9" x14ac:dyDescent="0.3">
      <c r="I753" s="16"/>
    </row>
    <row r="754" spans="9:9" x14ac:dyDescent="0.3">
      <c r="I754" s="16"/>
    </row>
    <row r="755" spans="9:9" x14ac:dyDescent="0.3">
      <c r="I755" s="16"/>
    </row>
    <row r="756" spans="9:9" x14ac:dyDescent="0.3">
      <c r="I756" s="16"/>
    </row>
    <row r="757" spans="9:9" x14ac:dyDescent="0.3">
      <c r="I757" s="16"/>
    </row>
    <row r="758" spans="9:9" x14ac:dyDescent="0.3">
      <c r="I758" s="16"/>
    </row>
    <row r="759" spans="9:9" x14ac:dyDescent="0.3">
      <c r="I759" s="16"/>
    </row>
    <row r="760" spans="9:9" x14ac:dyDescent="0.3">
      <c r="I760" s="16"/>
    </row>
    <row r="761" spans="9:9" x14ac:dyDescent="0.3">
      <c r="I761" s="16"/>
    </row>
    <row r="762" spans="9:9" x14ac:dyDescent="0.3">
      <c r="I762" s="16"/>
    </row>
    <row r="763" spans="9:9" x14ac:dyDescent="0.3">
      <c r="I763" s="16"/>
    </row>
    <row r="764" spans="9:9" x14ac:dyDescent="0.3">
      <c r="I764" s="16"/>
    </row>
    <row r="765" spans="9:9" x14ac:dyDescent="0.3">
      <c r="I765" s="16"/>
    </row>
    <row r="766" spans="9:9" x14ac:dyDescent="0.3">
      <c r="I766" s="16"/>
    </row>
    <row r="767" spans="9:9" x14ac:dyDescent="0.3">
      <c r="I767" s="16"/>
    </row>
    <row r="768" spans="9:9" x14ac:dyDescent="0.3">
      <c r="I768" s="16"/>
    </row>
    <row r="769" spans="9:9" x14ac:dyDescent="0.3">
      <c r="I769" s="16"/>
    </row>
    <row r="770" spans="9:9" x14ac:dyDescent="0.3">
      <c r="I770" s="16"/>
    </row>
    <row r="771" spans="9:9" x14ac:dyDescent="0.3">
      <c r="I771" s="16"/>
    </row>
    <row r="772" spans="9:9" x14ac:dyDescent="0.3">
      <c r="I772" s="16"/>
    </row>
    <row r="773" spans="9:9" x14ac:dyDescent="0.3">
      <c r="I773" s="16"/>
    </row>
    <row r="774" spans="9:9" x14ac:dyDescent="0.3">
      <c r="I774" s="16"/>
    </row>
    <row r="775" spans="9:9" x14ac:dyDescent="0.3">
      <c r="I775" s="16"/>
    </row>
    <row r="776" spans="9:9" x14ac:dyDescent="0.3">
      <c r="I776" s="16"/>
    </row>
    <row r="777" spans="9:9" x14ac:dyDescent="0.3">
      <c r="I777" s="16"/>
    </row>
    <row r="778" spans="9:9" x14ac:dyDescent="0.3">
      <c r="I778" s="16"/>
    </row>
    <row r="779" spans="9:9" x14ac:dyDescent="0.3">
      <c r="I779" s="16"/>
    </row>
    <row r="780" spans="9:9" x14ac:dyDescent="0.3">
      <c r="I780" s="16"/>
    </row>
    <row r="781" spans="9:9" x14ac:dyDescent="0.3">
      <c r="I781" s="16"/>
    </row>
    <row r="782" spans="9:9" x14ac:dyDescent="0.3">
      <c r="I782" s="16"/>
    </row>
    <row r="783" spans="9:9" x14ac:dyDescent="0.3">
      <c r="I783" s="16"/>
    </row>
    <row r="784" spans="9:9" x14ac:dyDescent="0.3">
      <c r="I784" s="16"/>
    </row>
    <row r="785" spans="9:9" x14ac:dyDescent="0.3">
      <c r="I785" s="16"/>
    </row>
    <row r="786" spans="9:9" x14ac:dyDescent="0.3">
      <c r="I786" s="16"/>
    </row>
    <row r="787" spans="9:9" x14ac:dyDescent="0.3">
      <c r="I787" s="16"/>
    </row>
    <row r="788" spans="9:9" x14ac:dyDescent="0.3">
      <c r="I788" s="16"/>
    </row>
    <row r="789" spans="9:9" x14ac:dyDescent="0.3">
      <c r="I789" s="16"/>
    </row>
    <row r="790" spans="9:9" x14ac:dyDescent="0.3">
      <c r="I790" s="16"/>
    </row>
    <row r="791" spans="9:9" x14ac:dyDescent="0.3">
      <c r="I791" s="16"/>
    </row>
    <row r="792" spans="9:9" x14ac:dyDescent="0.3">
      <c r="I792" s="16"/>
    </row>
    <row r="793" spans="9:9" x14ac:dyDescent="0.3">
      <c r="I793" s="16"/>
    </row>
    <row r="794" spans="9:9" x14ac:dyDescent="0.3">
      <c r="I794" s="16"/>
    </row>
    <row r="795" spans="9:9" x14ac:dyDescent="0.3">
      <c r="I795" s="16"/>
    </row>
    <row r="796" spans="9:9" x14ac:dyDescent="0.3">
      <c r="I796" s="16"/>
    </row>
    <row r="797" spans="9:9" x14ac:dyDescent="0.3">
      <c r="I797" s="16"/>
    </row>
    <row r="798" spans="9:9" x14ac:dyDescent="0.3">
      <c r="I798" s="16"/>
    </row>
    <row r="799" spans="9:9" x14ac:dyDescent="0.3">
      <c r="I799" s="16"/>
    </row>
    <row r="800" spans="9:9" x14ac:dyDescent="0.3">
      <c r="I800" s="16"/>
    </row>
    <row r="801" spans="9:9" x14ac:dyDescent="0.3">
      <c r="I801" s="16"/>
    </row>
    <row r="802" spans="9:9" x14ac:dyDescent="0.3">
      <c r="I802" s="16"/>
    </row>
    <row r="803" spans="9:9" x14ac:dyDescent="0.3">
      <c r="I803" s="16"/>
    </row>
    <row r="804" spans="9:9" x14ac:dyDescent="0.3">
      <c r="I804" s="16"/>
    </row>
    <row r="805" spans="9:9" x14ac:dyDescent="0.3">
      <c r="I805" s="16"/>
    </row>
    <row r="806" spans="9:9" x14ac:dyDescent="0.3">
      <c r="I806" s="16"/>
    </row>
    <row r="807" spans="9:9" x14ac:dyDescent="0.3">
      <c r="I807" s="16"/>
    </row>
    <row r="808" spans="9:9" x14ac:dyDescent="0.3">
      <c r="I808" s="16"/>
    </row>
    <row r="809" spans="9:9" x14ac:dyDescent="0.3">
      <c r="I809" s="16"/>
    </row>
    <row r="810" spans="9:9" x14ac:dyDescent="0.3">
      <c r="I810" s="16"/>
    </row>
    <row r="811" spans="9:9" x14ac:dyDescent="0.3">
      <c r="I811" s="16"/>
    </row>
    <row r="812" spans="9:9" x14ac:dyDescent="0.3">
      <c r="I812" s="16"/>
    </row>
    <row r="813" spans="9:9" x14ac:dyDescent="0.3">
      <c r="I813" s="16"/>
    </row>
    <row r="814" spans="9:9" x14ac:dyDescent="0.3">
      <c r="I814" s="16"/>
    </row>
    <row r="815" spans="9:9" x14ac:dyDescent="0.3">
      <c r="I815" s="16"/>
    </row>
    <row r="816" spans="9:9" x14ac:dyDescent="0.3">
      <c r="I816" s="16"/>
    </row>
    <row r="817" spans="9:9" x14ac:dyDescent="0.3">
      <c r="I817" s="16"/>
    </row>
    <row r="818" spans="9:9" x14ac:dyDescent="0.3">
      <c r="I818" s="16"/>
    </row>
    <row r="819" spans="9:9" x14ac:dyDescent="0.3">
      <c r="I819" s="16"/>
    </row>
    <row r="820" spans="9:9" x14ac:dyDescent="0.3">
      <c r="I820" s="16"/>
    </row>
    <row r="821" spans="9:9" x14ac:dyDescent="0.3">
      <c r="I821" s="16"/>
    </row>
    <row r="822" spans="9:9" x14ac:dyDescent="0.3">
      <c r="I822" s="16"/>
    </row>
    <row r="823" spans="9:9" x14ac:dyDescent="0.3">
      <c r="I823" s="16"/>
    </row>
    <row r="824" spans="9:9" x14ac:dyDescent="0.3">
      <c r="I824" s="16"/>
    </row>
    <row r="825" spans="9:9" x14ac:dyDescent="0.3">
      <c r="I825" s="16"/>
    </row>
    <row r="826" spans="9:9" x14ac:dyDescent="0.3">
      <c r="I826" s="16"/>
    </row>
    <row r="827" spans="9:9" x14ac:dyDescent="0.3">
      <c r="I827" s="16"/>
    </row>
    <row r="828" spans="9:9" x14ac:dyDescent="0.3">
      <c r="I828" s="16"/>
    </row>
    <row r="829" spans="9:9" x14ac:dyDescent="0.3">
      <c r="I829" s="16"/>
    </row>
    <row r="830" spans="9:9" x14ac:dyDescent="0.3">
      <c r="I830" s="16"/>
    </row>
    <row r="831" spans="9:9" x14ac:dyDescent="0.3">
      <c r="I831" s="16"/>
    </row>
    <row r="832" spans="9:9" x14ac:dyDescent="0.3">
      <c r="I832" s="16"/>
    </row>
    <row r="833" spans="9:9" x14ac:dyDescent="0.3">
      <c r="I833" s="16"/>
    </row>
    <row r="834" spans="9:9" x14ac:dyDescent="0.3">
      <c r="I834" s="16"/>
    </row>
    <row r="835" spans="9:9" x14ac:dyDescent="0.3">
      <c r="I835" s="16"/>
    </row>
    <row r="836" spans="9:9" x14ac:dyDescent="0.3">
      <c r="I836" s="16"/>
    </row>
    <row r="837" spans="9:9" x14ac:dyDescent="0.3">
      <c r="I837" s="16"/>
    </row>
    <row r="838" spans="9:9" x14ac:dyDescent="0.3">
      <c r="I838" s="16"/>
    </row>
    <row r="839" spans="9:9" x14ac:dyDescent="0.3">
      <c r="I839" s="16"/>
    </row>
    <row r="840" spans="9:9" x14ac:dyDescent="0.3">
      <c r="I840" s="16"/>
    </row>
    <row r="841" spans="9:9" x14ac:dyDescent="0.3">
      <c r="I841" s="16"/>
    </row>
    <row r="842" spans="9:9" x14ac:dyDescent="0.3">
      <c r="I842" s="16"/>
    </row>
    <row r="843" spans="9:9" x14ac:dyDescent="0.3">
      <c r="I843" s="16"/>
    </row>
    <row r="844" spans="9:9" x14ac:dyDescent="0.3">
      <c r="I844" s="16"/>
    </row>
    <row r="845" spans="9:9" x14ac:dyDescent="0.3">
      <c r="I845" s="16"/>
    </row>
    <row r="846" spans="9:9" x14ac:dyDescent="0.3">
      <c r="I846" s="16"/>
    </row>
    <row r="847" spans="9:9" x14ac:dyDescent="0.3">
      <c r="I847" s="16"/>
    </row>
    <row r="848" spans="9:9" x14ac:dyDescent="0.3">
      <c r="I848" s="16"/>
    </row>
    <row r="849" spans="9:9" x14ac:dyDescent="0.3">
      <c r="I849" s="16"/>
    </row>
    <row r="850" spans="9:9" x14ac:dyDescent="0.3">
      <c r="I850" s="16"/>
    </row>
    <row r="851" spans="9:9" x14ac:dyDescent="0.3">
      <c r="I851" s="16"/>
    </row>
    <row r="852" spans="9:9" x14ac:dyDescent="0.3">
      <c r="I852" s="16"/>
    </row>
    <row r="853" spans="9:9" x14ac:dyDescent="0.3">
      <c r="I853" s="16"/>
    </row>
    <row r="854" spans="9:9" x14ac:dyDescent="0.3">
      <c r="I854" s="16"/>
    </row>
    <row r="855" spans="9:9" x14ac:dyDescent="0.3">
      <c r="I855" s="16"/>
    </row>
    <row r="856" spans="9:9" x14ac:dyDescent="0.3">
      <c r="I856" s="16"/>
    </row>
    <row r="857" spans="9:9" x14ac:dyDescent="0.3">
      <c r="I857" s="16"/>
    </row>
    <row r="858" spans="9:9" x14ac:dyDescent="0.3">
      <c r="I858" s="16"/>
    </row>
    <row r="859" spans="9:9" x14ac:dyDescent="0.3">
      <c r="I859" s="16"/>
    </row>
    <row r="860" spans="9:9" x14ac:dyDescent="0.3">
      <c r="I860" s="16"/>
    </row>
    <row r="861" spans="9:9" x14ac:dyDescent="0.3">
      <c r="I861" s="16"/>
    </row>
    <row r="862" spans="9:9" x14ac:dyDescent="0.3">
      <c r="I862" s="16"/>
    </row>
    <row r="863" spans="9:9" x14ac:dyDescent="0.3">
      <c r="I863" s="16"/>
    </row>
    <row r="864" spans="9:9" x14ac:dyDescent="0.3">
      <c r="I864" s="16"/>
    </row>
    <row r="865" spans="9:9" x14ac:dyDescent="0.3">
      <c r="I865" s="16"/>
    </row>
    <row r="866" spans="9:9" x14ac:dyDescent="0.3">
      <c r="I866" s="16"/>
    </row>
    <row r="867" spans="9:9" x14ac:dyDescent="0.3">
      <c r="I867" s="16"/>
    </row>
    <row r="868" spans="9:9" x14ac:dyDescent="0.3">
      <c r="I868" s="16"/>
    </row>
    <row r="869" spans="9:9" x14ac:dyDescent="0.3">
      <c r="I869" s="16"/>
    </row>
    <row r="870" spans="9:9" x14ac:dyDescent="0.3">
      <c r="I870" s="16"/>
    </row>
    <row r="871" spans="9:9" x14ac:dyDescent="0.3">
      <c r="I871" s="16"/>
    </row>
    <row r="872" spans="9:9" x14ac:dyDescent="0.3">
      <c r="I872" s="16"/>
    </row>
    <row r="873" spans="9:9" x14ac:dyDescent="0.3">
      <c r="I873" s="16"/>
    </row>
    <row r="874" spans="9:9" x14ac:dyDescent="0.3">
      <c r="I874" s="16"/>
    </row>
    <row r="875" spans="9:9" x14ac:dyDescent="0.3">
      <c r="I875" s="16"/>
    </row>
    <row r="876" spans="9:9" x14ac:dyDescent="0.3">
      <c r="I876" s="16"/>
    </row>
    <row r="877" spans="9:9" x14ac:dyDescent="0.3">
      <c r="I877" s="16"/>
    </row>
    <row r="878" spans="9:9" x14ac:dyDescent="0.3">
      <c r="I878" s="16"/>
    </row>
    <row r="879" spans="9:9" x14ac:dyDescent="0.3">
      <c r="I879" s="16"/>
    </row>
    <row r="880" spans="9:9" x14ac:dyDescent="0.3">
      <c r="I880" s="16"/>
    </row>
    <row r="881" spans="9:9" x14ac:dyDescent="0.3">
      <c r="I881" s="16"/>
    </row>
    <row r="882" spans="9:9" x14ac:dyDescent="0.3">
      <c r="I882" s="16"/>
    </row>
    <row r="883" spans="9:9" x14ac:dyDescent="0.3">
      <c r="I883" s="16"/>
    </row>
    <row r="884" spans="9:9" x14ac:dyDescent="0.3">
      <c r="I884" s="16"/>
    </row>
    <row r="885" spans="9:9" x14ac:dyDescent="0.3">
      <c r="I885" s="16"/>
    </row>
    <row r="886" spans="9:9" x14ac:dyDescent="0.3">
      <c r="I886" s="16"/>
    </row>
    <row r="887" spans="9:9" x14ac:dyDescent="0.3">
      <c r="I887" s="16"/>
    </row>
    <row r="888" spans="9:9" x14ac:dyDescent="0.3">
      <c r="I888" s="16"/>
    </row>
    <row r="889" spans="9:9" x14ac:dyDescent="0.3">
      <c r="I889" s="16"/>
    </row>
    <row r="890" spans="9:9" x14ac:dyDescent="0.3">
      <c r="I890" s="16"/>
    </row>
    <row r="891" spans="9:9" x14ac:dyDescent="0.3">
      <c r="I891" s="16"/>
    </row>
    <row r="892" spans="9:9" x14ac:dyDescent="0.3">
      <c r="I892" s="16"/>
    </row>
    <row r="893" spans="9:9" x14ac:dyDescent="0.3">
      <c r="I893" s="16"/>
    </row>
    <row r="894" spans="9:9" x14ac:dyDescent="0.3">
      <c r="I894" s="16"/>
    </row>
    <row r="895" spans="9:9" x14ac:dyDescent="0.3">
      <c r="I895" s="16"/>
    </row>
    <row r="896" spans="9:9" x14ac:dyDescent="0.3">
      <c r="I896" s="16"/>
    </row>
    <row r="897" spans="9:9" x14ac:dyDescent="0.3">
      <c r="I897" s="16"/>
    </row>
    <row r="898" spans="9:9" x14ac:dyDescent="0.3">
      <c r="I898" s="16"/>
    </row>
    <row r="899" spans="9:9" x14ac:dyDescent="0.3">
      <c r="I899" s="16"/>
    </row>
    <row r="900" spans="9:9" x14ac:dyDescent="0.3">
      <c r="I900" s="16"/>
    </row>
    <row r="901" spans="9:9" x14ac:dyDescent="0.3">
      <c r="I901" s="16"/>
    </row>
    <row r="902" spans="9:9" x14ac:dyDescent="0.3">
      <c r="I902" s="16"/>
    </row>
    <row r="903" spans="9:9" x14ac:dyDescent="0.3">
      <c r="I903" s="16"/>
    </row>
    <row r="904" spans="9:9" x14ac:dyDescent="0.3">
      <c r="I904" s="16"/>
    </row>
    <row r="905" spans="9:9" x14ac:dyDescent="0.3">
      <c r="I905" s="16"/>
    </row>
    <row r="906" spans="9:9" x14ac:dyDescent="0.3">
      <c r="I906" s="16"/>
    </row>
    <row r="907" spans="9:9" x14ac:dyDescent="0.3">
      <c r="I907" s="16"/>
    </row>
    <row r="908" spans="9:9" x14ac:dyDescent="0.3">
      <c r="I908" s="16"/>
    </row>
    <row r="909" spans="9:9" x14ac:dyDescent="0.3">
      <c r="I909" s="16"/>
    </row>
    <row r="910" spans="9:9" x14ac:dyDescent="0.3">
      <c r="I910" s="16"/>
    </row>
    <row r="911" spans="9:9" x14ac:dyDescent="0.3">
      <c r="I911" s="16"/>
    </row>
    <row r="912" spans="9:9" x14ac:dyDescent="0.3">
      <c r="I912" s="16"/>
    </row>
    <row r="913" spans="9:9" x14ac:dyDescent="0.3">
      <c r="I913" s="16"/>
    </row>
    <row r="914" spans="9:9" x14ac:dyDescent="0.3">
      <c r="I914" s="16"/>
    </row>
    <row r="915" spans="9:9" x14ac:dyDescent="0.3">
      <c r="I915" s="16"/>
    </row>
    <row r="916" spans="9:9" x14ac:dyDescent="0.3">
      <c r="I916" s="16"/>
    </row>
    <row r="917" spans="9:9" x14ac:dyDescent="0.3">
      <c r="I917" s="16"/>
    </row>
    <row r="918" spans="9:9" x14ac:dyDescent="0.3">
      <c r="I918" s="16"/>
    </row>
    <row r="919" spans="9:9" x14ac:dyDescent="0.3">
      <c r="I919" s="16"/>
    </row>
    <row r="920" spans="9:9" x14ac:dyDescent="0.3">
      <c r="I920" s="16"/>
    </row>
    <row r="921" spans="9:9" x14ac:dyDescent="0.3">
      <c r="I921" s="16"/>
    </row>
    <row r="922" spans="9:9" x14ac:dyDescent="0.3">
      <c r="I922" s="16"/>
    </row>
    <row r="923" spans="9:9" x14ac:dyDescent="0.3">
      <c r="I923" s="16"/>
    </row>
    <row r="924" spans="9:9" x14ac:dyDescent="0.3">
      <c r="I924" s="16"/>
    </row>
    <row r="925" spans="9:9" x14ac:dyDescent="0.3">
      <c r="I925" s="16"/>
    </row>
    <row r="926" spans="9:9" x14ac:dyDescent="0.3">
      <c r="I926" s="16"/>
    </row>
    <row r="927" spans="9:9" x14ac:dyDescent="0.3">
      <c r="I927" s="16"/>
    </row>
    <row r="928" spans="9:9" x14ac:dyDescent="0.3">
      <c r="I928" s="16"/>
    </row>
    <row r="929" spans="9:9" x14ac:dyDescent="0.3">
      <c r="I929" s="16"/>
    </row>
    <row r="930" spans="9:9" x14ac:dyDescent="0.3">
      <c r="I930" s="16"/>
    </row>
    <row r="931" spans="9:9" x14ac:dyDescent="0.3">
      <c r="I931" s="16"/>
    </row>
    <row r="932" spans="9:9" x14ac:dyDescent="0.3">
      <c r="I932" s="16"/>
    </row>
    <row r="933" spans="9:9" x14ac:dyDescent="0.3">
      <c r="I933" s="16"/>
    </row>
    <row r="934" spans="9:9" x14ac:dyDescent="0.3">
      <c r="I934" s="16"/>
    </row>
    <row r="935" spans="9:9" x14ac:dyDescent="0.3">
      <c r="I935" s="16"/>
    </row>
    <row r="936" spans="9:9" x14ac:dyDescent="0.3">
      <c r="I936" s="16"/>
    </row>
    <row r="937" spans="9:9" x14ac:dyDescent="0.3">
      <c r="I937" s="16"/>
    </row>
    <row r="938" spans="9:9" x14ac:dyDescent="0.3">
      <c r="I938" s="16"/>
    </row>
    <row r="939" spans="9:9" x14ac:dyDescent="0.3">
      <c r="I939" s="16"/>
    </row>
    <row r="940" spans="9:9" x14ac:dyDescent="0.3">
      <c r="I940" s="16"/>
    </row>
    <row r="941" spans="9:9" x14ac:dyDescent="0.3">
      <c r="I941" s="16"/>
    </row>
    <row r="942" spans="9:9" x14ac:dyDescent="0.3">
      <c r="I942" s="16"/>
    </row>
    <row r="943" spans="9:9" x14ac:dyDescent="0.3">
      <c r="I943" s="16"/>
    </row>
    <row r="944" spans="9:9" x14ac:dyDescent="0.3">
      <c r="I944" s="16"/>
    </row>
    <row r="945" spans="9:9" x14ac:dyDescent="0.3">
      <c r="I945" s="16"/>
    </row>
    <row r="946" spans="9:9" x14ac:dyDescent="0.3">
      <c r="I946" s="16"/>
    </row>
    <row r="947" spans="9:9" x14ac:dyDescent="0.3">
      <c r="I947" s="16"/>
    </row>
    <row r="948" spans="9:9" x14ac:dyDescent="0.3">
      <c r="I948" s="16"/>
    </row>
    <row r="949" spans="9:9" x14ac:dyDescent="0.3">
      <c r="I949" s="16"/>
    </row>
    <row r="950" spans="9:9" x14ac:dyDescent="0.3">
      <c r="I950" s="16"/>
    </row>
    <row r="951" spans="9:9" x14ac:dyDescent="0.3">
      <c r="I951" s="16"/>
    </row>
    <row r="952" spans="9:9" x14ac:dyDescent="0.3">
      <c r="I952" s="16"/>
    </row>
    <row r="953" spans="9:9" x14ac:dyDescent="0.3">
      <c r="I953" s="16"/>
    </row>
    <row r="954" spans="9:9" x14ac:dyDescent="0.3">
      <c r="I954" s="16"/>
    </row>
    <row r="955" spans="9:9" x14ac:dyDescent="0.3">
      <c r="I955" s="16"/>
    </row>
    <row r="956" spans="9:9" x14ac:dyDescent="0.3">
      <c r="I956" s="16"/>
    </row>
    <row r="957" spans="9:9" x14ac:dyDescent="0.3">
      <c r="I957" s="16"/>
    </row>
    <row r="958" spans="9:9" x14ac:dyDescent="0.3">
      <c r="I958" s="16"/>
    </row>
    <row r="959" spans="9:9" x14ac:dyDescent="0.3">
      <c r="I959" s="16"/>
    </row>
    <row r="960" spans="9:9" x14ac:dyDescent="0.3">
      <c r="I960" s="16"/>
    </row>
    <row r="961" spans="9:9" x14ac:dyDescent="0.3">
      <c r="I961" s="16"/>
    </row>
    <row r="962" spans="9:9" x14ac:dyDescent="0.3">
      <c r="I962" s="16"/>
    </row>
    <row r="963" spans="9:9" x14ac:dyDescent="0.3">
      <c r="I963" s="16"/>
    </row>
    <row r="964" spans="9:9" x14ac:dyDescent="0.3">
      <c r="I964" s="16"/>
    </row>
    <row r="965" spans="9:9" x14ac:dyDescent="0.3">
      <c r="I965" s="16"/>
    </row>
    <row r="966" spans="9:9" x14ac:dyDescent="0.3">
      <c r="I966" s="16"/>
    </row>
    <row r="967" spans="9:9" x14ac:dyDescent="0.3">
      <c r="I967" s="16"/>
    </row>
    <row r="968" spans="9:9" x14ac:dyDescent="0.3">
      <c r="I968" s="16"/>
    </row>
    <row r="969" spans="9:9" x14ac:dyDescent="0.3">
      <c r="I969" s="16"/>
    </row>
    <row r="970" spans="9:9" x14ac:dyDescent="0.3">
      <c r="I970" s="16"/>
    </row>
    <row r="971" spans="9:9" x14ac:dyDescent="0.3">
      <c r="I971" s="16"/>
    </row>
    <row r="972" spans="9:9" x14ac:dyDescent="0.3">
      <c r="I972" s="16"/>
    </row>
    <row r="973" spans="9:9" x14ac:dyDescent="0.3">
      <c r="I973" s="16"/>
    </row>
    <row r="974" spans="9:9" x14ac:dyDescent="0.3">
      <c r="I974" s="16"/>
    </row>
    <row r="975" spans="9:9" x14ac:dyDescent="0.3">
      <c r="I975" s="16"/>
    </row>
    <row r="976" spans="9:9" x14ac:dyDescent="0.3">
      <c r="I976" s="16"/>
    </row>
    <row r="977" spans="9:9" x14ac:dyDescent="0.3">
      <c r="I977" s="16"/>
    </row>
    <row r="978" spans="9:9" x14ac:dyDescent="0.3">
      <c r="I978" s="16"/>
    </row>
    <row r="979" spans="9:9" x14ac:dyDescent="0.3">
      <c r="I979" s="16"/>
    </row>
    <row r="980" spans="9:9" x14ac:dyDescent="0.3">
      <c r="I980" s="16"/>
    </row>
    <row r="981" spans="9:9" x14ac:dyDescent="0.3">
      <c r="I981" s="16"/>
    </row>
    <row r="982" spans="9:9" x14ac:dyDescent="0.3">
      <c r="I982" s="16"/>
    </row>
    <row r="983" spans="9:9" x14ac:dyDescent="0.3">
      <c r="I983" s="16"/>
    </row>
    <row r="984" spans="9:9" x14ac:dyDescent="0.3">
      <c r="I984" s="16"/>
    </row>
    <row r="985" spans="9:9" x14ac:dyDescent="0.3">
      <c r="I985" s="16"/>
    </row>
    <row r="986" spans="9:9" x14ac:dyDescent="0.3">
      <c r="I986" s="16"/>
    </row>
    <row r="987" spans="9:9" x14ac:dyDescent="0.3">
      <c r="I987" s="16"/>
    </row>
    <row r="988" spans="9:9" x14ac:dyDescent="0.3">
      <c r="I988" s="16"/>
    </row>
    <row r="989" spans="9:9" x14ac:dyDescent="0.3">
      <c r="I989" s="16"/>
    </row>
    <row r="990" spans="9:9" x14ac:dyDescent="0.3">
      <c r="I990" s="16"/>
    </row>
    <row r="991" spans="9:9" x14ac:dyDescent="0.3">
      <c r="I991" s="16"/>
    </row>
    <row r="992" spans="9:9" x14ac:dyDescent="0.3">
      <c r="I992" s="16"/>
    </row>
    <row r="993" spans="9:9" x14ac:dyDescent="0.3">
      <c r="I993" s="16"/>
    </row>
    <row r="994" spans="9:9" x14ac:dyDescent="0.3">
      <c r="I994" s="16"/>
    </row>
    <row r="995" spans="9:9" x14ac:dyDescent="0.3">
      <c r="I995" s="16"/>
    </row>
    <row r="996" spans="9:9" x14ac:dyDescent="0.3">
      <c r="I996" s="16"/>
    </row>
    <row r="997" spans="9:9" x14ac:dyDescent="0.3">
      <c r="I997" s="16"/>
    </row>
    <row r="998" spans="9:9" x14ac:dyDescent="0.3">
      <c r="I998" s="16"/>
    </row>
    <row r="999" spans="9:9" x14ac:dyDescent="0.3">
      <c r="I999" s="16"/>
    </row>
    <row r="1000" spans="9:9" x14ac:dyDescent="0.3">
      <c r="I1000" s="1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Midhili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Ahmed</dc:creator>
  <cp:lastModifiedBy>Ibrahim Abdullah</cp:lastModifiedBy>
  <dcterms:created xsi:type="dcterms:W3CDTF">2025-08-14T04:47:09Z</dcterms:created>
  <dcterms:modified xsi:type="dcterms:W3CDTF">2026-08-08T20:58:55Z</dcterms:modified>
</cp:coreProperties>
</file>