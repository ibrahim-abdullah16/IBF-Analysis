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brahim\Desktop\FIBF\Data\ddm\DDM ground survey data\"/>
    </mc:Choice>
  </mc:AlternateContent>
  <xr:revisionPtr revIDLastSave="0" documentId="13_ncr:1_{602876E1-F405-441D-8EAE-C3518832C10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use" sheetId="5" r:id="rId1"/>
    <sheet name="Agriculture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6" l="1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3" i="6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3" i="5"/>
</calcChain>
</file>

<file path=xl/sharedStrings.xml><?xml version="1.0" encoding="utf-8"?>
<sst xmlns="http://schemas.openxmlformats.org/spreadsheetml/2006/main" count="659" uniqueCount="194">
  <si>
    <t xml:space="preserve">Bagerhat  </t>
  </si>
  <si>
    <t xml:space="preserve">Barguna  </t>
  </si>
  <si>
    <t xml:space="preserve">Barishal  </t>
  </si>
  <si>
    <t xml:space="preserve">Bhola  </t>
  </si>
  <si>
    <t xml:space="preserve">Chandpur  </t>
  </si>
  <si>
    <t xml:space="preserve">Chattogram  </t>
  </si>
  <si>
    <t xml:space="preserve">Cox's Bazar  </t>
  </si>
  <si>
    <t xml:space="preserve">Feni  </t>
  </si>
  <si>
    <t xml:space="preserve">Jhalokati  </t>
  </si>
  <si>
    <t xml:space="preserve">Khulna  </t>
  </si>
  <si>
    <t xml:space="preserve">Lakshmipur  </t>
  </si>
  <si>
    <t xml:space="preserve">Noakhali  </t>
  </si>
  <si>
    <t xml:space="preserve">Patuakhali  </t>
  </si>
  <si>
    <t xml:space="preserve">Pirojpur  </t>
  </si>
  <si>
    <t>Total</t>
  </si>
  <si>
    <t>District</t>
  </si>
  <si>
    <t xml:space="preserve">Bagerhat Sadar  </t>
  </si>
  <si>
    <t xml:space="preserve">Chitalmari  </t>
  </si>
  <si>
    <t xml:space="preserve">Fakirhat  </t>
  </si>
  <si>
    <t xml:space="preserve">Kachua  </t>
  </si>
  <si>
    <t xml:space="preserve">Mollahat  </t>
  </si>
  <si>
    <t xml:space="preserve">Mongla  </t>
  </si>
  <si>
    <t xml:space="preserve">Morrelganj  </t>
  </si>
  <si>
    <t xml:space="preserve">Rampal  </t>
  </si>
  <si>
    <t xml:space="preserve">Sarankhola  </t>
  </si>
  <si>
    <t xml:space="preserve">Amtali  </t>
  </si>
  <si>
    <t xml:space="preserve">Bamna  </t>
  </si>
  <si>
    <t xml:space="preserve">Barguna Sadar  </t>
  </si>
  <si>
    <t xml:space="preserve">Betagi  </t>
  </si>
  <si>
    <t xml:space="preserve">Patharghata  </t>
  </si>
  <si>
    <t xml:space="preserve">Taltali  </t>
  </si>
  <si>
    <t xml:space="preserve">Agailjhara  </t>
  </si>
  <si>
    <t xml:space="preserve">Babuganj  </t>
  </si>
  <si>
    <t xml:space="preserve">Bakerganj  </t>
  </si>
  <si>
    <t xml:space="preserve">Gaurnadi  </t>
  </si>
  <si>
    <t xml:space="preserve">Hizla  </t>
  </si>
  <si>
    <t xml:space="preserve">Mehendiganj  </t>
  </si>
  <si>
    <t xml:space="preserve">Muladi  </t>
  </si>
  <si>
    <t xml:space="preserve">Wazirpur  </t>
  </si>
  <si>
    <t xml:space="preserve">Bhola Sadar  </t>
  </si>
  <si>
    <t xml:space="preserve">Burhanuddin  </t>
  </si>
  <si>
    <t xml:space="preserve">Char Fasson  </t>
  </si>
  <si>
    <t xml:space="preserve">Daulatkhan  </t>
  </si>
  <si>
    <t xml:space="preserve">Lalmohan  </t>
  </si>
  <si>
    <t xml:space="preserve">Manpura  </t>
  </si>
  <si>
    <t xml:space="preserve">Tazumuddin  </t>
  </si>
  <si>
    <t xml:space="preserve">Akhaura  </t>
  </si>
  <si>
    <t xml:space="preserve">Kasba  </t>
  </si>
  <si>
    <t xml:space="preserve">Nabinagar  </t>
  </si>
  <si>
    <t xml:space="preserve">Nasirnagar  </t>
  </si>
  <si>
    <t xml:space="preserve">Sarail  </t>
  </si>
  <si>
    <t xml:space="preserve">Ashuganj  </t>
  </si>
  <si>
    <t xml:space="preserve">Bijoynagar  </t>
  </si>
  <si>
    <t xml:space="preserve">Chandpur Sadar  </t>
  </si>
  <si>
    <t xml:space="preserve">Faridganj  </t>
  </si>
  <si>
    <t xml:space="preserve">Hajiganj  </t>
  </si>
  <si>
    <t xml:space="preserve">Matlab Dakshin  </t>
  </si>
  <si>
    <t xml:space="preserve">Matlab Uttar  </t>
  </si>
  <si>
    <t xml:space="preserve">Shahrasti  </t>
  </si>
  <si>
    <t xml:space="preserve">Banshkhali  </t>
  </si>
  <si>
    <t xml:space="preserve">Boalkhali  </t>
  </si>
  <si>
    <t xml:space="preserve">Chandanaish  </t>
  </si>
  <si>
    <t xml:space="preserve">Fatikchhari  </t>
  </si>
  <si>
    <t xml:space="preserve">Hathazari  </t>
  </si>
  <si>
    <t xml:space="preserve">Lohagara  </t>
  </si>
  <si>
    <t xml:space="preserve">Mirsharai  </t>
  </si>
  <si>
    <t xml:space="preserve">Patiya  </t>
  </si>
  <si>
    <t xml:space="preserve">Rangunia  </t>
  </si>
  <si>
    <t xml:space="preserve">Raozan  </t>
  </si>
  <si>
    <t xml:space="preserve">Sandwip  </t>
  </si>
  <si>
    <t xml:space="preserve">Satkania  </t>
  </si>
  <si>
    <t xml:space="preserve">Sitakunda  </t>
  </si>
  <si>
    <t xml:space="preserve">Chakaria  </t>
  </si>
  <si>
    <t xml:space="preserve">Cox's Bazar Sadar  </t>
  </si>
  <si>
    <t xml:space="preserve">Kutubdia  </t>
  </si>
  <si>
    <t xml:space="preserve">Maheshkhali  </t>
  </si>
  <si>
    <t xml:space="preserve">Ramu  </t>
  </si>
  <si>
    <t xml:space="preserve">Teknaf  </t>
  </si>
  <si>
    <t xml:space="preserve">Pekua  </t>
  </si>
  <si>
    <t xml:space="preserve">Barura  </t>
  </si>
  <si>
    <t xml:space="preserve">Burichang  </t>
  </si>
  <si>
    <t xml:space="preserve">Chandina  </t>
  </si>
  <si>
    <t xml:space="preserve">Chauddagram  </t>
  </si>
  <si>
    <t xml:space="preserve">Daudkandi  </t>
  </si>
  <si>
    <t xml:space="preserve">Debidwar  </t>
  </si>
  <si>
    <t xml:space="preserve">Homna  </t>
  </si>
  <si>
    <t xml:space="preserve">Laksam  </t>
  </si>
  <si>
    <t xml:space="preserve">Lalmai  </t>
  </si>
  <si>
    <t xml:space="preserve">Meghna  </t>
  </si>
  <si>
    <t xml:space="preserve">Nangalkot  </t>
  </si>
  <si>
    <t xml:space="preserve">Titas  </t>
  </si>
  <si>
    <t xml:space="preserve">Muradnagar  </t>
  </si>
  <si>
    <t xml:space="preserve">Dhamrai  </t>
  </si>
  <si>
    <t xml:space="preserve">Dohar  </t>
  </si>
  <si>
    <t xml:space="preserve">Keraniganj  </t>
  </si>
  <si>
    <t xml:space="preserve">Nawabganj  </t>
  </si>
  <si>
    <t xml:space="preserve">Savar  </t>
  </si>
  <si>
    <t xml:space="preserve">Chhagalnaiya  </t>
  </si>
  <si>
    <t xml:space="preserve">Daganbhuiyan  </t>
  </si>
  <si>
    <t xml:space="preserve">Feni Sadar  </t>
  </si>
  <si>
    <t xml:space="preserve">Parshuram  </t>
  </si>
  <si>
    <t xml:space="preserve">Sonagazi  </t>
  </si>
  <si>
    <t xml:space="preserve">Fulgazi  </t>
  </si>
  <si>
    <t xml:space="preserve">Abhaynagar  </t>
  </si>
  <si>
    <t xml:space="preserve">Manirampur  </t>
  </si>
  <si>
    <t xml:space="preserve">Jhalokati Sadar  </t>
  </si>
  <si>
    <t xml:space="preserve">Nalchity  </t>
  </si>
  <si>
    <t xml:space="preserve">Rajapur  </t>
  </si>
  <si>
    <t xml:space="preserve">Batiaghata  </t>
  </si>
  <si>
    <t xml:space="preserve">Dacope  </t>
  </si>
  <si>
    <t xml:space="preserve">Dumuria  </t>
  </si>
  <si>
    <t xml:space="preserve">Dighalia  </t>
  </si>
  <si>
    <t xml:space="preserve">Koyra  </t>
  </si>
  <si>
    <t xml:space="preserve">Phultala  </t>
  </si>
  <si>
    <t xml:space="preserve">Rupsa  </t>
  </si>
  <si>
    <t xml:space="preserve">Terokhada  </t>
  </si>
  <si>
    <t xml:space="preserve">Kamalnagar  </t>
  </si>
  <si>
    <t xml:space="preserve">Lakshmipur Sadar  </t>
  </si>
  <si>
    <t xml:space="preserve">Ramganj  </t>
  </si>
  <si>
    <t xml:space="preserve">Ramgati  </t>
  </si>
  <si>
    <t xml:space="preserve">Lohajang  </t>
  </si>
  <si>
    <t xml:space="preserve">Munshiganj Sadar  </t>
  </si>
  <si>
    <t xml:space="preserve">Kalia  </t>
  </si>
  <si>
    <t xml:space="preserve">Narail Sadar  </t>
  </si>
  <si>
    <t xml:space="preserve">Companiganj  </t>
  </si>
  <si>
    <t xml:space="preserve">Hatiya  </t>
  </si>
  <si>
    <t xml:space="preserve">Kabirhat  </t>
  </si>
  <si>
    <t xml:space="preserve">Subarnachar  </t>
  </si>
  <si>
    <t xml:space="preserve">Bauphal  </t>
  </si>
  <si>
    <t xml:space="preserve">Dashmina  </t>
  </si>
  <si>
    <t xml:space="preserve">Dumki  </t>
  </si>
  <si>
    <t xml:space="preserve">Galachipa  </t>
  </si>
  <si>
    <t xml:space="preserve">Mirzaganj  </t>
  </si>
  <si>
    <t xml:space="preserve">Patuakhali Sadar  </t>
  </si>
  <si>
    <t xml:space="preserve">Rangabali  </t>
  </si>
  <si>
    <t xml:space="preserve">Bhandaria  </t>
  </si>
  <si>
    <t xml:space="preserve">Kawkhali  </t>
  </si>
  <si>
    <t xml:space="preserve">Mathbaria  </t>
  </si>
  <si>
    <t xml:space="preserve">Nazirpur  </t>
  </si>
  <si>
    <t xml:space="preserve">Pirojpur Sadar  </t>
  </si>
  <si>
    <t xml:space="preserve">Bhedarganj  </t>
  </si>
  <si>
    <t xml:space="preserve">Damudya  </t>
  </si>
  <si>
    <t xml:space="preserve">Gosairhat  </t>
  </si>
  <si>
    <t xml:space="preserve">Naria  </t>
  </si>
  <si>
    <t xml:space="preserve">Shariatpur Sadar  </t>
  </si>
  <si>
    <t xml:space="preserve">Brahmanbaria  </t>
  </si>
  <si>
    <t xml:space="preserve">Cumilla  </t>
  </si>
  <si>
    <t xml:space="preserve">Dhaka  </t>
  </si>
  <si>
    <t xml:space="preserve">Gopalganj  </t>
  </si>
  <si>
    <t xml:space="preserve">Jashore  </t>
  </si>
  <si>
    <t xml:space="preserve">Munshiganj  </t>
  </si>
  <si>
    <t xml:space="preserve">Narail  </t>
  </si>
  <si>
    <t xml:space="preserve">Shariatpur  </t>
  </si>
  <si>
    <t>Mohanagar</t>
  </si>
  <si>
    <t>Karnaphuli</t>
  </si>
  <si>
    <t>Indurkani</t>
  </si>
  <si>
    <t>Dhaka North City</t>
  </si>
  <si>
    <t>Dhaka South City</t>
  </si>
  <si>
    <t>Adorrso Sadar</t>
  </si>
  <si>
    <t>Fully Damaged Agricultural Land</t>
  </si>
  <si>
    <t>Partially Damaged Agricultural Land</t>
  </si>
  <si>
    <t>Total Land Area (hector)</t>
  </si>
  <si>
    <t>Total Amount Spent on  Damaged Land</t>
  </si>
  <si>
    <t>No of Damaged Household</t>
  </si>
  <si>
    <t>Amount spent on Household repair</t>
  </si>
  <si>
    <t>Brick-built house</t>
  </si>
  <si>
    <t>Half Brick-built house</t>
  </si>
  <si>
    <t>Raw House</t>
  </si>
  <si>
    <t>Banari Para</t>
  </si>
  <si>
    <t>Barisal Sadar (Kotwali)</t>
  </si>
  <si>
    <t>Banchharampur</t>
  </si>
  <si>
    <t>Brahmanbaria Sadar</t>
  </si>
  <si>
    <t>Haim Char</t>
  </si>
  <si>
    <t>Anowara</t>
  </si>
  <si>
    <t>Ukhia</t>
  </si>
  <si>
    <t>Brahman Para</t>
  </si>
  <si>
    <t>Comilla Sadar Dakshin</t>
  </si>
  <si>
    <t>Manoharganj</t>
  </si>
  <si>
    <t>Gopalganj Sadar</t>
  </si>
  <si>
    <t>Kashiani</t>
  </si>
  <si>
    <t>Kotali Para</t>
  </si>
  <si>
    <t>Muksudpur</t>
  </si>
  <si>
    <t>Tungi Para</t>
  </si>
  <si>
    <t>Kanthalia</t>
  </si>
  <si>
    <t>Paikgachha</t>
  </si>
  <si>
    <t>Roypur</t>
  </si>
  <si>
    <t>Noakhali Sadar (Sudharam)</t>
  </si>
  <si>
    <t>Kala Para</t>
  </si>
  <si>
    <t>Nesarabad (Swarupkati)</t>
  </si>
  <si>
    <t>Zanjira</t>
  </si>
  <si>
    <t>Upzila</t>
  </si>
  <si>
    <t>TOTAL</t>
  </si>
  <si>
    <t>Total_Loss_Land</t>
  </si>
  <si>
    <t>Total_loss_amount_land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</si>
</sst>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AAC1-050C-4C97-8EA3-E399D533C78E}">
  <dimension ref="A1:J161"/>
  <sheetViews>
    <sheetView workbookViewId="0">
      <selection sqref="A1:J2"/>
    </sheetView>
  </sheetViews>
  <sheetFormatPr defaultRowHeight="14.4" x14ac:dyDescent="0.3"/>
  <cols>
    <col min="1" max="1" width="13.44140625" bestFit="1" customWidth="1"/>
    <col min="2" max="2" width="19.88671875" bestFit="1" customWidth="1"/>
    <col min="3" max="3" width="20.88671875" bestFit="1" customWidth="1"/>
    <col min="4" max="4" width="33.109375" bestFit="1" customWidth="1"/>
    <col min="5" max="5" width="20.88671875" bestFit="1" customWidth="1"/>
    <col min="6" max="6" width="33.109375" bestFit="1" customWidth="1"/>
  </cols>
  <sheetData>
    <row r="1" spans="1:10" x14ac:dyDescent="0.3">
      <c r="C1" s="4" t="s">
        <v>163</v>
      </c>
      <c r="D1" s="4"/>
      <c r="E1" s="4"/>
      <c r="F1" s="4"/>
      <c r="G1" s="4" t="s">
        <v>164</v>
      </c>
      <c r="H1" s="4"/>
      <c r="I1" s="4"/>
      <c r="J1" s="4"/>
    </row>
    <row r="2" spans="1:10" x14ac:dyDescent="0.3">
      <c r="A2" t="s">
        <v>15</v>
      </c>
      <c r="B2" t="s">
        <v>190</v>
      </c>
      <c r="C2" s="2" t="s">
        <v>165</v>
      </c>
      <c r="D2" s="2" t="s">
        <v>166</v>
      </c>
      <c r="E2" s="2" t="s">
        <v>167</v>
      </c>
      <c r="F2" s="2" t="s">
        <v>14</v>
      </c>
      <c r="G2" s="3" t="s">
        <v>165</v>
      </c>
      <c r="H2" s="3" t="s">
        <v>166</v>
      </c>
      <c r="I2" s="3" t="s">
        <v>167</v>
      </c>
      <c r="J2" s="3" t="s">
        <v>14</v>
      </c>
    </row>
    <row r="3" spans="1:10" x14ac:dyDescent="0.3">
      <c r="A3" t="s">
        <v>0</v>
      </c>
      <c r="B3" t="s">
        <v>16</v>
      </c>
      <c r="C3">
        <v>0</v>
      </c>
      <c r="D3">
        <v>1</v>
      </c>
      <c r="E3">
        <v>966</v>
      </c>
      <c r="F3">
        <f>C3+D3+E3</f>
        <v>967</v>
      </c>
      <c r="G3">
        <v>0</v>
      </c>
      <c r="H3">
        <v>50000</v>
      </c>
      <c r="I3">
        <v>24600000</v>
      </c>
      <c r="J3">
        <f>G3+H3+I3</f>
        <v>24650000</v>
      </c>
    </row>
    <row r="4" spans="1:10" x14ac:dyDescent="0.3">
      <c r="A4" t="s">
        <v>0</v>
      </c>
      <c r="B4" t="s">
        <v>18</v>
      </c>
      <c r="C4">
        <v>0</v>
      </c>
      <c r="D4">
        <v>16</v>
      </c>
      <c r="E4">
        <v>118</v>
      </c>
      <c r="F4">
        <f t="shared" ref="F4:F67" si="0">C4+D4+E4</f>
        <v>134</v>
      </c>
      <c r="G4">
        <v>0</v>
      </c>
      <c r="H4">
        <v>800000</v>
      </c>
      <c r="I4">
        <v>1320000</v>
      </c>
      <c r="J4">
        <f t="shared" ref="J4:J67" si="1">G4+H4+I4</f>
        <v>2120000</v>
      </c>
    </row>
    <row r="5" spans="1:10" x14ac:dyDescent="0.3">
      <c r="A5" t="s">
        <v>0</v>
      </c>
      <c r="B5" t="s">
        <v>19</v>
      </c>
      <c r="C5">
        <v>0</v>
      </c>
      <c r="D5">
        <v>0</v>
      </c>
      <c r="E5">
        <v>143</v>
      </c>
      <c r="F5">
        <f t="shared" si="0"/>
        <v>143</v>
      </c>
      <c r="G5">
        <v>0</v>
      </c>
      <c r="H5">
        <v>0</v>
      </c>
      <c r="I5">
        <v>8250000</v>
      </c>
      <c r="J5">
        <f t="shared" si="1"/>
        <v>8250000</v>
      </c>
    </row>
    <row r="6" spans="1:10" x14ac:dyDescent="0.3">
      <c r="A6" t="s">
        <v>0</v>
      </c>
      <c r="B6" t="s">
        <v>20</v>
      </c>
      <c r="C6">
        <v>0</v>
      </c>
      <c r="D6">
        <v>26</v>
      </c>
      <c r="E6">
        <v>206</v>
      </c>
      <c r="F6">
        <f t="shared" si="0"/>
        <v>232</v>
      </c>
      <c r="G6">
        <v>0</v>
      </c>
      <c r="H6">
        <v>10140000</v>
      </c>
      <c r="I6">
        <v>4392000</v>
      </c>
      <c r="J6">
        <f t="shared" si="1"/>
        <v>14532000</v>
      </c>
    </row>
    <row r="7" spans="1:10" x14ac:dyDescent="0.3">
      <c r="A7" t="s">
        <v>0</v>
      </c>
      <c r="B7" t="s">
        <v>22</v>
      </c>
      <c r="C7">
        <v>0</v>
      </c>
      <c r="D7">
        <v>0</v>
      </c>
      <c r="E7">
        <v>264</v>
      </c>
      <c r="F7">
        <f t="shared" si="0"/>
        <v>264</v>
      </c>
      <c r="G7">
        <v>0</v>
      </c>
      <c r="H7">
        <v>0</v>
      </c>
      <c r="I7">
        <v>7180000</v>
      </c>
      <c r="J7">
        <f t="shared" si="1"/>
        <v>7180000</v>
      </c>
    </row>
    <row r="8" spans="1:10" x14ac:dyDescent="0.3">
      <c r="A8" t="s">
        <v>0</v>
      </c>
      <c r="B8" t="s">
        <v>23</v>
      </c>
      <c r="C8">
        <v>0</v>
      </c>
      <c r="D8">
        <v>0</v>
      </c>
      <c r="E8">
        <v>184</v>
      </c>
      <c r="F8">
        <f t="shared" si="0"/>
        <v>184</v>
      </c>
      <c r="G8">
        <v>0</v>
      </c>
      <c r="H8">
        <v>0</v>
      </c>
      <c r="I8">
        <v>5990000</v>
      </c>
      <c r="J8">
        <f t="shared" si="1"/>
        <v>5990000</v>
      </c>
    </row>
    <row r="9" spans="1:10" x14ac:dyDescent="0.3">
      <c r="A9" t="s">
        <v>0</v>
      </c>
      <c r="B9" t="s">
        <v>24</v>
      </c>
      <c r="C9">
        <v>0</v>
      </c>
      <c r="D9">
        <v>0</v>
      </c>
      <c r="E9">
        <v>727</v>
      </c>
      <c r="F9">
        <f t="shared" si="0"/>
        <v>727</v>
      </c>
      <c r="G9">
        <v>0</v>
      </c>
      <c r="H9">
        <v>0</v>
      </c>
      <c r="I9">
        <v>20725000</v>
      </c>
      <c r="J9">
        <f t="shared" si="1"/>
        <v>20725000</v>
      </c>
    </row>
    <row r="10" spans="1:10" x14ac:dyDescent="0.3">
      <c r="A10" t="s">
        <v>0</v>
      </c>
      <c r="B10" t="s">
        <v>17</v>
      </c>
      <c r="C10">
        <v>0</v>
      </c>
      <c r="D10">
        <v>27</v>
      </c>
      <c r="E10">
        <v>255</v>
      </c>
      <c r="F10">
        <f t="shared" si="0"/>
        <v>282</v>
      </c>
      <c r="G10">
        <v>0</v>
      </c>
      <c r="H10">
        <v>2700000</v>
      </c>
      <c r="I10">
        <v>10080000</v>
      </c>
      <c r="J10">
        <f t="shared" si="1"/>
        <v>12780000</v>
      </c>
    </row>
    <row r="11" spans="1:10" x14ac:dyDescent="0.3">
      <c r="A11" t="s">
        <v>0</v>
      </c>
      <c r="B11" t="s">
        <v>21</v>
      </c>
      <c r="C11">
        <v>0</v>
      </c>
      <c r="D11">
        <v>0</v>
      </c>
      <c r="E11">
        <v>171</v>
      </c>
      <c r="F11">
        <f t="shared" si="0"/>
        <v>171</v>
      </c>
      <c r="G11">
        <v>0</v>
      </c>
      <c r="H11">
        <v>0</v>
      </c>
      <c r="I11">
        <v>3460000</v>
      </c>
      <c r="J11">
        <f t="shared" si="1"/>
        <v>3460000</v>
      </c>
    </row>
    <row r="12" spans="1:10" x14ac:dyDescent="0.3">
      <c r="A12" t="s">
        <v>1</v>
      </c>
      <c r="B12" t="s">
        <v>27</v>
      </c>
      <c r="C12">
        <v>0</v>
      </c>
      <c r="D12">
        <v>0</v>
      </c>
      <c r="E12">
        <v>170</v>
      </c>
      <c r="F12">
        <f t="shared" si="0"/>
        <v>170</v>
      </c>
      <c r="G12">
        <v>0</v>
      </c>
      <c r="H12">
        <v>0</v>
      </c>
      <c r="I12">
        <v>4400000</v>
      </c>
      <c r="J12">
        <f t="shared" si="1"/>
        <v>4400000</v>
      </c>
    </row>
    <row r="13" spans="1:10" x14ac:dyDescent="0.3">
      <c r="A13" t="s">
        <v>1</v>
      </c>
      <c r="B13" t="s">
        <v>25</v>
      </c>
      <c r="C13">
        <v>0</v>
      </c>
      <c r="D13">
        <v>0</v>
      </c>
      <c r="E13">
        <v>105</v>
      </c>
      <c r="F13">
        <f t="shared" si="0"/>
        <v>105</v>
      </c>
      <c r="G13">
        <v>0</v>
      </c>
      <c r="H13">
        <v>0</v>
      </c>
      <c r="I13">
        <v>5950000</v>
      </c>
      <c r="J13">
        <f t="shared" si="1"/>
        <v>5950000</v>
      </c>
    </row>
    <row r="14" spans="1:10" x14ac:dyDescent="0.3">
      <c r="A14" t="s">
        <v>1</v>
      </c>
      <c r="B14" t="s">
        <v>30</v>
      </c>
      <c r="C14">
        <v>0</v>
      </c>
      <c r="D14">
        <v>0</v>
      </c>
      <c r="E14">
        <v>265</v>
      </c>
      <c r="F14">
        <f t="shared" si="0"/>
        <v>265</v>
      </c>
      <c r="G14">
        <v>0</v>
      </c>
      <c r="H14">
        <v>0</v>
      </c>
      <c r="I14">
        <v>11600000</v>
      </c>
      <c r="J14">
        <f t="shared" si="1"/>
        <v>11600000</v>
      </c>
    </row>
    <row r="15" spans="1:10" x14ac:dyDescent="0.3">
      <c r="A15" t="s">
        <v>1</v>
      </c>
      <c r="B15" t="s">
        <v>29</v>
      </c>
      <c r="C15">
        <v>0</v>
      </c>
      <c r="D15">
        <v>0</v>
      </c>
      <c r="E15">
        <v>110</v>
      </c>
      <c r="F15">
        <f t="shared" si="0"/>
        <v>110</v>
      </c>
      <c r="G15">
        <v>0</v>
      </c>
      <c r="H15">
        <v>0</v>
      </c>
      <c r="I15">
        <v>5500000</v>
      </c>
      <c r="J15">
        <f t="shared" si="1"/>
        <v>5500000</v>
      </c>
    </row>
    <row r="16" spans="1:10" x14ac:dyDescent="0.3">
      <c r="A16" t="s">
        <v>1</v>
      </c>
      <c r="B16" t="s">
        <v>28</v>
      </c>
      <c r="C16">
        <v>0</v>
      </c>
      <c r="D16">
        <v>0</v>
      </c>
      <c r="E16">
        <v>90</v>
      </c>
      <c r="F16">
        <f t="shared" si="0"/>
        <v>90</v>
      </c>
      <c r="G16">
        <v>0</v>
      </c>
      <c r="H16">
        <v>0</v>
      </c>
      <c r="I16">
        <v>1800000</v>
      </c>
      <c r="J16">
        <f t="shared" si="1"/>
        <v>1800000</v>
      </c>
    </row>
    <row r="17" spans="1:10" x14ac:dyDescent="0.3">
      <c r="A17" t="s">
        <v>1</v>
      </c>
      <c r="B17" t="s">
        <v>26</v>
      </c>
      <c r="C17">
        <v>0</v>
      </c>
      <c r="D17">
        <v>0</v>
      </c>
      <c r="E17">
        <v>57</v>
      </c>
      <c r="F17">
        <f t="shared" si="0"/>
        <v>57</v>
      </c>
      <c r="G17">
        <v>0</v>
      </c>
      <c r="H17">
        <v>0</v>
      </c>
      <c r="I17">
        <v>2850000</v>
      </c>
      <c r="J17">
        <f t="shared" si="1"/>
        <v>2850000</v>
      </c>
    </row>
    <row r="18" spans="1:10" x14ac:dyDescent="0.3">
      <c r="A18" t="s">
        <v>2</v>
      </c>
      <c r="B18" t="s">
        <v>31</v>
      </c>
      <c r="C18">
        <v>0</v>
      </c>
      <c r="D18">
        <v>55</v>
      </c>
      <c r="E18">
        <v>20</v>
      </c>
      <c r="F18">
        <f t="shared" si="0"/>
        <v>75</v>
      </c>
      <c r="G18">
        <v>0</v>
      </c>
      <c r="H18">
        <v>2500000</v>
      </c>
      <c r="I18">
        <v>200000</v>
      </c>
      <c r="J18">
        <f t="shared" si="1"/>
        <v>2700000</v>
      </c>
    </row>
    <row r="19" spans="1:10" x14ac:dyDescent="0.3">
      <c r="A19" t="s">
        <v>2</v>
      </c>
      <c r="B19" t="s">
        <v>34</v>
      </c>
      <c r="C19">
        <v>0</v>
      </c>
      <c r="D19">
        <v>10</v>
      </c>
      <c r="E19">
        <v>315</v>
      </c>
      <c r="F19">
        <f t="shared" si="0"/>
        <v>325</v>
      </c>
      <c r="G19">
        <v>0</v>
      </c>
      <c r="H19">
        <v>300000</v>
      </c>
      <c r="I19">
        <v>4080000</v>
      </c>
      <c r="J19">
        <f t="shared" si="1"/>
        <v>4380000</v>
      </c>
    </row>
    <row r="20" spans="1:10" x14ac:dyDescent="0.3">
      <c r="A20" t="s">
        <v>2</v>
      </c>
      <c r="B20" t="s">
        <v>38</v>
      </c>
      <c r="C20">
        <v>0</v>
      </c>
      <c r="D20">
        <v>20</v>
      </c>
      <c r="E20">
        <v>30</v>
      </c>
      <c r="F20">
        <f t="shared" si="0"/>
        <v>50</v>
      </c>
      <c r="G20">
        <v>0</v>
      </c>
      <c r="H20">
        <v>900000</v>
      </c>
      <c r="I20">
        <v>300000</v>
      </c>
      <c r="J20">
        <f t="shared" si="1"/>
        <v>1200000</v>
      </c>
    </row>
    <row r="21" spans="1:10" x14ac:dyDescent="0.3">
      <c r="A21" t="s">
        <v>2</v>
      </c>
      <c r="B21" t="s">
        <v>168</v>
      </c>
      <c r="C21">
        <v>0</v>
      </c>
      <c r="D21">
        <v>25</v>
      </c>
      <c r="E21">
        <v>75</v>
      </c>
      <c r="F21">
        <f t="shared" si="0"/>
        <v>100</v>
      </c>
      <c r="G21">
        <v>0</v>
      </c>
      <c r="H21">
        <v>625000</v>
      </c>
      <c r="I21">
        <v>1125000</v>
      </c>
      <c r="J21">
        <f t="shared" si="1"/>
        <v>1750000</v>
      </c>
    </row>
    <row r="22" spans="1:10" x14ac:dyDescent="0.3">
      <c r="A22" t="s">
        <v>2</v>
      </c>
      <c r="B22" t="s">
        <v>32</v>
      </c>
      <c r="C22">
        <v>0</v>
      </c>
      <c r="D22">
        <v>0</v>
      </c>
      <c r="E22">
        <v>86</v>
      </c>
      <c r="F22">
        <f t="shared" si="0"/>
        <v>86</v>
      </c>
      <c r="G22">
        <v>0</v>
      </c>
      <c r="H22">
        <v>0</v>
      </c>
      <c r="I22">
        <v>625000</v>
      </c>
      <c r="J22">
        <f t="shared" si="1"/>
        <v>625000</v>
      </c>
    </row>
    <row r="23" spans="1:10" x14ac:dyDescent="0.3">
      <c r="A23" t="s">
        <v>2</v>
      </c>
      <c r="B23" t="s">
        <v>37</v>
      </c>
      <c r="C23">
        <v>30</v>
      </c>
      <c r="D23">
        <v>300</v>
      </c>
      <c r="E23">
        <v>600</v>
      </c>
      <c r="F23">
        <f t="shared" si="0"/>
        <v>930</v>
      </c>
      <c r="G23">
        <v>6000000</v>
      </c>
      <c r="H23">
        <v>17000000</v>
      </c>
      <c r="I23">
        <v>8800000</v>
      </c>
      <c r="J23">
        <f t="shared" si="1"/>
        <v>31800000</v>
      </c>
    </row>
    <row r="24" spans="1:10" x14ac:dyDescent="0.3">
      <c r="A24" t="s">
        <v>2</v>
      </c>
      <c r="B24" t="s">
        <v>35</v>
      </c>
      <c r="C24">
        <v>0</v>
      </c>
      <c r="D24">
        <v>167</v>
      </c>
      <c r="E24">
        <v>439</v>
      </c>
      <c r="F24">
        <f t="shared" si="0"/>
        <v>606</v>
      </c>
      <c r="G24">
        <v>0</v>
      </c>
      <c r="H24">
        <v>9540000</v>
      </c>
      <c r="I24">
        <v>7690000</v>
      </c>
      <c r="J24">
        <f t="shared" si="1"/>
        <v>17230000</v>
      </c>
    </row>
    <row r="25" spans="1:10" x14ac:dyDescent="0.3">
      <c r="A25" t="s">
        <v>2</v>
      </c>
      <c r="B25" t="s">
        <v>36</v>
      </c>
      <c r="C25">
        <v>0</v>
      </c>
      <c r="D25">
        <v>0</v>
      </c>
      <c r="E25">
        <v>132</v>
      </c>
      <c r="F25">
        <f t="shared" si="0"/>
        <v>132</v>
      </c>
      <c r="G25">
        <v>0</v>
      </c>
      <c r="H25">
        <v>0</v>
      </c>
      <c r="I25">
        <v>2440000</v>
      </c>
      <c r="J25">
        <f t="shared" si="1"/>
        <v>2440000</v>
      </c>
    </row>
    <row r="26" spans="1:10" x14ac:dyDescent="0.3">
      <c r="A26" t="s">
        <v>2</v>
      </c>
      <c r="B26" t="s">
        <v>169</v>
      </c>
      <c r="C26">
        <v>0</v>
      </c>
      <c r="D26">
        <v>0</v>
      </c>
      <c r="E26">
        <v>60</v>
      </c>
      <c r="F26">
        <f t="shared" si="0"/>
        <v>60</v>
      </c>
      <c r="G26">
        <v>0</v>
      </c>
      <c r="H26">
        <v>0</v>
      </c>
      <c r="I26">
        <v>800000</v>
      </c>
      <c r="J26">
        <f t="shared" si="1"/>
        <v>800000</v>
      </c>
    </row>
    <row r="27" spans="1:10" x14ac:dyDescent="0.3">
      <c r="A27" t="s">
        <v>2</v>
      </c>
      <c r="B27" t="s">
        <v>33</v>
      </c>
      <c r="C27">
        <v>0</v>
      </c>
      <c r="D27">
        <v>23</v>
      </c>
      <c r="E27">
        <v>256</v>
      </c>
      <c r="F27">
        <f t="shared" si="0"/>
        <v>279</v>
      </c>
      <c r="G27">
        <v>0</v>
      </c>
      <c r="H27">
        <v>920000</v>
      </c>
      <c r="I27">
        <v>4904000</v>
      </c>
      <c r="J27">
        <f t="shared" si="1"/>
        <v>5824000</v>
      </c>
    </row>
    <row r="28" spans="1:10" x14ac:dyDescent="0.3">
      <c r="A28" t="s">
        <v>3</v>
      </c>
      <c r="B28" t="s">
        <v>39</v>
      </c>
      <c r="C28">
        <v>0</v>
      </c>
      <c r="D28">
        <v>0</v>
      </c>
      <c r="E28">
        <v>947</v>
      </c>
      <c r="F28">
        <f t="shared" si="0"/>
        <v>947</v>
      </c>
      <c r="G28">
        <v>0</v>
      </c>
      <c r="H28">
        <v>0</v>
      </c>
      <c r="I28">
        <v>61563500</v>
      </c>
      <c r="J28">
        <f t="shared" si="1"/>
        <v>61563500</v>
      </c>
    </row>
    <row r="29" spans="1:10" x14ac:dyDescent="0.3">
      <c r="A29" t="s">
        <v>3</v>
      </c>
      <c r="B29" t="s">
        <v>40</v>
      </c>
      <c r="C29">
        <v>0</v>
      </c>
      <c r="D29">
        <v>20</v>
      </c>
      <c r="E29">
        <v>0</v>
      </c>
      <c r="F29">
        <f t="shared" si="0"/>
        <v>20</v>
      </c>
      <c r="G29">
        <v>0</v>
      </c>
      <c r="H29">
        <v>30000</v>
      </c>
      <c r="I29">
        <v>0</v>
      </c>
      <c r="J29">
        <f t="shared" si="1"/>
        <v>30000</v>
      </c>
    </row>
    <row r="30" spans="1:10" x14ac:dyDescent="0.3">
      <c r="A30" t="s">
        <v>3</v>
      </c>
      <c r="B30" t="s">
        <v>42</v>
      </c>
      <c r="C30">
        <v>0</v>
      </c>
      <c r="D30">
        <v>0</v>
      </c>
      <c r="E30">
        <v>187</v>
      </c>
      <c r="F30">
        <f t="shared" si="0"/>
        <v>187</v>
      </c>
      <c r="G30">
        <v>0</v>
      </c>
      <c r="H30">
        <v>0</v>
      </c>
      <c r="I30">
        <v>14025000</v>
      </c>
      <c r="J30">
        <f t="shared" si="1"/>
        <v>14025000</v>
      </c>
    </row>
    <row r="31" spans="1:10" x14ac:dyDescent="0.3">
      <c r="A31" t="s">
        <v>3</v>
      </c>
      <c r="B31" t="s">
        <v>43</v>
      </c>
      <c r="C31">
        <v>0</v>
      </c>
      <c r="D31">
        <v>60</v>
      </c>
      <c r="E31">
        <v>690</v>
      </c>
      <c r="F31">
        <f t="shared" si="0"/>
        <v>750</v>
      </c>
      <c r="G31">
        <v>0</v>
      </c>
      <c r="H31">
        <v>6000000</v>
      </c>
      <c r="I31">
        <v>52000000</v>
      </c>
      <c r="J31">
        <f t="shared" si="1"/>
        <v>58000000</v>
      </c>
    </row>
    <row r="32" spans="1:10" x14ac:dyDescent="0.3">
      <c r="A32" t="s">
        <v>3</v>
      </c>
      <c r="B32" t="s">
        <v>45</v>
      </c>
      <c r="C32">
        <v>0</v>
      </c>
      <c r="D32">
        <v>25</v>
      </c>
      <c r="E32">
        <v>200</v>
      </c>
      <c r="F32">
        <f t="shared" si="0"/>
        <v>225</v>
      </c>
      <c r="G32">
        <v>0</v>
      </c>
      <c r="H32">
        <v>1550000</v>
      </c>
      <c r="I32">
        <v>6400000</v>
      </c>
      <c r="J32">
        <f t="shared" si="1"/>
        <v>7950000</v>
      </c>
    </row>
    <row r="33" spans="1:10" x14ac:dyDescent="0.3">
      <c r="A33" t="s">
        <v>3</v>
      </c>
      <c r="B33" t="s">
        <v>41</v>
      </c>
      <c r="C33">
        <v>0</v>
      </c>
      <c r="D33">
        <v>0</v>
      </c>
      <c r="E33">
        <v>1576</v>
      </c>
      <c r="F33">
        <f t="shared" si="0"/>
        <v>1576</v>
      </c>
      <c r="G33">
        <v>0</v>
      </c>
      <c r="H33">
        <v>0</v>
      </c>
      <c r="I33">
        <v>94014887</v>
      </c>
      <c r="J33">
        <f t="shared" si="1"/>
        <v>94014887</v>
      </c>
    </row>
    <row r="34" spans="1:10" x14ac:dyDescent="0.3">
      <c r="A34" t="s">
        <v>3</v>
      </c>
      <c r="B34" t="s">
        <v>44</v>
      </c>
      <c r="C34">
        <v>0</v>
      </c>
      <c r="D34">
        <v>0</v>
      </c>
      <c r="E34">
        <v>800</v>
      </c>
      <c r="F34">
        <f t="shared" si="0"/>
        <v>800</v>
      </c>
      <c r="G34">
        <v>0</v>
      </c>
      <c r="H34">
        <v>0</v>
      </c>
      <c r="I34">
        <v>72500000</v>
      </c>
      <c r="J34">
        <f t="shared" si="1"/>
        <v>72500000</v>
      </c>
    </row>
    <row r="35" spans="1:10" x14ac:dyDescent="0.3">
      <c r="A35" t="s">
        <v>4</v>
      </c>
      <c r="B35" t="s">
        <v>53</v>
      </c>
      <c r="C35">
        <v>0</v>
      </c>
      <c r="D35">
        <v>0</v>
      </c>
      <c r="E35">
        <v>10</v>
      </c>
      <c r="F35">
        <f t="shared" si="0"/>
        <v>10</v>
      </c>
      <c r="G35">
        <v>0</v>
      </c>
      <c r="H35">
        <v>0</v>
      </c>
      <c r="I35">
        <v>200000</v>
      </c>
      <c r="J35">
        <f t="shared" si="1"/>
        <v>200000</v>
      </c>
    </row>
    <row r="36" spans="1:10" x14ac:dyDescent="0.3">
      <c r="A36" t="s">
        <v>4</v>
      </c>
      <c r="B36" t="s">
        <v>54</v>
      </c>
      <c r="C36">
        <v>0</v>
      </c>
      <c r="D36">
        <v>0</v>
      </c>
      <c r="E36">
        <v>21</v>
      </c>
      <c r="F36">
        <f t="shared" si="0"/>
        <v>21</v>
      </c>
      <c r="G36">
        <v>0</v>
      </c>
      <c r="H36">
        <v>0</v>
      </c>
      <c r="I36">
        <v>4050000</v>
      </c>
      <c r="J36">
        <f t="shared" si="1"/>
        <v>4050000</v>
      </c>
    </row>
    <row r="37" spans="1:10" x14ac:dyDescent="0.3">
      <c r="A37" t="s">
        <v>4</v>
      </c>
      <c r="B37" t="s">
        <v>172</v>
      </c>
      <c r="C37">
        <v>0</v>
      </c>
      <c r="D37">
        <v>0</v>
      </c>
      <c r="E37">
        <v>130</v>
      </c>
      <c r="F37">
        <f t="shared" si="0"/>
        <v>130</v>
      </c>
      <c r="G37">
        <v>0</v>
      </c>
      <c r="H37">
        <v>0</v>
      </c>
      <c r="I37">
        <v>7790000</v>
      </c>
      <c r="J37">
        <f t="shared" si="1"/>
        <v>7790000</v>
      </c>
    </row>
    <row r="38" spans="1:10" x14ac:dyDescent="0.3">
      <c r="A38" t="s">
        <v>4</v>
      </c>
      <c r="B38" t="s">
        <v>55</v>
      </c>
      <c r="C38">
        <v>0</v>
      </c>
      <c r="D38">
        <v>0</v>
      </c>
      <c r="E38">
        <v>46</v>
      </c>
      <c r="F38">
        <f t="shared" si="0"/>
        <v>46</v>
      </c>
      <c r="G38">
        <v>0</v>
      </c>
      <c r="H38">
        <v>0</v>
      </c>
      <c r="I38">
        <v>2300000</v>
      </c>
      <c r="J38">
        <f t="shared" si="1"/>
        <v>2300000</v>
      </c>
    </row>
    <row r="39" spans="1:10" x14ac:dyDescent="0.3">
      <c r="A39" t="s">
        <v>4</v>
      </c>
      <c r="B39" t="s">
        <v>19</v>
      </c>
      <c r="C39">
        <v>0</v>
      </c>
      <c r="D39">
        <v>0</v>
      </c>
      <c r="E39">
        <v>107</v>
      </c>
      <c r="F39">
        <f t="shared" si="0"/>
        <v>107</v>
      </c>
      <c r="G39">
        <v>0</v>
      </c>
      <c r="H39">
        <v>0</v>
      </c>
      <c r="I39">
        <v>11850000</v>
      </c>
      <c r="J39">
        <f t="shared" si="1"/>
        <v>11850000</v>
      </c>
    </row>
    <row r="40" spans="1:10" x14ac:dyDescent="0.3">
      <c r="A40" t="s">
        <v>4</v>
      </c>
      <c r="B40" t="s">
        <v>57</v>
      </c>
      <c r="C40">
        <v>0</v>
      </c>
      <c r="D40">
        <v>0</v>
      </c>
      <c r="E40">
        <v>175</v>
      </c>
      <c r="F40">
        <f t="shared" si="0"/>
        <v>175</v>
      </c>
      <c r="G40">
        <v>0</v>
      </c>
      <c r="H40">
        <v>0</v>
      </c>
      <c r="I40">
        <v>875000</v>
      </c>
      <c r="J40">
        <f t="shared" si="1"/>
        <v>875000</v>
      </c>
    </row>
    <row r="41" spans="1:10" x14ac:dyDescent="0.3">
      <c r="A41" t="s">
        <v>4</v>
      </c>
      <c r="B41" t="s">
        <v>56</v>
      </c>
      <c r="C41">
        <v>0</v>
      </c>
      <c r="D41">
        <v>0</v>
      </c>
      <c r="E41">
        <v>28</v>
      </c>
      <c r="F41">
        <f t="shared" si="0"/>
        <v>28</v>
      </c>
      <c r="G41">
        <v>0</v>
      </c>
      <c r="H41">
        <v>0</v>
      </c>
      <c r="I41">
        <v>2900000</v>
      </c>
      <c r="J41">
        <f t="shared" si="1"/>
        <v>2900000</v>
      </c>
    </row>
    <row r="42" spans="1:10" x14ac:dyDescent="0.3">
      <c r="A42" t="s">
        <v>4</v>
      </c>
      <c r="B42" t="s">
        <v>58</v>
      </c>
      <c r="C42">
        <v>0</v>
      </c>
      <c r="D42">
        <v>30</v>
      </c>
      <c r="E42">
        <v>300</v>
      </c>
      <c r="F42">
        <f t="shared" si="0"/>
        <v>330</v>
      </c>
      <c r="G42">
        <v>0</v>
      </c>
      <c r="H42">
        <v>3300000</v>
      </c>
      <c r="I42">
        <v>9000000</v>
      </c>
      <c r="J42">
        <f t="shared" si="1"/>
        <v>12300000</v>
      </c>
    </row>
    <row r="43" spans="1:10" x14ac:dyDescent="0.3">
      <c r="A43" t="s">
        <v>5</v>
      </c>
      <c r="B43" t="s">
        <v>65</v>
      </c>
      <c r="C43">
        <v>0</v>
      </c>
      <c r="D43">
        <v>0</v>
      </c>
      <c r="E43">
        <v>100</v>
      </c>
      <c r="F43">
        <f t="shared" si="0"/>
        <v>100</v>
      </c>
      <c r="G43">
        <v>0</v>
      </c>
      <c r="H43">
        <v>0</v>
      </c>
      <c r="I43">
        <v>1000000</v>
      </c>
      <c r="J43">
        <f t="shared" si="1"/>
        <v>1000000</v>
      </c>
    </row>
    <row r="44" spans="1:10" x14ac:dyDescent="0.3">
      <c r="A44" t="s">
        <v>5</v>
      </c>
      <c r="B44" t="s">
        <v>62</v>
      </c>
      <c r="C44">
        <v>0</v>
      </c>
      <c r="D44">
        <v>0</v>
      </c>
      <c r="E44">
        <v>0</v>
      </c>
      <c r="F44">
        <f t="shared" si="0"/>
        <v>0</v>
      </c>
      <c r="G44">
        <v>0</v>
      </c>
      <c r="H44">
        <v>0</v>
      </c>
      <c r="I44">
        <v>0</v>
      </c>
      <c r="J44">
        <f t="shared" si="1"/>
        <v>0</v>
      </c>
    </row>
    <row r="45" spans="1:10" x14ac:dyDescent="0.3">
      <c r="A45" t="s">
        <v>5</v>
      </c>
      <c r="B45" t="s">
        <v>69</v>
      </c>
      <c r="C45">
        <v>0</v>
      </c>
      <c r="D45">
        <v>0</v>
      </c>
      <c r="E45">
        <v>702</v>
      </c>
      <c r="F45">
        <f t="shared" si="0"/>
        <v>702</v>
      </c>
      <c r="G45">
        <v>0</v>
      </c>
      <c r="H45">
        <v>0</v>
      </c>
      <c r="I45">
        <v>4680000</v>
      </c>
      <c r="J45">
        <f t="shared" si="1"/>
        <v>4680000</v>
      </c>
    </row>
    <row r="46" spans="1:10" x14ac:dyDescent="0.3">
      <c r="A46" t="s">
        <v>5</v>
      </c>
      <c r="B46" t="s">
        <v>71</v>
      </c>
      <c r="C46">
        <v>0</v>
      </c>
      <c r="D46">
        <v>77</v>
      </c>
      <c r="E46">
        <v>230</v>
      </c>
      <c r="F46">
        <f t="shared" si="0"/>
        <v>307</v>
      </c>
      <c r="G46">
        <v>0</v>
      </c>
      <c r="H46">
        <v>3850000</v>
      </c>
      <c r="I46">
        <v>3450000</v>
      </c>
      <c r="J46">
        <f t="shared" si="1"/>
        <v>7300000</v>
      </c>
    </row>
    <row r="47" spans="1:10" x14ac:dyDescent="0.3">
      <c r="A47" t="s">
        <v>5</v>
      </c>
      <c r="B47" t="s">
        <v>63</v>
      </c>
      <c r="C47">
        <v>0</v>
      </c>
      <c r="D47">
        <v>0</v>
      </c>
      <c r="E47">
        <v>78</v>
      </c>
      <c r="F47">
        <f t="shared" si="0"/>
        <v>78</v>
      </c>
      <c r="G47">
        <v>0</v>
      </c>
      <c r="H47">
        <v>0</v>
      </c>
      <c r="I47">
        <v>5599950</v>
      </c>
      <c r="J47">
        <f t="shared" si="1"/>
        <v>5599950</v>
      </c>
    </row>
    <row r="48" spans="1:10" x14ac:dyDescent="0.3">
      <c r="A48" t="s">
        <v>5</v>
      </c>
      <c r="B48" t="s">
        <v>68</v>
      </c>
      <c r="C48">
        <v>0</v>
      </c>
      <c r="D48">
        <v>0</v>
      </c>
      <c r="E48">
        <v>0</v>
      </c>
      <c r="F48">
        <f t="shared" si="0"/>
        <v>0</v>
      </c>
      <c r="G48">
        <v>0</v>
      </c>
      <c r="H48">
        <v>0</v>
      </c>
      <c r="I48">
        <v>0</v>
      </c>
      <c r="J48">
        <f t="shared" si="1"/>
        <v>0</v>
      </c>
    </row>
    <row r="49" spans="1:10" x14ac:dyDescent="0.3">
      <c r="A49" t="s">
        <v>5</v>
      </c>
      <c r="B49" t="s">
        <v>67</v>
      </c>
      <c r="C49">
        <v>0</v>
      </c>
      <c r="D49">
        <v>0</v>
      </c>
      <c r="E49">
        <v>100</v>
      </c>
      <c r="F49">
        <f t="shared" si="0"/>
        <v>100</v>
      </c>
      <c r="G49">
        <v>0</v>
      </c>
      <c r="H49">
        <v>0</v>
      </c>
      <c r="I49">
        <v>1000000</v>
      </c>
      <c r="J49">
        <f t="shared" si="1"/>
        <v>1000000</v>
      </c>
    </row>
    <row r="50" spans="1:10" x14ac:dyDescent="0.3">
      <c r="A50" t="s">
        <v>5</v>
      </c>
      <c r="B50" t="s">
        <v>60</v>
      </c>
      <c r="C50">
        <v>0</v>
      </c>
      <c r="D50">
        <v>0</v>
      </c>
      <c r="E50">
        <v>100</v>
      </c>
      <c r="F50">
        <f t="shared" si="0"/>
        <v>100</v>
      </c>
      <c r="G50">
        <v>0</v>
      </c>
      <c r="H50">
        <v>0</v>
      </c>
      <c r="I50">
        <v>1000000</v>
      </c>
      <c r="J50">
        <f t="shared" si="1"/>
        <v>1000000</v>
      </c>
    </row>
    <row r="51" spans="1:10" x14ac:dyDescent="0.3">
      <c r="A51" t="s">
        <v>5</v>
      </c>
      <c r="B51" t="s">
        <v>66</v>
      </c>
      <c r="C51">
        <v>0</v>
      </c>
      <c r="D51">
        <v>0</v>
      </c>
      <c r="E51">
        <v>0</v>
      </c>
      <c r="F51">
        <f t="shared" si="0"/>
        <v>0</v>
      </c>
      <c r="G51">
        <v>0</v>
      </c>
      <c r="H51">
        <v>0</v>
      </c>
      <c r="I51">
        <v>0</v>
      </c>
      <c r="J51">
        <f t="shared" si="1"/>
        <v>0</v>
      </c>
    </row>
    <row r="52" spans="1:10" x14ac:dyDescent="0.3">
      <c r="A52" t="s">
        <v>5</v>
      </c>
      <c r="B52" t="s">
        <v>154</v>
      </c>
      <c r="C52">
        <v>0</v>
      </c>
      <c r="D52">
        <v>0</v>
      </c>
      <c r="E52">
        <v>20</v>
      </c>
      <c r="F52">
        <f t="shared" si="0"/>
        <v>20</v>
      </c>
      <c r="G52">
        <v>0</v>
      </c>
      <c r="H52">
        <v>0</v>
      </c>
      <c r="I52">
        <v>5200000</v>
      </c>
      <c r="J52">
        <f t="shared" si="1"/>
        <v>5200000</v>
      </c>
    </row>
    <row r="53" spans="1:10" x14ac:dyDescent="0.3">
      <c r="A53" t="s">
        <v>5</v>
      </c>
      <c r="B53" t="s">
        <v>173</v>
      </c>
      <c r="C53">
        <v>0</v>
      </c>
      <c r="D53">
        <v>0</v>
      </c>
      <c r="E53">
        <v>0</v>
      </c>
      <c r="F53">
        <f t="shared" si="0"/>
        <v>0</v>
      </c>
      <c r="G53">
        <v>0</v>
      </c>
      <c r="H53">
        <v>0</v>
      </c>
      <c r="I53">
        <v>0</v>
      </c>
      <c r="J53">
        <f t="shared" si="1"/>
        <v>0</v>
      </c>
    </row>
    <row r="54" spans="1:10" x14ac:dyDescent="0.3">
      <c r="A54" t="s">
        <v>5</v>
      </c>
      <c r="B54" t="s">
        <v>61</v>
      </c>
      <c r="C54">
        <v>0</v>
      </c>
      <c r="D54">
        <v>0</v>
      </c>
      <c r="E54">
        <v>100</v>
      </c>
      <c r="F54">
        <f t="shared" si="0"/>
        <v>100</v>
      </c>
      <c r="G54">
        <v>0</v>
      </c>
      <c r="H54">
        <v>0</v>
      </c>
      <c r="I54">
        <v>1000000</v>
      </c>
      <c r="J54">
        <f t="shared" si="1"/>
        <v>1000000</v>
      </c>
    </row>
    <row r="55" spans="1:10" x14ac:dyDescent="0.3">
      <c r="A55" t="s">
        <v>5</v>
      </c>
      <c r="B55" t="s">
        <v>70</v>
      </c>
      <c r="C55">
        <v>0</v>
      </c>
      <c r="D55">
        <v>0</v>
      </c>
      <c r="E55">
        <v>100</v>
      </c>
      <c r="F55">
        <f t="shared" si="0"/>
        <v>100</v>
      </c>
      <c r="G55">
        <v>0</v>
      </c>
      <c r="H55">
        <v>0</v>
      </c>
      <c r="I55">
        <v>1000000</v>
      </c>
      <c r="J55">
        <f t="shared" si="1"/>
        <v>1000000</v>
      </c>
    </row>
    <row r="56" spans="1:10" x14ac:dyDescent="0.3">
      <c r="A56" t="s">
        <v>5</v>
      </c>
      <c r="B56" t="s">
        <v>64</v>
      </c>
      <c r="C56">
        <v>0</v>
      </c>
      <c r="D56">
        <v>0</v>
      </c>
      <c r="E56">
        <v>100</v>
      </c>
      <c r="F56">
        <f t="shared" si="0"/>
        <v>100</v>
      </c>
      <c r="G56">
        <v>0</v>
      </c>
      <c r="H56">
        <v>0</v>
      </c>
      <c r="I56">
        <v>1000000</v>
      </c>
      <c r="J56">
        <f t="shared" si="1"/>
        <v>1000000</v>
      </c>
    </row>
    <row r="57" spans="1:10" x14ac:dyDescent="0.3">
      <c r="A57" t="s">
        <v>5</v>
      </c>
      <c r="B57" t="s">
        <v>59</v>
      </c>
      <c r="C57">
        <v>0</v>
      </c>
      <c r="D57">
        <v>4650</v>
      </c>
      <c r="E57">
        <v>0</v>
      </c>
      <c r="F57">
        <f t="shared" si="0"/>
        <v>4650</v>
      </c>
      <c r="G57">
        <v>0</v>
      </c>
      <c r="H57">
        <v>141300000</v>
      </c>
      <c r="I57">
        <v>0</v>
      </c>
      <c r="J57">
        <f t="shared" si="1"/>
        <v>141300000</v>
      </c>
    </row>
    <row r="58" spans="1:10" x14ac:dyDescent="0.3">
      <c r="A58" t="s">
        <v>5</v>
      </c>
      <c r="B58" t="s">
        <v>153</v>
      </c>
      <c r="C58">
        <v>0</v>
      </c>
      <c r="D58">
        <v>0</v>
      </c>
      <c r="E58">
        <v>100</v>
      </c>
      <c r="F58">
        <f t="shared" si="0"/>
        <v>100</v>
      </c>
      <c r="G58">
        <v>0</v>
      </c>
      <c r="H58">
        <v>0</v>
      </c>
      <c r="I58">
        <v>1000000</v>
      </c>
      <c r="J58">
        <f t="shared" si="1"/>
        <v>1000000</v>
      </c>
    </row>
    <row r="59" spans="1:10" x14ac:dyDescent="0.3">
      <c r="A59" t="s">
        <v>6</v>
      </c>
      <c r="B59" t="s">
        <v>73</v>
      </c>
      <c r="C59">
        <v>0</v>
      </c>
      <c r="D59">
        <v>0</v>
      </c>
      <c r="E59">
        <v>49</v>
      </c>
      <c r="F59">
        <f t="shared" si="0"/>
        <v>49</v>
      </c>
      <c r="G59">
        <v>0</v>
      </c>
      <c r="H59">
        <v>0</v>
      </c>
      <c r="I59">
        <v>514500</v>
      </c>
      <c r="J59">
        <f t="shared" si="1"/>
        <v>514500</v>
      </c>
    </row>
    <row r="60" spans="1:10" x14ac:dyDescent="0.3">
      <c r="A60" t="s">
        <v>6</v>
      </c>
      <c r="B60" t="s">
        <v>76</v>
      </c>
      <c r="C60">
        <v>0</v>
      </c>
      <c r="D60">
        <v>0</v>
      </c>
      <c r="E60">
        <v>25</v>
      </c>
      <c r="F60">
        <f t="shared" si="0"/>
        <v>25</v>
      </c>
      <c r="G60">
        <v>0</v>
      </c>
      <c r="H60">
        <v>0</v>
      </c>
      <c r="I60">
        <v>262500</v>
      </c>
      <c r="J60">
        <f t="shared" si="1"/>
        <v>262500</v>
      </c>
    </row>
    <row r="61" spans="1:10" x14ac:dyDescent="0.3">
      <c r="A61" t="s">
        <v>6</v>
      </c>
      <c r="B61" t="s">
        <v>72</v>
      </c>
      <c r="C61">
        <v>0</v>
      </c>
      <c r="D61">
        <v>0</v>
      </c>
      <c r="E61">
        <v>82</v>
      </c>
      <c r="F61">
        <f t="shared" si="0"/>
        <v>82</v>
      </c>
      <c r="G61">
        <v>0</v>
      </c>
      <c r="H61">
        <v>0</v>
      </c>
      <c r="I61">
        <v>861000</v>
      </c>
      <c r="J61">
        <f t="shared" si="1"/>
        <v>861000</v>
      </c>
    </row>
    <row r="62" spans="1:10" x14ac:dyDescent="0.3">
      <c r="A62" t="s">
        <v>6</v>
      </c>
      <c r="B62" t="s">
        <v>78</v>
      </c>
      <c r="C62">
        <v>0</v>
      </c>
      <c r="D62">
        <v>0</v>
      </c>
      <c r="E62">
        <v>25</v>
      </c>
      <c r="F62">
        <f t="shared" si="0"/>
        <v>25</v>
      </c>
      <c r="G62">
        <v>0</v>
      </c>
      <c r="H62">
        <v>0</v>
      </c>
      <c r="I62">
        <v>493500</v>
      </c>
      <c r="J62">
        <f t="shared" si="1"/>
        <v>493500</v>
      </c>
    </row>
    <row r="63" spans="1:10" x14ac:dyDescent="0.3">
      <c r="A63" t="s">
        <v>6</v>
      </c>
      <c r="B63" t="s">
        <v>75</v>
      </c>
      <c r="C63">
        <v>0</v>
      </c>
      <c r="D63">
        <v>0</v>
      </c>
      <c r="E63">
        <v>566</v>
      </c>
      <c r="F63">
        <f t="shared" si="0"/>
        <v>566</v>
      </c>
      <c r="G63">
        <v>0</v>
      </c>
      <c r="H63">
        <v>0</v>
      </c>
      <c r="I63">
        <v>6667500</v>
      </c>
      <c r="J63">
        <f t="shared" si="1"/>
        <v>6667500</v>
      </c>
    </row>
    <row r="64" spans="1:10" x14ac:dyDescent="0.3">
      <c r="A64" t="s">
        <v>6</v>
      </c>
      <c r="B64" t="s">
        <v>74</v>
      </c>
      <c r="C64">
        <v>0</v>
      </c>
      <c r="D64">
        <v>0</v>
      </c>
      <c r="E64">
        <v>896</v>
      </c>
      <c r="F64">
        <f t="shared" si="0"/>
        <v>896</v>
      </c>
      <c r="G64">
        <v>0</v>
      </c>
      <c r="H64">
        <v>0</v>
      </c>
      <c r="I64">
        <v>10258500</v>
      </c>
      <c r="J64">
        <f t="shared" si="1"/>
        <v>10258500</v>
      </c>
    </row>
    <row r="65" spans="1:10" x14ac:dyDescent="0.3">
      <c r="A65" t="s">
        <v>6</v>
      </c>
      <c r="B65" t="s">
        <v>174</v>
      </c>
      <c r="C65">
        <v>0</v>
      </c>
      <c r="D65">
        <v>0</v>
      </c>
      <c r="E65">
        <v>196</v>
      </c>
      <c r="F65">
        <f t="shared" si="0"/>
        <v>196</v>
      </c>
      <c r="G65">
        <v>0</v>
      </c>
      <c r="H65">
        <v>0</v>
      </c>
      <c r="I65">
        <v>2058000</v>
      </c>
      <c r="J65">
        <f t="shared" si="1"/>
        <v>2058000</v>
      </c>
    </row>
    <row r="66" spans="1:10" x14ac:dyDescent="0.3">
      <c r="A66" t="s">
        <v>6</v>
      </c>
      <c r="B66" t="s">
        <v>77</v>
      </c>
      <c r="C66">
        <v>0</v>
      </c>
      <c r="D66">
        <v>0</v>
      </c>
      <c r="E66">
        <v>84</v>
      </c>
      <c r="F66">
        <f t="shared" si="0"/>
        <v>84</v>
      </c>
      <c r="G66">
        <v>0</v>
      </c>
      <c r="H66">
        <v>0</v>
      </c>
      <c r="I66">
        <v>1081500</v>
      </c>
      <c r="J66">
        <f t="shared" si="1"/>
        <v>1081500</v>
      </c>
    </row>
    <row r="67" spans="1:10" x14ac:dyDescent="0.3">
      <c r="A67" t="s">
        <v>7</v>
      </c>
      <c r="B67" t="s">
        <v>97</v>
      </c>
      <c r="C67">
        <v>0</v>
      </c>
      <c r="D67">
        <v>0</v>
      </c>
      <c r="E67">
        <v>0</v>
      </c>
      <c r="F67">
        <f t="shared" si="0"/>
        <v>0</v>
      </c>
      <c r="G67">
        <v>0</v>
      </c>
      <c r="H67">
        <v>0</v>
      </c>
      <c r="I67">
        <v>0</v>
      </c>
      <c r="J67">
        <f t="shared" si="1"/>
        <v>0</v>
      </c>
    </row>
    <row r="68" spans="1:10" x14ac:dyDescent="0.3">
      <c r="A68" t="s">
        <v>7</v>
      </c>
      <c r="B68" t="s">
        <v>102</v>
      </c>
      <c r="C68">
        <v>0</v>
      </c>
      <c r="D68">
        <v>0</v>
      </c>
      <c r="E68">
        <v>0</v>
      </c>
      <c r="F68">
        <f t="shared" ref="F68:F131" si="2">C68+D68+E68</f>
        <v>0</v>
      </c>
      <c r="G68">
        <v>0</v>
      </c>
      <c r="H68">
        <v>0</v>
      </c>
      <c r="I68">
        <v>0</v>
      </c>
      <c r="J68">
        <f t="shared" ref="J68:J131" si="3">G68+H68+I68</f>
        <v>0</v>
      </c>
    </row>
    <row r="69" spans="1:10" x14ac:dyDescent="0.3">
      <c r="A69" t="s">
        <v>7</v>
      </c>
      <c r="B69" t="s">
        <v>99</v>
      </c>
      <c r="C69">
        <v>0</v>
      </c>
      <c r="D69">
        <v>0</v>
      </c>
      <c r="E69">
        <v>0</v>
      </c>
      <c r="F69">
        <f t="shared" si="2"/>
        <v>0</v>
      </c>
      <c r="G69">
        <v>0</v>
      </c>
      <c r="H69">
        <v>0</v>
      </c>
      <c r="I69">
        <v>0</v>
      </c>
      <c r="J69">
        <f t="shared" si="3"/>
        <v>0</v>
      </c>
    </row>
    <row r="70" spans="1:10" x14ac:dyDescent="0.3">
      <c r="A70" t="s">
        <v>7</v>
      </c>
      <c r="B70" t="s">
        <v>100</v>
      </c>
      <c r="C70">
        <v>0</v>
      </c>
      <c r="D70">
        <v>0</v>
      </c>
      <c r="E70">
        <v>0</v>
      </c>
      <c r="F70">
        <f t="shared" si="2"/>
        <v>0</v>
      </c>
      <c r="G70">
        <v>0</v>
      </c>
      <c r="H70">
        <v>0</v>
      </c>
      <c r="I70">
        <v>0</v>
      </c>
      <c r="J70">
        <f t="shared" si="3"/>
        <v>0</v>
      </c>
    </row>
    <row r="71" spans="1:10" x14ac:dyDescent="0.3">
      <c r="A71" t="s">
        <v>7</v>
      </c>
      <c r="B71" t="s">
        <v>98</v>
      </c>
      <c r="C71">
        <v>0</v>
      </c>
      <c r="D71">
        <v>0</v>
      </c>
      <c r="E71">
        <v>11</v>
      </c>
      <c r="F71">
        <f t="shared" si="2"/>
        <v>11</v>
      </c>
      <c r="G71">
        <v>0</v>
      </c>
      <c r="H71">
        <v>0</v>
      </c>
      <c r="I71">
        <v>227000</v>
      </c>
      <c r="J71">
        <f t="shared" si="3"/>
        <v>227000</v>
      </c>
    </row>
    <row r="72" spans="1:10" x14ac:dyDescent="0.3">
      <c r="A72" t="s">
        <v>7</v>
      </c>
      <c r="B72" t="s">
        <v>101</v>
      </c>
      <c r="C72">
        <v>0</v>
      </c>
      <c r="D72">
        <v>0</v>
      </c>
      <c r="E72">
        <v>115</v>
      </c>
      <c r="F72">
        <f t="shared" si="2"/>
        <v>115</v>
      </c>
      <c r="G72">
        <v>0</v>
      </c>
      <c r="H72">
        <v>0</v>
      </c>
      <c r="I72">
        <v>1950000</v>
      </c>
      <c r="J72">
        <f t="shared" si="3"/>
        <v>1950000</v>
      </c>
    </row>
    <row r="73" spans="1:10" x14ac:dyDescent="0.3">
      <c r="A73" t="s">
        <v>148</v>
      </c>
      <c r="B73" t="s">
        <v>178</v>
      </c>
      <c r="C73">
        <v>0</v>
      </c>
      <c r="D73">
        <v>0</v>
      </c>
      <c r="E73">
        <v>154</v>
      </c>
      <c r="F73">
        <f t="shared" si="2"/>
        <v>154</v>
      </c>
      <c r="G73">
        <v>0</v>
      </c>
      <c r="H73">
        <v>0</v>
      </c>
      <c r="I73">
        <v>9240000</v>
      </c>
      <c r="J73">
        <f t="shared" si="3"/>
        <v>9240000</v>
      </c>
    </row>
    <row r="74" spans="1:10" x14ac:dyDescent="0.3">
      <c r="A74" t="s">
        <v>148</v>
      </c>
      <c r="B74" t="s">
        <v>179</v>
      </c>
      <c r="C74">
        <v>0</v>
      </c>
      <c r="D74">
        <v>0</v>
      </c>
      <c r="E74">
        <v>146</v>
      </c>
      <c r="F74">
        <f t="shared" si="2"/>
        <v>146</v>
      </c>
      <c r="G74">
        <v>0</v>
      </c>
      <c r="H74">
        <v>0</v>
      </c>
      <c r="I74">
        <v>4380000</v>
      </c>
      <c r="J74">
        <f t="shared" si="3"/>
        <v>4380000</v>
      </c>
    </row>
    <row r="75" spans="1:10" x14ac:dyDescent="0.3">
      <c r="A75" t="s">
        <v>148</v>
      </c>
      <c r="B75" t="s">
        <v>180</v>
      </c>
      <c r="C75">
        <v>0</v>
      </c>
      <c r="D75">
        <v>0</v>
      </c>
      <c r="E75">
        <v>163</v>
      </c>
      <c r="F75">
        <f t="shared" si="2"/>
        <v>163</v>
      </c>
      <c r="G75">
        <v>0</v>
      </c>
      <c r="H75">
        <v>0</v>
      </c>
      <c r="I75">
        <v>6870000</v>
      </c>
      <c r="J75">
        <f t="shared" si="3"/>
        <v>6870000</v>
      </c>
    </row>
    <row r="76" spans="1:10" x14ac:dyDescent="0.3">
      <c r="A76" t="s">
        <v>148</v>
      </c>
      <c r="B76" t="s">
        <v>181</v>
      </c>
      <c r="C76">
        <v>0</v>
      </c>
      <c r="D76">
        <v>0</v>
      </c>
      <c r="E76">
        <v>0</v>
      </c>
      <c r="F76">
        <f t="shared" si="2"/>
        <v>0</v>
      </c>
      <c r="G76">
        <v>0</v>
      </c>
      <c r="H76">
        <v>0</v>
      </c>
      <c r="I76">
        <v>0</v>
      </c>
      <c r="J76">
        <f t="shared" si="3"/>
        <v>0</v>
      </c>
    </row>
    <row r="77" spans="1:10" x14ac:dyDescent="0.3">
      <c r="A77" t="s">
        <v>148</v>
      </c>
      <c r="B77" t="s">
        <v>182</v>
      </c>
      <c r="C77">
        <v>0</v>
      </c>
      <c r="D77">
        <v>0</v>
      </c>
      <c r="E77">
        <v>150</v>
      </c>
      <c r="F77">
        <f t="shared" si="2"/>
        <v>150</v>
      </c>
      <c r="G77">
        <v>0</v>
      </c>
      <c r="H77">
        <v>0</v>
      </c>
      <c r="I77">
        <v>5850000</v>
      </c>
      <c r="J77">
        <f t="shared" si="3"/>
        <v>5850000</v>
      </c>
    </row>
    <row r="78" spans="1:10" x14ac:dyDescent="0.3">
      <c r="A78" t="s">
        <v>149</v>
      </c>
      <c r="B78" t="s">
        <v>103</v>
      </c>
      <c r="C78">
        <v>0</v>
      </c>
      <c r="D78">
        <v>0</v>
      </c>
      <c r="E78">
        <v>0</v>
      </c>
      <c r="F78">
        <f t="shared" si="2"/>
        <v>0</v>
      </c>
      <c r="G78">
        <v>0</v>
      </c>
      <c r="H78">
        <v>0</v>
      </c>
      <c r="I78">
        <v>0</v>
      </c>
      <c r="J78">
        <f t="shared" si="3"/>
        <v>0</v>
      </c>
    </row>
    <row r="79" spans="1:10" x14ac:dyDescent="0.3">
      <c r="A79" t="s">
        <v>149</v>
      </c>
      <c r="B79" t="s">
        <v>104</v>
      </c>
      <c r="C79">
        <v>0</v>
      </c>
      <c r="D79">
        <v>0</v>
      </c>
      <c r="E79">
        <v>0</v>
      </c>
      <c r="F79">
        <f t="shared" si="2"/>
        <v>0</v>
      </c>
      <c r="G79">
        <v>0</v>
      </c>
      <c r="H79">
        <v>0</v>
      </c>
      <c r="I79">
        <v>0</v>
      </c>
      <c r="J79">
        <f t="shared" si="3"/>
        <v>0</v>
      </c>
    </row>
    <row r="80" spans="1:10" x14ac:dyDescent="0.3">
      <c r="A80" t="s">
        <v>8</v>
      </c>
      <c r="B80" t="s">
        <v>105</v>
      </c>
      <c r="C80">
        <v>0</v>
      </c>
      <c r="D80">
        <v>126</v>
      </c>
      <c r="E80">
        <v>286</v>
      </c>
      <c r="F80">
        <f t="shared" si="2"/>
        <v>412</v>
      </c>
      <c r="G80">
        <v>0</v>
      </c>
      <c r="H80">
        <v>15120000</v>
      </c>
      <c r="I80">
        <v>40760000</v>
      </c>
      <c r="J80">
        <f t="shared" si="3"/>
        <v>55880000</v>
      </c>
    </row>
    <row r="81" spans="1:10" x14ac:dyDescent="0.3">
      <c r="A81" t="s">
        <v>8</v>
      </c>
      <c r="B81" t="s">
        <v>106</v>
      </c>
      <c r="C81">
        <v>0</v>
      </c>
      <c r="D81">
        <v>33</v>
      </c>
      <c r="E81">
        <v>218</v>
      </c>
      <c r="F81">
        <f t="shared" si="2"/>
        <v>251</v>
      </c>
      <c r="G81">
        <v>0</v>
      </c>
      <c r="H81">
        <v>1650000</v>
      </c>
      <c r="I81">
        <v>34280000</v>
      </c>
      <c r="J81">
        <f t="shared" si="3"/>
        <v>35930000</v>
      </c>
    </row>
    <row r="82" spans="1:10" x14ac:dyDescent="0.3">
      <c r="A82" t="s">
        <v>8</v>
      </c>
      <c r="B82" t="s">
        <v>107</v>
      </c>
      <c r="C82">
        <v>0</v>
      </c>
      <c r="D82">
        <v>370</v>
      </c>
      <c r="E82">
        <v>460</v>
      </c>
      <c r="F82">
        <f t="shared" si="2"/>
        <v>830</v>
      </c>
      <c r="G82">
        <v>0</v>
      </c>
      <c r="H82">
        <v>96200000</v>
      </c>
      <c r="I82">
        <v>12180402</v>
      </c>
      <c r="J82">
        <f t="shared" si="3"/>
        <v>108380402</v>
      </c>
    </row>
    <row r="83" spans="1:10" x14ac:dyDescent="0.3">
      <c r="A83" t="s">
        <v>8</v>
      </c>
      <c r="B83" t="s">
        <v>183</v>
      </c>
      <c r="C83">
        <v>0</v>
      </c>
      <c r="D83">
        <v>8</v>
      </c>
      <c r="E83">
        <v>47</v>
      </c>
      <c r="F83">
        <f t="shared" si="2"/>
        <v>55</v>
      </c>
      <c r="G83">
        <v>0</v>
      </c>
      <c r="H83">
        <v>200000</v>
      </c>
      <c r="I83">
        <v>470000</v>
      </c>
      <c r="J83">
        <f t="shared" si="3"/>
        <v>670000</v>
      </c>
    </row>
    <row r="84" spans="1:10" x14ac:dyDescent="0.3">
      <c r="A84" t="s">
        <v>9</v>
      </c>
      <c r="B84" t="s">
        <v>109</v>
      </c>
      <c r="C84">
        <v>0</v>
      </c>
      <c r="D84">
        <v>0</v>
      </c>
      <c r="E84">
        <v>922</v>
      </c>
      <c r="F84">
        <f t="shared" si="2"/>
        <v>922</v>
      </c>
      <c r="G84">
        <v>0</v>
      </c>
      <c r="H84">
        <v>0</v>
      </c>
      <c r="I84">
        <v>28500000</v>
      </c>
      <c r="J84">
        <f t="shared" si="3"/>
        <v>28500000</v>
      </c>
    </row>
    <row r="85" spans="1:10" x14ac:dyDescent="0.3">
      <c r="A85" t="s">
        <v>9</v>
      </c>
      <c r="B85" t="s">
        <v>108</v>
      </c>
      <c r="C85">
        <v>0</v>
      </c>
      <c r="D85">
        <v>0</v>
      </c>
      <c r="E85">
        <v>100</v>
      </c>
      <c r="F85">
        <f t="shared" si="2"/>
        <v>100</v>
      </c>
      <c r="G85">
        <v>0</v>
      </c>
      <c r="H85">
        <v>0</v>
      </c>
      <c r="I85">
        <v>5000000</v>
      </c>
      <c r="J85">
        <f t="shared" si="3"/>
        <v>5000000</v>
      </c>
    </row>
    <row r="86" spans="1:10" x14ac:dyDescent="0.3">
      <c r="A86" t="s">
        <v>9</v>
      </c>
      <c r="B86" t="s">
        <v>112</v>
      </c>
      <c r="C86">
        <v>0</v>
      </c>
      <c r="D86">
        <v>0</v>
      </c>
      <c r="E86">
        <v>250</v>
      </c>
      <c r="F86">
        <f t="shared" si="2"/>
        <v>250</v>
      </c>
      <c r="G86">
        <v>0</v>
      </c>
      <c r="H86">
        <v>0</v>
      </c>
      <c r="I86">
        <v>18800000</v>
      </c>
      <c r="J86">
        <f t="shared" si="3"/>
        <v>18800000</v>
      </c>
    </row>
    <row r="87" spans="1:10" x14ac:dyDescent="0.3">
      <c r="A87" t="s">
        <v>9</v>
      </c>
      <c r="B87" t="s">
        <v>184</v>
      </c>
      <c r="C87">
        <v>0</v>
      </c>
      <c r="D87">
        <v>0</v>
      </c>
      <c r="E87">
        <v>207</v>
      </c>
      <c r="F87">
        <f t="shared" si="2"/>
        <v>207</v>
      </c>
      <c r="G87">
        <v>0</v>
      </c>
      <c r="H87">
        <v>0</v>
      </c>
      <c r="I87">
        <v>8280000</v>
      </c>
      <c r="J87">
        <f t="shared" si="3"/>
        <v>8280000</v>
      </c>
    </row>
    <row r="88" spans="1:10" x14ac:dyDescent="0.3">
      <c r="A88" t="s">
        <v>9</v>
      </c>
      <c r="B88" t="s">
        <v>111</v>
      </c>
      <c r="C88">
        <v>0</v>
      </c>
      <c r="D88">
        <v>0</v>
      </c>
      <c r="E88">
        <v>180</v>
      </c>
      <c r="F88">
        <f t="shared" si="2"/>
        <v>180</v>
      </c>
      <c r="G88">
        <v>0</v>
      </c>
      <c r="H88">
        <v>0</v>
      </c>
      <c r="I88">
        <v>13500000</v>
      </c>
      <c r="J88">
        <f t="shared" si="3"/>
        <v>13500000</v>
      </c>
    </row>
    <row r="89" spans="1:10" x14ac:dyDescent="0.3">
      <c r="A89" t="s">
        <v>9</v>
      </c>
      <c r="B89" t="s">
        <v>115</v>
      </c>
      <c r="C89">
        <v>0</v>
      </c>
      <c r="D89">
        <v>0</v>
      </c>
      <c r="E89">
        <v>0</v>
      </c>
      <c r="F89">
        <f t="shared" si="2"/>
        <v>0</v>
      </c>
      <c r="G89">
        <v>0</v>
      </c>
      <c r="H89">
        <v>0</v>
      </c>
      <c r="I89">
        <v>0</v>
      </c>
      <c r="J89">
        <f t="shared" si="3"/>
        <v>0</v>
      </c>
    </row>
    <row r="90" spans="1:10" x14ac:dyDescent="0.3">
      <c r="A90" t="s">
        <v>9</v>
      </c>
      <c r="B90" t="s">
        <v>114</v>
      </c>
      <c r="C90">
        <v>0</v>
      </c>
      <c r="D90">
        <v>0</v>
      </c>
      <c r="E90">
        <v>0</v>
      </c>
      <c r="F90">
        <f t="shared" si="2"/>
        <v>0</v>
      </c>
      <c r="G90">
        <v>0</v>
      </c>
      <c r="H90">
        <v>0</v>
      </c>
      <c r="I90">
        <v>0</v>
      </c>
      <c r="J90">
        <f t="shared" si="3"/>
        <v>0</v>
      </c>
    </row>
    <row r="91" spans="1:10" x14ac:dyDescent="0.3">
      <c r="A91" t="s">
        <v>9</v>
      </c>
      <c r="B91" t="s">
        <v>110</v>
      </c>
      <c r="C91">
        <v>0</v>
      </c>
      <c r="D91">
        <v>0</v>
      </c>
      <c r="E91">
        <v>69</v>
      </c>
      <c r="F91">
        <f t="shared" si="2"/>
        <v>69</v>
      </c>
      <c r="G91">
        <v>0</v>
      </c>
      <c r="H91">
        <v>0</v>
      </c>
      <c r="I91">
        <v>690000</v>
      </c>
      <c r="J91">
        <f t="shared" si="3"/>
        <v>690000</v>
      </c>
    </row>
    <row r="92" spans="1:10" x14ac:dyDescent="0.3">
      <c r="A92" t="s">
        <v>9</v>
      </c>
      <c r="B92" t="s">
        <v>113</v>
      </c>
      <c r="C92">
        <v>0</v>
      </c>
      <c r="D92">
        <v>0</v>
      </c>
      <c r="E92">
        <v>1</v>
      </c>
      <c r="F92">
        <f t="shared" si="2"/>
        <v>1</v>
      </c>
      <c r="G92">
        <v>0</v>
      </c>
      <c r="H92">
        <v>0</v>
      </c>
      <c r="I92">
        <v>100000</v>
      </c>
      <c r="J92">
        <f t="shared" si="3"/>
        <v>100000</v>
      </c>
    </row>
    <row r="93" spans="1:10" x14ac:dyDescent="0.3">
      <c r="A93" t="s">
        <v>10</v>
      </c>
      <c r="B93" t="s">
        <v>117</v>
      </c>
      <c r="C93">
        <v>9</v>
      </c>
      <c r="D93">
        <v>35</v>
      </c>
      <c r="E93">
        <v>171</v>
      </c>
      <c r="F93">
        <f t="shared" si="2"/>
        <v>215</v>
      </c>
      <c r="G93">
        <v>630000</v>
      </c>
      <c r="H93">
        <v>2100000</v>
      </c>
      <c r="I93">
        <v>10500000</v>
      </c>
      <c r="J93">
        <f t="shared" si="3"/>
        <v>13230000</v>
      </c>
    </row>
    <row r="94" spans="1:10" x14ac:dyDescent="0.3">
      <c r="A94" t="s">
        <v>10</v>
      </c>
      <c r="B94" t="s">
        <v>185</v>
      </c>
      <c r="C94">
        <v>0</v>
      </c>
      <c r="D94">
        <v>0</v>
      </c>
      <c r="E94">
        <v>162</v>
      </c>
      <c r="F94">
        <f t="shared" si="2"/>
        <v>162</v>
      </c>
      <c r="G94">
        <v>0</v>
      </c>
      <c r="H94">
        <v>0</v>
      </c>
      <c r="I94">
        <v>9300000</v>
      </c>
      <c r="J94">
        <f t="shared" si="3"/>
        <v>9300000</v>
      </c>
    </row>
    <row r="95" spans="1:10" x14ac:dyDescent="0.3">
      <c r="A95" t="s">
        <v>10</v>
      </c>
      <c r="B95" t="s">
        <v>118</v>
      </c>
      <c r="C95">
        <v>0</v>
      </c>
      <c r="D95">
        <v>0</v>
      </c>
      <c r="E95">
        <v>0</v>
      </c>
      <c r="F95">
        <f t="shared" si="2"/>
        <v>0</v>
      </c>
      <c r="G95">
        <v>0</v>
      </c>
      <c r="H95">
        <v>0</v>
      </c>
      <c r="I95">
        <v>0</v>
      </c>
      <c r="J95">
        <f t="shared" si="3"/>
        <v>0</v>
      </c>
    </row>
    <row r="96" spans="1:10" x14ac:dyDescent="0.3">
      <c r="A96" t="s">
        <v>10</v>
      </c>
      <c r="B96" t="s">
        <v>119</v>
      </c>
      <c r="C96">
        <v>0</v>
      </c>
      <c r="D96">
        <v>50</v>
      </c>
      <c r="E96">
        <v>9777</v>
      </c>
      <c r="F96">
        <f t="shared" si="2"/>
        <v>9827</v>
      </c>
      <c r="G96">
        <v>0</v>
      </c>
      <c r="H96">
        <v>2500000</v>
      </c>
      <c r="I96">
        <v>537600000</v>
      </c>
      <c r="J96">
        <f t="shared" si="3"/>
        <v>540100000</v>
      </c>
    </row>
    <row r="97" spans="1:10" x14ac:dyDescent="0.3">
      <c r="A97" t="s">
        <v>10</v>
      </c>
      <c r="B97" t="s">
        <v>116</v>
      </c>
      <c r="C97">
        <v>0</v>
      </c>
      <c r="D97">
        <v>0</v>
      </c>
      <c r="E97">
        <v>1050</v>
      </c>
      <c r="F97">
        <f t="shared" si="2"/>
        <v>1050</v>
      </c>
      <c r="G97">
        <v>0</v>
      </c>
      <c r="H97">
        <v>0</v>
      </c>
      <c r="I97">
        <v>94500000</v>
      </c>
      <c r="J97">
        <f t="shared" si="3"/>
        <v>94500000</v>
      </c>
    </row>
    <row r="98" spans="1:10" x14ac:dyDescent="0.3">
      <c r="A98" t="s">
        <v>151</v>
      </c>
      <c r="B98" t="s">
        <v>123</v>
      </c>
      <c r="C98">
        <v>0</v>
      </c>
      <c r="D98">
        <v>0</v>
      </c>
      <c r="E98">
        <v>300</v>
      </c>
      <c r="F98">
        <f t="shared" si="2"/>
        <v>300</v>
      </c>
      <c r="G98">
        <v>0</v>
      </c>
      <c r="H98">
        <v>0</v>
      </c>
      <c r="I98">
        <v>9000000</v>
      </c>
      <c r="J98">
        <f t="shared" si="3"/>
        <v>9000000</v>
      </c>
    </row>
    <row r="99" spans="1:10" x14ac:dyDescent="0.3">
      <c r="A99" t="s">
        <v>151</v>
      </c>
      <c r="B99" t="s">
        <v>64</v>
      </c>
      <c r="C99">
        <v>0</v>
      </c>
      <c r="D99">
        <v>0</v>
      </c>
      <c r="E99">
        <v>380</v>
      </c>
      <c r="F99">
        <f t="shared" si="2"/>
        <v>380</v>
      </c>
      <c r="G99">
        <v>0</v>
      </c>
      <c r="H99">
        <v>0</v>
      </c>
      <c r="I99">
        <v>11400000</v>
      </c>
      <c r="J99">
        <f t="shared" si="3"/>
        <v>11400000</v>
      </c>
    </row>
    <row r="100" spans="1:10" x14ac:dyDescent="0.3">
      <c r="A100" t="s">
        <v>151</v>
      </c>
      <c r="B100" t="s">
        <v>122</v>
      </c>
      <c r="C100">
        <v>0</v>
      </c>
      <c r="D100">
        <v>0</v>
      </c>
      <c r="E100">
        <v>500</v>
      </c>
      <c r="F100">
        <f t="shared" si="2"/>
        <v>500</v>
      </c>
      <c r="G100">
        <v>0</v>
      </c>
      <c r="H100">
        <v>0</v>
      </c>
      <c r="I100">
        <v>15000000</v>
      </c>
      <c r="J100">
        <f t="shared" si="3"/>
        <v>15000000</v>
      </c>
    </row>
    <row r="101" spans="1:10" x14ac:dyDescent="0.3">
      <c r="A101" t="s">
        <v>11</v>
      </c>
      <c r="B101" t="s">
        <v>125</v>
      </c>
      <c r="C101">
        <v>0</v>
      </c>
      <c r="D101">
        <v>0</v>
      </c>
      <c r="E101">
        <v>440</v>
      </c>
      <c r="F101">
        <f t="shared" si="2"/>
        <v>440</v>
      </c>
      <c r="G101">
        <v>0</v>
      </c>
      <c r="H101">
        <v>0</v>
      </c>
      <c r="I101">
        <v>53000000</v>
      </c>
      <c r="J101">
        <f t="shared" si="3"/>
        <v>53000000</v>
      </c>
    </row>
    <row r="102" spans="1:10" x14ac:dyDescent="0.3">
      <c r="A102" t="s">
        <v>11</v>
      </c>
      <c r="B102" t="s">
        <v>127</v>
      </c>
      <c r="C102">
        <v>0</v>
      </c>
      <c r="D102">
        <v>0</v>
      </c>
      <c r="E102">
        <v>220</v>
      </c>
      <c r="F102">
        <f t="shared" si="2"/>
        <v>220</v>
      </c>
      <c r="G102">
        <v>0</v>
      </c>
      <c r="H102">
        <v>0</v>
      </c>
      <c r="I102">
        <v>22125000</v>
      </c>
      <c r="J102">
        <f t="shared" si="3"/>
        <v>22125000</v>
      </c>
    </row>
    <row r="103" spans="1:10" x14ac:dyDescent="0.3">
      <c r="A103" t="s">
        <v>11</v>
      </c>
      <c r="B103" t="s">
        <v>124</v>
      </c>
      <c r="C103">
        <v>0</v>
      </c>
      <c r="D103">
        <v>200</v>
      </c>
      <c r="E103">
        <v>270</v>
      </c>
      <c r="F103">
        <f t="shared" si="2"/>
        <v>470</v>
      </c>
      <c r="G103">
        <v>0</v>
      </c>
      <c r="H103">
        <v>25000000</v>
      </c>
      <c r="I103">
        <v>13500000</v>
      </c>
      <c r="J103">
        <f t="shared" si="3"/>
        <v>38500000</v>
      </c>
    </row>
    <row r="104" spans="1:10" x14ac:dyDescent="0.3">
      <c r="A104" t="s">
        <v>11</v>
      </c>
      <c r="B104" t="s">
        <v>186</v>
      </c>
      <c r="C104">
        <v>0</v>
      </c>
      <c r="D104">
        <v>12</v>
      </c>
      <c r="E104">
        <v>293</v>
      </c>
      <c r="F104">
        <f t="shared" si="2"/>
        <v>305</v>
      </c>
      <c r="G104">
        <v>0</v>
      </c>
      <c r="H104">
        <v>240000</v>
      </c>
      <c r="I104">
        <v>11790000</v>
      </c>
      <c r="J104">
        <f t="shared" si="3"/>
        <v>12030000</v>
      </c>
    </row>
    <row r="105" spans="1:10" x14ac:dyDescent="0.3">
      <c r="A105" t="s">
        <v>11</v>
      </c>
      <c r="B105" t="s">
        <v>126</v>
      </c>
      <c r="C105">
        <v>0</v>
      </c>
      <c r="D105">
        <v>70</v>
      </c>
      <c r="E105">
        <v>230</v>
      </c>
      <c r="F105">
        <f t="shared" si="2"/>
        <v>300</v>
      </c>
      <c r="G105">
        <v>0</v>
      </c>
      <c r="H105">
        <v>3500000</v>
      </c>
      <c r="I105">
        <v>11500000</v>
      </c>
      <c r="J105">
        <f t="shared" si="3"/>
        <v>15000000</v>
      </c>
    </row>
    <row r="106" spans="1:10" x14ac:dyDescent="0.3">
      <c r="A106" t="s">
        <v>12</v>
      </c>
      <c r="B106" t="s">
        <v>133</v>
      </c>
      <c r="C106">
        <v>0</v>
      </c>
      <c r="D106">
        <v>0</v>
      </c>
      <c r="E106">
        <v>50</v>
      </c>
      <c r="F106">
        <f t="shared" si="2"/>
        <v>50</v>
      </c>
      <c r="G106">
        <v>0</v>
      </c>
      <c r="H106">
        <v>0</v>
      </c>
      <c r="I106">
        <v>750000</v>
      </c>
      <c r="J106">
        <f t="shared" si="3"/>
        <v>750000</v>
      </c>
    </row>
    <row r="107" spans="1:10" x14ac:dyDescent="0.3">
      <c r="A107" t="s">
        <v>12</v>
      </c>
      <c r="B107" t="s">
        <v>132</v>
      </c>
      <c r="C107">
        <v>0</v>
      </c>
      <c r="D107">
        <v>0</v>
      </c>
      <c r="E107">
        <v>23</v>
      </c>
      <c r="F107">
        <f t="shared" si="2"/>
        <v>23</v>
      </c>
      <c r="G107">
        <v>0</v>
      </c>
      <c r="H107">
        <v>0</v>
      </c>
      <c r="I107">
        <v>445000</v>
      </c>
      <c r="J107">
        <f t="shared" si="3"/>
        <v>445000</v>
      </c>
    </row>
    <row r="108" spans="1:10" x14ac:dyDescent="0.3">
      <c r="A108" t="s">
        <v>12</v>
      </c>
      <c r="B108" t="s">
        <v>130</v>
      </c>
      <c r="C108">
        <v>0</v>
      </c>
      <c r="D108">
        <v>0</v>
      </c>
      <c r="E108">
        <v>7</v>
      </c>
      <c r="F108">
        <f t="shared" si="2"/>
        <v>7</v>
      </c>
      <c r="G108">
        <v>0</v>
      </c>
      <c r="H108">
        <v>0</v>
      </c>
      <c r="I108">
        <v>105000</v>
      </c>
      <c r="J108">
        <f t="shared" si="3"/>
        <v>105000</v>
      </c>
    </row>
    <row r="109" spans="1:10" x14ac:dyDescent="0.3">
      <c r="A109" t="s">
        <v>12</v>
      </c>
      <c r="B109" t="s">
        <v>128</v>
      </c>
      <c r="C109">
        <v>0</v>
      </c>
      <c r="D109">
        <v>0</v>
      </c>
      <c r="E109">
        <v>39</v>
      </c>
      <c r="F109">
        <f t="shared" si="2"/>
        <v>39</v>
      </c>
      <c r="G109">
        <v>0</v>
      </c>
      <c r="H109">
        <v>0</v>
      </c>
      <c r="I109">
        <v>805000</v>
      </c>
      <c r="J109">
        <f t="shared" si="3"/>
        <v>805000</v>
      </c>
    </row>
    <row r="110" spans="1:10" x14ac:dyDescent="0.3">
      <c r="A110" t="s">
        <v>12</v>
      </c>
      <c r="B110" t="s">
        <v>129</v>
      </c>
      <c r="C110">
        <v>0</v>
      </c>
      <c r="D110">
        <v>0</v>
      </c>
      <c r="E110">
        <v>213</v>
      </c>
      <c r="F110">
        <f t="shared" si="2"/>
        <v>213</v>
      </c>
      <c r="G110">
        <v>0</v>
      </c>
      <c r="H110">
        <v>0</v>
      </c>
      <c r="I110">
        <v>3195000</v>
      </c>
      <c r="J110">
        <f t="shared" si="3"/>
        <v>3195000</v>
      </c>
    </row>
    <row r="111" spans="1:10" x14ac:dyDescent="0.3">
      <c r="A111" t="s">
        <v>12</v>
      </c>
      <c r="B111" t="s">
        <v>131</v>
      </c>
      <c r="C111">
        <v>0</v>
      </c>
      <c r="D111">
        <v>235</v>
      </c>
      <c r="E111">
        <v>0</v>
      </c>
      <c r="F111">
        <f t="shared" si="2"/>
        <v>235</v>
      </c>
      <c r="G111">
        <v>0</v>
      </c>
      <c r="H111">
        <v>4700000</v>
      </c>
      <c r="I111">
        <v>0</v>
      </c>
      <c r="J111">
        <f t="shared" si="3"/>
        <v>4700000</v>
      </c>
    </row>
    <row r="112" spans="1:10" x14ac:dyDescent="0.3">
      <c r="A112" t="s">
        <v>12</v>
      </c>
      <c r="B112" t="s">
        <v>187</v>
      </c>
      <c r="C112">
        <v>0</v>
      </c>
      <c r="D112">
        <v>0</v>
      </c>
      <c r="E112">
        <v>10</v>
      </c>
      <c r="F112">
        <f t="shared" si="2"/>
        <v>10</v>
      </c>
      <c r="G112">
        <v>0</v>
      </c>
      <c r="H112">
        <v>0</v>
      </c>
      <c r="I112">
        <v>150000</v>
      </c>
      <c r="J112">
        <f t="shared" si="3"/>
        <v>150000</v>
      </c>
    </row>
    <row r="113" spans="1:10" x14ac:dyDescent="0.3">
      <c r="A113" t="s">
        <v>12</v>
      </c>
      <c r="B113" t="s">
        <v>134</v>
      </c>
      <c r="C113">
        <v>0</v>
      </c>
      <c r="D113">
        <v>0</v>
      </c>
      <c r="E113">
        <v>50</v>
      </c>
      <c r="F113">
        <f t="shared" si="2"/>
        <v>50</v>
      </c>
      <c r="G113">
        <v>0</v>
      </c>
      <c r="H113">
        <v>0</v>
      </c>
      <c r="I113">
        <v>1090000</v>
      </c>
      <c r="J113">
        <f t="shared" si="3"/>
        <v>1090000</v>
      </c>
    </row>
    <row r="114" spans="1:10" x14ac:dyDescent="0.3">
      <c r="A114" t="s">
        <v>13</v>
      </c>
      <c r="B114" t="s">
        <v>139</v>
      </c>
      <c r="C114">
        <v>5</v>
      </c>
      <c r="D114">
        <v>117</v>
      </c>
      <c r="E114">
        <v>1606</v>
      </c>
      <c r="F114">
        <f t="shared" si="2"/>
        <v>1728</v>
      </c>
      <c r="G114">
        <v>250000</v>
      </c>
      <c r="H114">
        <v>9049950</v>
      </c>
      <c r="I114">
        <v>44263668</v>
      </c>
      <c r="J114">
        <f t="shared" si="3"/>
        <v>53563618</v>
      </c>
    </row>
    <row r="115" spans="1:10" x14ac:dyDescent="0.3">
      <c r="A115" t="s">
        <v>13</v>
      </c>
      <c r="B115" t="s">
        <v>188</v>
      </c>
      <c r="C115">
        <v>0</v>
      </c>
      <c r="D115">
        <v>0</v>
      </c>
      <c r="E115">
        <v>0</v>
      </c>
      <c r="F115">
        <f t="shared" si="2"/>
        <v>0</v>
      </c>
      <c r="G115">
        <v>0</v>
      </c>
      <c r="H115">
        <v>0</v>
      </c>
      <c r="I115">
        <v>0</v>
      </c>
      <c r="J115">
        <f t="shared" si="3"/>
        <v>0</v>
      </c>
    </row>
    <row r="116" spans="1:10" x14ac:dyDescent="0.3">
      <c r="A116" t="s">
        <v>13</v>
      </c>
      <c r="B116" t="s">
        <v>138</v>
      </c>
      <c r="C116">
        <v>0</v>
      </c>
      <c r="D116">
        <v>0</v>
      </c>
      <c r="E116">
        <v>0</v>
      </c>
      <c r="F116">
        <f t="shared" si="2"/>
        <v>0</v>
      </c>
      <c r="G116">
        <v>0</v>
      </c>
      <c r="H116">
        <v>0</v>
      </c>
      <c r="I116">
        <v>0</v>
      </c>
      <c r="J116">
        <f t="shared" si="3"/>
        <v>0</v>
      </c>
    </row>
    <row r="117" spans="1:10" x14ac:dyDescent="0.3">
      <c r="A117" t="s">
        <v>13</v>
      </c>
      <c r="B117" t="s">
        <v>137</v>
      </c>
      <c r="C117">
        <v>0</v>
      </c>
      <c r="D117">
        <v>0</v>
      </c>
      <c r="E117">
        <v>0</v>
      </c>
      <c r="F117">
        <f t="shared" si="2"/>
        <v>0</v>
      </c>
      <c r="G117">
        <v>0</v>
      </c>
      <c r="H117">
        <v>0</v>
      </c>
      <c r="I117">
        <v>0</v>
      </c>
      <c r="J117">
        <f t="shared" si="3"/>
        <v>0</v>
      </c>
    </row>
    <row r="118" spans="1:10" x14ac:dyDescent="0.3">
      <c r="A118" t="s">
        <v>13</v>
      </c>
      <c r="B118" t="s">
        <v>135</v>
      </c>
      <c r="C118">
        <v>0</v>
      </c>
      <c r="D118">
        <v>0</v>
      </c>
      <c r="E118">
        <v>0</v>
      </c>
      <c r="F118">
        <f t="shared" si="2"/>
        <v>0</v>
      </c>
      <c r="G118">
        <v>0</v>
      </c>
      <c r="H118">
        <v>0</v>
      </c>
      <c r="I118">
        <v>0</v>
      </c>
      <c r="J118">
        <f t="shared" si="3"/>
        <v>0</v>
      </c>
    </row>
    <row r="119" spans="1:10" x14ac:dyDescent="0.3">
      <c r="A119" t="s">
        <v>13</v>
      </c>
      <c r="B119" t="s">
        <v>136</v>
      </c>
      <c r="C119">
        <v>0</v>
      </c>
      <c r="D119">
        <v>0</v>
      </c>
      <c r="E119">
        <v>0</v>
      </c>
      <c r="F119">
        <f t="shared" si="2"/>
        <v>0</v>
      </c>
      <c r="G119">
        <v>0</v>
      </c>
      <c r="H119">
        <v>0</v>
      </c>
      <c r="I119">
        <v>0</v>
      </c>
      <c r="J119">
        <f t="shared" si="3"/>
        <v>0</v>
      </c>
    </row>
    <row r="120" spans="1:10" x14ac:dyDescent="0.3">
      <c r="A120" t="s">
        <v>13</v>
      </c>
      <c r="B120" t="s">
        <v>155</v>
      </c>
      <c r="C120">
        <v>0</v>
      </c>
      <c r="D120">
        <v>0</v>
      </c>
      <c r="E120">
        <v>0</v>
      </c>
      <c r="F120">
        <f t="shared" si="2"/>
        <v>0</v>
      </c>
      <c r="G120">
        <v>0</v>
      </c>
      <c r="H120">
        <v>0</v>
      </c>
      <c r="I120">
        <v>0</v>
      </c>
      <c r="J120">
        <f t="shared" si="3"/>
        <v>0</v>
      </c>
    </row>
    <row r="121" spans="1:10" x14ac:dyDescent="0.3">
      <c r="A121" t="s">
        <v>152</v>
      </c>
      <c r="B121" t="s">
        <v>144</v>
      </c>
      <c r="C121">
        <v>0</v>
      </c>
      <c r="D121">
        <v>0</v>
      </c>
      <c r="E121">
        <v>160</v>
      </c>
      <c r="F121">
        <f t="shared" si="2"/>
        <v>160</v>
      </c>
      <c r="G121">
        <v>0</v>
      </c>
      <c r="H121">
        <v>0</v>
      </c>
      <c r="I121">
        <v>23000000</v>
      </c>
      <c r="J121">
        <f t="shared" si="3"/>
        <v>23000000</v>
      </c>
    </row>
    <row r="122" spans="1:10" x14ac:dyDescent="0.3">
      <c r="A122" t="s">
        <v>152</v>
      </c>
      <c r="B122" t="s">
        <v>189</v>
      </c>
      <c r="C122">
        <v>0</v>
      </c>
      <c r="D122">
        <v>223</v>
      </c>
      <c r="E122">
        <v>1533</v>
      </c>
      <c r="F122">
        <f t="shared" si="2"/>
        <v>1756</v>
      </c>
      <c r="G122">
        <v>0</v>
      </c>
      <c r="H122">
        <v>53000000</v>
      </c>
      <c r="I122">
        <v>181290000</v>
      </c>
      <c r="J122">
        <f t="shared" si="3"/>
        <v>234290000</v>
      </c>
    </row>
    <row r="123" spans="1:10" x14ac:dyDescent="0.3">
      <c r="A123" t="s">
        <v>152</v>
      </c>
      <c r="B123" t="s">
        <v>143</v>
      </c>
      <c r="C123">
        <v>0</v>
      </c>
      <c r="D123">
        <v>0</v>
      </c>
      <c r="E123">
        <v>288</v>
      </c>
      <c r="F123">
        <f t="shared" si="2"/>
        <v>288</v>
      </c>
      <c r="G123">
        <v>0</v>
      </c>
      <c r="H123">
        <v>0</v>
      </c>
      <c r="I123">
        <v>36470000</v>
      </c>
      <c r="J123">
        <f t="shared" si="3"/>
        <v>36470000</v>
      </c>
    </row>
    <row r="124" spans="1:10" x14ac:dyDescent="0.3">
      <c r="A124" t="s">
        <v>152</v>
      </c>
      <c r="B124" t="s">
        <v>140</v>
      </c>
      <c r="C124">
        <v>0</v>
      </c>
      <c r="D124">
        <v>50</v>
      </c>
      <c r="E124">
        <v>230</v>
      </c>
      <c r="F124">
        <f t="shared" si="2"/>
        <v>280</v>
      </c>
      <c r="G124">
        <v>0</v>
      </c>
      <c r="H124">
        <v>13000000</v>
      </c>
      <c r="I124">
        <v>26900000</v>
      </c>
      <c r="J124">
        <f t="shared" si="3"/>
        <v>39900000</v>
      </c>
    </row>
    <row r="125" spans="1:10" x14ac:dyDescent="0.3">
      <c r="A125" t="s">
        <v>152</v>
      </c>
      <c r="B125" t="s">
        <v>141</v>
      </c>
      <c r="C125">
        <v>0</v>
      </c>
      <c r="D125">
        <v>0</v>
      </c>
      <c r="E125">
        <v>129</v>
      </c>
      <c r="F125">
        <f t="shared" si="2"/>
        <v>129</v>
      </c>
      <c r="G125">
        <v>0</v>
      </c>
      <c r="H125">
        <v>0</v>
      </c>
      <c r="I125">
        <v>13890000</v>
      </c>
      <c r="J125">
        <f t="shared" si="3"/>
        <v>13890000</v>
      </c>
    </row>
    <row r="126" spans="1:10" x14ac:dyDescent="0.3">
      <c r="A126" t="s">
        <v>152</v>
      </c>
      <c r="B126" t="s">
        <v>142</v>
      </c>
      <c r="C126">
        <v>0</v>
      </c>
      <c r="D126">
        <v>0</v>
      </c>
      <c r="E126">
        <v>28</v>
      </c>
      <c r="F126">
        <f t="shared" si="2"/>
        <v>28</v>
      </c>
      <c r="G126">
        <v>0</v>
      </c>
      <c r="H126">
        <v>0</v>
      </c>
      <c r="I126">
        <v>2240000</v>
      </c>
      <c r="J126">
        <f t="shared" si="3"/>
        <v>2240000</v>
      </c>
    </row>
    <row r="127" spans="1:10" x14ac:dyDescent="0.3">
      <c r="A127" t="s">
        <v>147</v>
      </c>
      <c r="B127" t="s">
        <v>93</v>
      </c>
      <c r="C127">
        <v>20</v>
      </c>
      <c r="D127">
        <v>30</v>
      </c>
      <c r="E127">
        <v>278</v>
      </c>
      <c r="F127">
        <f t="shared" si="2"/>
        <v>328</v>
      </c>
      <c r="G127">
        <v>1000000</v>
      </c>
      <c r="H127">
        <v>900000</v>
      </c>
      <c r="I127">
        <v>3295000</v>
      </c>
      <c r="J127">
        <f t="shared" si="3"/>
        <v>5195000</v>
      </c>
    </row>
    <row r="128" spans="1:10" x14ac:dyDescent="0.3">
      <c r="A128" t="s">
        <v>147</v>
      </c>
      <c r="B128" t="s">
        <v>92</v>
      </c>
      <c r="C128">
        <v>0</v>
      </c>
      <c r="D128">
        <v>0</v>
      </c>
      <c r="E128">
        <v>1</v>
      </c>
      <c r="F128">
        <f t="shared" si="2"/>
        <v>1</v>
      </c>
      <c r="G128">
        <v>0</v>
      </c>
      <c r="H128">
        <v>0</v>
      </c>
      <c r="I128">
        <v>100000</v>
      </c>
      <c r="J128">
        <f t="shared" si="3"/>
        <v>100000</v>
      </c>
    </row>
    <row r="129" spans="1:10" x14ac:dyDescent="0.3">
      <c r="A129" t="s">
        <v>147</v>
      </c>
      <c r="B129" t="s">
        <v>94</v>
      </c>
      <c r="C129">
        <v>0</v>
      </c>
      <c r="D129">
        <v>0</v>
      </c>
      <c r="E129">
        <v>0</v>
      </c>
      <c r="F129">
        <f t="shared" si="2"/>
        <v>0</v>
      </c>
      <c r="G129">
        <v>0</v>
      </c>
      <c r="H129">
        <v>0</v>
      </c>
      <c r="I129">
        <v>0</v>
      </c>
      <c r="J129">
        <f t="shared" si="3"/>
        <v>0</v>
      </c>
    </row>
    <row r="130" spans="1:10" x14ac:dyDescent="0.3">
      <c r="A130" t="s">
        <v>147</v>
      </c>
      <c r="B130" t="s">
        <v>95</v>
      </c>
      <c r="C130">
        <v>0</v>
      </c>
      <c r="D130">
        <v>0</v>
      </c>
      <c r="E130">
        <v>0</v>
      </c>
      <c r="F130">
        <f t="shared" si="2"/>
        <v>0</v>
      </c>
      <c r="G130">
        <v>0</v>
      </c>
      <c r="H130">
        <v>0</v>
      </c>
      <c r="I130">
        <v>0</v>
      </c>
      <c r="J130">
        <f t="shared" si="3"/>
        <v>0</v>
      </c>
    </row>
    <row r="131" spans="1:10" x14ac:dyDescent="0.3">
      <c r="A131" t="s">
        <v>147</v>
      </c>
      <c r="B131" t="s">
        <v>96</v>
      </c>
      <c r="C131">
        <v>0</v>
      </c>
      <c r="D131">
        <v>0</v>
      </c>
      <c r="E131">
        <v>0</v>
      </c>
      <c r="F131">
        <f t="shared" si="2"/>
        <v>0</v>
      </c>
      <c r="G131">
        <v>0</v>
      </c>
      <c r="H131">
        <v>0</v>
      </c>
      <c r="I131">
        <v>0</v>
      </c>
      <c r="J131">
        <f t="shared" si="3"/>
        <v>0</v>
      </c>
    </row>
    <row r="132" spans="1:10" x14ac:dyDescent="0.3">
      <c r="A132" t="s">
        <v>147</v>
      </c>
      <c r="B132" t="s">
        <v>156</v>
      </c>
      <c r="C132">
        <v>0</v>
      </c>
      <c r="D132">
        <v>0</v>
      </c>
      <c r="E132">
        <v>0</v>
      </c>
      <c r="F132">
        <f t="shared" ref="F132:F161" si="4">C132+D132+E132</f>
        <v>0</v>
      </c>
      <c r="G132">
        <v>0</v>
      </c>
      <c r="H132">
        <v>0</v>
      </c>
      <c r="I132">
        <v>0</v>
      </c>
      <c r="J132">
        <f t="shared" ref="J132:J161" si="5">G132+H132+I132</f>
        <v>0</v>
      </c>
    </row>
    <row r="133" spans="1:10" x14ac:dyDescent="0.3">
      <c r="A133" t="s">
        <v>147</v>
      </c>
      <c r="B133" t="s">
        <v>157</v>
      </c>
      <c r="C133">
        <v>0</v>
      </c>
      <c r="D133">
        <v>0</v>
      </c>
      <c r="E133">
        <v>0</v>
      </c>
      <c r="F133">
        <f t="shared" si="4"/>
        <v>0</v>
      </c>
      <c r="G133">
        <v>0</v>
      </c>
      <c r="H133">
        <v>0</v>
      </c>
      <c r="I133">
        <v>0</v>
      </c>
      <c r="J133">
        <f t="shared" si="5"/>
        <v>0</v>
      </c>
    </row>
    <row r="134" spans="1:10" x14ac:dyDescent="0.3">
      <c r="A134" t="s">
        <v>146</v>
      </c>
      <c r="B134" t="s">
        <v>158</v>
      </c>
      <c r="C134">
        <v>0</v>
      </c>
      <c r="D134">
        <v>0</v>
      </c>
      <c r="E134">
        <v>28</v>
      </c>
      <c r="F134">
        <f t="shared" si="4"/>
        <v>28</v>
      </c>
      <c r="G134">
        <v>0</v>
      </c>
      <c r="H134">
        <v>0</v>
      </c>
      <c r="I134">
        <v>1500000</v>
      </c>
      <c r="J134">
        <f t="shared" si="5"/>
        <v>1500000</v>
      </c>
    </row>
    <row r="135" spans="1:10" x14ac:dyDescent="0.3">
      <c r="A135" t="s">
        <v>146</v>
      </c>
      <c r="B135" t="s">
        <v>81</v>
      </c>
      <c r="C135">
        <v>0</v>
      </c>
      <c r="D135">
        <v>0</v>
      </c>
      <c r="E135">
        <v>43</v>
      </c>
      <c r="F135">
        <f t="shared" si="4"/>
        <v>43</v>
      </c>
      <c r="G135">
        <v>0</v>
      </c>
      <c r="H135">
        <v>0</v>
      </c>
      <c r="I135">
        <v>2150000</v>
      </c>
      <c r="J135">
        <f t="shared" si="5"/>
        <v>2150000</v>
      </c>
    </row>
    <row r="136" spans="1:10" x14ac:dyDescent="0.3">
      <c r="A136" t="s">
        <v>146</v>
      </c>
      <c r="B136" t="s">
        <v>84</v>
      </c>
      <c r="C136">
        <v>0</v>
      </c>
      <c r="D136">
        <v>5</v>
      </c>
      <c r="E136">
        <v>0</v>
      </c>
      <c r="F136">
        <f t="shared" si="4"/>
        <v>5</v>
      </c>
      <c r="G136">
        <v>0</v>
      </c>
      <c r="H136">
        <v>650000</v>
      </c>
      <c r="I136">
        <v>0</v>
      </c>
      <c r="J136">
        <f t="shared" si="5"/>
        <v>650000</v>
      </c>
    </row>
    <row r="137" spans="1:10" x14ac:dyDescent="0.3">
      <c r="A137" t="s">
        <v>146</v>
      </c>
      <c r="B137" t="s">
        <v>175</v>
      </c>
      <c r="C137">
        <v>0</v>
      </c>
      <c r="D137">
        <v>0</v>
      </c>
      <c r="E137">
        <v>5</v>
      </c>
      <c r="F137">
        <f t="shared" si="4"/>
        <v>5</v>
      </c>
      <c r="G137">
        <v>0</v>
      </c>
      <c r="H137">
        <v>0</v>
      </c>
      <c r="I137">
        <v>250000</v>
      </c>
      <c r="J137">
        <f t="shared" si="5"/>
        <v>250000</v>
      </c>
    </row>
    <row r="138" spans="1:10" x14ac:dyDescent="0.3">
      <c r="A138" t="s">
        <v>146</v>
      </c>
      <c r="B138" t="s">
        <v>83</v>
      </c>
      <c r="C138">
        <v>0</v>
      </c>
      <c r="D138">
        <v>0</v>
      </c>
      <c r="E138">
        <v>0</v>
      </c>
      <c r="F138">
        <f t="shared" si="4"/>
        <v>0</v>
      </c>
      <c r="G138">
        <v>0</v>
      </c>
      <c r="H138">
        <v>0</v>
      </c>
      <c r="I138">
        <v>0</v>
      </c>
      <c r="J138">
        <f t="shared" si="5"/>
        <v>0</v>
      </c>
    </row>
    <row r="139" spans="1:10" x14ac:dyDescent="0.3">
      <c r="A139" t="s">
        <v>146</v>
      </c>
      <c r="B139" t="s">
        <v>89</v>
      </c>
      <c r="C139">
        <v>0</v>
      </c>
      <c r="D139">
        <v>0</v>
      </c>
      <c r="E139">
        <v>86</v>
      </c>
      <c r="F139">
        <f t="shared" si="4"/>
        <v>86</v>
      </c>
      <c r="G139">
        <v>0</v>
      </c>
      <c r="H139">
        <v>0</v>
      </c>
      <c r="I139">
        <v>4450000</v>
      </c>
      <c r="J139">
        <f t="shared" si="5"/>
        <v>4450000</v>
      </c>
    </row>
    <row r="140" spans="1:10" x14ac:dyDescent="0.3">
      <c r="A140" t="s">
        <v>146</v>
      </c>
      <c r="B140" t="s">
        <v>87</v>
      </c>
      <c r="C140">
        <v>0</v>
      </c>
      <c r="D140">
        <v>0</v>
      </c>
      <c r="E140">
        <v>25</v>
      </c>
      <c r="F140">
        <f t="shared" si="4"/>
        <v>25</v>
      </c>
      <c r="G140">
        <v>0</v>
      </c>
      <c r="H140">
        <v>0</v>
      </c>
      <c r="I140">
        <v>500000</v>
      </c>
      <c r="J140">
        <f t="shared" si="5"/>
        <v>500000</v>
      </c>
    </row>
    <row r="141" spans="1:10" x14ac:dyDescent="0.3">
      <c r="A141" t="s">
        <v>146</v>
      </c>
      <c r="B141" t="s">
        <v>88</v>
      </c>
      <c r="C141">
        <v>0</v>
      </c>
      <c r="D141">
        <v>31</v>
      </c>
      <c r="E141">
        <v>18</v>
      </c>
      <c r="F141">
        <f t="shared" si="4"/>
        <v>49</v>
      </c>
      <c r="G141">
        <v>0</v>
      </c>
      <c r="H141">
        <v>61000000</v>
      </c>
      <c r="I141">
        <v>1500000</v>
      </c>
      <c r="J141">
        <f t="shared" si="5"/>
        <v>62500000</v>
      </c>
    </row>
    <row r="142" spans="1:10" x14ac:dyDescent="0.3">
      <c r="A142" t="s">
        <v>146</v>
      </c>
      <c r="B142" t="s">
        <v>79</v>
      </c>
      <c r="C142">
        <v>0</v>
      </c>
      <c r="D142">
        <v>0</v>
      </c>
      <c r="E142">
        <v>232</v>
      </c>
      <c r="F142">
        <f t="shared" si="4"/>
        <v>232</v>
      </c>
      <c r="G142">
        <v>0</v>
      </c>
      <c r="H142">
        <v>0</v>
      </c>
      <c r="I142">
        <v>14800000</v>
      </c>
      <c r="J142">
        <f t="shared" si="5"/>
        <v>14800000</v>
      </c>
    </row>
    <row r="143" spans="1:10" x14ac:dyDescent="0.3">
      <c r="A143" t="s">
        <v>146</v>
      </c>
      <c r="B143" t="s">
        <v>177</v>
      </c>
      <c r="C143">
        <v>0</v>
      </c>
      <c r="D143">
        <v>0</v>
      </c>
      <c r="E143">
        <v>74</v>
      </c>
      <c r="F143">
        <f t="shared" si="4"/>
        <v>74</v>
      </c>
      <c r="G143">
        <v>0</v>
      </c>
      <c r="H143">
        <v>0</v>
      </c>
      <c r="I143">
        <v>4300000</v>
      </c>
      <c r="J143">
        <f t="shared" si="5"/>
        <v>4300000</v>
      </c>
    </row>
    <row r="144" spans="1:10" x14ac:dyDescent="0.3">
      <c r="A144" t="s">
        <v>146</v>
      </c>
      <c r="B144" t="s">
        <v>90</v>
      </c>
      <c r="C144">
        <v>0</v>
      </c>
      <c r="D144">
        <v>10</v>
      </c>
      <c r="E144">
        <v>15</v>
      </c>
      <c r="F144">
        <f t="shared" si="4"/>
        <v>25</v>
      </c>
      <c r="G144">
        <v>0</v>
      </c>
      <c r="H144">
        <v>2000000</v>
      </c>
      <c r="I144">
        <v>1000000</v>
      </c>
      <c r="J144">
        <f t="shared" si="5"/>
        <v>3000000</v>
      </c>
    </row>
    <row r="145" spans="1:10" x14ac:dyDescent="0.3">
      <c r="A145" t="s">
        <v>146</v>
      </c>
      <c r="B145" t="s">
        <v>86</v>
      </c>
      <c r="C145">
        <v>2</v>
      </c>
      <c r="D145">
        <v>12</v>
      </c>
      <c r="E145">
        <v>58</v>
      </c>
      <c r="F145">
        <f t="shared" si="4"/>
        <v>72</v>
      </c>
      <c r="G145">
        <v>400000</v>
      </c>
      <c r="H145">
        <v>3600000</v>
      </c>
      <c r="I145">
        <v>1450000</v>
      </c>
      <c r="J145">
        <f t="shared" si="5"/>
        <v>5450000</v>
      </c>
    </row>
    <row r="146" spans="1:10" x14ac:dyDescent="0.3">
      <c r="A146" t="s">
        <v>146</v>
      </c>
      <c r="B146" t="s">
        <v>80</v>
      </c>
      <c r="C146">
        <v>0</v>
      </c>
      <c r="D146">
        <v>0</v>
      </c>
      <c r="E146">
        <v>11</v>
      </c>
      <c r="F146">
        <f t="shared" si="4"/>
        <v>11</v>
      </c>
      <c r="G146">
        <v>0</v>
      </c>
      <c r="H146">
        <v>0</v>
      </c>
      <c r="I146">
        <v>750000</v>
      </c>
      <c r="J146">
        <f t="shared" si="5"/>
        <v>750000</v>
      </c>
    </row>
    <row r="147" spans="1:10" x14ac:dyDescent="0.3">
      <c r="A147" t="s">
        <v>146</v>
      </c>
      <c r="B147" t="s">
        <v>176</v>
      </c>
      <c r="C147">
        <v>0</v>
      </c>
      <c r="D147">
        <v>0</v>
      </c>
      <c r="E147">
        <v>0</v>
      </c>
      <c r="F147">
        <f t="shared" si="4"/>
        <v>0</v>
      </c>
      <c r="G147">
        <v>0</v>
      </c>
      <c r="H147">
        <v>0</v>
      </c>
      <c r="I147">
        <v>0</v>
      </c>
      <c r="J147">
        <f t="shared" si="5"/>
        <v>0</v>
      </c>
    </row>
    <row r="148" spans="1:10" x14ac:dyDescent="0.3">
      <c r="A148" t="s">
        <v>146</v>
      </c>
      <c r="B148" t="s">
        <v>91</v>
      </c>
      <c r="C148">
        <v>0</v>
      </c>
      <c r="D148">
        <v>0</v>
      </c>
      <c r="E148">
        <v>0</v>
      </c>
      <c r="F148">
        <f t="shared" si="4"/>
        <v>0</v>
      </c>
      <c r="G148">
        <v>0</v>
      </c>
      <c r="H148">
        <v>0</v>
      </c>
      <c r="I148">
        <v>0</v>
      </c>
      <c r="J148">
        <f t="shared" si="5"/>
        <v>0</v>
      </c>
    </row>
    <row r="149" spans="1:10" x14ac:dyDescent="0.3">
      <c r="A149" t="s">
        <v>146</v>
      </c>
      <c r="B149" t="s">
        <v>82</v>
      </c>
      <c r="C149">
        <v>152</v>
      </c>
      <c r="D149">
        <v>0</v>
      </c>
      <c r="E149">
        <v>30</v>
      </c>
      <c r="F149">
        <f t="shared" si="4"/>
        <v>182</v>
      </c>
      <c r="G149">
        <v>7600000</v>
      </c>
      <c r="H149">
        <v>0</v>
      </c>
      <c r="I149">
        <v>6000000</v>
      </c>
      <c r="J149">
        <f t="shared" si="5"/>
        <v>13600000</v>
      </c>
    </row>
    <row r="150" spans="1:10" x14ac:dyDescent="0.3">
      <c r="A150" t="s">
        <v>146</v>
      </c>
      <c r="B150" t="s">
        <v>85</v>
      </c>
      <c r="C150">
        <v>0</v>
      </c>
      <c r="D150">
        <v>6</v>
      </c>
      <c r="E150">
        <v>0</v>
      </c>
      <c r="F150">
        <f t="shared" si="4"/>
        <v>6</v>
      </c>
      <c r="G150">
        <v>0</v>
      </c>
      <c r="H150">
        <v>2400000</v>
      </c>
      <c r="I150">
        <v>0</v>
      </c>
      <c r="J150">
        <f t="shared" si="5"/>
        <v>2400000</v>
      </c>
    </row>
    <row r="151" spans="1:10" x14ac:dyDescent="0.3">
      <c r="A151" t="s">
        <v>150</v>
      </c>
      <c r="B151" t="s">
        <v>120</v>
      </c>
      <c r="C151">
        <v>0</v>
      </c>
      <c r="D151">
        <v>0</v>
      </c>
      <c r="E151">
        <v>1</v>
      </c>
      <c r="F151">
        <f t="shared" si="4"/>
        <v>1</v>
      </c>
      <c r="G151">
        <v>0</v>
      </c>
      <c r="H151">
        <v>0</v>
      </c>
      <c r="I151">
        <v>300000</v>
      </c>
      <c r="J151">
        <f t="shared" si="5"/>
        <v>300000</v>
      </c>
    </row>
    <row r="152" spans="1:10" x14ac:dyDescent="0.3">
      <c r="A152" t="s">
        <v>150</v>
      </c>
      <c r="B152" t="s">
        <v>121</v>
      </c>
      <c r="C152">
        <v>0</v>
      </c>
      <c r="D152">
        <v>0</v>
      </c>
      <c r="E152">
        <v>5</v>
      </c>
      <c r="F152">
        <f t="shared" si="4"/>
        <v>5</v>
      </c>
      <c r="G152">
        <v>0</v>
      </c>
      <c r="H152">
        <v>0</v>
      </c>
      <c r="I152">
        <v>500000</v>
      </c>
      <c r="J152">
        <f t="shared" si="5"/>
        <v>500000</v>
      </c>
    </row>
    <row r="153" spans="1:10" x14ac:dyDescent="0.3">
      <c r="A153" t="s">
        <v>145</v>
      </c>
      <c r="B153" t="s">
        <v>49</v>
      </c>
      <c r="C153">
        <v>0</v>
      </c>
      <c r="D153">
        <v>0</v>
      </c>
      <c r="E153">
        <v>0</v>
      </c>
      <c r="F153">
        <f t="shared" si="4"/>
        <v>0</v>
      </c>
      <c r="G153">
        <v>0</v>
      </c>
      <c r="H153">
        <v>0</v>
      </c>
      <c r="I153">
        <v>0</v>
      </c>
      <c r="J153">
        <f t="shared" si="5"/>
        <v>0</v>
      </c>
    </row>
    <row r="154" spans="1:10" x14ac:dyDescent="0.3">
      <c r="A154" t="s">
        <v>145</v>
      </c>
      <c r="B154" t="s">
        <v>50</v>
      </c>
      <c r="C154">
        <v>0</v>
      </c>
      <c r="D154">
        <v>0</v>
      </c>
      <c r="E154">
        <v>0</v>
      </c>
      <c r="F154">
        <f t="shared" si="4"/>
        <v>0</v>
      </c>
      <c r="G154">
        <v>0</v>
      </c>
      <c r="H154">
        <v>0</v>
      </c>
      <c r="I154">
        <v>0</v>
      </c>
      <c r="J154">
        <f t="shared" si="5"/>
        <v>0</v>
      </c>
    </row>
    <row r="155" spans="1:10" x14ac:dyDescent="0.3">
      <c r="A155" t="s">
        <v>145</v>
      </c>
      <c r="B155" t="s">
        <v>51</v>
      </c>
      <c r="C155">
        <v>0</v>
      </c>
      <c r="D155">
        <v>0</v>
      </c>
      <c r="E155">
        <v>20</v>
      </c>
      <c r="F155">
        <f t="shared" si="4"/>
        <v>20</v>
      </c>
      <c r="G155">
        <v>0</v>
      </c>
      <c r="H155">
        <v>0</v>
      </c>
      <c r="I155">
        <v>2730000</v>
      </c>
      <c r="J155">
        <f t="shared" si="5"/>
        <v>2730000</v>
      </c>
    </row>
    <row r="156" spans="1:10" x14ac:dyDescent="0.3">
      <c r="A156" t="s">
        <v>145</v>
      </c>
      <c r="B156" t="s">
        <v>47</v>
      </c>
      <c r="C156">
        <v>0</v>
      </c>
      <c r="D156">
        <v>0</v>
      </c>
      <c r="E156">
        <v>15</v>
      </c>
      <c r="F156">
        <f t="shared" si="4"/>
        <v>15</v>
      </c>
      <c r="G156">
        <v>0</v>
      </c>
      <c r="H156">
        <v>0</v>
      </c>
      <c r="I156">
        <v>950000</v>
      </c>
      <c r="J156">
        <f t="shared" si="5"/>
        <v>950000</v>
      </c>
    </row>
    <row r="157" spans="1:10" x14ac:dyDescent="0.3">
      <c r="A157" t="s">
        <v>145</v>
      </c>
      <c r="B157" t="s">
        <v>52</v>
      </c>
      <c r="C157">
        <v>0</v>
      </c>
      <c r="D157">
        <v>0</v>
      </c>
      <c r="E157">
        <v>14</v>
      </c>
      <c r="F157">
        <f t="shared" si="4"/>
        <v>14</v>
      </c>
      <c r="G157">
        <v>0</v>
      </c>
      <c r="H157">
        <v>0</v>
      </c>
      <c r="I157">
        <v>1400000</v>
      </c>
      <c r="J157">
        <f t="shared" si="5"/>
        <v>1400000</v>
      </c>
    </row>
    <row r="158" spans="1:10" x14ac:dyDescent="0.3">
      <c r="A158" t="s">
        <v>145</v>
      </c>
      <c r="B158" t="s">
        <v>46</v>
      </c>
      <c r="C158">
        <v>0</v>
      </c>
      <c r="D158">
        <v>0</v>
      </c>
      <c r="E158">
        <v>0</v>
      </c>
      <c r="F158">
        <f t="shared" si="4"/>
        <v>0</v>
      </c>
      <c r="G158">
        <v>0</v>
      </c>
      <c r="H158">
        <v>0</v>
      </c>
      <c r="I158">
        <v>0</v>
      </c>
      <c r="J158">
        <f t="shared" si="5"/>
        <v>0</v>
      </c>
    </row>
    <row r="159" spans="1:10" x14ac:dyDescent="0.3">
      <c r="A159" t="s">
        <v>145</v>
      </c>
      <c r="B159" t="s">
        <v>171</v>
      </c>
      <c r="C159">
        <v>0</v>
      </c>
      <c r="D159">
        <v>0</v>
      </c>
      <c r="E159">
        <v>0</v>
      </c>
      <c r="F159">
        <f t="shared" si="4"/>
        <v>0</v>
      </c>
      <c r="G159">
        <v>0</v>
      </c>
      <c r="H159">
        <v>0</v>
      </c>
      <c r="I159">
        <v>0</v>
      </c>
      <c r="J159">
        <f t="shared" si="5"/>
        <v>0</v>
      </c>
    </row>
    <row r="160" spans="1:10" x14ac:dyDescent="0.3">
      <c r="A160" t="s">
        <v>145</v>
      </c>
      <c r="B160" t="s">
        <v>170</v>
      </c>
      <c r="C160">
        <v>0</v>
      </c>
      <c r="D160">
        <v>0</v>
      </c>
      <c r="E160">
        <v>0</v>
      </c>
      <c r="F160">
        <f t="shared" si="4"/>
        <v>0</v>
      </c>
      <c r="G160">
        <v>0</v>
      </c>
      <c r="H160">
        <v>0</v>
      </c>
      <c r="I160">
        <v>0</v>
      </c>
      <c r="J160">
        <f t="shared" si="5"/>
        <v>0</v>
      </c>
    </row>
    <row r="161" spans="1:10" x14ac:dyDescent="0.3">
      <c r="A161" t="s">
        <v>145</v>
      </c>
      <c r="B161" t="s">
        <v>48</v>
      </c>
      <c r="C161">
        <v>0</v>
      </c>
      <c r="D161">
        <v>0</v>
      </c>
      <c r="E161">
        <v>0</v>
      </c>
      <c r="F161">
        <f t="shared" si="4"/>
        <v>0</v>
      </c>
      <c r="G161">
        <v>0</v>
      </c>
      <c r="H161">
        <v>0</v>
      </c>
      <c r="I161">
        <v>0</v>
      </c>
      <c r="J161">
        <f t="shared" si="5"/>
        <v>0</v>
      </c>
    </row>
  </sheetData>
  <mergeCells count="2">
    <mergeCell ref="C1:F1"/>
    <mergeCell ref="G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736AE-F99C-45C4-9672-CAAAC6EF5EAE}">
  <dimension ref="A1:H162"/>
  <sheetViews>
    <sheetView tabSelected="1" workbookViewId="0">
      <selection activeCell="J9" sqref="J9"/>
    </sheetView>
  </sheetViews>
  <sheetFormatPr defaultRowHeight="14.4" x14ac:dyDescent="0.3"/>
  <cols>
    <col min="1" max="1" width="13.44140625" bestFit="1" customWidth="1"/>
    <col min="2" max="2" width="19.88671875" bestFit="1" customWidth="1"/>
    <col min="3" max="3" width="20.88671875" bestFit="1" customWidth="1"/>
    <col min="4" max="4" width="33.109375" bestFit="1" customWidth="1"/>
    <col min="5" max="5" width="20.88671875" bestFit="1" customWidth="1"/>
    <col min="6" max="6" width="33.109375" bestFit="1" customWidth="1"/>
  </cols>
  <sheetData>
    <row r="1" spans="1:8" x14ac:dyDescent="0.3">
      <c r="C1" s="4" t="s">
        <v>159</v>
      </c>
      <c r="D1" s="4"/>
      <c r="E1" s="4" t="s">
        <v>160</v>
      </c>
      <c r="F1" s="4"/>
      <c r="G1" s="5" t="s">
        <v>191</v>
      </c>
      <c r="H1" s="5"/>
    </row>
    <row r="2" spans="1:8" x14ac:dyDescent="0.3">
      <c r="A2" t="s">
        <v>15</v>
      </c>
      <c r="B2" t="s">
        <v>190</v>
      </c>
      <c r="C2" t="s">
        <v>161</v>
      </c>
      <c r="D2" t="s">
        <v>162</v>
      </c>
      <c r="E2" t="s">
        <v>161</v>
      </c>
      <c r="F2" t="s">
        <v>162</v>
      </c>
      <c r="G2" s="6" t="s">
        <v>192</v>
      </c>
      <c r="H2" s="7" t="s">
        <v>193</v>
      </c>
    </row>
    <row r="3" spans="1:8" x14ac:dyDescent="0.3">
      <c r="A3" t="s">
        <v>0</v>
      </c>
      <c r="B3" t="s">
        <v>16</v>
      </c>
      <c r="C3" s="1">
        <v>0</v>
      </c>
      <c r="D3" s="1">
        <v>0</v>
      </c>
      <c r="E3" s="1">
        <v>7</v>
      </c>
      <c r="F3" s="1">
        <v>2884000</v>
      </c>
      <c r="G3">
        <f>C3+E3</f>
        <v>7</v>
      </c>
      <c r="H3">
        <f>D3+F3</f>
        <v>2884000</v>
      </c>
    </row>
    <row r="4" spans="1:8" x14ac:dyDescent="0.3">
      <c r="A4" t="s">
        <v>0</v>
      </c>
      <c r="B4" t="s">
        <v>18</v>
      </c>
      <c r="C4" s="1">
        <v>1</v>
      </c>
      <c r="D4" s="1">
        <v>200000</v>
      </c>
      <c r="E4" s="1">
        <v>417</v>
      </c>
      <c r="F4" s="1">
        <v>9870390</v>
      </c>
      <c r="G4">
        <f t="shared" ref="G4:G67" si="0">C4+E4</f>
        <v>418</v>
      </c>
      <c r="H4">
        <f t="shared" ref="H4:H67" si="1">D4+F4</f>
        <v>10070390</v>
      </c>
    </row>
    <row r="5" spans="1:8" x14ac:dyDescent="0.3">
      <c r="A5" t="s">
        <v>0</v>
      </c>
      <c r="B5" t="s">
        <v>19</v>
      </c>
      <c r="C5" s="1">
        <v>12</v>
      </c>
      <c r="D5" s="1">
        <v>1200000</v>
      </c>
      <c r="E5" s="1">
        <v>30.5</v>
      </c>
      <c r="F5" s="1">
        <v>1425875</v>
      </c>
      <c r="G5">
        <f t="shared" si="0"/>
        <v>42.5</v>
      </c>
      <c r="H5">
        <f t="shared" si="1"/>
        <v>2625875</v>
      </c>
    </row>
    <row r="6" spans="1:8" x14ac:dyDescent="0.3">
      <c r="A6" t="s">
        <v>0</v>
      </c>
      <c r="B6" t="s">
        <v>20</v>
      </c>
      <c r="C6" s="1">
        <v>0</v>
      </c>
      <c r="D6" s="1">
        <v>0</v>
      </c>
      <c r="E6" s="1">
        <v>142.94999999999999</v>
      </c>
      <c r="F6" s="1">
        <v>65328150</v>
      </c>
      <c r="G6">
        <f t="shared" si="0"/>
        <v>142.94999999999999</v>
      </c>
      <c r="H6">
        <f t="shared" si="1"/>
        <v>65328150</v>
      </c>
    </row>
    <row r="7" spans="1:8" x14ac:dyDescent="0.3">
      <c r="A7" t="s">
        <v>0</v>
      </c>
      <c r="B7" t="s">
        <v>22</v>
      </c>
      <c r="C7" s="1">
        <v>16</v>
      </c>
      <c r="D7" s="1">
        <v>1440000</v>
      </c>
      <c r="E7" s="1">
        <v>0</v>
      </c>
      <c r="F7" s="1">
        <v>0</v>
      </c>
      <c r="G7">
        <f t="shared" si="0"/>
        <v>16</v>
      </c>
      <c r="H7">
        <f t="shared" si="1"/>
        <v>1440000</v>
      </c>
    </row>
    <row r="8" spans="1:8" x14ac:dyDescent="0.3">
      <c r="A8" t="s">
        <v>0</v>
      </c>
      <c r="B8" t="s">
        <v>23</v>
      </c>
      <c r="C8" s="1">
        <v>0</v>
      </c>
      <c r="D8" s="1">
        <v>0</v>
      </c>
      <c r="E8" s="1">
        <v>0</v>
      </c>
      <c r="F8" s="1">
        <v>0</v>
      </c>
      <c r="G8">
        <f t="shared" si="0"/>
        <v>0</v>
      </c>
      <c r="H8">
        <f t="shared" si="1"/>
        <v>0</v>
      </c>
    </row>
    <row r="9" spans="1:8" x14ac:dyDescent="0.3">
      <c r="A9" t="s">
        <v>0</v>
      </c>
      <c r="B9" t="s">
        <v>24</v>
      </c>
      <c r="C9" s="1">
        <v>38</v>
      </c>
      <c r="D9" s="1">
        <v>4159974</v>
      </c>
      <c r="E9" s="1">
        <v>0</v>
      </c>
      <c r="F9" s="1">
        <v>0</v>
      </c>
      <c r="G9">
        <f t="shared" si="0"/>
        <v>38</v>
      </c>
      <c r="H9">
        <f t="shared" si="1"/>
        <v>4159974</v>
      </c>
    </row>
    <row r="10" spans="1:8" x14ac:dyDescent="0.3">
      <c r="A10" t="s">
        <v>0</v>
      </c>
      <c r="B10" t="s">
        <v>17</v>
      </c>
      <c r="C10" s="1">
        <v>0.5</v>
      </c>
      <c r="D10" s="1">
        <v>300000</v>
      </c>
      <c r="E10" s="1">
        <v>74.5</v>
      </c>
      <c r="F10" s="1">
        <v>1877400</v>
      </c>
      <c r="G10">
        <f t="shared" si="0"/>
        <v>75</v>
      </c>
      <c r="H10">
        <f t="shared" si="1"/>
        <v>2177400</v>
      </c>
    </row>
    <row r="11" spans="1:8" x14ac:dyDescent="0.3">
      <c r="A11" t="s">
        <v>0</v>
      </c>
      <c r="B11" t="s">
        <v>21</v>
      </c>
      <c r="C11" s="1">
        <v>0.5</v>
      </c>
      <c r="D11" s="1">
        <v>28000</v>
      </c>
      <c r="E11" s="1">
        <v>1.5</v>
      </c>
      <c r="F11" s="1">
        <v>30000</v>
      </c>
      <c r="G11">
        <f t="shared" si="0"/>
        <v>2</v>
      </c>
      <c r="H11">
        <f t="shared" si="1"/>
        <v>58000</v>
      </c>
    </row>
    <row r="12" spans="1:8" x14ac:dyDescent="0.3">
      <c r="A12" t="s">
        <v>1</v>
      </c>
      <c r="B12" t="s">
        <v>27</v>
      </c>
      <c r="C12" s="1">
        <v>2</v>
      </c>
      <c r="D12" s="1">
        <v>1760000</v>
      </c>
      <c r="E12" s="1">
        <v>4</v>
      </c>
      <c r="F12" s="1">
        <v>1760000</v>
      </c>
      <c r="G12">
        <f t="shared" si="0"/>
        <v>6</v>
      </c>
      <c r="H12">
        <f t="shared" si="1"/>
        <v>3520000</v>
      </c>
    </row>
    <row r="13" spans="1:8" x14ac:dyDescent="0.3">
      <c r="A13" t="s">
        <v>1</v>
      </c>
      <c r="B13" t="s">
        <v>25</v>
      </c>
      <c r="C13" s="1">
        <v>2</v>
      </c>
      <c r="D13" s="1">
        <v>1760000</v>
      </c>
      <c r="E13" s="1">
        <v>3.5</v>
      </c>
      <c r="F13" s="1">
        <v>1540000</v>
      </c>
      <c r="G13">
        <f t="shared" si="0"/>
        <v>5.5</v>
      </c>
      <c r="H13">
        <f t="shared" si="1"/>
        <v>3300000</v>
      </c>
    </row>
    <row r="14" spans="1:8" x14ac:dyDescent="0.3">
      <c r="A14" t="s">
        <v>1</v>
      </c>
      <c r="B14" t="s">
        <v>30</v>
      </c>
      <c r="C14" s="1">
        <v>2</v>
      </c>
      <c r="D14" s="1">
        <v>1760000</v>
      </c>
      <c r="E14" s="1">
        <v>3</v>
      </c>
      <c r="F14" s="1">
        <v>1320000</v>
      </c>
      <c r="G14">
        <f t="shared" si="0"/>
        <v>5</v>
      </c>
      <c r="H14">
        <f t="shared" si="1"/>
        <v>3080000</v>
      </c>
    </row>
    <row r="15" spans="1:8" x14ac:dyDescent="0.3">
      <c r="A15" t="s">
        <v>1</v>
      </c>
      <c r="B15" t="s">
        <v>29</v>
      </c>
      <c r="C15" s="1">
        <v>2</v>
      </c>
      <c r="D15" s="1">
        <v>1760000</v>
      </c>
      <c r="E15" s="1">
        <v>2.5</v>
      </c>
      <c r="F15" s="1">
        <v>1100000</v>
      </c>
      <c r="G15">
        <f t="shared" si="0"/>
        <v>4.5</v>
      </c>
      <c r="H15">
        <f t="shared" si="1"/>
        <v>2860000</v>
      </c>
    </row>
    <row r="16" spans="1:8" x14ac:dyDescent="0.3">
      <c r="A16" t="s">
        <v>1</v>
      </c>
      <c r="B16" t="s">
        <v>28</v>
      </c>
      <c r="C16" s="1">
        <v>1.5</v>
      </c>
      <c r="D16" s="1">
        <v>1320000</v>
      </c>
      <c r="E16" s="1">
        <v>2.5</v>
      </c>
      <c r="F16" s="1">
        <v>1100000</v>
      </c>
      <c r="G16">
        <f t="shared" si="0"/>
        <v>4</v>
      </c>
      <c r="H16">
        <f t="shared" si="1"/>
        <v>2420000</v>
      </c>
    </row>
    <row r="17" spans="1:8" x14ac:dyDescent="0.3">
      <c r="A17" t="s">
        <v>1</v>
      </c>
      <c r="B17" t="s">
        <v>26</v>
      </c>
      <c r="C17" s="1">
        <v>1.5</v>
      </c>
      <c r="D17" s="1">
        <v>1320000</v>
      </c>
      <c r="E17" s="1">
        <v>2.5</v>
      </c>
      <c r="F17" s="1">
        <v>1100000</v>
      </c>
      <c r="G17">
        <f t="shared" si="0"/>
        <v>4</v>
      </c>
      <c r="H17">
        <f t="shared" si="1"/>
        <v>2420000</v>
      </c>
    </row>
    <row r="18" spans="1:8" x14ac:dyDescent="0.3">
      <c r="A18" t="s">
        <v>2</v>
      </c>
      <c r="B18" t="s">
        <v>31</v>
      </c>
      <c r="C18" s="1">
        <v>1.36</v>
      </c>
      <c r="D18" s="1">
        <v>198651.12</v>
      </c>
      <c r="E18" s="1">
        <v>30</v>
      </c>
      <c r="F18" s="1">
        <v>90000</v>
      </c>
      <c r="G18">
        <f t="shared" si="0"/>
        <v>31.36</v>
      </c>
      <c r="H18">
        <f t="shared" si="1"/>
        <v>288651.12</v>
      </c>
    </row>
    <row r="19" spans="1:8" x14ac:dyDescent="0.3">
      <c r="A19" t="s">
        <v>2</v>
      </c>
      <c r="B19" t="s">
        <v>34</v>
      </c>
      <c r="C19" s="1">
        <v>0</v>
      </c>
      <c r="D19" s="1">
        <v>0</v>
      </c>
      <c r="E19" s="1">
        <v>15.48</v>
      </c>
      <c r="F19" s="1">
        <v>1548000</v>
      </c>
      <c r="G19">
        <f t="shared" si="0"/>
        <v>15.48</v>
      </c>
      <c r="H19">
        <f t="shared" si="1"/>
        <v>1548000</v>
      </c>
    </row>
    <row r="20" spans="1:8" x14ac:dyDescent="0.3">
      <c r="A20" t="s">
        <v>2</v>
      </c>
      <c r="B20" t="s">
        <v>38</v>
      </c>
      <c r="C20" s="1">
        <v>0</v>
      </c>
      <c r="D20" s="1">
        <v>0</v>
      </c>
      <c r="E20" s="1">
        <v>2000</v>
      </c>
      <c r="F20" s="1">
        <v>10000000</v>
      </c>
      <c r="G20">
        <f t="shared" si="0"/>
        <v>2000</v>
      </c>
      <c r="H20">
        <f t="shared" si="1"/>
        <v>10000000</v>
      </c>
    </row>
    <row r="21" spans="1:8" x14ac:dyDescent="0.3">
      <c r="A21" t="s">
        <v>2</v>
      </c>
      <c r="B21" t="s">
        <v>168</v>
      </c>
      <c r="C21" s="1">
        <v>5.69</v>
      </c>
      <c r="D21" s="1">
        <v>113800</v>
      </c>
      <c r="E21" s="1">
        <v>1400</v>
      </c>
      <c r="F21" s="1">
        <v>14000000</v>
      </c>
      <c r="G21">
        <f t="shared" si="0"/>
        <v>1405.69</v>
      </c>
      <c r="H21">
        <f t="shared" si="1"/>
        <v>14113800</v>
      </c>
    </row>
    <row r="22" spans="1:8" x14ac:dyDescent="0.3">
      <c r="A22" t="s">
        <v>2</v>
      </c>
      <c r="B22" t="s">
        <v>32</v>
      </c>
      <c r="C22" s="1">
        <v>10.78</v>
      </c>
      <c r="D22" s="1">
        <v>1396980.2</v>
      </c>
      <c r="E22" s="1">
        <v>477</v>
      </c>
      <c r="F22" s="1">
        <v>30902445</v>
      </c>
      <c r="G22">
        <f t="shared" si="0"/>
        <v>487.78</v>
      </c>
      <c r="H22">
        <f t="shared" si="1"/>
        <v>32299425.199999999</v>
      </c>
    </row>
    <row r="23" spans="1:8" x14ac:dyDescent="0.3">
      <c r="A23" t="s">
        <v>2</v>
      </c>
      <c r="B23" t="s">
        <v>37</v>
      </c>
      <c r="C23" s="1">
        <v>0</v>
      </c>
      <c r="D23" s="1">
        <v>0</v>
      </c>
      <c r="E23" s="1">
        <v>870</v>
      </c>
      <c r="F23" s="1">
        <v>1740000</v>
      </c>
      <c r="G23">
        <f t="shared" si="0"/>
        <v>870</v>
      </c>
      <c r="H23">
        <f t="shared" si="1"/>
        <v>1740000</v>
      </c>
    </row>
    <row r="24" spans="1:8" x14ac:dyDescent="0.3">
      <c r="A24" t="s">
        <v>2</v>
      </c>
      <c r="B24" t="s">
        <v>35</v>
      </c>
      <c r="C24" s="1">
        <v>0</v>
      </c>
      <c r="D24" s="1">
        <v>0</v>
      </c>
      <c r="E24" s="1">
        <v>382</v>
      </c>
      <c r="F24" s="1">
        <v>681870</v>
      </c>
      <c r="G24">
        <f t="shared" si="0"/>
        <v>382</v>
      </c>
      <c r="H24">
        <f t="shared" si="1"/>
        <v>681870</v>
      </c>
    </row>
    <row r="25" spans="1:8" x14ac:dyDescent="0.3">
      <c r="A25" t="s">
        <v>2</v>
      </c>
      <c r="B25" t="s">
        <v>36</v>
      </c>
      <c r="C25" s="1">
        <v>10</v>
      </c>
      <c r="D25" s="1">
        <v>1200000</v>
      </c>
      <c r="E25" s="1">
        <v>2314</v>
      </c>
      <c r="F25" s="1">
        <v>46858500</v>
      </c>
      <c r="G25">
        <f t="shared" si="0"/>
        <v>2324</v>
      </c>
      <c r="H25">
        <f t="shared" si="1"/>
        <v>48058500</v>
      </c>
    </row>
    <row r="26" spans="1:8" x14ac:dyDescent="0.3">
      <c r="A26" t="s">
        <v>2</v>
      </c>
      <c r="B26" t="s">
        <v>169</v>
      </c>
      <c r="C26" s="1">
        <v>0</v>
      </c>
      <c r="D26" s="1">
        <v>0</v>
      </c>
      <c r="E26" s="1">
        <v>0</v>
      </c>
      <c r="F26" s="1">
        <v>0</v>
      </c>
      <c r="G26">
        <f t="shared" si="0"/>
        <v>0</v>
      </c>
      <c r="H26">
        <f t="shared" si="1"/>
        <v>0</v>
      </c>
    </row>
    <row r="27" spans="1:8" x14ac:dyDescent="0.3">
      <c r="A27" t="s">
        <v>2</v>
      </c>
      <c r="B27" t="s">
        <v>33</v>
      </c>
      <c r="C27" s="1">
        <v>0</v>
      </c>
      <c r="D27" s="1">
        <v>0</v>
      </c>
      <c r="E27" s="1">
        <v>0</v>
      </c>
      <c r="F27" s="1">
        <v>0</v>
      </c>
      <c r="G27">
        <f t="shared" si="0"/>
        <v>0</v>
      </c>
      <c r="H27">
        <f t="shared" si="1"/>
        <v>0</v>
      </c>
    </row>
    <row r="28" spans="1:8" x14ac:dyDescent="0.3">
      <c r="A28" t="s">
        <v>3</v>
      </c>
      <c r="B28" t="s">
        <v>39</v>
      </c>
      <c r="C28" s="1">
        <v>282</v>
      </c>
      <c r="D28" s="1">
        <v>14100000</v>
      </c>
      <c r="E28" s="1">
        <v>60</v>
      </c>
      <c r="F28" s="1">
        <v>900000</v>
      </c>
      <c r="G28">
        <f t="shared" si="0"/>
        <v>342</v>
      </c>
      <c r="H28">
        <f t="shared" si="1"/>
        <v>15000000</v>
      </c>
    </row>
    <row r="29" spans="1:8" x14ac:dyDescent="0.3">
      <c r="A29" t="s">
        <v>3</v>
      </c>
      <c r="B29" t="s">
        <v>40</v>
      </c>
      <c r="C29" s="1">
        <v>331</v>
      </c>
      <c r="D29" s="1">
        <v>19860000</v>
      </c>
      <c r="E29" s="1">
        <v>3</v>
      </c>
      <c r="F29" s="1">
        <v>45000</v>
      </c>
      <c r="G29">
        <f t="shared" si="0"/>
        <v>334</v>
      </c>
      <c r="H29">
        <f t="shared" si="1"/>
        <v>19905000</v>
      </c>
    </row>
    <row r="30" spans="1:8" x14ac:dyDescent="0.3">
      <c r="A30" t="s">
        <v>3</v>
      </c>
      <c r="B30" t="s">
        <v>42</v>
      </c>
      <c r="C30" s="1">
        <v>0</v>
      </c>
      <c r="D30" s="1">
        <v>0</v>
      </c>
      <c r="E30" s="1">
        <v>155</v>
      </c>
      <c r="F30" s="1">
        <v>17099910</v>
      </c>
      <c r="G30">
        <f t="shared" si="0"/>
        <v>155</v>
      </c>
      <c r="H30">
        <f t="shared" si="1"/>
        <v>17099910</v>
      </c>
    </row>
    <row r="31" spans="1:8" x14ac:dyDescent="0.3">
      <c r="A31" t="s">
        <v>3</v>
      </c>
      <c r="B31" t="s">
        <v>43</v>
      </c>
      <c r="C31" s="1">
        <v>0</v>
      </c>
      <c r="D31" s="1">
        <v>0</v>
      </c>
      <c r="E31" s="1">
        <v>194.9</v>
      </c>
      <c r="F31" s="1">
        <v>17299908.699999999</v>
      </c>
      <c r="G31">
        <f t="shared" si="0"/>
        <v>194.9</v>
      </c>
      <c r="H31">
        <f t="shared" si="1"/>
        <v>17299908.699999999</v>
      </c>
    </row>
    <row r="32" spans="1:8" x14ac:dyDescent="0.3">
      <c r="A32" t="s">
        <v>3</v>
      </c>
      <c r="B32" t="s">
        <v>45</v>
      </c>
      <c r="C32" s="1">
        <v>0</v>
      </c>
      <c r="D32" s="1">
        <v>0</v>
      </c>
      <c r="E32" s="1">
        <v>36.65</v>
      </c>
      <c r="F32" s="1">
        <v>249256.65</v>
      </c>
      <c r="G32">
        <f t="shared" si="0"/>
        <v>36.65</v>
      </c>
      <c r="H32">
        <f t="shared" si="1"/>
        <v>249256.65</v>
      </c>
    </row>
    <row r="33" spans="1:8" x14ac:dyDescent="0.3">
      <c r="A33" t="s">
        <v>3</v>
      </c>
      <c r="B33" t="s">
        <v>41</v>
      </c>
      <c r="C33" s="1">
        <v>50</v>
      </c>
      <c r="D33" s="1">
        <v>11200000</v>
      </c>
      <c r="E33" s="1">
        <v>100</v>
      </c>
      <c r="F33" s="1">
        <v>7500000</v>
      </c>
      <c r="G33">
        <f t="shared" si="0"/>
        <v>150</v>
      </c>
      <c r="H33">
        <f t="shared" si="1"/>
        <v>18700000</v>
      </c>
    </row>
    <row r="34" spans="1:8" x14ac:dyDescent="0.3">
      <c r="A34" t="s">
        <v>3</v>
      </c>
      <c r="B34" t="s">
        <v>44</v>
      </c>
      <c r="C34" s="1">
        <v>0</v>
      </c>
      <c r="D34" s="1">
        <v>0</v>
      </c>
      <c r="E34" s="1">
        <v>0</v>
      </c>
      <c r="F34" s="1">
        <v>0</v>
      </c>
      <c r="G34">
        <f t="shared" si="0"/>
        <v>0</v>
      </c>
      <c r="H34">
        <f t="shared" si="1"/>
        <v>0</v>
      </c>
    </row>
    <row r="35" spans="1:8" x14ac:dyDescent="0.3">
      <c r="A35" t="s">
        <v>4</v>
      </c>
      <c r="B35" t="s">
        <v>53</v>
      </c>
      <c r="C35" s="1">
        <v>0</v>
      </c>
      <c r="D35" s="1">
        <v>0</v>
      </c>
      <c r="E35" s="1">
        <v>0</v>
      </c>
      <c r="F35" s="1">
        <v>0</v>
      </c>
      <c r="G35">
        <f t="shared" si="0"/>
        <v>0</v>
      </c>
      <c r="H35">
        <f t="shared" si="1"/>
        <v>0</v>
      </c>
    </row>
    <row r="36" spans="1:8" x14ac:dyDescent="0.3">
      <c r="A36" t="s">
        <v>4</v>
      </c>
      <c r="B36" t="s">
        <v>54</v>
      </c>
      <c r="C36" s="1">
        <v>0</v>
      </c>
      <c r="D36" s="1">
        <v>0</v>
      </c>
      <c r="E36" s="1">
        <v>76</v>
      </c>
      <c r="F36" s="1">
        <v>85500</v>
      </c>
      <c r="G36">
        <f t="shared" si="0"/>
        <v>76</v>
      </c>
      <c r="H36">
        <f t="shared" si="1"/>
        <v>85500</v>
      </c>
    </row>
    <row r="37" spans="1:8" x14ac:dyDescent="0.3">
      <c r="A37" t="s">
        <v>4</v>
      </c>
      <c r="B37" t="s">
        <v>172</v>
      </c>
      <c r="C37" s="1">
        <v>7.5</v>
      </c>
      <c r="D37" s="1">
        <v>2250000</v>
      </c>
      <c r="E37" s="1">
        <v>0</v>
      </c>
      <c r="F37" s="1">
        <v>0</v>
      </c>
      <c r="G37">
        <f t="shared" si="0"/>
        <v>7.5</v>
      </c>
      <c r="H37">
        <f t="shared" si="1"/>
        <v>2250000</v>
      </c>
    </row>
    <row r="38" spans="1:8" x14ac:dyDescent="0.3">
      <c r="A38" t="s">
        <v>4</v>
      </c>
      <c r="B38" t="s">
        <v>55</v>
      </c>
      <c r="C38" s="1">
        <v>16</v>
      </c>
      <c r="D38" s="1">
        <v>8000000</v>
      </c>
      <c r="E38" s="1">
        <v>0</v>
      </c>
      <c r="F38" s="1">
        <v>0</v>
      </c>
      <c r="G38">
        <f t="shared" si="0"/>
        <v>16</v>
      </c>
      <c r="H38">
        <f t="shared" si="1"/>
        <v>8000000</v>
      </c>
    </row>
    <row r="39" spans="1:8" x14ac:dyDescent="0.3">
      <c r="A39" t="s">
        <v>4</v>
      </c>
      <c r="B39" t="s">
        <v>19</v>
      </c>
      <c r="C39" s="1">
        <v>0</v>
      </c>
      <c r="D39" s="1">
        <v>0</v>
      </c>
      <c r="E39" s="1">
        <v>0</v>
      </c>
      <c r="F39" s="1">
        <v>0</v>
      </c>
      <c r="G39">
        <f t="shared" si="0"/>
        <v>0</v>
      </c>
      <c r="H39">
        <f t="shared" si="1"/>
        <v>0</v>
      </c>
    </row>
    <row r="40" spans="1:8" x14ac:dyDescent="0.3">
      <c r="A40" t="s">
        <v>4</v>
      </c>
      <c r="B40" t="s">
        <v>57</v>
      </c>
      <c r="C40" s="1">
        <v>0</v>
      </c>
      <c r="D40" s="1">
        <v>0</v>
      </c>
      <c r="E40" s="1">
        <v>15</v>
      </c>
      <c r="F40" s="1">
        <v>225000</v>
      </c>
      <c r="G40">
        <f t="shared" si="0"/>
        <v>15</v>
      </c>
      <c r="H40">
        <f t="shared" si="1"/>
        <v>225000</v>
      </c>
    </row>
    <row r="41" spans="1:8" x14ac:dyDescent="0.3">
      <c r="A41" t="s">
        <v>4</v>
      </c>
      <c r="B41" t="s">
        <v>56</v>
      </c>
      <c r="C41" s="1">
        <v>0</v>
      </c>
      <c r="D41" s="1">
        <v>0</v>
      </c>
      <c r="E41" s="1">
        <v>3</v>
      </c>
      <c r="F41" s="1">
        <v>120000</v>
      </c>
      <c r="G41">
        <f t="shared" si="0"/>
        <v>3</v>
      </c>
      <c r="H41">
        <f t="shared" si="1"/>
        <v>120000</v>
      </c>
    </row>
    <row r="42" spans="1:8" x14ac:dyDescent="0.3">
      <c r="A42" t="s">
        <v>4</v>
      </c>
      <c r="B42" t="s">
        <v>58</v>
      </c>
      <c r="C42" s="1">
        <v>0</v>
      </c>
      <c r="D42" s="1">
        <v>0</v>
      </c>
      <c r="E42" s="1">
        <v>0</v>
      </c>
      <c r="F42" s="1">
        <v>0</v>
      </c>
      <c r="G42">
        <f t="shared" si="0"/>
        <v>0</v>
      </c>
      <c r="H42">
        <f t="shared" si="1"/>
        <v>0</v>
      </c>
    </row>
    <row r="43" spans="1:8" x14ac:dyDescent="0.3">
      <c r="A43" t="s">
        <v>5</v>
      </c>
      <c r="B43" t="s">
        <v>65</v>
      </c>
      <c r="C43" s="1">
        <v>0</v>
      </c>
      <c r="D43" s="1">
        <v>0</v>
      </c>
      <c r="E43" s="1">
        <v>0</v>
      </c>
      <c r="F43" s="1">
        <v>0</v>
      </c>
      <c r="G43">
        <f t="shared" si="0"/>
        <v>0</v>
      </c>
      <c r="H43">
        <f t="shared" si="1"/>
        <v>0</v>
      </c>
    </row>
    <row r="44" spans="1:8" x14ac:dyDescent="0.3">
      <c r="A44" t="s">
        <v>5</v>
      </c>
      <c r="B44" t="s">
        <v>62</v>
      </c>
      <c r="C44" s="1">
        <v>0</v>
      </c>
      <c r="D44" s="1">
        <v>0</v>
      </c>
      <c r="E44" s="1">
        <v>0</v>
      </c>
      <c r="F44" s="1">
        <v>0</v>
      </c>
      <c r="G44">
        <f t="shared" si="0"/>
        <v>0</v>
      </c>
      <c r="H44">
        <f t="shared" si="1"/>
        <v>0</v>
      </c>
    </row>
    <row r="45" spans="1:8" x14ac:dyDescent="0.3">
      <c r="A45" t="s">
        <v>5</v>
      </c>
      <c r="B45" t="s">
        <v>69</v>
      </c>
      <c r="C45" s="1">
        <v>0</v>
      </c>
      <c r="D45" s="1">
        <v>0</v>
      </c>
      <c r="E45" s="1">
        <v>75</v>
      </c>
      <c r="F45" s="1">
        <v>2625000</v>
      </c>
      <c r="G45">
        <f t="shared" si="0"/>
        <v>75</v>
      </c>
      <c r="H45">
        <f t="shared" si="1"/>
        <v>2625000</v>
      </c>
    </row>
    <row r="46" spans="1:8" x14ac:dyDescent="0.3">
      <c r="A46" t="s">
        <v>5</v>
      </c>
      <c r="B46" t="s">
        <v>71</v>
      </c>
      <c r="C46" s="1">
        <v>165</v>
      </c>
      <c r="D46" s="1">
        <v>49665000</v>
      </c>
      <c r="E46" s="1">
        <v>165</v>
      </c>
      <c r="F46" s="1">
        <v>49665000</v>
      </c>
      <c r="G46">
        <f t="shared" si="0"/>
        <v>330</v>
      </c>
      <c r="H46">
        <f t="shared" si="1"/>
        <v>99330000</v>
      </c>
    </row>
    <row r="47" spans="1:8" x14ac:dyDescent="0.3">
      <c r="A47" t="s">
        <v>5</v>
      </c>
      <c r="B47" t="s">
        <v>63</v>
      </c>
      <c r="C47" s="1">
        <v>0</v>
      </c>
      <c r="D47" s="1">
        <v>0</v>
      </c>
      <c r="E47" s="1">
        <v>0</v>
      </c>
      <c r="F47" s="1">
        <v>0</v>
      </c>
      <c r="G47">
        <f t="shared" si="0"/>
        <v>0</v>
      </c>
      <c r="H47">
        <f t="shared" si="1"/>
        <v>0</v>
      </c>
    </row>
    <row r="48" spans="1:8" x14ac:dyDescent="0.3">
      <c r="A48" t="s">
        <v>5</v>
      </c>
      <c r="B48" t="s">
        <v>68</v>
      </c>
      <c r="C48" s="1">
        <v>0</v>
      </c>
      <c r="D48" s="1">
        <v>0</v>
      </c>
      <c r="E48" s="1">
        <v>0</v>
      </c>
      <c r="F48" s="1">
        <v>0</v>
      </c>
      <c r="G48">
        <f t="shared" si="0"/>
        <v>0</v>
      </c>
      <c r="H48">
        <f t="shared" si="1"/>
        <v>0</v>
      </c>
    </row>
    <row r="49" spans="1:8" x14ac:dyDescent="0.3">
      <c r="A49" t="s">
        <v>5</v>
      </c>
      <c r="B49" t="s">
        <v>67</v>
      </c>
      <c r="C49" s="1">
        <v>0</v>
      </c>
      <c r="D49" s="1">
        <v>0</v>
      </c>
      <c r="E49" s="1">
        <v>0</v>
      </c>
      <c r="F49" s="1">
        <v>0</v>
      </c>
      <c r="G49">
        <f t="shared" si="0"/>
        <v>0</v>
      </c>
      <c r="H49">
        <f t="shared" si="1"/>
        <v>0</v>
      </c>
    </row>
    <row r="50" spans="1:8" x14ac:dyDescent="0.3">
      <c r="A50" t="s">
        <v>5</v>
      </c>
      <c r="B50" t="s">
        <v>60</v>
      </c>
      <c r="C50" s="1">
        <v>0</v>
      </c>
      <c r="D50" s="1">
        <v>0</v>
      </c>
      <c r="E50" s="1">
        <v>0</v>
      </c>
      <c r="F50" s="1">
        <v>0</v>
      </c>
      <c r="G50">
        <f t="shared" si="0"/>
        <v>0</v>
      </c>
      <c r="H50">
        <f t="shared" si="1"/>
        <v>0</v>
      </c>
    </row>
    <row r="51" spans="1:8" x14ac:dyDescent="0.3">
      <c r="A51" t="s">
        <v>5</v>
      </c>
      <c r="B51" t="s">
        <v>66</v>
      </c>
      <c r="C51" s="1">
        <v>29</v>
      </c>
      <c r="D51" s="1">
        <v>2900000</v>
      </c>
      <c r="E51" s="1">
        <v>7</v>
      </c>
      <c r="F51" s="1">
        <v>700000</v>
      </c>
      <c r="G51">
        <f t="shared" si="0"/>
        <v>36</v>
      </c>
      <c r="H51">
        <f t="shared" si="1"/>
        <v>3600000</v>
      </c>
    </row>
    <row r="52" spans="1:8" x14ac:dyDescent="0.3">
      <c r="A52" t="s">
        <v>5</v>
      </c>
      <c r="B52" t="s">
        <v>154</v>
      </c>
      <c r="C52" s="1">
        <v>3</v>
      </c>
      <c r="D52" s="1">
        <v>750000</v>
      </c>
      <c r="E52" s="1">
        <v>10</v>
      </c>
      <c r="F52" s="1">
        <v>500000</v>
      </c>
      <c r="G52">
        <f t="shared" si="0"/>
        <v>13</v>
      </c>
      <c r="H52">
        <f t="shared" si="1"/>
        <v>1250000</v>
      </c>
    </row>
    <row r="53" spans="1:8" x14ac:dyDescent="0.3">
      <c r="A53" t="s">
        <v>5</v>
      </c>
      <c r="B53" t="s">
        <v>173</v>
      </c>
      <c r="C53" s="1">
        <v>100</v>
      </c>
      <c r="D53" s="1">
        <v>2500000</v>
      </c>
      <c r="E53" s="1">
        <v>500</v>
      </c>
      <c r="F53" s="1">
        <v>7500000</v>
      </c>
      <c r="G53">
        <f t="shared" si="0"/>
        <v>600</v>
      </c>
      <c r="H53">
        <f t="shared" si="1"/>
        <v>10000000</v>
      </c>
    </row>
    <row r="54" spans="1:8" x14ac:dyDescent="0.3">
      <c r="A54" t="s">
        <v>5</v>
      </c>
      <c r="B54" t="s">
        <v>61</v>
      </c>
      <c r="C54" s="1">
        <v>0</v>
      </c>
      <c r="D54" s="1">
        <v>0</v>
      </c>
      <c r="E54" s="1">
        <v>0</v>
      </c>
      <c r="F54" s="1">
        <v>0</v>
      </c>
      <c r="G54">
        <f t="shared" si="0"/>
        <v>0</v>
      </c>
      <c r="H54">
        <f t="shared" si="1"/>
        <v>0</v>
      </c>
    </row>
    <row r="55" spans="1:8" x14ac:dyDescent="0.3">
      <c r="A55" t="s">
        <v>5</v>
      </c>
      <c r="B55" t="s">
        <v>70</v>
      </c>
      <c r="C55" s="1">
        <v>0</v>
      </c>
      <c r="D55" s="1">
        <v>0</v>
      </c>
      <c r="E55" s="1">
        <v>0</v>
      </c>
      <c r="F55" s="1">
        <v>0</v>
      </c>
      <c r="G55">
        <f t="shared" si="0"/>
        <v>0</v>
      </c>
      <c r="H55">
        <f t="shared" si="1"/>
        <v>0</v>
      </c>
    </row>
    <row r="56" spans="1:8" x14ac:dyDescent="0.3">
      <c r="A56" t="s">
        <v>5</v>
      </c>
      <c r="B56" t="s">
        <v>64</v>
      </c>
      <c r="C56" s="1">
        <v>0</v>
      </c>
      <c r="D56" s="1">
        <v>0</v>
      </c>
      <c r="E56" s="1">
        <v>0</v>
      </c>
      <c r="F56" s="1">
        <v>0</v>
      </c>
      <c r="G56">
        <f t="shared" si="0"/>
        <v>0</v>
      </c>
      <c r="H56">
        <f t="shared" si="1"/>
        <v>0</v>
      </c>
    </row>
    <row r="57" spans="1:8" x14ac:dyDescent="0.3">
      <c r="A57" t="s">
        <v>5</v>
      </c>
      <c r="B57" t="s">
        <v>59</v>
      </c>
      <c r="C57" s="1">
        <v>0</v>
      </c>
      <c r="D57" s="1">
        <v>0</v>
      </c>
      <c r="E57" s="1">
        <v>0</v>
      </c>
      <c r="F57" s="1">
        <v>0</v>
      </c>
      <c r="G57">
        <f t="shared" si="0"/>
        <v>0</v>
      </c>
      <c r="H57">
        <f t="shared" si="1"/>
        <v>0</v>
      </c>
    </row>
    <row r="58" spans="1:8" x14ac:dyDescent="0.3">
      <c r="A58" t="s">
        <v>5</v>
      </c>
      <c r="B58" t="s">
        <v>153</v>
      </c>
      <c r="C58" s="1">
        <v>0</v>
      </c>
      <c r="D58" s="1">
        <v>0</v>
      </c>
      <c r="E58" s="1">
        <v>0</v>
      </c>
      <c r="F58" s="1">
        <v>0</v>
      </c>
      <c r="G58">
        <f t="shared" si="0"/>
        <v>0</v>
      </c>
      <c r="H58">
        <f t="shared" si="1"/>
        <v>0</v>
      </c>
    </row>
    <row r="59" spans="1:8" x14ac:dyDescent="0.3">
      <c r="A59" t="s">
        <v>6</v>
      </c>
      <c r="B59" t="s">
        <v>73</v>
      </c>
      <c r="C59" s="1">
        <v>0</v>
      </c>
      <c r="D59" s="1">
        <v>0</v>
      </c>
      <c r="E59" s="1">
        <v>74.23</v>
      </c>
      <c r="F59" s="1">
        <v>1410370</v>
      </c>
      <c r="G59">
        <f t="shared" si="0"/>
        <v>74.23</v>
      </c>
      <c r="H59">
        <f t="shared" si="1"/>
        <v>1410370</v>
      </c>
    </row>
    <row r="60" spans="1:8" x14ac:dyDescent="0.3">
      <c r="A60" t="s">
        <v>6</v>
      </c>
      <c r="B60" t="s">
        <v>76</v>
      </c>
      <c r="C60" s="1">
        <v>0</v>
      </c>
      <c r="D60" s="1">
        <v>0</v>
      </c>
      <c r="E60" s="1">
        <v>22.25</v>
      </c>
      <c r="F60" s="1">
        <v>422750</v>
      </c>
      <c r="G60">
        <f t="shared" si="0"/>
        <v>22.25</v>
      </c>
      <c r="H60">
        <f t="shared" si="1"/>
        <v>422750</v>
      </c>
    </row>
    <row r="61" spans="1:8" x14ac:dyDescent="0.3">
      <c r="A61" t="s">
        <v>6</v>
      </c>
      <c r="B61" t="s">
        <v>72</v>
      </c>
      <c r="C61" s="1">
        <v>0</v>
      </c>
      <c r="D61" s="1">
        <v>0</v>
      </c>
      <c r="E61" s="1">
        <v>0</v>
      </c>
      <c r="F61" s="1">
        <v>0</v>
      </c>
      <c r="G61">
        <f t="shared" si="0"/>
        <v>0</v>
      </c>
      <c r="H61">
        <f t="shared" si="1"/>
        <v>0</v>
      </c>
    </row>
    <row r="62" spans="1:8" x14ac:dyDescent="0.3">
      <c r="A62" t="s">
        <v>6</v>
      </c>
      <c r="B62" t="s">
        <v>78</v>
      </c>
      <c r="C62" s="1">
        <v>0</v>
      </c>
      <c r="D62" s="1">
        <v>0</v>
      </c>
      <c r="E62" s="1">
        <v>7.28</v>
      </c>
      <c r="F62" s="1">
        <v>138320</v>
      </c>
      <c r="G62">
        <f t="shared" si="0"/>
        <v>7.28</v>
      </c>
      <c r="H62">
        <f t="shared" si="1"/>
        <v>138320</v>
      </c>
    </row>
    <row r="63" spans="1:8" x14ac:dyDescent="0.3">
      <c r="A63" t="s">
        <v>6</v>
      </c>
      <c r="B63" t="s">
        <v>75</v>
      </c>
      <c r="C63" s="1">
        <v>0</v>
      </c>
      <c r="D63" s="1">
        <v>0</v>
      </c>
      <c r="E63" s="1">
        <v>132.24</v>
      </c>
      <c r="F63" s="1">
        <v>2512560</v>
      </c>
      <c r="G63">
        <f t="shared" si="0"/>
        <v>132.24</v>
      </c>
      <c r="H63">
        <f t="shared" si="1"/>
        <v>2512560</v>
      </c>
    </row>
    <row r="64" spans="1:8" x14ac:dyDescent="0.3">
      <c r="A64" t="s">
        <v>6</v>
      </c>
      <c r="B64" t="s">
        <v>74</v>
      </c>
      <c r="C64" s="1">
        <v>0</v>
      </c>
      <c r="D64" s="1">
        <v>0</v>
      </c>
      <c r="E64" s="1">
        <v>70.73</v>
      </c>
      <c r="F64" s="1">
        <v>1343870</v>
      </c>
      <c r="G64">
        <f t="shared" si="0"/>
        <v>70.73</v>
      </c>
      <c r="H64">
        <f t="shared" si="1"/>
        <v>1343870</v>
      </c>
    </row>
    <row r="65" spans="1:8" x14ac:dyDescent="0.3">
      <c r="A65" t="s">
        <v>6</v>
      </c>
      <c r="B65" t="s">
        <v>174</v>
      </c>
      <c r="C65" s="1">
        <v>0</v>
      </c>
      <c r="D65" s="1">
        <v>0</v>
      </c>
      <c r="E65" s="1">
        <v>20.53</v>
      </c>
      <c r="F65" s="1">
        <v>390070</v>
      </c>
      <c r="G65">
        <f t="shared" si="0"/>
        <v>20.53</v>
      </c>
      <c r="H65">
        <f t="shared" si="1"/>
        <v>390070</v>
      </c>
    </row>
    <row r="66" spans="1:8" x14ac:dyDescent="0.3">
      <c r="A66" t="s">
        <v>6</v>
      </c>
      <c r="B66" t="s">
        <v>77</v>
      </c>
      <c r="C66" s="1">
        <v>0</v>
      </c>
      <c r="D66" s="1">
        <v>0</v>
      </c>
      <c r="E66" s="1">
        <v>45.46</v>
      </c>
      <c r="F66" s="1">
        <v>863740</v>
      </c>
      <c r="G66">
        <f t="shared" si="0"/>
        <v>45.46</v>
      </c>
      <c r="H66">
        <f t="shared" si="1"/>
        <v>863740</v>
      </c>
    </row>
    <row r="67" spans="1:8" x14ac:dyDescent="0.3">
      <c r="A67" t="s">
        <v>7</v>
      </c>
      <c r="B67" t="s">
        <v>97</v>
      </c>
      <c r="C67" s="1">
        <v>0</v>
      </c>
      <c r="D67" s="1">
        <v>0</v>
      </c>
      <c r="E67" s="1">
        <v>0</v>
      </c>
      <c r="F67" s="1">
        <v>0</v>
      </c>
      <c r="G67">
        <f t="shared" si="0"/>
        <v>0</v>
      </c>
      <c r="H67">
        <f t="shared" si="1"/>
        <v>0</v>
      </c>
    </row>
    <row r="68" spans="1:8" x14ac:dyDescent="0.3">
      <c r="A68" t="s">
        <v>7</v>
      </c>
      <c r="B68" t="s">
        <v>102</v>
      </c>
      <c r="C68" s="1">
        <v>0</v>
      </c>
      <c r="D68" s="1">
        <v>0</v>
      </c>
      <c r="E68" s="1">
        <v>0</v>
      </c>
      <c r="F68" s="1">
        <v>0</v>
      </c>
      <c r="G68">
        <f t="shared" ref="G68:G131" si="2">C68+E68</f>
        <v>0</v>
      </c>
      <c r="H68">
        <f t="shared" ref="H68:H131" si="3">D68+F68</f>
        <v>0</v>
      </c>
    </row>
    <row r="69" spans="1:8" x14ac:dyDescent="0.3">
      <c r="A69" t="s">
        <v>7</v>
      </c>
      <c r="B69" t="s">
        <v>99</v>
      </c>
      <c r="C69" s="1">
        <v>0</v>
      </c>
      <c r="D69" s="1">
        <v>0</v>
      </c>
      <c r="E69" s="1">
        <v>0</v>
      </c>
      <c r="F69" s="1">
        <v>0</v>
      </c>
      <c r="G69">
        <f t="shared" si="2"/>
        <v>0</v>
      </c>
      <c r="H69">
        <f t="shared" si="3"/>
        <v>0</v>
      </c>
    </row>
    <row r="70" spans="1:8" x14ac:dyDescent="0.3">
      <c r="A70" t="s">
        <v>7</v>
      </c>
      <c r="B70" t="s">
        <v>100</v>
      </c>
      <c r="C70" s="1">
        <v>0</v>
      </c>
      <c r="D70" s="1">
        <v>0</v>
      </c>
      <c r="E70" s="1">
        <v>0</v>
      </c>
      <c r="F70" s="1">
        <v>0</v>
      </c>
      <c r="G70">
        <f t="shared" si="2"/>
        <v>0</v>
      </c>
      <c r="H70">
        <f t="shared" si="3"/>
        <v>0</v>
      </c>
    </row>
    <row r="71" spans="1:8" x14ac:dyDescent="0.3">
      <c r="A71" t="s">
        <v>7</v>
      </c>
      <c r="B71" t="s">
        <v>98</v>
      </c>
      <c r="C71" s="1">
        <v>0</v>
      </c>
      <c r="D71" s="1">
        <v>0</v>
      </c>
      <c r="E71" s="1">
        <v>2</v>
      </c>
      <c r="F71" s="1">
        <v>500000</v>
      </c>
      <c r="G71">
        <f t="shared" si="2"/>
        <v>2</v>
      </c>
      <c r="H71">
        <f t="shared" si="3"/>
        <v>500000</v>
      </c>
    </row>
    <row r="72" spans="1:8" x14ac:dyDescent="0.3">
      <c r="A72" t="s">
        <v>7</v>
      </c>
      <c r="B72" t="s">
        <v>101</v>
      </c>
      <c r="C72" s="1">
        <v>0</v>
      </c>
      <c r="D72" s="1">
        <v>0</v>
      </c>
      <c r="E72" s="1">
        <v>65</v>
      </c>
      <c r="F72" s="1">
        <v>1901250</v>
      </c>
      <c r="G72">
        <f t="shared" si="2"/>
        <v>65</v>
      </c>
      <c r="H72">
        <f t="shared" si="3"/>
        <v>1901250</v>
      </c>
    </row>
    <row r="73" spans="1:8" x14ac:dyDescent="0.3">
      <c r="A73" t="s">
        <v>148</v>
      </c>
      <c r="B73" t="s">
        <v>178</v>
      </c>
      <c r="C73" s="1">
        <v>990</v>
      </c>
      <c r="D73" s="1">
        <v>6840900</v>
      </c>
      <c r="E73" s="1">
        <v>3488</v>
      </c>
      <c r="F73" s="1">
        <v>6439999.04</v>
      </c>
      <c r="G73">
        <f t="shared" si="2"/>
        <v>4478</v>
      </c>
      <c r="H73">
        <f t="shared" si="3"/>
        <v>13280899.039999999</v>
      </c>
    </row>
    <row r="74" spans="1:8" x14ac:dyDescent="0.3">
      <c r="A74" t="s">
        <v>148</v>
      </c>
      <c r="B74" t="s">
        <v>179</v>
      </c>
      <c r="C74" s="1">
        <v>0</v>
      </c>
      <c r="D74" s="1">
        <v>0</v>
      </c>
      <c r="E74" s="1">
        <v>750</v>
      </c>
      <c r="F74" s="1">
        <v>7500000</v>
      </c>
      <c r="G74">
        <f t="shared" si="2"/>
        <v>750</v>
      </c>
      <c r="H74">
        <f t="shared" si="3"/>
        <v>7500000</v>
      </c>
    </row>
    <row r="75" spans="1:8" x14ac:dyDescent="0.3">
      <c r="A75" t="s">
        <v>148</v>
      </c>
      <c r="B75" t="s">
        <v>180</v>
      </c>
      <c r="C75" s="1">
        <v>92</v>
      </c>
      <c r="D75" s="1">
        <v>2375440</v>
      </c>
      <c r="E75" s="1">
        <v>256.5</v>
      </c>
      <c r="F75" s="1">
        <v>4495162.5</v>
      </c>
      <c r="G75">
        <f t="shared" si="2"/>
        <v>348.5</v>
      </c>
      <c r="H75">
        <f t="shared" si="3"/>
        <v>6870602.5</v>
      </c>
    </row>
    <row r="76" spans="1:8" x14ac:dyDescent="0.3">
      <c r="A76" t="s">
        <v>148</v>
      </c>
      <c r="B76" t="s">
        <v>181</v>
      </c>
      <c r="C76" s="1">
        <v>310</v>
      </c>
      <c r="D76" s="1">
        <v>8004200</v>
      </c>
      <c r="E76" s="1">
        <v>7626</v>
      </c>
      <c r="F76" s="1">
        <v>133645650</v>
      </c>
      <c r="G76">
        <f t="shared" si="2"/>
        <v>7936</v>
      </c>
      <c r="H76">
        <f t="shared" si="3"/>
        <v>141649850</v>
      </c>
    </row>
    <row r="77" spans="1:8" x14ac:dyDescent="0.3">
      <c r="A77" t="s">
        <v>148</v>
      </c>
      <c r="B77" t="s">
        <v>182</v>
      </c>
      <c r="C77" s="1">
        <v>659.8</v>
      </c>
      <c r="D77" s="1">
        <v>13199998.390000001</v>
      </c>
      <c r="E77" s="1">
        <v>0</v>
      </c>
      <c r="F77" s="1">
        <v>0</v>
      </c>
      <c r="G77">
        <f t="shared" si="2"/>
        <v>659.8</v>
      </c>
      <c r="H77">
        <f t="shared" si="3"/>
        <v>13199998.390000001</v>
      </c>
    </row>
    <row r="78" spans="1:8" x14ac:dyDescent="0.3">
      <c r="A78" t="s">
        <v>149</v>
      </c>
      <c r="B78" t="s">
        <v>103</v>
      </c>
      <c r="C78" s="1">
        <v>0</v>
      </c>
      <c r="D78" s="1">
        <v>0</v>
      </c>
      <c r="E78" s="1">
        <v>121</v>
      </c>
      <c r="F78" s="1">
        <v>7260000</v>
      </c>
      <c r="G78">
        <f t="shared" si="2"/>
        <v>121</v>
      </c>
      <c r="H78">
        <f t="shared" si="3"/>
        <v>7260000</v>
      </c>
    </row>
    <row r="79" spans="1:8" x14ac:dyDescent="0.3">
      <c r="A79" t="s">
        <v>149</v>
      </c>
      <c r="B79" t="s">
        <v>104</v>
      </c>
      <c r="C79" s="1">
        <v>254</v>
      </c>
      <c r="D79" s="1">
        <v>2540000</v>
      </c>
      <c r="E79" s="1">
        <v>1233</v>
      </c>
      <c r="F79" s="1">
        <v>6165000</v>
      </c>
      <c r="G79">
        <f t="shared" si="2"/>
        <v>1487</v>
      </c>
      <c r="H79">
        <f t="shared" si="3"/>
        <v>8705000</v>
      </c>
    </row>
    <row r="80" spans="1:8" x14ac:dyDescent="0.3">
      <c r="A80" t="s">
        <v>8</v>
      </c>
      <c r="B80" t="s">
        <v>105</v>
      </c>
      <c r="C80" s="1">
        <v>0</v>
      </c>
      <c r="D80" s="1">
        <v>0</v>
      </c>
      <c r="E80" s="1">
        <v>0</v>
      </c>
      <c r="F80" s="1">
        <v>0</v>
      </c>
      <c r="G80">
        <f t="shared" si="2"/>
        <v>0</v>
      </c>
      <c r="H80">
        <f t="shared" si="3"/>
        <v>0</v>
      </c>
    </row>
    <row r="81" spans="1:8" x14ac:dyDescent="0.3">
      <c r="A81" t="s">
        <v>8</v>
      </c>
      <c r="B81" t="s">
        <v>106</v>
      </c>
      <c r="C81" s="1">
        <v>0</v>
      </c>
      <c r="D81" s="1">
        <v>0</v>
      </c>
      <c r="E81" s="1">
        <v>0</v>
      </c>
      <c r="F81" s="1">
        <v>0</v>
      </c>
      <c r="G81">
        <f t="shared" si="2"/>
        <v>0</v>
      </c>
      <c r="H81">
        <f t="shared" si="3"/>
        <v>0</v>
      </c>
    </row>
    <row r="82" spans="1:8" x14ac:dyDescent="0.3">
      <c r="A82" t="s">
        <v>8</v>
      </c>
      <c r="B82" t="s">
        <v>107</v>
      </c>
      <c r="C82" s="1">
        <v>0</v>
      </c>
      <c r="D82" s="1">
        <v>0</v>
      </c>
      <c r="E82" s="1">
        <v>358</v>
      </c>
      <c r="F82" s="1">
        <v>2506000</v>
      </c>
      <c r="G82">
        <f t="shared" si="2"/>
        <v>358</v>
      </c>
      <c r="H82">
        <f t="shared" si="3"/>
        <v>2506000</v>
      </c>
    </row>
    <row r="83" spans="1:8" x14ac:dyDescent="0.3">
      <c r="A83" t="s">
        <v>8</v>
      </c>
      <c r="B83" t="s">
        <v>183</v>
      </c>
      <c r="C83" s="1">
        <v>0</v>
      </c>
      <c r="D83" s="1">
        <v>0</v>
      </c>
      <c r="E83" s="1">
        <v>0</v>
      </c>
      <c r="F83" s="1">
        <v>0</v>
      </c>
      <c r="G83">
        <f t="shared" si="2"/>
        <v>0</v>
      </c>
      <c r="H83">
        <f t="shared" si="3"/>
        <v>0</v>
      </c>
    </row>
    <row r="84" spans="1:8" x14ac:dyDescent="0.3">
      <c r="A84" t="s">
        <v>9</v>
      </c>
      <c r="B84" t="s">
        <v>109</v>
      </c>
      <c r="C84" s="1">
        <v>0</v>
      </c>
      <c r="D84" s="1">
        <v>0</v>
      </c>
      <c r="E84" s="1">
        <v>224</v>
      </c>
      <c r="F84" s="1">
        <v>15465856</v>
      </c>
      <c r="G84">
        <f t="shared" si="2"/>
        <v>224</v>
      </c>
      <c r="H84">
        <f t="shared" si="3"/>
        <v>15465856</v>
      </c>
    </row>
    <row r="85" spans="1:8" x14ac:dyDescent="0.3">
      <c r="A85" t="s">
        <v>9</v>
      </c>
      <c r="B85" t="s">
        <v>108</v>
      </c>
      <c r="C85" s="1">
        <v>14</v>
      </c>
      <c r="D85" s="1">
        <v>2100000</v>
      </c>
      <c r="E85" s="1">
        <v>104</v>
      </c>
      <c r="F85" s="1">
        <v>5200000</v>
      </c>
      <c r="G85">
        <f t="shared" si="2"/>
        <v>118</v>
      </c>
      <c r="H85">
        <f t="shared" si="3"/>
        <v>7300000</v>
      </c>
    </row>
    <row r="86" spans="1:8" x14ac:dyDescent="0.3">
      <c r="A86" t="s">
        <v>9</v>
      </c>
      <c r="B86" t="s">
        <v>112</v>
      </c>
      <c r="C86" s="1">
        <v>0</v>
      </c>
      <c r="D86" s="1">
        <v>0</v>
      </c>
      <c r="E86" s="1">
        <v>10</v>
      </c>
      <c r="F86" s="1">
        <v>108300</v>
      </c>
      <c r="G86">
        <f t="shared" si="2"/>
        <v>10</v>
      </c>
      <c r="H86">
        <f t="shared" si="3"/>
        <v>108300</v>
      </c>
    </row>
    <row r="87" spans="1:8" x14ac:dyDescent="0.3">
      <c r="A87" t="s">
        <v>9</v>
      </c>
      <c r="B87" t="s">
        <v>184</v>
      </c>
      <c r="C87" s="1">
        <v>0</v>
      </c>
      <c r="D87" s="1">
        <v>0</v>
      </c>
      <c r="E87" s="1">
        <v>187</v>
      </c>
      <c r="F87" s="1">
        <v>2025210</v>
      </c>
      <c r="G87">
        <f t="shared" si="2"/>
        <v>187</v>
      </c>
      <c r="H87">
        <f t="shared" si="3"/>
        <v>2025210</v>
      </c>
    </row>
    <row r="88" spans="1:8" x14ac:dyDescent="0.3">
      <c r="A88" t="s">
        <v>9</v>
      </c>
      <c r="B88" t="s">
        <v>111</v>
      </c>
      <c r="C88" s="1">
        <v>0</v>
      </c>
      <c r="D88" s="1">
        <v>0</v>
      </c>
      <c r="E88" s="1">
        <v>90</v>
      </c>
      <c r="F88" s="1">
        <v>1300050</v>
      </c>
      <c r="G88">
        <f t="shared" si="2"/>
        <v>90</v>
      </c>
      <c r="H88">
        <f t="shared" si="3"/>
        <v>1300050</v>
      </c>
    </row>
    <row r="89" spans="1:8" x14ac:dyDescent="0.3">
      <c r="A89" t="s">
        <v>9</v>
      </c>
      <c r="B89" t="s">
        <v>115</v>
      </c>
      <c r="C89" s="1">
        <v>0</v>
      </c>
      <c r="D89" s="1">
        <v>0</v>
      </c>
      <c r="E89" s="1">
        <v>0</v>
      </c>
      <c r="F89" s="1">
        <v>0</v>
      </c>
      <c r="G89">
        <f t="shared" si="2"/>
        <v>0</v>
      </c>
      <c r="H89">
        <f t="shared" si="3"/>
        <v>0</v>
      </c>
    </row>
    <row r="90" spans="1:8" x14ac:dyDescent="0.3">
      <c r="A90" t="s">
        <v>9</v>
      </c>
      <c r="B90" t="s">
        <v>114</v>
      </c>
      <c r="C90" s="1">
        <v>0</v>
      </c>
      <c r="D90" s="1">
        <v>0</v>
      </c>
      <c r="E90" s="1">
        <v>0</v>
      </c>
      <c r="F90" s="1">
        <v>0</v>
      </c>
      <c r="G90">
        <f t="shared" si="2"/>
        <v>0</v>
      </c>
      <c r="H90">
        <f t="shared" si="3"/>
        <v>0</v>
      </c>
    </row>
    <row r="91" spans="1:8" x14ac:dyDescent="0.3">
      <c r="A91" t="s">
        <v>9</v>
      </c>
      <c r="B91" t="s">
        <v>110</v>
      </c>
      <c r="C91" s="1">
        <v>0</v>
      </c>
      <c r="D91" s="1">
        <v>0</v>
      </c>
      <c r="E91" s="1">
        <v>0</v>
      </c>
      <c r="F91" s="1">
        <v>0</v>
      </c>
      <c r="G91">
        <f t="shared" si="2"/>
        <v>0</v>
      </c>
      <c r="H91">
        <f t="shared" si="3"/>
        <v>0</v>
      </c>
    </row>
    <row r="92" spans="1:8" x14ac:dyDescent="0.3">
      <c r="A92" t="s">
        <v>9</v>
      </c>
      <c r="B92" t="s">
        <v>113</v>
      </c>
      <c r="C92" s="1">
        <v>0</v>
      </c>
      <c r="D92" s="1">
        <v>0</v>
      </c>
      <c r="E92" s="1">
        <v>0</v>
      </c>
      <c r="F92" s="1">
        <v>0</v>
      </c>
      <c r="G92">
        <f t="shared" si="2"/>
        <v>0</v>
      </c>
      <c r="H92">
        <f t="shared" si="3"/>
        <v>0</v>
      </c>
    </row>
    <row r="93" spans="1:8" x14ac:dyDescent="0.3">
      <c r="A93" t="s">
        <v>10</v>
      </c>
      <c r="B93" t="s">
        <v>117</v>
      </c>
      <c r="C93" s="1">
        <v>0</v>
      </c>
      <c r="D93" s="1">
        <v>0</v>
      </c>
      <c r="E93" s="1">
        <v>3000</v>
      </c>
      <c r="F93" s="1">
        <v>30000000</v>
      </c>
      <c r="G93">
        <f t="shared" si="2"/>
        <v>3000</v>
      </c>
      <c r="H93">
        <f t="shared" si="3"/>
        <v>30000000</v>
      </c>
    </row>
    <row r="94" spans="1:8" x14ac:dyDescent="0.3">
      <c r="A94" t="s">
        <v>10</v>
      </c>
      <c r="B94" t="s">
        <v>185</v>
      </c>
      <c r="C94" s="1">
        <v>0</v>
      </c>
      <c r="D94" s="1">
        <v>0</v>
      </c>
      <c r="E94" s="1">
        <v>22</v>
      </c>
      <c r="F94" s="1">
        <v>220000</v>
      </c>
      <c r="G94">
        <f t="shared" si="2"/>
        <v>22</v>
      </c>
      <c r="H94">
        <f t="shared" si="3"/>
        <v>220000</v>
      </c>
    </row>
    <row r="95" spans="1:8" x14ac:dyDescent="0.3">
      <c r="A95" t="s">
        <v>10</v>
      </c>
      <c r="B95" t="s">
        <v>118</v>
      </c>
      <c r="C95" s="1">
        <v>0</v>
      </c>
      <c r="D95" s="1">
        <v>0</v>
      </c>
      <c r="E95" s="1">
        <v>0</v>
      </c>
      <c r="F95" s="1">
        <v>0</v>
      </c>
      <c r="G95">
        <f t="shared" si="2"/>
        <v>0</v>
      </c>
      <c r="H95">
        <f t="shared" si="3"/>
        <v>0</v>
      </c>
    </row>
    <row r="96" spans="1:8" x14ac:dyDescent="0.3">
      <c r="A96" t="s">
        <v>10</v>
      </c>
      <c r="B96" t="s">
        <v>119</v>
      </c>
      <c r="C96" s="1">
        <v>0</v>
      </c>
      <c r="D96" s="1">
        <v>0</v>
      </c>
      <c r="E96" s="1">
        <v>85</v>
      </c>
      <c r="F96" s="1">
        <v>850000</v>
      </c>
      <c r="G96">
        <f t="shared" si="2"/>
        <v>85</v>
      </c>
      <c r="H96">
        <f t="shared" si="3"/>
        <v>850000</v>
      </c>
    </row>
    <row r="97" spans="1:8" x14ac:dyDescent="0.3">
      <c r="A97" t="s">
        <v>10</v>
      </c>
      <c r="B97" t="s">
        <v>116</v>
      </c>
      <c r="C97" s="1">
        <v>0</v>
      </c>
      <c r="D97" s="1">
        <v>0</v>
      </c>
      <c r="E97" s="1">
        <v>1640</v>
      </c>
      <c r="F97" s="1">
        <v>16400000</v>
      </c>
      <c r="G97">
        <f t="shared" si="2"/>
        <v>1640</v>
      </c>
      <c r="H97">
        <f t="shared" si="3"/>
        <v>16400000</v>
      </c>
    </row>
    <row r="98" spans="1:8" x14ac:dyDescent="0.3">
      <c r="A98" t="s">
        <v>151</v>
      </c>
      <c r="B98" t="s">
        <v>123</v>
      </c>
      <c r="C98" s="1">
        <v>0</v>
      </c>
      <c r="D98" s="1">
        <v>0</v>
      </c>
      <c r="E98" s="1">
        <v>0</v>
      </c>
      <c r="F98" s="1">
        <v>0</v>
      </c>
      <c r="G98">
        <f t="shared" si="2"/>
        <v>0</v>
      </c>
      <c r="H98">
        <f t="shared" si="3"/>
        <v>0</v>
      </c>
    </row>
    <row r="99" spans="1:8" x14ac:dyDescent="0.3">
      <c r="A99" t="s">
        <v>151</v>
      </c>
      <c r="B99" t="s">
        <v>64</v>
      </c>
      <c r="C99" s="1">
        <v>0</v>
      </c>
      <c r="D99" s="1">
        <v>0</v>
      </c>
      <c r="E99" s="1">
        <v>0</v>
      </c>
      <c r="F99" s="1">
        <v>0</v>
      </c>
      <c r="G99">
        <f t="shared" si="2"/>
        <v>0</v>
      </c>
      <c r="H99">
        <f t="shared" si="3"/>
        <v>0</v>
      </c>
    </row>
    <row r="100" spans="1:8" x14ac:dyDescent="0.3">
      <c r="A100" t="s">
        <v>151</v>
      </c>
      <c r="B100" t="s">
        <v>122</v>
      </c>
      <c r="C100" s="1">
        <v>0</v>
      </c>
      <c r="D100" s="1">
        <v>0</v>
      </c>
      <c r="E100" s="1">
        <v>0</v>
      </c>
      <c r="F100" s="1">
        <v>0</v>
      </c>
      <c r="G100">
        <f t="shared" si="2"/>
        <v>0</v>
      </c>
      <c r="H100">
        <f t="shared" si="3"/>
        <v>0</v>
      </c>
    </row>
    <row r="101" spans="1:8" x14ac:dyDescent="0.3">
      <c r="A101" t="s">
        <v>11</v>
      </c>
      <c r="B101" t="s">
        <v>125</v>
      </c>
      <c r="C101" s="1">
        <v>914</v>
      </c>
      <c r="D101" s="1">
        <v>150799946</v>
      </c>
      <c r="E101" s="1">
        <v>0</v>
      </c>
      <c r="F101" s="1">
        <v>0</v>
      </c>
      <c r="G101">
        <f t="shared" si="2"/>
        <v>914</v>
      </c>
      <c r="H101">
        <f t="shared" si="3"/>
        <v>150799946</v>
      </c>
    </row>
    <row r="102" spans="1:8" x14ac:dyDescent="0.3">
      <c r="A102" t="s">
        <v>11</v>
      </c>
      <c r="B102" t="s">
        <v>127</v>
      </c>
      <c r="C102" s="1">
        <v>0</v>
      </c>
      <c r="D102" s="1">
        <v>0</v>
      </c>
      <c r="E102" s="1">
        <v>1040</v>
      </c>
      <c r="F102" s="1">
        <v>9575280</v>
      </c>
      <c r="G102">
        <f t="shared" si="2"/>
        <v>1040</v>
      </c>
      <c r="H102">
        <f t="shared" si="3"/>
        <v>9575280</v>
      </c>
    </row>
    <row r="103" spans="1:8" x14ac:dyDescent="0.3">
      <c r="A103" t="s">
        <v>11</v>
      </c>
      <c r="B103" t="s">
        <v>124</v>
      </c>
      <c r="C103" s="1">
        <v>0</v>
      </c>
      <c r="D103" s="1">
        <v>0</v>
      </c>
      <c r="E103" s="1">
        <v>1400</v>
      </c>
      <c r="F103" s="1">
        <v>1072260</v>
      </c>
      <c r="G103">
        <f t="shared" si="2"/>
        <v>1400</v>
      </c>
      <c r="H103">
        <f t="shared" si="3"/>
        <v>1072260</v>
      </c>
    </row>
    <row r="104" spans="1:8" x14ac:dyDescent="0.3">
      <c r="A104" t="s">
        <v>11</v>
      </c>
      <c r="B104" t="s">
        <v>186</v>
      </c>
      <c r="C104" s="1">
        <v>1</v>
      </c>
      <c r="D104" s="1">
        <v>152000</v>
      </c>
      <c r="E104" s="1">
        <v>617</v>
      </c>
      <c r="F104" s="1">
        <v>8037659</v>
      </c>
      <c r="G104">
        <f t="shared" si="2"/>
        <v>618</v>
      </c>
      <c r="H104">
        <f t="shared" si="3"/>
        <v>8189659</v>
      </c>
    </row>
    <row r="105" spans="1:8" x14ac:dyDescent="0.3">
      <c r="A105" t="s">
        <v>11</v>
      </c>
      <c r="B105" t="s">
        <v>126</v>
      </c>
      <c r="C105" s="1">
        <v>0</v>
      </c>
      <c r="D105" s="1">
        <v>0</v>
      </c>
      <c r="E105" s="1">
        <v>769</v>
      </c>
      <c r="F105" s="1">
        <v>6705680</v>
      </c>
      <c r="G105">
        <f t="shared" si="2"/>
        <v>769</v>
      </c>
      <c r="H105">
        <f t="shared" si="3"/>
        <v>6705680</v>
      </c>
    </row>
    <row r="106" spans="1:8" x14ac:dyDescent="0.3">
      <c r="A106" t="s">
        <v>12</v>
      </c>
      <c r="B106" t="s">
        <v>133</v>
      </c>
      <c r="C106" s="1">
        <v>0</v>
      </c>
      <c r="D106" s="1">
        <v>0</v>
      </c>
      <c r="E106" s="1">
        <v>28</v>
      </c>
      <c r="F106" s="1">
        <v>569828</v>
      </c>
      <c r="G106">
        <f t="shared" si="2"/>
        <v>28</v>
      </c>
      <c r="H106">
        <f t="shared" si="3"/>
        <v>569828</v>
      </c>
    </row>
    <row r="107" spans="1:8" x14ac:dyDescent="0.3">
      <c r="A107" t="s">
        <v>12</v>
      </c>
      <c r="B107" t="s">
        <v>132</v>
      </c>
      <c r="C107" s="1">
        <v>0</v>
      </c>
      <c r="D107" s="1">
        <v>0</v>
      </c>
      <c r="E107" s="1">
        <v>40</v>
      </c>
      <c r="F107" s="1">
        <v>814040</v>
      </c>
      <c r="G107">
        <f t="shared" si="2"/>
        <v>40</v>
      </c>
      <c r="H107">
        <f t="shared" si="3"/>
        <v>814040</v>
      </c>
    </row>
    <row r="108" spans="1:8" x14ac:dyDescent="0.3">
      <c r="A108" t="s">
        <v>12</v>
      </c>
      <c r="B108" t="s">
        <v>130</v>
      </c>
      <c r="C108" s="1">
        <v>0</v>
      </c>
      <c r="D108" s="1">
        <v>0</v>
      </c>
      <c r="E108" s="1">
        <v>35</v>
      </c>
      <c r="F108" s="1">
        <v>712285</v>
      </c>
      <c r="G108">
        <f t="shared" si="2"/>
        <v>35</v>
      </c>
      <c r="H108">
        <f t="shared" si="3"/>
        <v>712285</v>
      </c>
    </row>
    <row r="109" spans="1:8" x14ac:dyDescent="0.3">
      <c r="A109" t="s">
        <v>12</v>
      </c>
      <c r="B109" t="s">
        <v>128</v>
      </c>
      <c r="C109" s="1">
        <v>0</v>
      </c>
      <c r="D109" s="1">
        <v>0</v>
      </c>
      <c r="E109" s="1">
        <v>47</v>
      </c>
      <c r="F109" s="1">
        <v>956497</v>
      </c>
      <c r="G109">
        <f t="shared" si="2"/>
        <v>47</v>
      </c>
      <c r="H109">
        <f t="shared" si="3"/>
        <v>956497</v>
      </c>
    </row>
    <row r="110" spans="1:8" x14ac:dyDescent="0.3">
      <c r="A110" t="s">
        <v>12</v>
      </c>
      <c r="B110" t="s">
        <v>129</v>
      </c>
      <c r="C110" s="1">
        <v>0</v>
      </c>
      <c r="D110" s="1">
        <v>0</v>
      </c>
      <c r="E110" s="1">
        <v>420</v>
      </c>
      <c r="F110" s="1">
        <v>8547420</v>
      </c>
      <c r="G110">
        <f t="shared" si="2"/>
        <v>420</v>
      </c>
      <c r="H110">
        <f t="shared" si="3"/>
        <v>8547420</v>
      </c>
    </row>
    <row r="111" spans="1:8" x14ac:dyDescent="0.3">
      <c r="A111" t="s">
        <v>12</v>
      </c>
      <c r="B111" t="s">
        <v>131</v>
      </c>
      <c r="C111" s="1">
        <v>0</v>
      </c>
      <c r="D111" s="1">
        <v>0</v>
      </c>
      <c r="E111" s="1">
        <v>270</v>
      </c>
      <c r="F111" s="1">
        <v>5494770</v>
      </c>
      <c r="G111">
        <f t="shared" si="2"/>
        <v>270</v>
      </c>
      <c r="H111">
        <f t="shared" si="3"/>
        <v>5494770</v>
      </c>
    </row>
    <row r="112" spans="1:8" x14ac:dyDescent="0.3">
      <c r="A112" t="s">
        <v>12</v>
      </c>
      <c r="B112" t="s">
        <v>187</v>
      </c>
      <c r="C112" s="1">
        <v>0</v>
      </c>
      <c r="D112" s="1">
        <v>0</v>
      </c>
      <c r="E112" s="1">
        <v>90</v>
      </c>
      <c r="F112" s="1">
        <v>1831590</v>
      </c>
      <c r="G112">
        <f t="shared" si="2"/>
        <v>90</v>
      </c>
      <c r="H112">
        <f t="shared" si="3"/>
        <v>1831590</v>
      </c>
    </row>
    <row r="113" spans="1:8" x14ac:dyDescent="0.3">
      <c r="A113" t="s">
        <v>12</v>
      </c>
      <c r="B113" t="s">
        <v>134</v>
      </c>
      <c r="C113" s="1">
        <v>0</v>
      </c>
      <c r="D113" s="1">
        <v>0</v>
      </c>
      <c r="E113" s="1">
        <v>300</v>
      </c>
      <c r="F113" s="1">
        <v>6105300</v>
      </c>
      <c r="G113">
        <f t="shared" si="2"/>
        <v>300</v>
      </c>
      <c r="H113">
        <f t="shared" si="3"/>
        <v>6105300</v>
      </c>
    </row>
    <row r="114" spans="1:8" x14ac:dyDescent="0.3">
      <c r="A114" t="s">
        <v>13</v>
      </c>
      <c r="B114" t="s">
        <v>139</v>
      </c>
      <c r="C114" s="1">
        <v>552</v>
      </c>
      <c r="D114" s="1">
        <v>1380000</v>
      </c>
      <c r="E114" s="1">
        <v>3985.3</v>
      </c>
      <c r="F114" s="1">
        <v>45021934.100000001</v>
      </c>
      <c r="G114">
        <f t="shared" si="2"/>
        <v>4537.3</v>
      </c>
      <c r="H114">
        <f t="shared" si="3"/>
        <v>46401934.100000001</v>
      </c>
    </row>
    <row r="115" spans="1:8" x14ac:dyDescent="0.3">
      <c r="A115" t="s">
        <v>13</v>
      </c>
      <c r="B115" t="s">
        <v>188</v>
      </c>
      <c r="C115" s="1">
        <v>0</v>
      </c>
      <c r="D115" s="1">
        <v>0</v>
      </c>
      <c r="E115" s="1">
        <v>0</v>
      </c>
      <c r="F115" s="1">
        <v>0</v>
      </c>
      <c r="G115">
        <f t="shared" si="2"/>
        <v>0</v>
      </c>
      <c r="H115">
        <f t="shared" si="3"/>
        <v>0</v>
      </c>
    </row>
    <row r="116" spans="1:8" x14ac:dyDescent="0.3">
      <c r="A116" t="s">
        <v>13</v>
      </c>
      <c r="B116" t="s">
        <v>138</v>
      </c>
      <c r="C116" s="1">
        <v>0</v>
      </c>
      <c r="D116" s="1">
        <v>0</v>
      </c>
      <c r="E116" s="1">
        <v>0</v>
      </c>
      <c r="F116" s="1">
        <v>0</v>
      </c>
      <c r="G116">
        <f t="shared" si="2"/>
        <v>0</v>
      </c>
      <c r="H116">
        <f t="shared" si="3"/>
        <v>0</v>
      </c>
    </row>
    <row r="117" spans="1:8" x14ac:dyDescent="0.3">
      <c r="A117" t="s">
        <v>13</v>
      </c>
      <c r="B117" t="s">
        <v>137</v>
      </c>
      <c r="C117" s="1">
        <v>0</v>
      </c>
      <c r="D117" s="1">
        <v>0</v>
      </c>
      <c r="E117" s="1">
        <v>0</v>
      </c>
      <c r="F117" s="1">
        <v>0</v>
      </c>
      <c r="G117">
        <f t="shared" si="2"/>
        <v>0</v>
      </c>
      <c r="H117">
        <f t="shared" si="3"/>
        <v>0</v>
      </c>
    </row>
    <row r="118" spans="1:8" x14ac:dyDescent="0.3">
      <c r="A118" t="s">
        <v>13</v>
      </c>
      <c r="B118" t="s">
        <v>135</v>
      </c>
      <c r="C118" s="1">
        <v>0</v>
      </c>
      <c r="D118" s="1">
        <v>0</v>
      </c>
      <c r="E118" s="1">
        <v>0</v>
      </c>
      <c r="F118" s="1">
        <v>0</v>
      </c>
      <c r="G118">
        <f t="shared" si="2"/>
        <v>0</v>
      </c>
      <c r="H118">
        <f t="shared" si="3"/>
        <v>0</v>
      </c>
    </row>
    <row r="119" spans="1:8" x14ac:dyDescent="0.3">
      <c r="A119" t="s">
        <v>13</v>
      </c>
      <c r="B119" t="s">
        <v>136</v>
      </c>
      <c r="C119" s="1">
        <v>0</v>
      </c>
      <c r="D119" s="1">
        <v>0</v>
      </c>
      <c r="E119" s="1">
        <v>0</v>
      </c>
      <c r="F119" s="1">
        <v>0</v>
      </c>
      <c r="G119">
        <f t="shared" si="2"/>
        <v>0</v>
      </c>
      <c r="H119">
        <f t="shared" si="3"/>
        <v>0</v>
      </c>
    </row>
    <row r="120" spans="1:8" x14ac:dyDescent="0.3">
      <c r="A120" t="s">
        <v>13</v>
      </c>
      <c r="B120" t="s">
        <v>155</v>
      </c>
      <c r="C120" s="1">
        <v>0</v>
      </c>
      <c r="D120" s="1">
        <v>0</v>
      </c>
      <c r="E120" s="1">
        <v>0</v>
      </c>
      <c r="F120" s="1">
        <v>0</v>
      </c>
      <c r="G120">
        <f t="shared" si="2"/>
        <v>0</v>
      </c>
      <c r="H120">
        <f t="shared" si="3"/>
        <v>0</v>
      </c>
    </row>
    <row r="121" spans="1:8" x14ac:dyDescent="0.3">
      <c r="A121" t="s">
        <v>152</v>
      </c>
      <c r="B121" t="s">
        <v>144</v>
      </c>
      <c r="C121" s="1">
        <v>48</v>
      </c>
      <c r="D121" s="1">
        <v>5760000</v>
      </c>
      <c r="E121" s="1">
        <v>1116</v>
      </c>
      <c r="F121" s="1">
        <v>89280000</v>
      </c>
      <c r="G121">
        <f t="shared" si="2"/>
        <v>1164</v>
      </c>
      <c r="H121">
        <f t="shared" si="3"/>
        <v>95040000</v>
      </c>
    </row>
    <row r="122" spans="1:8" x14ac:dyDescent="0.3">
      <c r="A122" t="s">
        <v>152</v>
      </c>
      <c r="B122" t="s">
        <v>189</v>
      </c>
      <c r="C122" s="1">
        <v>75</v>
      </c>
      <c r="D122" s="1">
        <v>9000000</v>
      </c>
      <c r="E122" s="1">
        <v>268</v>
      </c>
      <c r="F122" s="1">
        <v>21440000</v>
      </c>
      <c r="G122">
        <f t="shared" si="2"/>
        <v>343</v>
      </c>
      <c r="H122">
        <f t="shared" si="3"/>
        <v>30440000</v>
      </c>
    </row>
    <row r="123" spans="1:8" x14ac:dyDescent="0.3">
      <c r="A123" t="s">
        <v>152</v>
      </c>
      <c r="B123" t="s">
        <v>143</v>
      </c>
      <c r="C123" s="1">
        <v>264</v>
      </c>
      <c r="D123" s="1">
        <v>55440000</v>
      </c>
      <c r="E123" s="1">
        <v>444</v>
      </c>
      <c r="F123" s="1">
        <v>62160000</v>
      </c>
      <c r="G123">
        <f t="shared" si="2"/>
        <v>708</v>
      </c>
      <c r="H123">
        <f t="shared" si="3"/>
        <v>117600000</v>
      </c>
    </row>
    <row r="124" spans="1:8" x14ac:dyDescent="0.3">
      <c r="A124" t="s">
        <v>152</v>
      </c>
      <c r="B124" t="s">
        <v>140</v>
      </c>
      <c r="C124" s="1">
        <v>20</v>
      </c>
      <c r="D124" s="1">
        <v>2400000</v>
      </c>
      <c r="E124" s="1">
        <v>60</v>
      </c>
      <c r="F124" s="1">
        <v>4800000</v>
      </c>
      <c r="G124">
        <f t="shared" si="2"/>
        <v>80</v>
      </c>
      <c r="H124">
        <f t="shared" si="3"/>
        <v>7200000</v>
      </c>
    </row>
    <row r="125" spans="1:8" x14ac:dyDescent="0.3">
      <c r="A125" t="s">
        <v>152</v>
      </c>
      <c r="B125" t="s">
        <v>141</v>
      </c>
      <c r="C125" s="1">
        <v>20</v>
      </c>
      <c r="D125" s="1">
        <v>2400000</v>
      </c>
      <c r="E125" s="1">
        <v>50</v>
      </c>
      <c r="F125" s="1">
        <v>4000000</v>
      </c>
      <c r="G125">
        <f t="shared" si="2"/>
        <v>70</v>
      </c>
      <c r="H125">
        <f t="shared" si="3"/>
        <v>6400000</v>
      </c>
    </row>
    <row r="126" spans="1:8" x14ac:dyDescent="0.3">
      <c r="A126" t="s">
        <v>152</v>
      </c>
      <c r="B126" t="s">
        <v>142</v>
      </c>
      <c r="C126" s="1">
        <v>63</v>
      </c>
      <c r="D126" s="1">
        <v>7560000</v>
      </c>
      <c r="E126" s="1">
        <v>858</v>
      </c>
      <c r="F126" s="1">
        <v>68640000</v>
      </c>
      <c r="G126">
        <f t="shared" si="2"/>
        <v>921</v>
      </c>
      <c r="H126">
        <f t="shared" si="3"/>
        <v>76200000</v>
      </c>
    </row>
    <row r="127" spans="1:8" x14ac:dyDescent="0.3">
      <c r="A127" t="s">
        <v>147</v>
      </c>
      <c r="B127" t="s">
        <v>93</v>
      </c>
      <c r="C127" s="1">
        <v>100</v>
      </c>
      <c r="D127" s="1">
        <v>900000</v>
      </c>
      <c r="E127" s="1">
        <v>31</v>
      </c>
      <c r="F127" s="1">
        <v>248000</v>
      </c>
      <c r="G127">
        <f t="shared" si="2"/>
        <v>131</v>
      </c>
      <c r="H127">
        <f t="shared" si="3"/>
        <v>1148000</v>
      </c>
    </row>
    <row r="128" spans="1:8" x14ac:dyDescent="0.3">
      <c r="A128" t="s">
        <v>147</v>
      </c>
      <c r="B128" t="s">
        <v>92</v>
      </c>
      <c r="C128" s="1">
        <v>720</v>
      </c>
      <c r="D128" s="1">
        <v>36000000</v>
      </c>
      <c r="E128" s="1">
        <v>0</v>
      </c>
      <c r="F128" s="1">
        <v>0</v>
      </c>
      <c r="G128">
        <f t="shared" si="2"/>
        <v>720</v>
      </c>
      <c r="H128">
        <f t="shared" si="3"/>
        <v>36000000</v>
      </c>
    </row>
    <row r="129" spans="1:8" x14ac:dyDescent="0.3">
      <c r="A129" t="s">
        <v>147</v>
      </c>
      <c r="B129" t="s">
        <v>94</v>
      </c>
      <c r="C129" s="1">
        <v>0</v>
      </c>
      <c r="D129" s="1">
        <v>0</v>
      </c>
      <c r="E129" s="1">
        <v>0</v>
      </c>
      <c r="F129" s="1">
        <v>0</v>
      </c>
      <c r="G129">
        <f t="shared" si="2"/>
        <v>0</v>
      </c>
      <c r="H129">
        <f t="shared" si="3"/>
        <v>0</v>
      </c>
    </row>
    <row r="130" spans="1:8" x14ac:dyDescent="0.3">
      <c r="A130" t="s">
        <v>147</v>
      </c>
      <c r="B130" t="s">
        <v>95</v>
      </c>
      <c r="C130" s="1">
        <v>26</v>
      </c>
      <c r="D130" s="1">
        <v>1352000</v>
      </c>
      <c r="E130" s="1">
        <v>26</v>
      </c>
      <c r="F130" s="1">
        <v>260000</v>
      </c>
      <c r="G130">
        <f t="shared" si="2"/>
        <v>52</v>
      </c>
      <c r="H130">
        <f t="shared" si="3"/>
        <v>1612000</v>
      </c>
    </row>
    <row r="131" spans="1:8" x14ac:dyDescent="0.3">
      <c r="A131" t="s">
        <v>147</v>
      </c>
      <c r="B131" t="s">
        <v>96</v>
      </c>
      <c r="C131" s="1">
        <v>8</v>
      </c>
      <c r="D131" s="1">
        <v>1600000</v>
      </c>
      <c r="E131" s="1">
        <v>212</v>
      </c>
      <c r="F131" s="1">
        <v>4240000</v>
      </c>
      <c r="G131">
        <f t="shared" si="2"/>
        <v>220</v>
      </c>
      <c r="H131">
        <f t="shared" si="3"/>
        <v>5840000</v>
      </c>
    </row>
    <row r="132" spans="1:8" x14ac:dyDescent="0.3">
      <c r="A132" t="s">
        <v>147</v>
      </c>
      <c r="B132" t="s">
        <v>156</v>
      </c>
      <c r="C132" s="1">
        <v>0</v>
      </c>
      <c r="D132" s="1">
        <v>0</v>
      </c>
      <c r="E132" s="1">
        <v>0</v>
      </c>
      <c r="F132" s="1">
        <v>0</v>
      </c>
      <c r="G132">
        <f t="shared" ref="G132:G162" si="4">C132+E132</f>
        <v>0</v>
      </c>
      <c r="H132">
        <f t="shared" ref="H132:H162" si="5">D132+F132</f>
        <v>0</v>
      </c>
    </row>
    <row r="133" spans="1:8" x14ac:dyDescent="0.3">
      <c r="A133" t="s">
        <v>147</v>
      </c>
      <c r="B133" t="s">
        <v>157</v>
      </c>
      <c r="C133" s="1">
        <v>0</v>
      </c>
      <c r="D133" s="1">
        <v>0</v>
      </c>
      <c r="E133" s="1">
        <v>0</v>
      </c>
      <c r="F133" s="1">
        <v>0</v>
      </c>
      <c r="G133">
        <f t="shared" si="4"/>
        <v>0</v>
      </c>
      <c r="H133">
        <f t="shared" si="5"/>
        <v>0</v>
      </c>
    </row>
    <row r="134" spans="1:8" x14ac:dyDescent="0.3">
      <c r="A134" t="s">
        <v>146</v>
      </c>
      <c r="B134" t="s">
        <v>158</v>
      </c>
      <c r="C134" s="1">
        <v>0</v>
      </c>
      <c r="D134" s="1">
        <v>0</v>
      </c>
      <c r="E134" s="1">
        <v>40</v>
      </c>
      <c r="F134" s="1">
        <v>988000</v>
      </c>
      <c r="G134">
        <f t="shared" si="4"/>
        <v>40</v>
      </c>
      <c r="H134">
        <f t="shared" si="5"/>
        <v>988000</v>
      </c>
    </row>
    <row r="135" spans="1:8" x14ac:dyDescent="0.3">
      <c r="A135" t="s">
        <v>146</v>
      </c>
      <c r="B135" t="s">
        <v>81</v>
      </c>
      <c r="C135" s="1">
        <v>5</v>
      </c>
      <c r="D135" s="1">
        <v>1700000</v>
      </c>
      <c r="E135" s="1">
        <v>10</v>
      </c>
      <c r="F135" s="1">
        <v>1700000</v>
      </c>
      <c r="G135">
        <f t="shared" si="4"/>
        <v>15</v>
      </c>
      <c r="H135">
        <f t="shared" si="5"/>
        <v>3400000</v>
      </c>
    </row>
    <row r="136" spans="1:8" x14ac:dyDescent="0.3">
      <c r="A136" t="s">
        <v>146</v>
      </c>
      <c r="B136" t="s">
        <v>84</v>
      </c>
      <c r="C136" s="1">
        <v>0</v>
      </c>
      <c r="D136" s="1">
        <v>0</v>
      </c>
      <c r="E136" s="1">
        <v>70</v>
      </c>
      <c r="F136" s="1">
        <v>1050000</v>
      </c>
      <c r="G136">
        <f t="shared" si="4"/>
        <v>70</v>
      </c>
      <c r="H136">
        <f t="shared" si="5"/>
        <v>1050000</v>
      </c>
    </row>
    <row r="137" spans="1:8" x14ac:dyDescent="0.3">
      <c r="A137" t="s">
        <v>146</v>
      </c>
      <c r="B137" t="s">
        <v>175</v>
      </c>
      <c r="C137" s="1">
        <v>0.8</v>
      </c>
      <c r="D137" s="1">
        <v>40000</v>
      </c>
      <c r="E137" s="1">
        <v>10</v>
      </c>
      <c r="F137" s="1">
        <v>350000</v>
      </c>
      <c r="G137">
        <f t="shared" si="4"/>
        <v>10.8</v>
      </c>
      <c r="H137">
        <f t="shared" si="5"/>
        <v>390000</v>
      </c>
    </row>
    <row r="138" spans="1:8" x14ac:dyDescent="0.3">
      <c r="A138" t="s">
        <v>146</v>
      </c>
      <c r="B138" t="s">
        <v>83</v>
      </c>
      <c r="C138" s="1">
        <v>0</v>
      </c>
      <c r="D138" s="1">
        <v>0</v>
      </c>
      <c r="E138" s="1">
        <v>0</v>
      </c>
      <c r="F138" s="1">
        <v>0</v>
      </c>
      <c r="G138">
        <f t="shared" si="4"/>
        <v>0</v>
      </c>
      <c r="H138">
        <f t="shared" si="5"/>
        <v>0</v>
      </c>
    </row>
    <row r="139" spans="1:8" x14ac:dyDescent="0.3">
      <c r="A139" t="s">
        <v>146</v>
      </c>
      <c r="B139" t="s">
        <v>89</v>
      </c>
      <c r="C139" s="1">
        <v>0</v>
      </c>
      <c r="D139" s="1">
        <v>0</v>
      </c>
      <c r="E139" s="1">
        <v>0</v>
      </c>
      <c r="F139" s="1">
        <v>0</v>
      </c>
      <c r="G139">
        <f t="shared" si="4"/>
        <v>0</v>
      </c>
      <c r="H139">
        <f t="shared" si="5"/>
        <v>0</v>
      </c>
    </row>
    <row r="140" spans="1:8" x14ac:dyDescent="0.3">
      <c r="A140" t="s">
        <v>146</v>
      </c>
      <c r="B140" t="s">
        <v>87</v>
      </c>
      <c r="C140" s="1">
        <v>0</v>
      </c>
      <c r="D140" s="1">
        <v>0</v>
      </c>
      <c r="E140" s="1">
        <v>26.3</v>
      </c>
      <c r="F140" s="1">
        <v>295007.09999999998</v>
      </c>
      <c r="G140">
        <f t="shared" si="4"/>
        <v>26.3</v>
      </c>
      <c r="H140">
        <f t="shared" si="5"/>
        <v>295007.09999999998</v>
      </c>
    </row>
    <row r="141" spans="1:8" x14ac:dyDescent="0.3">
      <c r="A141" t="s">
        <v>146</v>
      </c>
      <c r="B141" t="s">
        <v>88</v>
      </c>
      <c r="C141" s="1">
        <v>2</v>
      </c>
      <c r="D141" s="1">
        <v>600000</v>
      </c>
      <c r="E141" s="1">
        <v>0</v>
      </c>
      <c r="F141" s="1">
        <v>0</v>
      </c>
      <c r="G141">
        <f t="shared" si="4"/>
        <v>2</v>
      </c>
      <c r="H141">
        <f t="shared" si="5"/>
        <v>600000</v>
      </c>
    </row>
    <row r="142" spans="1:8" x14ac:dyDescent="0.3">
      <c r="A142" t="s">
        <v>146</v>
      </c>
      <c r="B142" t="s">
        <v>79</v>
      </c>
      <c r="C142" s="1">
        <v>0</v>
      </c>
      <c r="D142" s="1">
        <v>0</v>
      </c>
      <c r="E142" s="1">
        <v>1.75</v>
      </c>
      <c r="F142" s="1">
        <v>350000</v>
      </c>
      <c r="G142">
        <f t="shared" si="4"/>
        <v>1.75</v>
      </c>
      <c r="H142">
        <f t="shared" si="5"/>
        <v>350000</v>
      </c>
    </row>
    <row r="143" spans="1:8" x14ac:dyDescent="0.3">
      <c r="A143" t="s">
        <v>146</v>
      </c>
      <c r="B143" t="s">
        <v>177</v>
      </c>
      <c r="C143" s="1">
        <v>0</v>
      </c>
      <c r="D143" s="1">
        <v>0</v>
      </c>
      <c r="E143" s="1">
        <v>0</v>
      </c>
      <c r="F143" s="1">
        <v>0</v>
      </c>
      <c r="G143">
        <f t="shared" si="4"/>
        <v>0</v>
      </c>
      <c r="H143">
        <f t="shared" si="5"/>
        <v>0</v>
      </c>
    </row>
    <row r="144" spans="1:8" x14ac:dyDescent="0.3">
      <c r="A144" t="s">
        <v>146</v>
      </c>
      <c r="B144" t="s">
        <v>90</v>
      </c>
      <c r="C144" s="1">
        <v>2</v>
      </c>
      <c r="D144" s="1">
        <v>200000</v>
      </c>
      <c r="E144" s="1">
        <v>60</v>
      </c>
      <c r="F144" s="1">
        <v>480000</v>
      </c>
      <c r="G144">
        <f t="shared" si="4"/>
        <v>62</v>
      </c>
      <c r="H144">
        <f t="shared" si="5"/>
        <v>680000</v>
      </c>
    </row>
    <row r="145" spans="1:8" x14ac:dyDescent="0.3">
      <c r="A145" t="s">
        <v>146</v>
      </c>
      <c r="B145" t="s">
        <v>86</v>
      </c>
      <c r="C145" s="1">
        <v>0</v>
      </c>
      <c r="D145" s="1">
        <v>0</v>
      </c>
      <c r="E145" s="1">
        <v>1500</v>
      </c>
      <c r="F145" s="1">
        <v>45000000</v>
      </c>
      <c r="G145">
        <f t="shared" si="4"/>
        <v>1500</v>
      </c>
      <c r="H145">
        <f t="shared" si="5"/>
        <v>45000000</v>
      </c>
    </row>
    <row r="146" spans="1:8" x14ac:dyDescent="0.3">
      <c r="A146" t="s">
        <v>146</v>
      </c>
      <c r="B146" t="s">
        <v>80</v>
      </c>
      <c r="C146" s="1">
        <v>0</v>
      </c>
      <c r="D146" s="1">
        <v>0</v>
      </c>
      <c r="E146" s="1">
        <v>50</v>
      </c>
      <c r="F146" s="1">
        <v>1050000</v>
      </c>
      <c r="G146">
        <f t="shared" si="4"/>
        <v>50</v>
      </c>
      <c r="H146">
        <f t="shared" si="5"/>
        <v>1050000</v>
      </c>
    </row>
    <row r="147" spans="1:8" x14ac:dyDescent="0.3">
      <c r="A147" t="s">
        <v>146</v>
      </c>
      <c r="B147" t="s">
        <v>176</v>
      </c>
      <c r="C147" s="1">
        <v>0</v>
      </c>
      <c r="D147" s="1">
        <v>0</v>
      </c>
      <c r="E147" s="1">
        <v>68</v>
      </c>
      <c r="F147" s="1">
        <v>749999.88</v>
      </c>
      <c r="G147">
        <f t="shared" si="4"/>
        <v>68</v>
      </c>
      <c r="H147">
        <f t="shared" si="5"/>
        <v>749999.88</v>
      </c>
    </row>
    <row r="148" spans="1:8" x14ac:dyDescent="0.3">
      <c r="A148" t="s">
        <v>146</v>
      </c>
      <c r="B148" t="s">
        <v>91</v>
      </c>
      <c r="C148" s="1">
        <v>58</v>
      </c>
      <c r="D148" s="1">
        <v>6750018.54</v>
      </c>
      <c r="E148" s="1">
        <v>0</v>
      </c>
      <c r="F148" s="1">
        <v>0</v>
      </c>
      <c r="G148">
        <f t="shared" si="4"/>
        <v>58</v>
      </c>
      <c r="H148">
        <f t="shared" si="5"/>
        <v>6750018.54</v>
      </c>
    </row>
    <row r="149" spans="1:8" x14ac:dyDescent="0.3">
      <c r="A149" t="s">
        <v>146</v>
      </c>
      <c r="B149" t="s">
        <v>82</v>
      </c>
      <c r="C149" s="1">
        <v>0</v>
      </c>
      <c r="D149" s="1">
        <v>0</v>
      </c>
      <c r="E149" s="1">
        <v>15</v>
      </c>
      <c r="F149" s="1">
        <v>1260000</v>
      </c>
      <c r="G149">
        <f t="shared" si="4"/>
        <v>15</v>
      </c>
      <c r="H149">
        <f t="shared" si="5"/>
        <v>1260000</v>
      </c>
    </row>
    <row r="150" spans="1:8" x14ac:dyDescent="0.3">
      <c r="A150" t="s">
        <v>146</v>
      </c>
      <c r="B150" t="s">
        <v>85</v>
      </c>
      <c r="C150" s="1">
        <v>0</v>
      </c>
      <c r="D150" s="1">
        <v>0</v>
      </c>
      <c r="E150" s="1">
        <v>0</v>
      </c>
      <c r="F150" s="1">
        <v>0</v>
      </c>
      <c r="G150">
        <f t="shared" si="4"/>
        <v>0</v>
      </c>
      <c r="H150">
        <f t="shared" si="5"/>
        <v>0</v>
      </c>
    </row>
    <row r="151" spans="1:8" x14ac:dyDescent="0.3">
      <c r="A151" t="s">
        <v>150</v>
      </c>
      <c r="B151" t="s">
        <v>120</v>
      </c>
      <c r="C151" s="1">
        <v>0</v>
      </c>
      <c r="D151" s="1">
        <v>0</v>
      </c>
      <c r="E151" s="1">
        <v>236</v>
      </c>
      <c r="F151" s="1">
        <v>2832000</v>
      </c>
      <c r="G151">
        <f t="shared" si="4"/>
        <v>236</v>
      </c>
      <c r="H151">
        <f t="shared" si="5"/>
        <v>2832000</v>
      </c>
    </row>
    <row r="152" spans="1:8" x14ac:dyDescent="0.3">
      <c r="A152" t="s">
        <v>150</v>
      </c>
      <c r="B152" t="s">
        <v>121</v>
      </c>
      <c r="C152" s="1">
        <v>0</v>
      </c>
      <c r="D152" s="1">
        <v>0</v>
      </c>
      <c r="E152" s="1">
        <v>217</v>
      </c>
      <c r="F152" s="1">
        <v>2604000</v>
      </c>
      <c r="G152">
        <f t="shared" si="4"/>
        <v>217</v>
      </c>
      <c r="H152">
        <f t="shared" si="5"/>
        <v>2604000</v>
      </c>
    </row>
    <row r="153" spans="1:8" x14ac:dyDescent="0.3">
      <c r="A153" t="s">
        <v>145</v>
      </c>
      <c r="B153" t="s">
        <v>49</v>
      </c>
      <c r="C153" s="1">
        <v>0</v>
      </c>
      <c r="D153" s="1">
        <v>0</v>
      </c>
      <c r="E153" s="1">
        <v>5</v>
      </c>
      <c r="F153" s="1">
        <v>100000</v>
      </c>
      <c r="G153">
        <f t="shared" si="4"/>
        <v>5</v>
      </c>
      <c r="H153">
        <f t="shared" si="5"/>
        <v>100000</v>
      </c>
    </row>
    <row r="154" spans="1:8" x14ac:dyDescent="0.3">
      <c r="A154" t="s">
        <v>145</v>
      </c>
      <c r="B154" t="s">
        <v>50</v>
      </c>
      <c r="C154" s="1">
        <v>0</v>
      </c>
      <c r="D154" s="1">
        <v>0</v>
      </c>
      <c r="E154" s="1">
        <v>4</v>
      </c>
      <c r="F154" s="1">
        <v>46668</v>
      </c>
      <c r="G154">
        <f t="shared" si="4"/>
        <v>4</v>
      </c>
      <c r="H154">
        <f t="shared" si="5"/>
        <v>46668</v>
      </c>
    </row>
    <row r="155" spans="1:8" x14ac:dyDescent="0.3">
      <c r="A155" t="s">
        <v>145</v>
      </c>
      <c r="B155" t="s">
        <v>51</v>
      </c>
      <c r="C155" s="1">
        <v>0</v>
      </c>
      <c r="D155" s="1">
        <v>0</v>
      </c>
      <c r="E155" s="1">
        <v>4</v>
      </c>
      <c r="F155" s="1">
        <v>780000</v>
      </c>
      <c r="G155">
        <f t="shared" si="4"/>
        <v>4</v>
      </c>
      <c r="H155">
        <f t="shared" si="5"/>
        <v>780000</v>
      </c>
    </row>
    <row r="156" spans="1:8" x14ac:dyDescent="0.3">
      <c r="A156" t="s">
        <v>145</v>
      </c>
      <c r="B156" t="s">
        <v>47</v>
      </c>
      <c r="C156" s="1">
        <v>0</v>
      </c>
      <c r="D156" s="1">
        <v>0</v>
      </c>
      <c r="E156" s="1">
        <v>15</v>
      </c>
      <c r="F156" s="1">
        <v>6000000</v>
      </c>
      <c r="G156">
        <f t="shared" si="4"/>
        <v>15</v>
      </c>
      <c r="H156">
        <f t="shared" si="5"/>
        <v>6000000</v>
      </c>
    </row>
    <row r="157" spans="1:8" x14ac:dyDescent="0.3">
      <c r="A157" t="s">
        <v>145</v>
      </c>
      <c r="B157" t="s">
        <v>52</v>
      </c>
      <c r="C157" s="1">
        <v>0</v>
      </c>
      <c r="D157" s="1">
        <v>0</v>
      </c>
      <c r="E157" s="1">
        <v>14</v>
      </c>
      <c r="F157" s="1">
        <v>822640</v>
      </c>
      <c r="G157">
        <f t="shared" si="4"/>
        <v>14</v>
      </c>
      <c r="H157">
        <f t="shared" si="5"/>
        <v>822640</v>
      </c>
    </row>
    <row r="158" spans="1:8" x14ac:dyDescent="0.3">
      <c r="A158" t="s">
        <v>145</v>
      </c>
      <c r="B158" t="s">
        <v>46</v>
      </c>
      <c r="C158" s="1">
        <v>0</v>
      </c>
      <c r="D158" s="1">
        <v>0</v>
      </c>
      <c r="E158" s="1">
        <v>15</v>
      </c>
      <c r="F158" s="1">
        <v>1500000</v>
      </c>
      <c r="G158">
        <f t="shared" si="4"/>
        <v>15</v>
      </c>
      <c r="H158">
        <f t="shared" si="5"/>
        <v>1500000</v>
      </c>
    </row>
    <row r="159" spans="1:8" x14ac:dyDescent="0.3">
      <c r="A159" t="s">
        <v>145</v>
      </c>
      <c r="B159" t="s">
        <v>171</v>
      </c>
      <c r="C159" s="1">
        <v>0</v>
      </c>
      <c r="D159" s="1">
        <v>0</v>
      </c>
      <c r="E159" s="1">
        <v>14</v>
      </c>
      <c r="F159" s="1">
        <v>1400000</v>
      </c>
      <c r="G159">
        <f t="shared" si="4"/>
        <v>14</v>
      </c>
      <c r="H159">
        <f t="shared" si="5"/>
        <v>1400000</v>
      </c>
    </row>
    <row r="160" spans="1:8" x14ac:dyDescent="0.3">
      <c r="A160" t="s">
        <v>145</v>
      </c>
      <c r="B160" t="s">
        <v>170</v>
      </c>
      <c r="C160" s="1">
        <v>0.37</v>
      </c>
      <c r="D160" s="1">
        <v>33419.879999999997</v>
      </c>
      <c r="E160" s="1">
        <v>30.83</v>
      </c>
      <c r="F160" s="1">
        <v>801580</v>
      </c>
      <c r="G160">
        <f t="shared" si="4"/>
        <v>31.2</v>
      </c>
      <c r="H160">
        <f t="shared" si="5"/>
        <v>834999.88</v>
      </c>
    </row>
    <row r="161" spans="1:8" x14ac:dyDescent="0.3">
      <c r="A161" t="s">
        <v>145</v>
      </c>
      <c r="B161" t="s">
        <v>48</v>
      </c>
      <c r="C161" s="1">
        <v>0</v>
      </c>
      <c r="D161" s="1">
        <v>0</v>
      </c>
      <c r="E161" s="1">
        <v>5</v>
      </c>
      <c r="F161" s="1">
        <v>100000</v>
      </c>
      <c r="G161">
        <f t="shared" si="4"/>
        <v>5</v>
      </c>
      <c r="H161">
        <f t="shared" si="5"/>
        <v>100000</v>
      </c>
    </row>
    <row r="162" spans="1:8" x14ac:dyDescent="0.3">
      <c r="D162">
        <v>0</v>
      </c>
      <c r="G162">
        <f t="shared" si="4"/>
        <v>0</v>
      </c>
      <c r="H162">
        <f t="shared" si="5"/>
        <v>0</v>
      </c>
    </row>
  </sheetData>
  <mergeCells count="3"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House</vt:lpstr>
      <vt:lpstr>Agriculture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>Ibrahim Abdullah</cp:lastModifiedBy>
  <dcterms:created xsi:type="dcterms:W3CDTF">2015-06-05T18:17:20Z</dcterms:created>
  <dcterms:modified xsi:type="dcterms:W3CDTF">2026-06-08T07:39:40Z</dcterms:modified>
</cp:coreProperties>
</file>