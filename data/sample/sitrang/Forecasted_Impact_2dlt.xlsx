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brahim\IBF-Analysis\data\sample\sitrang\"/>
    </mc:Choice>
  </mc:AlternateContent>
  <xr:revisionPtr revIDLastSave="0" documentId="13_ncr:1_{394D290D-F200-43FF-A43F-B6634C4D17B0}" xr6:coauthVersionLast="47" xr6:coauthVersionMax="47" xr10:uidLastSave="{00000000-0000-0000-0000-000000000000}"/>
  <bookViews>
    <workbookView xWindow="-108" yWindow="-108" windowWidth="23256" windowHeight="12456" xr2:uid="{F777613E-AB6C-4744-9284-054562D026F2}"/>
  </bookViews>
  <sheets>
    <sheet name="Sitrang" sheetId="10" r:id="rId1"/>
  </sheets>
  <definedNames>
    <definedName name="_xlnm._FilterDatabase" localSheetId="0" hidden="1">Sitrang!$A$1:$AK$547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I12" i="10" l="1"/>
  <c r="AJ12" i="10" l="1"/>
  <c r="AJ11" i="10"/>
  <c r="AI11" i="10"/>
  <c r="AJ9" i="10"/>
  <c r="AI9" i="10"/>
  <c r="AJ8" i="10"/>
  <c r="AI8" i="10"/>
  <c r="AJ7" i="10"/>
  <c r="AI7" i="10"/>
  <c r="AJ6" i="10"/>
  <c r="AI6" i="10"/>
  <c r="AJ5" i="10"/>
  <c r="AI5" i="10"/>
  <c r="AK11" i="10" l="1"/>
  <c r="P69" i="10" s="1"/>
  <c r="P238" i="10"/>
  <c r="P286" i="10"/>
  <c r="P107" i="10"/>
  <c r="P119" i="10"/>
  <c r="P360" i="10"/>
  <c r="P432" i="10"/>
  <c r="P456" i="10"/>
  <c r="P504" i="10"/>
  <c r="P230" i="10"/>
  <c r="P242" i="10"/>
  <c r="P66" i="10"/>
  <c r="P210" i="10"/>
  <c r="P125" i="10"/>
  <c r="P31" i="10"/>
  <c r="P40" i="10"/>
  <c r="P67" i="10"/>
  <c r="P416" i="10"/>
  <c r="P448" i="10"/>
  <c r="P87" i="10"/>
  <c r="P476" i="10"/>
  <c r="P115" i="10"/>
  <c r="P437" i="10"/>
  <c r="P411" i="10"/>
  <c r="P32" i="10"/>
  <c r="AK9" i="10"/>
  <c r="AK7" i="10"/>
  <c r="J2" i="10" s="1"/>
  <c r="AK5" i="10"/>
  <c r="F253" i="10" s="1"/>
  <c r="AK8" i="10"/>
  <c r="AK12" i="10"/>
  <c r="AK6" i="10"/>
  <c r="H100" i="10" s="1"/>
  <c r="N2" i="10"/>
  <c r="P2" i="10"/>
  <c r="F3" i="10"/>
  <c r="F4" i="10"/>
  <c r="F5" i="10"/>
  <c r="P344" i="10" l="1"/>
  <c r="P475" i="10"/>
  <c r="P8" i="10"/>
  <c r="P290" i="10"/>
  <c r="P444" i="10"/>
  <c r="P35" i="10"/>
  <c r="P428" i="10"/>
  <c r="P246" i="10"/>
  <c r="P7" i="10"/>
  <c r="P218" i="10"/>
  <c r="P72" i="10"/>
  <c r="P226" i="10"/>
  <c r="P284" i="10"/>
  <c r="P329" i="10"/>
  <c r="P532" i="10"/>
  <c r="P146" i="10"/>
  <c r="P24" i="10"/>
  <c r="P214" i="10"/>
  <c r="P27" i="10"/>
  <c r="P212" i="10"/>
  <c r="P508" i="10"/>
  <c r="P397" i="10"/>
  <c r="P12" i="10"/>
  <c r="P142" i="10"/>
  <c r="P63" i="10"/>
  <c r="P185" i="10"/>
  <c r="P364" i="10"/>
  <c r="P349" i="10"/>
  <c r="P539" i="10"/>
  <c r="P393" i="10"/>
  <c r="P3" i="10"/>
  <c r="P159" i="10"/>
  <c r="P354" i="10"/>
  <c r="P337" i="10"/>
  <c r="P467" i="10"/>
  <c r="P345" i="10"/>
  <c r="P235" i="10"/>
  <c r="P343" i="10"/>
  <c r="P463" i="10"/>
  <c r="P258" i="10"/>
  <c r="P325" i="10"/>
  <c r="P179" i="10"/>
  <c r="P333" i="10"/>
  <c r="P379" i="10"/>
  <c r="P173" i="10"/>
  <c r="P184" i="10"/>
  <c r="P234" i="10"/>
  <c r="P253" i="10"/>
  <c r="P131" i="10"/>
  <c r="P249" i="10"/>
  <c r="P321" i="10"/>
  <c r="P113" i="10"/>
  <c r="P451" i="10"/>
  <c r="P365" i="10"/>
  <c r="P128" i="10"/>
  <c r="P88" i="10"/>
  <c r="P317" i="10"/>
  <c r="P268" i="10"/>
  <c r="P530" i="10"/>
  <c r="P98" i="10"/>
  <c r="P205" i="10"/>
  <c r="P312" i="10"/>
  <c r="P419" i="10"/>
  <c r="P526" i="10"/>
  <c r="P94" i="10"/>
  <c r="P201" i="10"/>
  <c r="P543" i="10"/>
  <c r="P424" i="10"/>
  <c r="P332" i="10"/>
  <c r="P102" i="10"/>
  <c r="P401" i="10"/>
  <c r="P140" i="10"/>
  <c r="P244" i="10"/>
  <c r="P518" i="10"/>
  <c r="P86" i="10"/>
  <c r="P193" i="10"/>
  <c r="P300" i="10"/>
  <c r="P407" i="10"/>
  <c r="P514" i="10"/>
  <c r="P82" i="10"/>
  <c r="P189" i="10"/>
  <c r="P511" i="10"/>
  <c r="P392" i="10"/>
  <c r="P305" i="10"/>
  <c r="P75" i="10"/>
  <c r="P199" i="10"/>
  <c r="P512" i="10"/>
  <c r="P220" i="10"/>
  <c r="P506" i="10"/>
  <c r="P74" i="10"/>
  <c r="P181" i="10"/>
  <c r="P288" i="10"/>
  <c r="P395" i="10"/>
  <c r="P502" i="10"/>
  <c r="P70" i="10"/>
  <c r="P177" i="10"/>
  <c r="P341" i="10"/>
  <c r="P222" i="10"/>
  <c r="P135" i="10"/>
  <c r="P56" i="10"/>
  <c r="P531" i="10"/>
  <c r="P471" i="10"/>
  <c r="P76" i="10"/>
  <c r="P434" i="10"/>
  <c r="P541" i="10"/>
  <c r="P109" i="10"/>
  <c r="P216" i="10"/>
  <c r="P323" i="10"/>
  <c r="P430" i="10"/>
  <c r="P537" i="10"/>
  <c r="P105" i="10"/>
  <c r="P464" i="10"/>
  <c r="P223" i="10"/>
  <c r="P104" i="10"/>
  <c r="P17" i="10"/>
  <c r="P315" i="10"/>
  <c r="P414" i="10"/>
  <c r="P353" i="10"/>
  <c r="P546" i="10"/>
  <c r="P386" i="10"/>
  <c r="P493" i="10"/>
  <c r="P61" i="10"/>
  <c r="P168" i="10"/>
  <c r="P275" i="10"/>
  <c r="P382" i="10"/>
  <c r="P489" i="10"/>
  <c r="P57" i="10"/>
  <c r="P123" i="10"/>
  <c r="P197" i="10"/>
  <c r="P78" i="10"/>
  <c r="P207" i="10"/>
  <c r="P533" i="10"/>
  <c r="P387" i="10"/>
  <c r="P327" i="10"/>
  <c r="P522" i="10"/>
  <c r="P374" i="10"/>
  <c r="P481" i="10"/>
  <c r="P49" i="10"/>
  <c r="P156" i="10"/>
  <c r="P263" i="10"/>
  <c r="P370" i="10"/>
  <c r="P477" i="10"/>
  <c r="P45" i="10"/>
  <c r="P294" i="10"/>
  <c r="P164" i="10"/>
  <c r="P51" i="10"/>
  <c r="P547" i="10"/>
  <c r="P500" i="10"/>
  <c r="P355" i="10"/>
  <c r="P295" i="10"/>
  <c r="P498" i="10"/>
  <c r="P362" i="10"/>
  <c r="P469" i="10"/>
  <c r="P37" i="10"/>
  <c r="P144" i="10"/>
  <c r="P251" i="10"/>
  <c r="P358" i="10"/>
  <c r="P465" i="10"/>
  <c r="P33" i="10"/>
  <c r="H371" i="10"/>
  <c r="H265" i="10"/>
  <c r="H250" i="10"/>
  <c r="H106" i="10"/>
  <c r="F2" i="10"/>
  <c r="H210" i="10"/>
  <c r="H483" i="10"/>
  <c r="F519" i="10"/>
  <c r="F226" i="10"/>
  <c r="F179" i="10"/>
  <c r="F279" i="10"/>
  <c r="P208" i="10"/>
  <c r="P352" i="10"/>
  <c r="P485" i="10"/>
  <c r="P137" i="10"/>
  <c r="P29" i="10"/>
  <c r="P366" i="10"/>
  <c r="P19" i="10"/>
  <c r="P486" i="10"/>
  <c r="P279" i="10"/>
  <c r="P403" i="10"/>
  <c r="P390" i="10"/>
  <c r="P43" i="10"/>
  <c r="P473" i="10"/>
  <c r="P127" i="10"/>
  <c r="P544" i="10"/>
  <c r="P328" i="10"/>
  <c r="P521" i="10"/>
  <c r="P459" i="10"/>
  <c r="P269" i="10"/>
  <c r="P484" i="10"/>
  <c r="P196" i="10"/>
  <c r="P474" i="10"/>
  <c r="P186" i="10"/>
  <c r="P494" i="10"/>
  <c r="P350" i="10"/>
  <c r="P206" i="10"/>
  <c r="P62" i="10"/>
  <c r="P457" i="10"/>
  <c r="P313" i="10"/>
  <c r="P169" i="10"/>
  <c r="P25" i="10"/>
  <c r="P420" i="10"/>
  <c r="P276" i="10"/>
  <c r="P132" i="10"/>
  <c r="P527" i="10"/>
  <c r="P383" i="10"/>
  <c r="P239" i="10"/>
  <c r="P95" i="10"/>
  <c r="P490" i="10"/>
  <c r="P346" i="10"/>
  <c r="P202" i="10"/>
  <c r="P58" i="10"/>
  <c r="P453" i="10"/>
  <c r="P309" i="10"/>
  <c r="P165" i="10"/>
  <c r="P21" i="10"/>
  <c r="H93" i="10"/>
  <c r="F180" i="10"/>
  <c r="P523" i="10"/>
  <c r="P6" i="10"/>
  <c r="P452" i="10"/>
  <c r="P111" i="10"/>
  <c r="P427" i="10"/>
  <c r="P339" i="10"/>
  <c r="P495" i="10"/>
  <c r="P368" i="10"/>
  <c r="P247" i="10"/>
  <c r="P232" i="10"/>
  <c r="P363" i="10"/>
  <c r="P16" i="10"/>
  <c r="P447" i="10"/>
  <c r="P101" i="10"/>
  <c r="P400" i="10"/>
  <c r="P296" i="10"/>
  <c r="P404" i="10"/>
  <c r="P283" i="10"/>
  <c r="P236" i="10"/>
  <c r="P460" i="10"/>
  <c r="P172" i="10"/>
  <c r="P450" i="10"/>
  <c r="P162" i="10"/>
  <c r="P482" i="10"/>
  <c r="P338" i="10"/>
  <c r="P194" i="10"/>
  <c r="P50" i="10"/>
  <c r="P445" i="10"/>
  <c r="P301" i="10"/>
  <c r="P157" i="10"/>
  <c r="P13" i="10"/>
  <c r="P408" i="10"/>
  <c r="P264" i="10"/>
  <c r="P120" i="10"/>
  <c r="P515" i="10"/>
  <c r="P371" i="10"/>
  <c r="P227" i="10"/>
  <c r="P83" i="10"/>
  <c r="P478" i="10"/>
  <c r="P334" i="10"/>
  <c r="P190" i="10"/>
  <c r="P46" i="10"/>
  <c r="P441" i="10"/>
  <c r="P297" i="10"/>
  <c r="P153" i="10"/>
  <c r="P9" i="10"/>
  <c r="H488" i="10"/>
  <c r="F517" i="10"/>
  <c r="P176" i="10"/>
  <c r="P267" i="10"/>
  <c r="P425" i="10"/>
  <c r="P79" i="10"/>
  <c r="P256" i="10"/>
  <c r="P307" i="10"/>
  <c r="P377" i="10"/>
  <c r="P139" i="10"/>
  <c r="P221" i="10"/>
  <c r="P30" i="10"/>
  <c r="P331" i="10"/>
  <c r="P293" i="10"/>
  <c r="P415" i="10"/>
  <c r="P68" i="10"/>
  <c r="P224" i="10"/>
  <c r="P270" i="10"/>
  <c r="P351" i="10"/>
  <c r="P80" i="10"/>
  <c r="P209" i="10"/>
  <c r="P436" i="10"/>
  <c r="P148" i="10"/>
  <c r="P426" i="10"/>
  <c r="P138" i="10"/>
  <c r="P470" i="10"/>
  <c r="P326" i="10"/>
  <c r="P182" i="10"/>
  <c r="P38" i="10"/>
  <c r="P433" i="10"/>
  <c r="P289" i="10"/>
  <c r="P145" i="10"/>
  <c r="P540" i="10"/>
  <c r="P396" i="10"/>
  <c r="P252" i="10"/>
  <c r="P108" i="10"/>
  <c r="P503" i="10"/>
  <c r="P359" i="10"/>
  <c r="P215" i="10"/>
  <c r="P71" i="10"/>
  <c r="P466" i="10"/>
  <c r="P322" i="10"/>
  <c r="P178" i="10"/>
  <c r="P34" i="10"/>
  <c r="P429" i="10"/>
  <c r="P285" i="10"/>
  <c r="P141" i="10"/>
  <c r="H242" i="10"/>
  <c r="H487" i="10"/>
  <c r="F57" i="10"/>
  <c r="P438" i="10"/>
  <c r="P320" i="10"/>
  <c r="P399" i="10"/>
  <c r="P53" i="10"/>
  <c r="P198" i="10"/>
  <c r="P280" i="10"/>
  <c r="P319" i="10"/>
  <c r="P535" i="10"/>
  <c r="P188" i="10"/>
  <c r="P461" i="10"/>
  <c r="P304" i="10"/>
  <c r="P462" i="10"/>
  <c r="P389" i="10"/>
  <c r="P41" i="10"/>
  <c r="P171" i="10"/>
  <c r="P243" i="10"/>
  <c r="P260" i="10"/>
  <c r="P524" i="10"/>
  <c r="P183" i="10"/>
  <c r="P412" i="10"/>
  <c r="P124" i="10"/>
  <c r="P402" i="10"/>
  <c r="P114" i="10"/>
  <c r="P458" i="10"/>
  <c r="P314" i="10"/>
  <c r="P170" i="10"/>
  <c r="P26" i="10"/>
  <c r="P421" i="10"/>
  <c r="P277" i="10"/>
  <c r="P133" i="10"/>
  <c r="P528" i="10"/>
  <c r="P384" i="10"/>
  <c r="P240" i="10"/>
  <c r="P96" i="10"/>
  <c r="P491" i="10"/>
  <c r="P347" i="10"/>
  <c r="P203" i="10"/>
  <c r="P59" i="10"/>
  <c r="P454" i="10"/>
  <c r="P310" i="10"/>
  <c r="P166" i="10"/>
  <c r="P22" i="10"/>
  <c r="P417" i="10"/>
  <c r="P273" i="10"/>
  <c r="P129" i="10"/>
  <c r="H336" i="10"/>
  <c r="H343" i="10"/>
  <c r="F474" i="10"/>
  <c r="P91" i="10"/>
  <c r="P233" i="10"/>
  <c r="P367" i="10"/>
  <c r="P20" i="10"/>
  <c r="P112" i="10"/>
  <c r="P248" i="10"/>
  <c r="P149" i="10"/>
  <c r="P509" i="10"/>
  <c r="P161" i="10"/>
  <c r="P257" i="10"/>
  <c r="P272" i="10"/>
  <c r="P259" i="10"/>
  <c r="P356" i="10"/>
  <c r="P15" i="10"/>
  <c r="P54" i="10"/>
  <c r="P211" i="10"/>
  <c r="P89" i="10"/>
  <c r="P497" i="10"/>
  <c r="P151" i="10"/>
  <c r="P388" i="10"/>
  <c r="P100" i="10"/>
  <c r="P378" i="10"/>
  <c r="P90" i="10"/>
  <c r="P446" i="10"/>
  <c r="P302" i="10"/>
  <c r="P158" i="10"/>
  <c r="P14" i="10"/>
  <c r="P409" i="10"/>
  <c r="P265" i="10"/>
  <c r="P121" i="10"/>
  <c r="P516" i="10"/>
  <c r="P372" i="10"/>
  <c r="P228" i="10"/>
  <c r="P84" i="10"/>
  <c r="P479" i="10"/>
  <c r="P335" i="10"/>
  <c r="P191" i="10"/>
  <c r="P47" i="10"/>
  <c r="P442" i="10"/>
  <c r="P298" i="10"/>
  <c r="P154" i="10"/>
  <c r="P10" i="10"/>
  <c r="P405" i="10"/>
  <c r="P261" i="10"/>
  <c r="P117" i="10"/>
  <c r="H276" i="10"/>
  <c r="H354" i="10"/>
  <c r="F333" i="10"/>
  <c r="P496" i="10"/>
  <c r="P147" i="10"/>
  <c r="P308" i="10"/>
  <c r="P116" i="10"/>
  <c r="P536" i="10"/>
  <c r="P195" i="10"/>
  <c r="P5" i="10"/>
  <c r="P449" i="10"/>
  <c r="P103" i="10"/>
  <c r="P342" i="10"/>
  <c r="P219" i="10"/>
  <c r="P487" i="10"/>
  <c r="P303" i="10"/>
  <c r="P175" i="10"/>
  <c r="P499" i="10"/>
  <c r="P152" i="10"/>
  <c r="P376" i="10"/>
  <c r="P439" i="10"/>
  <c r="P92" i="10"/>
  <c r="P340" i="10"/>
  <c r="P52" i="10"/>
  <c r="P330" i="10"/>
  <c r="P42" i="10"/>
  <c r="P422" i="10"/>
  <c r="P278" i="10"/>
  <c r="P134" i="10"/>
  <c r="P529" i="10"/>
  <c r="P385" i="10"/>
  <c r="P241" i="10"/>
  <c r="P97" i="10"/>
  <c r="P492" i="10"/>
  <c r="P348" i="10"/>
  <c r="P204" i="10"/>
  <c r="P60" i="10"/>
  <c r="P455" i="10"/>
  <c r="P311" i="10"/>
  <c r="P167" i="10"/>
  <c r="P23" i="10"/>
  <c r="P418" i="10"/>
  <c r="P274" i="10"/>
  <c r="P130" i="10"/>
  <c r="P525" i="10"/>
  <c r="P381" i="10"/>
  <c r="P237" i="10"/>
  <c r="P93" i="10"/>
  <c r="H23" i="10"/>
  <c r="H221" i="10"/>
  <c r="F175" i="10"/>
  <c r="P150" i="10"/>
  <c r="P519" i="10"/>
  <c r="P281" i="10"/>
  <c r="P520" i="10"/>
  <c r="P510" i="10"/>
  <c r="P163" i="10"/>
  <c r="P435" i="10"/>
  <c r="P423" i="10"/>
  <c r="P77" i="10"/>
  <c r="P534" i="10"/>
  <c r="P187" i="10"/>
  <c r="P231" i="10"/>
  <c r="P271" i="10"/>
  <c r="P488" i="10"/>
  <c r="P472" i="10"/>
  <c r="P126" i="10"/>
  <c r="P174" i="10"/>
  <c r="P413" i="10"/>
  <c r="P65" i="10"/>
  <c r="P316" i="10"/>
  <c r="P28" i="10"/>
  <c r="P306" i="10"/>
  <c r="P18" i="10"/>
  <c r="P410" i="10"/>
  <c r="P266" i="10"/>
  <c r="P122" i="10"/>
  <c r="P517" i="10"/>
  <c r="P373" i="10"/>
  <c r="P229" i="10"/>
  <c r="P85" i="10"/>
  <c r="P480" i="10"/>
  <c r="P336" i="10"/>
  <c r="P192" i="10"/>
  <c r="P48" i="10"/>
  <c r="P443" i="10"/>
  <c r="P299" i="10"/>
  <c r="P155" i="10"/>
  <c r="P11" i="10"/>
  <c r="P406" i="10"/>
  <c r="P262" i="10"/>
  <c r="P118" i="10"/>
  <c r="P513" i="10"/>
  <c r="P369" i="10"/>
  <c r="P225" i="10"/>
  <c r="P81" i="10"/>
  <c r="H110" i="10"/>
  <c r="H77" i="10"/>
  <c r="F258" i="10"/>
  <c r="P64" i="10"/>
  <c r="P375" i="10"/>
  <c r="P255" i="10"/>
  <c r="P318" i="10"/>
  <c r="P483" i="10"/>
  <c r="P136" i="10"/>
  <c r="P200" i="10"/>
  <c r="P391" i="10"/>
  <c r="P44" i="10"/>
  <c r="P507" i="10"/>
  <c r="P160" i="10"/>
  <c r="P55" i="10"/>
  <c r="P245" i="10"/>
  <c r="P291" i="10"/>
  <c r="P440" i="10"/>
  <c r="P99" i="10"/>
  <c r="P545" i="10"/>
  <c r="P380" i="10"/>
  <c r="P39" i="10"/>
  <c r="P292" i="10"/>
  <c r="P4" i="10"/>
  <c r="P282" i="10"/>
  <c r="P542" i="10"/>
  <c r="P398" i="10"/>
  <c r="P254" i="10"/>
  <c r="P110" i="10"/>
  <c r="P505" i="10"/>
  <c r="P361" i="10"/>
  <c r="P217" i="10"/>
  <c r="P73" i="10"/>
  <c r="P468" i="10"/>
  <c r="P324" i="10"/>
  <c r="P180" i="10"/>
  <c r="P36" i="10"/>
  <c r="P431" i="10"/>
  <c r="P287" i="10"/>
  <c r="P143" i="10"/>
  <c r="P538" i="10"/>
  <c r="P394" i="10"/>
  <c r="P250" i="10"/>
  <c r="P106" i="10"/>
  <c r="P501" i="10"/>
  <c r="P357" i="10"/>
  <c r="P213" i="10"/>
  <c r="H409" i="10"/>
  <c r="H76" i="10"/>
  <c r="F100" i="10"/>
  <c r="H98" i="10"/>
  <c r="H132" i="10"/>
  <c r="H446" i="10"/>
  <c r="H337" i="10"/>
  <c r="H190" i="10"/>
  <c r="H45" i="10"/>
  <c r="H439" i="10"/>
  <c r="H294" i="10"/>
  <c r="H149" i="10"/>
  <c r="H16" i="10"/>
  <c r="F467" i="10"/>
  <c r="F406" i="10"/>
  <c r="F479" i="10"/>
  <c r="F323" i="10"/>
  <c r="F55" i="10"/>
  <c r="F435" i="10"/>
  <c r="H240" i="10"/>
  <c r="H275" i="10"/>
  <c r="H95" i="10"/>
  <c r="H229" i="10"/>
  <c r="H82" i="10"/>
  <c r="H464" i="10"/>
  <c r="H319" i="10"/>
  <c r="H174" i="10"/>
  <c r="H41" i="10"/>
  <c r="H459" i="10"/>
  <c r="F130" i="10"/>
  <c r="F515" i="10"/>
  <c r="F438" i="10"/>
  <c r="F155" i="10"/>
  <c r="F234" i="10"/>
  <c r="F171" i="10"/>
  <c r="H192" i="10"/>
  <c r="H83" i="10"/>
  <c r="H492" i="10"/>
  <c r="H169" i="10"/>
  <c r="H10" i="10"/>
  <c r="H404" i="10"/>
  <c r="H271" i="10"/>
  <c r="H126" i="10"/>
  <c r="H532" i="10"/>
  <c r="H387" i="10"/>
  <c r="F542" i="10"/>
  <c r="F526" i="10"/>
  <c r="F48" i="10"/>
  <c r="F35" i="10"/>
  <c r="F102" i="10"/>
  <c r="F51" i="10"/>
  <c r="H48" i="10"/>
  <c r="H419" i="10"/>
  <c r="H108" i="10"/>
  <c r="H85" i="10"/>
  <c r="H477" i="10"/>
  <c r="H320" i="10"/>
  <c r="H175" i="10"/>
  <c r="H30" i="10"/>
  <c r="H448" i="10"/>
  <c r="H315" i="10"/>
  <c r="F408" i="10"/>
  <c r="F60" i="10"/>
  <c r="F405" i="10"/>
  <c r="F296" i="10"/>
  <c r="F425" i="10"/>
  <c r="F230" i="10"/>
  <c r="H470" i="10"/>
  <c r="H458" i="10"/>
  <c r="H12" i="10"/>
  <c r="H49" i="10"/>
  <c r="H441" i="10"/>
  <c r="H296" i="10"/>
  <c r="H151" i="10"/>
  <c r="H6" i="10"/>
  <c r="H412" i="10"/>
  <c r="H279" i="10"/>
  <c r="F360" i="10"/>
  <c r="F537" i="10"/>
  <c r="F546" i="10"/>
  <c r="F272" i="10"/>
  <c r="F329" i="10"/>
  <c r="F206" i="10"/>
  <c r="H374" i="10"/>
  <c r="H266" i="10"/>
  <c r="H74" i="10"/>
  <c r="H538" i="10"/>
  <c r="H381" i="10"/>
  <c r="H224" i="10"/>
  <c r="H91" i="10"/>
  <c r="H509" i="10"/>
  <c r="H364" i="10"/>
  <c r="H219" i="10"/>
  <c r="F72" i="10"/>
  <c r="F422" i="10"/>
  <c r="F286" i="10"/>
  <c r="F152" i="10"/>
  <c r="F269" i="10"/>
  <c r="F74" i="10"/>
  <c r="H326" i="10"/>
  <c r="H312" i="10"/>
  <c r="H203" i="10"/>
  <c r="H442" i="10"/>
  <c r="H297" i="10"/>
  <c r="H152" i="10"/>
  <c r="H7" i="10"/>
  <c r="H413" i="10"/>
  <c r="H268" i="10"/>
  <c r="H135" i="10"/>
  <c r="F492" i="10"/>
  <c r="F10" i="10"/>
  <c r="F541" i="10"/>
  <c r="F8" i="10"/>
  <c r="F41" i="10"/>
  <c r="F385" i="10"/>
  <c r="H182" i="10"/>
  <c r="H216" i="10"/>
  <c r="H107" i="10"/>
  <c r="H418" i="10"/>
  <c r="H261" i="10"/>
  <c r="H116" i="10"/>
  <c r="H534" i="10"/>
  <c r="H389" i="10"/>
  <c r="H244" i="10"/>
  <c r="H99" i="10"/>
  <c r="F444" i="10"/>
  <c r="F524" i="10"/>
  <c r="F527" i="10"/>
  <c r="F463" i="10"/>
  <c r="F412" i="10"/>
  <c r="F289" i="10"/>
  <c r="H420" i="10"/>
  <c r="H455" i="10"/>
  <c r="H517" i="10"/>
  <c r="H370" i="10"/>
  <c r="H213" i="10"/>
  <c r="H56" i="10"/>
  <c r="H462" i="10"/>
  <c r="H329" i="10"/>
  <c r="H196" i="10"/>
  <c r="H51" i="10"/>
  <c r="F310" i="10"/>
  <c r="F476" i="10"/>
  <c r="F522" i="10"/>
  <c r="F343" i="10"/>
  <c r="F280" i="10"/>
  <c r="F229" i="10"/>
  <c r="H290" i="10"/>
  <c r="H324" i="10"/>
  <c r="H167" i="10"/>
  <c r="H433" i="10"/>
  <c r="H274" i="10"/>
  <c r="H117" i="10"/>
  <c r="H523" i="10"/>
  <c r="H390" i="10"/>
  <c r="H245" i="10"/>
  <c r="F543" i="10"/>
  <c r="F520" i="10"/>
  <c r="F153" i="10"/>
  <c r="F394" i="10"/>
  <c r="F199" i="10"/>
  <c r="F124" i="10"/>
  <c r="H123" i="10"/>
  <c r="H267" i="10"/>
  <c r="H411" i="10"/>
  <c r="H4" i="10"/>
  <c r="H148" i="10"/>
  <c r="H292" i="10"/>
  <c r="H436" i="10"/>
  <c r="H29" i="10"/>
  <c r="H173" i="10"/>
  <c r="H317" i="10"/>
  <c r="H461" i="10"/>
  <c r="H54" i="10"/>
  <c r="H198" i="10"/>
  <c r="H342" i="10"/>
  <c r="H486" i="10"/>
  <c r="H79" i="10"/>
  <c r="H223" i="10"/>
  <c r="H367" i="10"/>
  <c r="H511" i="10"/>
  <c r="H104" i="10"/>
  <c r="H248" i="10"/>
  <c r="H392" i="10"/>
  <c r="H536" i="10"/>
  <c r="H141" i="10"/>
  <c r="H285" i="10"/>
  <c r="H429" i="10"/>
  <c r="H34" i="10"/>
  <c r="H178" i="10"/>
  <c r="H322" i="10"/>
  <c r="H466" i="10"/>
  <c r="H73" i="10"/>
  <c r="H217" i="10"/>
  <c r="H361" i="10"/>
  <c r="H505" i="10"/>
  <c r="H395" i="10"/>
  <c r="H204" i="10"/>
  <c r="H62" i="10"/>
  <c r="H47" i="10"/>
  <c r="H24" i="10"/>
  <c r="H218" i="10"/>
  <c r="H15" i="10"/>
  <c r="H159" i="10"/>
  <c r="H303" i="10"/>
  <c r="H447" i="10"/>
  <c r="H40" i="10"/>
  <c r="H184" i="10"/>
  <c r="H328" i="10"/>
  <c r="H472" i="10"/>
  <c r="H65" i="10"/>
  <c r="H209" i="10"/>
  <c r="H353" i="10"/>
  <c r="H497" i="10"/>
  <c r="H90" i="10"/>
  <c r="H234" i="10"/>
  <c r="H378" i="10"/>
  <c r="H522" i="10"/>
  <c r="H115" i="10"/>
  <c r="H259" i="10"/>
  <c r="H403" i="10"/>
  <c r="H547" i="10"/>
  <c r="H140" i="10"/>
  <c r="H284" i="10"/>
  <c r="H428" i="10"/>
  <c r="H33" i="10"/>
  <c r="H177" i="10"/>
  <c r="H321" i="10"/>
  <c r="H465" i="10"/>
  <c r="H70" i="10"/>
  <c r="H214" i="10"/>
  <c r="H358" i="10"/>
  <c r="H502" i="10"/>
  <c r="H109" i="10"/>
  <c r="H253" i="10"/>
  <c r="H397" i="10"/>
  <c r="H541" i="10"/>
  <c r="H539" i="10"/>
  <c r="H348" i="10"/>
  <c r="H206" i="10"/>
  <c r="H119" i="10"/>
  <c r="H168" i="10"/>
  <c r="H482" i="10"/>
  <c r="H288" i="10"/>
  <c r="H422" i="10"/>
  <c r="H372" i="10"/>
  <c r="H323" i="10"/>
  <c r="H506" i="10"/>
  <c r="H264" i="10"/>
  <c r="H71" i="10"/>
  <c r="H14" i="10"/>
  <c r="H60" i="10"/>
  <c r="H155" i="10"/>
  <c r="H421" i="10"/>
  <c r="H241" i="10"/>
  <c r="H61" i="10"/>
  <c r="H430" i="10"/>
  <c r="H262" i="10"/>
  <c r="H94" i="10"/>
  <c r="H453" i="10"/>
  <c r="H273" i="10"/>
  <c r="H105" i="10"/>
  <c r="H476" i="10"/>
  <c r="H308" i="10"/>
  <c r="H128" i="10"/>
  <c r="H499" i="10"/>
  <c r="H331" i="10"/>
  <c r="H163" i="10"/>
  <c r="H546" i="10"/>
  <c r="H366" i="10"/>
  <c r="H186" i="10"/>
  <c r="H18" i="10"/>
  <c r="H401" i="10"/>
  <c r="H233" i="10"/>
  <c r="H53" i="10"/>
  <c r="H424" i="10"/>
  <c r="H256" i="10"/>
  <c r="H88" i="10"/>
  <c r="H471" i="10"/>
  <c r="H291" i="10"/>
  <c r="H111" i="10"/>
  <c r="F531" i="10"/>
  <c r="F178" i="10"/>
  <c r="F384" i="10"/>
  <c r="F464" i="10"/>
  <c r="F416" i="10"/>
  <c r="F446" i="10"/>
  <c r="F12" i="10"/>
  <c r="F536" i="10"/>
  <c r="F105" i="10"/>
  <c r="F455" i="10"/>
  <c r="F156" i="10"/>
  <c r="F429" i="10"/>
  <c r="F370" i="10"/>
  <c r="F167" i="10"/>
  <c r="F284" i="10"/>
  <c r="F475" i="10"/>
  <c r="F187" i="10"/>
  <c r="F246" i="10"/>
  <c r="F413" i="10"/>
  <c r="F17" i="10"/>
  <c r="F112" i="10"/>
  <c r="F195" i="10"/>
  <c r="F218" i="10"/>
  <c r="F373" i="10"/>
  <c r="H227" i="10"/>
  <c r="H410" i="10"/>
  <c r="H120" i="10"/>
  <c r="H170" i="10"/>
  <c r="H515" i="10"/>
  <c r="H434" i="10"/>
  <c r="H59" i="10"/>
  <c r="H385" i="10"/>
  <c r="H205" i="10"/>
  <c r="H37" i="10"/>
  <c r="H406" i="10"/>
  <c r="H238" i="10"/>
  <c r="H58" i="10"/>
  <c r="H417" i="10"/>
  <c r="H249" i="10"/>
  <c r="H81" i="10"/>
  <c r="H452" i="10"/>
  <c r="H272" i="10"/>
  <c r="H92" i="10"/>
  <c r="H475" i="10"/>
  <c r="H307" i="10"/>
  <c r="H139" i="10"/>
  <c r="H510" i="10"/>
  <c r="H330" i="10"/>
  <c r="H162" i="10"/>
  <c r="H545" i="10"/>
  <c r="H377" i="10"/>
  <c r="H197" i="10"/>
  <c r="H17" i="10"/>
  <c r="H400" i="10"/>
  <c r="H232" i="10"/>
  <c r="H64" i="10"/>
  <c r="H435" i="10"/>
  <c r="H255" i="10"/>
  <c r="H87" i="10"/>
  <c r="F507" i="10"/>
  <c r="F82" i="10"/>
  <c r="F264" i="10"/>
  <c r="F407" i="10"/>
  <c r="F530" i="10"/>
  <c r="F462" i="10"/>
  <c r="F489" i="10"/>
  <c r="F512" i="10"/>
  <c r="F132" i="10"/>
  <c r="F419" i="10"/>
  <c r="F510" i="10"/>
  <c r="F491" i="10"/>
  <c r="F285" i="10"/>
  <c r="F143" i="10"/>
  <c r="F260" i="10"/>
  <c r="F451" i="10"/>
  <c r="F163" i="10"/>
  <c r="F222" i="10"/>
  <c r="F305" i="10"/>
  <c r="F400" i="10"/>
  <c r="F16" i="10"/>
  <c r="F159" i="10"/>
  <c r="F194" i="10"/>
  <c r="F265" i="10"/>
  <c r="H194" i="10"/>
  <c r="H144" i="10"/>
  <c r="H278" i="10"/>
  <c r="H228" i="10"/>
  <c r="H179" i="10"/>
  <c r="H362" i="10"/>
  <c r="H72" i="10"/>
  <c r="H542" i="10"/>
  <c r="H122" i="10"/>
  <c r="H431" i="10"/>
  <c r="H11" i="10"/>
  <c r="H373" i="10"/>
  <c r="H193" i="10"/>
  <c r="H25" i="10"/>
  <c r="H394" i="10"/>
  <c r="H226" i="10"/>
  <c r="H46" i="10"/>
  <c r="H405" i="10"/>
  <c r="H237" i="10"/>
  <c r="H69" i="10"/>
  <c r="H440" i="10"/>
  <c r="H260" i="10"/>
  <c r="H80" i="10"/>
  <c r="H463" i="10"/>
  <c r="H295" i="10"/>
  <c r="H127" i="10"/>
  <c r="H498" i="10"/>
  <c r="H318" i="10"/>
  <c r="H150" i="10"/>
  <c r="H533" i="10"/>
  <c r="H365" i="10"/>
  <c r="H185" i="10"/>
  <c r="H5" i="10"/>
  <c r="H388" i="10"/>
  <c r="H220" i="10"/>
  <c r="H52" i="10"/>
  <c r="H423" i="10"/>
  <c r="H243" i="10"/>
  <c r="H75" i="10"/>
  <c r="F495" i="10"/>
  <c r="F34" i="10"/>
  <c r="F216" i="10"/>
  <c r="F383" i="10"/>
  <c r="F448" i="10"/>
  <c r="F357" i="10"/>
  <c r="F458" i="10"/>
  <c r="F500" i="10"/>
  <c r="F493" i="10"/>
  <c r="F396" i="10"/>
  <c r="F486" i="10"/>
  <c r="F426" i="10"/>
  <c r="F237" i="10"/>
  <c r="F131" i="10"/>
  <c r="F248" i="10"/>
  <c r="F439" i="10"/>
  <c r="F151" i="10"/>
  <c r="F138" i="10"/>
  <c r="F293" i="10"/>
  <c r="F388" i="10"/>
  <c r="F459" i="10"/>
  <c r="F147" i="10"/>
  <c r="F110" i="10"/>
  <c r="F13" i="10"/>
  <c r="F157" i="10"/>
  <c r="F301" i="10"/>
  <c r="F445" i="10"/>
  <c r="F122" i="10"/>
  <c r="F266" i="10"/>
  <c r="F63" i="10"/>
  <c r="F207" i="10"/>
  <c r="F351" i="10"/>
  <c r="F28" i="10"/>
  <c r="F172" i="10"/>
  <c r="F316" i="10"/>
  <c r="F53" i="10"/>
  <c r="F197" i="10"/>
  <c r="F341" i="10"/>
  <c r="F6" i="10"/>
  <c r="F150" i="10"/>
  <c r="F294" i="10"/>
  <c r="F79" i="10"/>
  <c r="F223" i="10"/>
  <c r="F367" i="10"/>
  <c r="F32" i="10"/>
  <c r="F176" i="10"/>
  <c r="F320" i="10"/>
  <c r="F59" i="10"/>
  <c r="F203" i="10"/>
  <c r="F347" i="10"/>
  <c r="F434" i="10"/>
  <c r="F535" i="10"/>
  <c r="F225" i="10"/>
  <c r="F371" i="10"/>
  <c r="F309" i="10"/>
  <c r="F144" i="10"/>
  <c r="F499" i="10"/>
  <c r="F410" i="10"/>
  <c r="F374" i="10"/>
  <c r="F58" i="10"/>
  <c r="F477" i="10"/>
  <c r="F424" i="10"/>
  <c r="F321" i="10"/>
  <c r="F484" i="10"/>
  <c r="F428" i="10"/>
  <c r="F168" i="10"/>
  <c r="F506" i="10"/>
  <c r="F390" i="10"/>
  <c r="F324" i="10"/>
  <c r="F25" i="10"/>
  <c r="F169" i="10"/>
  <c r="F313" i="10"/>
  <c r="F457" i="10"/>
  <c r="F134" i="10"/>
  <c r="F278" i="10"/>
  <c r="F75" i="10"/>
  <c r="F219" i="10"/>
  <c r="F363" i="10"/>
  <c r="F40" i="10"/>
  <c r="F184" i="10"/>
  <c r="F328" i="10"/>
  <c r="F65" i="10"/>
  <c r="F209" i="10"/>
  <c r="F353" i="10"/>
  <c r="F18" i="10"/>
  <c r="F162" i="10"/>
  <c r="F306" i="10"/>
  <c r="F91" i="10"/>
  <c r="F235" i="10"/>
  <c r="F379" i="10"/>
  <c r="F44" i="10"/>
  <c r="F188" i="10"/>
  <c r="F332" i="10"/>
  <c r="F71" i="10"/>
  <c r="F215" i="10"/>
  <c r="F359" i="10"/>
  <c r="F453" i="10"/>
  <c r="F300" i="10"/>
  <c r="F386" i="10"/>
  <c r="F395" i="10"/>
  <c r="F443" i="10"/>
  <c r="F192" i="10"/>
  <c r="F511" i="10"/>
  <c r="F37" i="10"/>
  <c r="F181" i="10"/>
  <c r="F325" i="10"/>
  <c r="F469" i="10"/>
  <c r="F146" i="10"/>
  <c r="F290" i="10"/>
  <c r="F87" i="10"/>
  <c r="F231" i="10"/>
  <c r="F375" i="10"/>
  <c r="F52" i="10"/>
  <c r="F196" i="10"/>
  <c r="F340" i="10"/>
  <c r="F77" i="10"/>
  <c r="F221" i="10"/>
  <c r="F365" i="10"/>
  <c r="F30" i="10"/>
  <c r="F174" i="10"/>
  <c r="F318" i="10"/>
  <c r="F103" i="10"/>
  <c r="F247" i="10"/>
  <c r="F391" i="10"/>
  <c r="F56" i="10"/>
  <c r="F200" i="10"/>
  <c r="F344" i="10"/>
  <c r="F83" i="10"/>
  <c r="F227" i="10"/>
  <c r="F45" i="10"/>
  <c r="F470" i="10"/>
  <c r="F478" i="10"/>
  <c r="F494" i="10"/>
  <c r="F418" i="10"/>
  <c r="F503" i="10"/>
  <c r="F240" i="10"/>
  <c r="F523" i="10"/>
  <c r="F432" i="10"/>
  <c r="F420" i="10"/>
  <c r="F154" i="10"/>
  <c r="F501" i="10"/>
  <c r="F490" i="10"/>
  <c r="F49" i="10"/>
  <c r="F193" i="10"/>
  <c r="F337" i="10"/>
  <c r="F14" i="10"/>
  <c r="F158" i="10"/>
  <c r="F302" i="10"/>
  <c r="F99" i="10"/>
  <c r="F243" i="10"/>
  <c r="F387" i="10"/>
  <c r="F64" i="10"/>
  <c r="F208" i="10"/>
  <c r="F352" i="10"/>
  <c r="F89" i="10"/>
  <c r="F233" i="10"/>
  <c r="F377" i="10"/>
  <c r="F42" i="10"/>
  <c r="F186" i="10"/>
  <c r="F330" i="10"/>
  <c r="F115" i="10"/>
  <c r="F259" i="10"/>
  <c r="F403" i="10"/>
  <c r="F68" i="10"/>
  <c r="F212" i="10"/>
  <c r="F356" i="10"/>
  <c r="F95" i="10"/>
  <c r="F239" i="10"/>
  <c r="F93" i="10"/>
  <c r="F485" i="10"/>
  <c r="F21" i="10"/>
  <c r="F276" i="10"/>
  <c r="F436" i="10"/>
  <c r="F481" i="10"/>
  <c r="F288" i="10"/>
  <c r="F547" i="10"/>
  <c r="F532" i="10"/>
  <c r="F440" i="10"/>
  <c r="F202" i="10"/>
  <c r="F513" i="10"/>
  <c r="F502" i="10"/>
  <c r="F369" i="10"/>
  <c r="F70" i="10"/>
  <c r="F480" i="10"/>
  <c r="F312" i="10"/>
  <c r="F544" i="10"/>
  <c r="F450" i="10"/>
  <c r="F61" i="10"/>
  <c r="F205" i="10"/>
  <c r="F349" i="10"/>
  <c r="F26" i="10"/>
  <c r="F170" i="10"/>
  <c r="F314" i="10"/>
  <c r="F111" i="10"/>
  <c r="F255" i="10"/>
  <c r="F399" i="10"/>
  <c r="F76" i="10"/>
  <c r="F220" i="10"/>
  <c r="F364" i="10"/>
  <c r="F101" i="10"/>
  <c r="F245" i="10"/>
  <c r="F389" i="10"/>
  <c r="F54" i="10"/>
  <c r="F198" i="10"/>
  <c r="F342" i="10"/>
  <c r="F127" i="10"/>
  <c r="F271" i="10"/>
  <c r="F415" i="10"/>
  <c r="F80" i="10"/>
  <c r="F224" i="10"/>
  <c r="F368" i="10"/>
  <c r="F107" i="10"/>
  <c r="F251" i="10"/>
  <c r="F141" i="10"/>
  <c r="F497" i="10"/>
  <c r="F213" i="10"/>
  <c r="F468" i="10"/>
  <c r="F454" i="10"/>
  <c r="F505" i="10"/>
  <c r="F336" i="10"/>
  <c r="F204" i="10"/>
  <c r="F9" i="10"/>
  <c r="F456" i="10"/>
  <c r="F250" i="10"/>
  <c r="F525" i="10"/>
  <c r="F73" i="10"/>
  <c r="F217" i="10"/>
  <c r="F361" i="10"/>
  <c r="F38" i="10"/>
  <c r="F182" i="10"/>
  <c r="F326" i="10"/>
  <c r="F123" i="10"/>
  <c r="F267" i="10"/>
  <c r="F411" i="10"/>
  <c r="F88" i="10"/>
  <c r="F232" i="10"/>
  <c r="F376" i="10"/>
  <c r="F113" i="10"/>
  <c r="F257" i="10"/>
  <c r="F401" i="10"/>
  <c r="F66" i="10"/>
  <c r="F210" i="10"/>
  <c r="F354" i="10"/>
  <c r="F139" i="10"/>
  <c r="F283" i="10"/>
  <c r="F427" i="10"/>
  <c r="F92" i="10"/>
  <c r="F236" i="10"/>
  <c r="F380" i="10"/>
  <c r="F119" i="10"/>
  <c r="F263" i="10"/>
  <c r="F189" i="10"/>
  <c r="F509" i="10"/>
  <c r="F382" i="10"/>
  <c r="F46" i="10"/>
  <c r="F472" i="10"/>
  <c r="F129" i="10"/>
  <c r="F372" i="10"/>
  <c r="F133" i="10"/>
  <c r="F277" i="10"/>
  <c r="F421" i="10"/>
  <c r="F98" i="10"/>
  <c r="F242" i="10"/>
  <c r="F39" i="10"/>
  <c r="F183" i="10"/>
  <c r="F327" i="10"/>
  <c r="F471" i="10"/>
  <c r="F148" i="10"/>
  <c r="F292" i="10"/>
  <c r="F29" i="10"/>
  <c r="F173" i="10"/>
  <c r="F317" i="10"/>
  <c r="F461" i="10"/>
  <c r="F126" i="10"/>
  <c r="F270" i="10"/>
  <c r="H146" i="10"/>
  <c r="H96" i="10"/>
  <c r="H230" i="10"/>
  <c r="H180" i="10"/>
  <c r="H131" i="10"/>
  <c r="H314" i="10"/>
  <c r="H503" i="10"/>
  <c r="H494" i="10"/>
  <c r="H540" i="10"/>
  <c r="H239" i="10"/>
  <c r="H529" i="10"/>
  <c r="H349" i="10"/>
  <c r="H181" i="10"/>
  <c r="H13" i="10"/>
  <c r="H382" i="10"/>
  <c r="H202" i="10"/>
  <c r="H22" i="10"/>
  <c r="H393" i="10"/>
  <c r="H225" i="10"/>
  <c r="H57" i="10"/>
  <c r="H416" i="10"/>
  <c r="H236" i="10"/>
  <c r="H68" i="10"/>
  <c r="H451" i="10"/>
  <c r="H283" i="10"/>
  <c r="H103" i="10"/>
  <c r="H474" i="10"/>
  <c r="H306" i="10"/>
  <c r="H138" i="10"/>
  <c r="H521" i="10"/>
  <c r="H341" i="10"/>
  <c r="H161" i="10"/>
  <c r="H544" i="10"/>
  <c r="H376" i="10"/>
  <c r="H208" i="10"/>
  <c r="H28" i="10"/>
  <c r="H399" i="10"/>
  <c r="H231" i="10"/>
  <c r="H63" i="10"/>
  <c r="F483" i="10"/>
  <c r="F393" i="10"/>
  <c r="F120" i="10"/>
  <c r="F358" i="10"/>
  <c r="F273" i="10"/>
  <c r="F165" i="10"/>
  <c r="F441" i="10"/>
  <c r="F488" i="10"/>
  <c r="F539" i="10"/>
  <c r="F96" i="10"/>
  <c r="F334" i="10"/>
  <c r="F534" i="10"/>
  <c r="F335" i="10"/>
  <c r="F47" i="10"/>
  <c r="F164" i="10"/>
  <c r="F355" i="10"/>
  <c r="F67" i="10"/>
  <c r="F114" i="10"/>
  <c r="F281" i="10"/>
  <c r="F304" i="10"/>
  <c r="F447" i="10"/>
  <c r="F135" i="10"/>
  <c r="F86" i="10"/>
  <c r="F241" i="10"/>
  <c r="H50" i="10"/>
  <c r="H338" i="10"/>
  <c r="H134" i="10"/>
  <c r="H84" i="10"/>
  <c r="H35" i="10"/>
  <c r="H26" i="10"/>
  <c r="H407" i="10"/>
  <c r="H398" i="10"/>
  <c r="H444" i="10"/>
  <c r="H491" i="10"/>
  <c r="H493" i="10"/>
  <c r="H325" i="10"/>
  <c r="H157" i="10"/>
  <c r="H526" i="10"/>
  <c r="H346" i="10"/>
  <c r="H166" i="10"/>
  <c r="H537" i="10"/>
  <c r="H369" i="10"/>
  <c r="H201" i="10"/>
  <c r="H21" i="10"/>
  <c r="H380" i="10"/>
  <c r="H212" i="10"/>
  <c r="H44" i="10"/>
  <c r="H427" i="10"/>
  <c r="H247" i="10"/>
  <c r="H67" i="10"/>
  <c r="H450" i="10"/>
  <c r="H282" i="10"/>
  <c r="H114" i="10"/>
  <c r="H485" i="10"/>
  <c r="H305" i="10"/>
  <c r="H137" i="10"/>
  <c r="H520" i="10"/>
  <c r="H352" i="10"/>
  <c r="H172" i="10"/>
  <c r="H543" i="10"/>
  <c r="H375" i="10"/>
  <c r="H207" i="10"/>
  <c r="H39" i="10"/>
  <c r="F431" i="10"/>
  <c r="F430" i="10"/>
  <c r="F24" i="10"/>
  <c r="F262" i="10"/>
  <c r="F117" i="10"/>
  <c r="F460" i="10"/>
  <c r="F402" i="10"/>
  <c r="F398" i="10"/>
  <c r="F261" i="10"/>
  <c r="F452" i="10"/>
  <c r="F238" i="10"/>
  <c r="F498" i="10"/>
  <c r="F311" i="10"/>
  <c r="F23" i="10"/>
  <c r="F140" i="10"/>
  <c r="F331" i="10"/>
  <c r="F43" i="10"/>
  <c r="F90" i="10"/>
  <c r="F185" i="10"/>
  <c r="F268" i="10"/>
  <c r="F423" i="10"/>
  <c r="F27" i="10"/>
  <c r="F62" i="10"/>
  <c r="F145" i="10"/>
  <c r="H528" i="10"/>
  <c r="H527" i="10"/>
  <c r="H86" i="10"/>
  <c r="H36" i="10"/>
  <c r="H386" i="10"/>
  <c r="H504" i="10"/>
  <c r="H359" i="10"/>
  <c r="H350" i="10"/>
  <c r="H396" i="10"/>
  <c r="H443" i="10"/>
  <c r="H481" i="10"/>
  <c r="H313" i="10"/>
  <c r="H145" i="10"/>
  <c r="H514" i="10"/>
  <c r="H334" i="10"/>
  <c r="H154" i="10"/>
  <c r="H525" i="10"/>
  <c r="H357" i="10"/>
  <c r="H189" i="10"/>
  <c r="H9" i="10"/>
  <c r="H368" i="10"/>
  <c r="H200" i="10"/>
  <c r="H32" i="10"/>
  <c r="H415" i="10"/>
  <c r="H235" i="10"/>
  <c r="H55" i="10"/>
  <c r="H438" i="10"/>
  <c r="H270" i="10"/>
  <c r="H102" i="10"/>
  <c r="H473" i="10"/>
  <c r="H293" i="10"/>
  <c r="H125" i="10"/>
  <c r="H508" i="10"/>
  <c r="H340" i="10"/>
  <c r="H160" i="10"/>
  <c r="H531" i="10"/>
  <c r="H363" i="10"/>
  <c r="H195" i="10"/>
  <c r="H27" i="10"/>
  <c r="F414" i="10"/>
  <c r="F362" i="10"/>
  <c r="F540" i="10"/>
  <c r="F214" i="10"/>
  <c r="F508" i="10"/>
  <c r="F381" i="10"/>
  <c r="F378" i="10"/>
  <c r="F345" i="10"/>
  <c r="F69" i="10"/>
  <c r="F228" i="10"/>
  <c r="F190" i="10"/>
  <c r="F545" i="10"/>
  <c r="F299" i="10"/>
  <c r="F11" i="10"/>
  <c r="F128" i="10"/>
  <c r="F319" i="10"/>
  <c r="F31" i="10"/>
  <c r="F78" i="10"/>
  <c r="F161" i="10"/>
  <c r="F256" i="10"/>
  <c r="F339" i="10"/>
  <c r="F15" i="10"/>
  <c r="F50" i="10"/>
  <c r="F121" i="10"/>
  <c r="H480" i="10"/>
  <c r="H335" i="10"/>
  <c r="H38" i="10"/>
  <c r="H530" i="10"/>
  <c r="H479" i="10"/>
  <c r="H456" i="10"/>
  <c r="H311" i="10"/>
  <c r="H302" i="10"/>
  <c r="H300" i="10"/>
  <c r="H347" i="10"/>
  <c r="H469" i="10"/>
  <c r="H301" i="10"/>
  <c r="H133" i="10"/>
  <c r="H490" i="10"/>
  <c r="H310" i="10"/>
  <c r="H142" i="10"/>
  <c r="H513" i="10"/>
  <c r="H345" i="10"/>
  <c r="H165" i="10"/>
  <c r="H524" i="10"/>
  <c r="H356" i="10"/>
  <c r="H188" i="10"/>
  <c r="H20" i="10"/>
  <c r="H391" i="10"/>
  <c r="H211" i="10"/>
  <c r="H43" i="10"/>
  <c r="H426" i="10"/>
  <c r="H258" i="10"/>
  <c r="H78" i="10"/>
  <c r="H449" i="10"/>
  <c r="H281" i="10"/>
  <c r="H113" i="10"/>
  <c r="H496" i="10"/>
  <c r="H316" i="10"/>
  <c r="H136" i="10"/>
  <c r="H519" i="10"/>
  <c r="H351" i="10"/>
  <c r="H183" i="10"/>
  <c r="H3" i="10"/>
  <c r="F366" i="10"/>
  <c r="F177" i="10"/>
  <c r="F528" i="10"/>
  <c r="F166" i="10"/>
  <c r="F518" i="10"/>
  <c r="F348" i="10"/>
  <c r="F346" i="10"/>
  <c r="F297" i="10"/>
  <c r="F538" i="10"/>
  <c r="F36" i="10"/>
  <c r="F142" i="10"/>
  <c r="F533" i="10"/>
  <c r="F287" i="10"/>
  <c r="F404" i="10"/>
  <c r="F116" i="10"/>
  <c r="F307" i="10"/>
  <c r="F19" i="10"/>
  <c r="F473" i="10"/>
  <c r="F149" i="10"/>
  <c r="F244" i="10"/>
  <c r="F315" i="10"/>
  <c r="F350" i="10"/>
  <c r="F433" i="10"/>
  <c r="F109" i="10"/>
  <c r="H432" i="10"/>
  <c r="H191" i="10"/>
  <c r="H516" i="10"/>
  <c r="H287" i="10"/>
  <c r="H383" i="10"/>
  <c r="H408" i="10"/>
  <c r="H263" i="10"/>
  <c r="H254" i="10"/>
  <c r="H252" i="10"/>
  <c r="H299" i="10"/>
  <c r="H457" i="10"/>
  <c r="H289" i="10"/>
  <c r="H121" i="10"/>
  <c r="H478" i="10"/>
  <c r="H298" i="10"/>
  <c r="H130" i="10"/>
  <c r="H501" i="10"/>
  <c r="H333" i="10"/>
  <c r="H153" i="10"/>
  <c r="H512" i="10"/>
  <c r="H344" i="10"/>
  <c r="H176" i="10"/>
  <c r="H8" i="10"/>
  <c r="H379" i="10"/>
  <c r="H199" i="10"/>
  <c r="H31" i="10"/>
  <c r="H414" i="10"/>
  <c r="H246" i="10"/>
  <c r="H66" i="10"/>
  <c r="H437" i="10"/>
  <c r="H269" i="10"/>
  <c r="H101" i="10"/>
  <c r="H484" i="10"/>
  <c r="H304" i="10"/>
  <c r="H124" i="10"/>
  <c r="H507" i="10"/>
  <c r="H339" i="10"/>
  <c r="H171" i="10"/>
  <c r="F496" i="10"/>
  <c r="F322" i="10"/>
  <c r="F529" i="10"/>
  <c r="F516" i="10"/>
  <c r="F118" i="10"/>
  <c r="F466" i="10"/>
  <c r="F252" i="10"/>
  <c r="F298" i="10"/>
  <c r="F249" i="10"/>
  <c r="F442" i="10"/>
  <c r="F482" i="10"/>
  <c r="F94" i="10"/>
  <c r="F521" i="10"/>
  <c r="F275" i="10"/>
  <c r="F392" i="10"/>
  <c r="F104" i="10"/>
  <c r="F295" i="10"/>
  <c r="F7" i="10"/>
  <c r="F449" i="10"/>
  <c r="F137" i="10"/>
  <c r="F160" i="10"/>
  <c r="F303" i="10"/>
  <c r="F338" i="10"/>
  <c r="F409" i="10"/>
  <c r="F97" i="10"/>
  <c r="H384" i="10"/>
  <c r="H518" i="10"/>
  <c r="H468" i="10"/>
  <c r="H467" i="10"/>
  <c r="H143" i="10"/>
  <c r="H360" i="10"/>
  <c r="H215" i="10"/>
  <c r="H158" i="10"/>
  <c r="H156" i="10"/>
  <c r="H251" i="10"/>
  <c r="H445" i="10"/>
  <c r="H277" i="10"/>
  <c r="H97" i="10"/>
  <c r="H454" i="10"/>
  <c r="H286" i="10"/>
  <c r="H118" i="10"/>
  <c r="H489" i="10"/>
  <c r="H309" i="10"/>
  <c r="H129" i="10"/>
  <c r="H500" i="10"/>
  <c r="H332" i="10"/>
  <c r="H164" i="10"/>
  <c r="H535" i="10"/>
  <c r="H355" i="10"/>
  <c r="H187" i="10"/>
  <c r="H19" i="10"/>
  <c r="H402" i="10"/>
  <c r="H222" i="10"/>
  <c r="H42" i="10"/>
  <c r="H425" i="10"/>
  <c r="H257" i="10"/>
  <c r="H89" i="10"/>
  <c r="H460" i="10"/>
  <c r="H280" i="10"/>
  <c r="H112" i="10"/>
  <c r="H495" i="10"/>
  <c r="H327" i="10"/>
  <c r="H147" i="10"/>
  <c r="F84" i="10"/>
  <c r="F274" i="10"/>
  <c r="F465" i="10"/>
  <c r="F504" i="10"/>
  <c r="F22" i="10"/>
  <c r="F81" i="10"/>
  <c r="F108" i="10"/>
  <c r="F106" i="10"/>
  <c r="F201" i="10"/>
  <c r="F487" i="10"/>
  <c r="F514" i="10"/>
  <c r="F33" i="10"/>
  <c r="F417" i="10"/>
  <c r="F191" i="10"/>
  <c r="F308" i="10"/>
  <c r="F20" i="10"/>
  <c r="F211" i="10"/>
  <c r="F282" i="10"/>
  <c r="F437" i="10"/>
  <c r="F125" i="10"/>
  <c r="F136" i="10"/>
  <c r="F291" i="10"/>
  <c r="F254" i="10"/>
  <c r="F397" i="10"/>
  <c r="F85" i="10"/>
  <c r="J7" i="10"/>
  <c r="J19" i="10"/>
  <c r="J31" i="10"/>
  <c r="J43" i="10"/>
  <c r="J55" i="10"/>
  <c r="J67" i="10"/>
  <c r="J79" i="10"/>
  <c r="J91" i="10"/>
  <c r="J103" i="10"/>
  <c r="J115" i="10"/>
  <c r="J127" i="10"/>
  <c r="J139" i="10"/>
  <c r="J151" i="10"/>
  <c r="J163" i="10"/>
  <c r="J15" i="10"/>
  <c r="J28" i="10"/>
  <c r="J41" i="10"/>
  <c r="J54" i="10"/>
  <c r="J68" i="10"/>
  <c r="J81" i="10"/>
  <c r="J94" i="10"/>
  <c r="J107" i="10"/>
  <c r="J120" i="10"/>
  <c r="J133" i="10"/>
  <c r="J146" i="10"/>
  <c r="J159" i="10"/>
  <c r="J172" i="10"/>
  <c r="J184" i="10"/>
  <c r="J196" i="10"/>
  <c r="J208" i="10"/>
  <c r="J220" i="10"/>
  <c r="J232" i="10"/>
  <c r="J244" i="10"/>
  <c r="J256" i="10"/>
  <c r="J268" i="10"/>
  <c r="J280" i="10"/>
  <c r="J292" i="10"/>
  <c r="J304" i="10"/>
  <c r="J316" i="10"/>
  <c r="J328" i="10"/>
  <c r="J340" i="10"/>
  <c r="J352" i="10"/>
  <c r="J364" i="10"/>
  <c r="J376" i="10"/>
  <c r="J388" i="10"/>
  <c r="J400" i="10"/>
  <c r="J412" i="10"/>
  <c r="J424" i="10"/>
  <c r="J436" i="10"/>
  <c r="J448" i="10"/>
  <c r="J460" i="10"/>
  <c r="J472" i="10"/>
  <c r="J484" i="10"/>
  <c r="J496" i="10"/>
  <c r="J508" i="10"/>
  <c r="J520" i="10"/>
  <c r="J532" i="10"/>
  <c r="J544" i="10"/>
  <c r="J22" i="10"/>
  <c r="J140" i="10"/>
  <c r="J238" i="10"/>
  <c r="J310" i="10"/>
  <c r="J394" i="10"/>
  <c r="J478" i="10"/>
  <c r="J62" i="10"/>
  <c r="J154" i="10"/>
  <c r="J239" i="10"/>
  <c r="J323" i="10"/>
  <c r="J407" i="10"/>
  <c r="J491" i="10"/>
  <c r="J24" i="10"/>
  <c r="J116" i="10"/>
  <c r="J204" i="10"/>
  <c r="J288" i="10"/>
  <c r="J396" i="10"/>
  <c r="J480" i="10"/>
  <c r="J38" i="10"/>
  <c r="J117" i="10"/>
  <c r="J205" i="10"/>
  <c r="J277" i="10"/>
  <c r="J385" i="10"/>
  <c r="J469" i="10"/>
  <c r="J26" i="10"/>
  <c r="J157" i="10"/>
  <c r="J254" i="10"/>
  <c r="J338" i="10"/>
  <c r="J3" i="10"/>
  <c r="J16" i="10"/>
  <c r="J29" i="10"/>
  <c r="J42" i="10"/>
  <c r="J56" i="10"/>
  <c r="J69" i="10"/>
  <c r="J82" i="10"/>
  <c r="J95" i="10"/>
  <c r="J108" i="10"/>
  <c r="J121" i="10"/>
  <c r="J134" i="10"/>
  <c r="J147" i="10"/>
  <c r="J160" i="10"/>
  <c r="J173" i="10"/>
  <c r="J185" i="10"/>
  <c r="J197" i="10"/>
  <c r="J209" i="10"/>
  <c r="J221" i="10"/>
  <c r="J233" i="10"/>
  <c r="J245" i="10"/>
  <c r="J257" i="10"/>
  <c r="J269" i="10"/>
  <c r="J281" i="10"/>
  <c r="J293" i="10"/>
  <c r="J305" i="10"/>
  <c r="J317" i="10"/>
  <c r="J329" i="10"/>
  <c r="J341" i="10"/>
  <c r="J353" i="10"/>
  <c r="J365" i="10"/>
  <c r="J377" i="10"/>
  <c r="J389" i="10"/>
  <c r="J401" i="10"/>
  <c r="J413" i="10"/>
  <c r="J425" i="10"/>
  <c r="J437" i="10"/>
  <c r="J449" i="10"/>
  <c r="J461" i="10"/>
  <c r="J473" i="10"/>
  <c r="J485" i="10"/>
  <c r="J497" i="10"/>
  <c r="J509" i="10"/>
  <c r="J521" i="10"/>
  <c r="J533" i="10"/>
  <c r="J545" i="10"/>
  <c r="J61" i="10"/>
  <c r="J153" i="10"/>
  <c r="J214" i="10"/>
  <c r="J274" i="10"/>
  <c r="J346" i="10"/>
  <c r="J430" i="10"/>
  <c r="J502" i="10"/>
  <c r="J75" i="10"/>
  <c r="J167" i="10"/>
  <c r="J263" i="10"/>
  <c r="J359" i="10"/>
  <c r="J431" i="10"/>
  <c r="J515" i="10"/>
  <c r="J76" i="10"/>
  <c r="J168" i="10"/>
  <c r="J240" i="10"/>
  <c r="J300" i="10"/>
  <c r="J384" i="10"/>
  <c r="J468" i="10"/>
  <c r="J516" i="10"/>
  <c r="J51" i="10"/>
  <c r="J143" i="10"/>
  <c r="J229" i="10"/>
  <c r="J301" i="10"/>
  <c r="J373" i="10"/>
  <c r="J445" i="10"/>
  <c r="J541" i="10"/>
  <c r="J92" i="10"/>
  <c r="J206" i="10"/>
  <c r="J302" i="10"/>
  <c r="J362" i="10"/>
  <c r="J4" i="10"/>
  <c r="J17" i="10"/>
  <c r="J30" i="10"/>
  <c r="J44" i="10"/>
  <c r="J57" i="10"/>
  <c r="J70" i="10"/>
  <c r="J83" i="10"/>
  <c r="J96" i="10"/>
  <c r="J109" i="10"/>
  <c r="J122" i="10"/>
  <c r="J135" i="10"/>
  <c r="J148" i="10"/>
  <c r="J161" i="10"/>
  <c r="J174" i="10"/>
  <c r="J186" i="10"/>
  <c r="J198" i="10"/>
  <c r="J210" i="10"/>
  <c r="J222" i="10"/>
  <c r="J234" i="10"/>
  <c r="J246" i="10"/>
  <c r="J258" i="10"/>
  <c r="J270" i="10"/>
  <c r="J282" i="10"/>
  <c r="J294" i="10"/>
  <c r="J306" i="10"/>
  <c r="J318" i="10"/>
  <c r="J330" i="10"/>
  <c r="J342" i="10"/>
  <c r="J354" i="10"/>
  <c r="J366" i="10"/>
  <c r="J378" i="10"/>
  <c r="J390" i="10"/>
  <c r="J402" i="10"/>
  <c r="J414" i="10"/>
  <c r="J426" i="10"/>
  <c r="J438" i="10"/>
  <c r="J450" i="10"/>
  <c r="J462" i="10"/>
  <c r="J474" i="10"/>
  <c r="J486" i="10"/>
  <c r="J498" i="10"/>
  <c r="J510" i="10"/>
  <c r="J522" i="10"/>
  <c r="J534" i="10"/>
  <c r="J546" i="10"/>
  <c r="J35" i="10"/>
  <c r="J113" i="10"/>
  <c r="J178" i="10"/>
  <c r="J262" i="10"/>
  <c r="J322" i="10"/>
  <c r="J406" i="10"/>
  <c r="J514" i="10"/>
  <c r="J36" i="10"/>
  <c r="J128" i="10"/>
  <c r="J227" i="10"/>
  <c r="J335" i="10"/>
  <c r="J419" i="10"/>
  <c r="J503" i="10"/>
  <c r="J50" i="10"/>
  <c r="J142" i="10"/>
  <c r="J228" i="10"/>
  <c r="J336" i="10"/>
  <c r="J432" i="10"/>
  <c r="J528" i="10"/>
  <c r="J77" i="10"/>
  <c r="J169" i="10"/>
  <c r="J265" i="10"/>
  <c r="J349" i="10"/>
  <c r="J433" i="10"/>
  <c r="J517" i="10"/>
  <c r="J65" i="10"/>
  <c r="J131" i="10"/>
  <c r="J170" i="10"/>
  <c r="J230" i="10"/>
  <c r="J326" i="10"/>
  <c r="J5" i="10"/>
  <c r="J18" i="10"/>
  <c r="J32" i="10"/>
  <c r="J45" i="10"/>
  <c r="J58" i="10"/>
  <c r="J71" i="10"/>
  <c r="J84" i="10"/>
  <c r="J97" i="10"/>
  <c r="J110" i="10"/>
  <c r="J123" i="10"/>
  <c r="J136" i="10"/>
  <c r="J149" i="10"/>
  <c r="J162" i="10"/>
  <c r="J175" i="10"/>
  <c r="J187" i="10"/>
  <c r="J199" i="10"/>
  <c r="J211" i="10"/>
  <c r="J223" i="10"/>
  <c r="J235" i="10"/>
  <c r="J247" i="10"/>
  <c r="J259" i="10"/>
  <c r="J271" i="10"/>
  <c r="J283" i="10"/>
  <c r="J295" i="10"/>
  <c r="J307" i="10"/>
  <c r="J319" i="10"/>
  <c r="J331" i="10"/>
  <c r="J343" i="10"/>
  <c r="J355" i="10"/>
  <c r="J367" i="10"/>
  <c r="J379" i="10"/>
  <c r="J391" i="10"/>
  <c r="J403" i="10"/>
  <c r="J415" i="10"/>
  <c r="J427" i="10"/>
  <c r="J439" i="10"/>
  <c r="J451" i="10"/>
  <c r="J463" i="10"/>
  <c r="J475" i="10"/>
  <c r="J487" i="10"/>
  <c r="J499" i="10"/>
  <c r="J511" i="10"/>
  <c r="J523" i="10"/>
  <c r="J535" i="10"/>
  <c r="J547" i="10"/>
  <c r="J48" i="10"/>
  <c r="J100" i="10"/>
  <c r="J166" i="10"/>
  <c r="J226" i="10"/>
  <c r="J286" i="10"/>
  <c r="J382" i="10"/>
  <c r="J490" i="10"/>
  <c r="J10" i="10"/>
  <c r="J114" i="10"/>
  <c r="J203" i="10"/>
  <c r="J287" i="10"/>
  <c r="J383" i="10"/>
  <c r="J467" i="10"/>
  <c r="J11" i="10"/>
  <c r="J102" i="10"/>
  <c r="J180" i="10"/>
  <c r="J264" i="10"/>
  <c r="J348" i="10"/>
  <c r="J444" i="10"/>
  <c r="J540" i="10"/>
  <c r="J90" i="10"/>
  <c r="J181" i="10"/>
  <c r="J241" i="10"/>
  <c r="J325" i="10"/>
  <c r="J409" i="10"/>
  <c r="J481" i="10"/>
  <c r="J39" i="10"/>
  <c r="J105" i="10"/>
  <c r="J182" i="10"/>
  <c r="J278" i="10"/>
  <c r="J6" i="10"/>
  <c r="J20" i="10"/>
  <c r="J33" i="10"/>
  <c r="J46" i="10"/>
  <c r="J59" i="10"/>
  <c r="J72" i="10"/>
  <c r="J85" i="10"/>
  <c r="J98" i="10"/>
  <c r="J111" i="10"/>
  <c r="J124" i="10"/>
  <c r="J137" i="10"/>
  <c r="J150" i="10"/>
  <c r="J164" i="10"/>
  <c r="J176" i="10"/>
  <c r="J188" i="10"/>
  <c r="J200" i="10"/>
  <c r="J212" i="10"/>
  <c r="J224" i="10"/>
  <c r="J236" i="10"/>
  <c r="J248" i="10"/>
  <c r="J260" i="10"/>
  <c r="J272" i="10"/>
  <c r="J284" i="10"/>
  <c r="J296" i="10"/>
  <c r="J308" i="10"/>
  <c r="J320" i="10"/>
  <c r="J332" i="10"/>
  <c r="J344" i="10"/>
  <c r="J356" i="10"/>
  <c r="J368" i="10"/>
  <c r="J380" i="10"/>
  <c r="J392" i="10"/>
  <c r="J404" i="10"/>
  <c r="J416" i="10"/>
  <c r="J428" i="10"/>
  <c r="J440" i="10"/>
  <c r="J452" i="10"/>
  <c r="J464" i="10"/>
  <c r="J476" i="10"/>
  <c r="J488" i="10"/>
  <c r="J500" i="10"/>
  <c r="J512" i="10"/>
  <c r="J524" i="10"/>
  <c r="J536" i="10"/>
  <c r="J9" i="10"/>
  <c r="J126" i="10"/>
  <c r="J250" i="10"/>
  <c r="J298" i="10"/>
  <c r="J370" i="10"/>
  <c r="J418" i="10"/>
  <c r="J466" i="10"/>
  <c r="J526" i="10"/>
  <c r="J49" i="10"/>
  <c r="J141" i="10"/>
  <c r="J215" i="10"/>
  <c r="J299" i="10"/>
  <c r="J371" i="10"/>
  <c r="J455" i="10"/>
  <c r="J539" i="10"/>
  <c r="J37" i="10"/>
  <c r="J129" i="10"/>
  <c r="J216" i="10"/>
  <c r="J324" i="10"/>
  <c r="J408" i="10"/>
  <c r="J492" i="10"/>
  <c r="J25" i="10"/>
  <c r="J130" i="10"/>
  <c r="J217" i="10"/>
  <c r="J313" i="10"/>
  <c r="J397" i="10"/>
  <c r="J493" i="10"/>
  <c r="J78" i="10"/>
  <c r="J194" i="10"/>
  <c r="J290" i="10"/>
  <c r="J8" i="10"/>
  <c r="J21" i="10"/>
  <c r="J34" i="10"/>
  <c r="J47" i="10"/>
  <c r="J60" i="10"/>
  <c r="J73" i="10"/>
  <c r="J86" i="10"/>
  <c r="J99" i="10"/>
  <c r="J112" i="10"/>
  <c r="J125" i="10"/>
  <c r="J138" i="10"/>
  <c r="J152" i="10"/>
  <c r="J165" i="10"/>
  <c r="J177" i="10"/>
  <c r="J189" i="10"/>
  <c r="J201" i="10"/>
  <c r="J213" i="10"/>
  <c r="J225" i="10"/>
  <c r="J237" i="10"/>
  <c r="J249" i="10"/>
  <c r="J261" i="10"/>
  <c r="J273" i="10"/>
  <c r="J285" i="10"/>
  <c r="J297" i="10"/>
  <c r="J309" i="10"/>
  <c r="J321" i="10"/>
  <c r="J333" i="10"/>
  <c r="J345" i="10"/>
  <c r="J357" i="10"/>
  <c r="J369" i="10"/>
  <c r="J381" i="10"/>
  <c r="J393" i="10"/>
  <c r="J405" i="10"/>
  <c r="J417" i="10"/>
  <c r="J429" i="10"/>
  <c r="J441" i="10"/>
  <c r="J453" i="10"/>
  <c r="J465" i="10"/>
  <c r="J477" i="10"/>
  <c r="J489" i="10"/>
  <c r="J501" i="10"/>
  <c r="J513" i="10"/>
  <c r="J525" i="10"/>
  <c r="J537" i="10"/>
  <c r="J87" i="10"/>
  <c r="J190" i="10"/>
  <c r="J358" i="10"/>
  <c r="J454" i="10"/>
  <c r="J538" i="10"/>
  <c r="J88" i="10"/>
  <c r="J179" i="10"/>
  <c r="J251" i="10"/>
  <c r="J311" i="10"/>
  <c r="J395" i="10"/>
  <c r="J479" i="10"/>
  <c r="J63" i="10"/>
  <c r="J155" i="10"/>
  <c r="J252" i="10"/>
  <c r="J312" i="10"/>
  <c r="J360" i="10"/>
  <c r="J420" i="10"/>
  <c r="J504" i="10"/>
  <c r="J12" i="10"/>
  <c r="J104" i="10"/>
  <c r="J193" i="10"/>
  <c r="J289" i="10"/>
  <c r="J361" i="10"/>
  <c r="J457" i="10"/>
  <c r="J529" i="10"/>
  <c r="J52" i="10"/>
  <c r="J144" i="10"/>
  <c r="J242" i="10"/>
  <c r="J314" i="10"/>
  <c r="J74" i="10"/>
  <c r="J202" i="10"/>
  <c r="J334" i="10"/>
  <c r="J442" i="10"/>
  <c r="J23" i="10"/>
  <c r="J101" i="10"/>
  <c r="J191" i="10"/>
  <c r="J275" i="10"/>
  <c r="J347" i="10"/>
  <c r="J443" i="10"/>
  <c r="J527" i="10"/>
  <c r="J89" i="10"/>
  <c r="J192" i="10"/>
  <c r="J276" i="10"/>
  <c r="J372" i="10"/>
  <c r="J456" i="10"/>
  <c r="J64" i="10"/>
  <c r="J156" i="10"/>
  <c r="J253" i="10"/>
  <c r="J337" i="10"/>
  <c r="J421" i="10"/>
  <c r="J505" i="10"/>
  <c r="J13" i="10"/>
  <c r="J118" i="10"/>
  <c r="J218" i="10"/>
  <c r="J266" i="10"/>
  <c r="J40" i="10"/>
  <c r="J195" i="10"/>
  <c r="J339" i="10"/>
  <c r="J422" i="10"/>
  <c r="J494" i="10"/>
  <c r="J303" i="10"/>
  <c r="J410" i="10"/>
  <c r="J27" i="10"/>
  <c r="J53" i="10"/>
  <c r="J207" i="10"/>
  <c r="J350" i="10"/>
  <c r="J423" i="10"/>
  <c r="J495" i="10"/>
  <c r="J80" i="10"/>
  <c r="J363" i="10"/>
  <c r="J507" i="10"/>
  <c r="J386" i="10"/>
  <c r="J531" i="10"/>
  <c r="J398" i="10"/>
  <c r="J14" i="10"/>
  <c r="J482" i="10"/>
  <c r="J183" i="10"/>
  <c r="J66" i="10"/>
  <c r="J219" i="10"/>
  <c r="J351" i="10"/>
  <c r="J434" i="10"/>
  <c r="J506" i="10"/>
  <c r="J231" i="10"/>
  <c r="J435" i="10"/>
  <c r="J119" i="10"/>
  <c r="J458" i="10"/>
  <c r="J279" i="10"/>
  <c r="J291" i="10"/>
  <c r="J158" i="10"/>
  <c r="J315" i="10"/>
  <c r="J399" i="10"/>
  <c r="J411" i="10"/>
  <c r="J93" i="10"/>
  <c r="J243" i="10"/>
  <c r="J374" i="10"/>
  <c r="J446" i="10"/>
  <c r="J518" i="10"/>
  <c r="J267" i="10"/>
  <c r="J387" i="10"/>
  <c r="J145" i="10"/>
  <c r="J542" i="10"/>
  <c r="J471" i="10"/>
  <c r="J327" i="10"/>
  <c r="J106" i="10"/>
  <c r="J255" i="10"/>
  <c r="J375" i="10"/>
  <c r="J447" i="10"/>
  <c r="J519" i="10"/>
  <c r="J530" i="10"/>
  <c r="J132" i="10"/>
  <c r="J459" i="10"/>
  <c r="J470" i="10"/>
  <c r="J543" i="10"/>
  <c r="J171" i="10"/>
  <c r="J483" i="10"/>
  <c r="L12" i="10"/>
  <c r="L24" i="10"/>
  <c r="L36" i="10"/>
  <c r="L48" i="10"/>
  <c r="L60" i="10"/>
  <c r="L72" i="10"/>
  <c r="L84" i="10"/>
  <c r="L96" i="10"/>
  <c r="L108" i="10"/>
  <c r="L120" i="10"/>
  <c r="L132" i="10"/>
  <c r="L144" i="10"/>
  <c r="L156" i="10"/>
  <c r="L168" i="10"/>
  <c r="L180" i="10"/>
  <c r="L192" i="10"/>
  <c r="L204" i="10"/>
  <c r="L216" i="10"/>
  <c r="L228" i="10"/>
  <c r="L240" i="10"/>
  <c r="L252" i="10"/>
  <c r="L264" i="10"/>
  <c r="L276" i="10"/>
  <c r="L288" i="10"/>
  <c r="L300" i="10"/>
  <c r="L312" i="10"/>
  <c r="L324" i="10"/>
  <c r="L336" i="10"/>
  <c r="L348" i="10"/>
  <c r="L360" i="10"/>
  <c r="L372" i="10"/>
  <c r="L384" i="10"/>
  <c r="L396" i="10"/>
  <c r="L408" i="10"/>
  <c r="L420" i="10"/>
  <c r="L432" i="10"/>
  <c r="L444" i="10"/>
  <c r="L456" i="10"/>
  <c r="L468" i="10"/>
  <c r="L480" i="10"/>
  <c r="L492" i="10"/>
  <c r="L504" i="10"/>
  <c r="L516" i="10"/>
  <c r="L528" i="10"/>
  <c r="L540" i="10"/>
  <c r="L13" i="10"/>
  <c r="L25" i="10"/>
  <c r="L37" i="10"/>
  <c r="L49" i="10"/>
  <c r="L61" i="10"/>
  <c r="L73" i="10"/>
  <c r="L85" i="10"/>
  <c r="L97" i="10"/>
  <c r="L109" i="10"/>
  <c r="L121" i="10"/>
  <c r="L133" i="10"/>
  <c r="L145" i="10"/>
  <c r="L157" i="10"/>
  <c r="L169" i="10"/>
  <c r="L181" i="10"/>
  <c r="L193" i="10"/>
  <c r="L205" i="10"/>
  <c r="L217" i="10"/>
  <c r="L14" i="10"/>
  <c r="L26" i="10"/>
  <c r="L38" i="10"/>
  <c r="L50" i="10"/>
  <c r="L62" i="10"/>
  <c r="L74" i="10"/>
  <c r="L86" i="10"/>
  <c r="L98" i="10"/>
  <c r="L110" i="10"/>
  <c r="L122" i="10"/>
  <c r="L134" i="10"/>
  <c r="L146" i="10"/>
  <c r="L158" i="10"/>
  <c r="L170" i="10"/>
  <c r="L182" i="10"/>
  <c r="L194" i="10"/>
  <c r="L206" i="10"/>
  <c r="L218" i="10"/>
  <c r="L3" i="10"/>
  <c r="L15" i="10"/>
  <c r="L27" i="10"/>
  <c r="L39" i="10"/>
  <c r="L51" i="10"/>
  <c r="L63" i="10"/>
  <c r="L75" i="10"/>
  <c r="L87" i="10"/>
  <c r="L99" i="10"/>
  <c r="L111" i="10"/>
  <c r="L123" i="10"/>
  <c r="L135" i="10"/>
  <c r="L147" i="10"/>
  <c r="L159" i="10"/>
  <c r="L171" i="10"/>
  <c r="L183" i="10"/>
  <c r="L195" i="10"/>
  <c r="L207" i="10"/>
  <c r="L219" i="10"/>
  <c r="L231" i="10"/>
  <c r="L4" i="10"/>
  <c r="L16" i="10"/>
  <c r="L28" i="10"/>
  <c r="L40" i="10"/>
  <c r="L52" i="10"/>
  <c r="L64" i="10"/>
  <c r="L76" i="10"/>
  <c r="L88" i="10"/>
  <c r="L100" i="10"/>
  <c r="L112" i="10"/>
  <c r="L124" i="10"/>
  <c r="L136" i="10"/>
  <c r="L148" i="10"/>
  <c r="L160" i="10"/>
  <c r="L172" i="10"/>
  <c r="L18" i="10"/>
  <c r="L35" i="10"/>
  <c r="L57" i="10"/>
  <c r="L79" i="10"/>
  <c r="L101" i="10"/>
  <c r="L118" i="10"/>
  <c r="L140" i="10"/>
  <c r="L162" i="10"/>
  <c r="L179" i="10"/>
  <c r="L199" i="10"/>
  <c r="L215" i="10"/>
  <c r="L233" i="10"/>
  <c r="L246" i="10"/>
  <c r="L259" i="10"/>
  <c r="L272" i="10"/>
  <c r="L285" i="10"/>
  <c r="L298" i="10"/>
  <c r="L311" i="10"/>
  <c r="L325" i="10"/>
  <c r="L338" i="10"/>
  <c r="L351" i="10"/>
  <c r="L364" i="10"/>
  <c r="L377" i="10"/>
  <c r="L390" i="10"/>
  <c r="L403" i="10"/>
  <c r="L416" i="10"/>
  <c r="L429" i="10"/>
  <c r="L442" i="10"/>
  <c r="L455" i="10"/>
  <c r="L469" i="10"/>
  <c r="L482" i="10"/>
  <c r="L495" i="10"/>
  <c r="L508" i="10"/>
  <c r="L521" i="10"/>
  <c r="L534" i="10"/>
  <c r="L547" i="10"/>
  <c r="L279" i="10"/>
  <c r="L462" i="10"/>
  <c r="L69" i="10"/>
  <c r="L241" i="10"/>
  <c r="L332" i="10"/>
  <c r="L424" i="10"/>
  <c r="L515" i="10"/>
  <c r="L92" i="10"/>
  <c r="L227" i="10"/>
  <c r="L333" i="10"/>
  <c r="L477" i="10"/>
  <c r="L32" i="10"/>
  <c r="L176" i="10"/>
  <c r="L282" i="10"/>
  <c r="L400" i="10"/>
  <c r="L491" i="10"/>
  <c r="L94" i="10"/>
  <c r="L309" i="10"/>
  <c r="L401" i="10"/>
  <c r="L479" i="10"/>
  <c r="L19" i="10"/>
  <c r="L41" i="10"/>
  <c r="L58" i="10"/>
  <c r="L80" i="10"/>
  <c r="L102" i="10"/>
  <c r="L119" i="10"/>
  <c r="L141" i="10"/>
  <c r="L163" i="10"/>
  <c r="L184" i="10"/>
  <c r="L200" i="10"/>
  <c r="L220" i="10"/>
  <c r="L234" i="10"/>
  <c r="L247" i="10"/>
  <c r="L260" i="10"/>
  <c r="L273" i="10"/>
  <c r="L286" i="10"/>
  <c r="L299" i="10"/>
  <c r="L313" i="10"/>
  <c r="L326" i="10"/>
  <c r="L339" i="10"/>
  <c r="L352" i="10"/>
  <c r="L365" i="10"/>
  <c r="L378" i="10"/>
  <c r="L391" i="10"/>
  <c r="L404" i="10"/>
  <c r="L417" i="10"/>
  <c r="L430" i="10"/>
  <c r="L443" i="10"/>
  <c r="L457" i="10"/>
  <c r="L470" i="10"/>
  <c r="L483" i="10"/>
  <c r="L496" i="10"/>
  <c r="L509" i="10"/>
  <c r="L522" i="10"/>
  <c r="L535" i="10"/>
  <c r="L253" i="10"/>
  <c r="L397" i="10"/>
  <c r="L501" i="10"/>
  <c r="L8" i="10"/>
  <c r="L174" i="10"/>
  <c r="L280" i="10"/>
  <c r="L358" i="10"/>
  <c r="L437" i="10"/>
  <c r="L529" i="10"/>
  <c r="L9" i="10"/>
  <c r="L191" i="10"/>
  <c r="L320" i="10"/>
  <c r="L451" i="10"/>
  <c r="L530" i="10"/>
  <c r="L54" i="10"/>
  <c r="L196" i="10"/>
  <c r="L321" i="10"/>
  <c r="L413" i="10"/>
  <c r="L505" i="10"/>
  <c r="L55" i="10"/>
  <c r="L116" i="10"/>
  <c r="L197" i="10"/>
  <c r="L257" i="10"/>
  <c r="L349" i="10"/>
  <c r="L427" i="10"/>
  <c r="L493" i="10"/>
  <c r="L545" i="10"/>
  <c r="L20" i="10"/>
  <c r="L42" i="10"/>
  <c r="L59" i="10"/>
  <c r="L81" i="10"/>
  <c r="L103" i="10"/>
  <c r="L125" i="10"/>
  <c r="L142" i="10"/>
  <c r="L164" i="10"/>
  <c r="L185" i="10"/>
  <c r="L201" i="10"/>
  <c r="L221" i="10"/>
  <c r="L235" i="10"/>
  <c r="L248" i="10"/>
  <c r="L261" i="10"/>
  <c r="L274" i="10"/>
  <c r="L287" i="10"/>
  <c r="L301" i="10"/>
  <c r="L314" i="10"/>
  <c r="L327" i="10"/>
  <c r="L340" i="10"/>
  <c r="L353" i="10"/>
  <c r="L366" i="10"/>
  <c r="L379" i="10"/>
  <c r="L392" i="10"/>
  <c r="L405" i="10"/>
  <c r="L418" i="10"/>
  <c r="L431" i="10"/>
  <c r="L445" i="10"/>
  <c r="L458" i="10"/>
  <c r="L471" i="10"/>
  <c r="L484" i="10"/>
  <c r="L497" i="10"/>
  <c r="L510" i="10"/>
  <c r="L523" i="10"/>
  <c r="L536" i="10"/>
  <c r="L305" i="10"/>
  <c r="L488" i="10"/>
  <c r="L30" i="10"/>
  <c r="L130" i="10"/>
  <c r="L190" i="10"/>
  <c r="L267" i="10"/>
  <c r="L319" i="10"/>
  <c r="L385" i="10"/>
  <c r="L489" i="10"/>
  <c r="L114" i="10"/>
  <c r="L175" i="10"/>
  <c r="L242" i="10"/>
  <c r="L307" i="10"/>
  <c r="L359" i="10"/>
  <c r="L399" i="10"/>
  <c r="L490" i="10"/>
  <c r="L10" i="10"/>
  <c r="L137" i="10"/>
  <c r="L295" i="10"/>
  <c r="L426" i="10"/>
  <c r="L531" i="10"/>
  <c r="L177" i="10"/>
  <c r="L283" i="10"/>
  <c r="L388" i="10"/>
  <c r="L519" i="10"/>
  <c r="L21" i="10"/>
  <c r="L43" i="10"/>
  <c r="L65" i="10"/>
  <c r="L82" i="10"/>
  <c r="L104" i="10"/>
  <c r="L126" i="10"/>
  <c r="L143" i="10"/>
  <c r="L165" i="10"/>
  <c r="L186" i="10"/>
  <c r="L202" i="10"/>
  <c r="L222" i="10"/>
  <c r="L236" i="10"/>
  <c r="L249" i="10"/>
  <c r="L262" i="10"/>
  <c r="L275" i="10"/>
  <c r="L289" i="10"/>
  <c r="L302" i="10"/>
  <c r="L315" i="10"/>
  <c r="L328" i="10"/>
  <c r="L341" i="10"/>
  <c r="L354" i="10"/>
  <c r="L367" i="10"/>
  <c r="L380" i="10"/>
  <c r="L393" i="10"/>
  <c r="L406" i="10"/>
  <c r="L419" i="10"/>
  <c r="L433" i="10"/>
  <c r="L446" i="10"/>
  <c r="L459" i="10"/>
  <c r="L472" i="10"/>
  <c r="L485" i="10"/>
  <c r="L498" i="10"/>
  <c r="L511" i="10"/>
  <c r="L524" i="10"/>
  <c r="L537" i="10"/>
  <c r="L331" i="10"/>
  <c r="L514" i="10"/>
  <c r="L113" i="10"/>
  <c r="L226" i="10"/>
  <c r="L293" i="10"/>
  <c r="L411" i="10"/>
  <c r="L502" i="10"/>
  <c r="L53" i="10"/>
  <c r="L211" i="10"/>
  <c r="L294" i="10"/>
  <c r="L346" i="10"/>
  <c r="L386" i="10"/>
  <c r="L464" i="10"/>
  <c r="L115" i="10"/>
  <c r="L269" i="10"/>
  <c r="L374" i="10"/>
  <c r="L465" i="10"/>
  <c r="L544" i="10"/>
  <c r="L33" i="10"/>
  <c r="L213" i="10"/>
  <c r="L296" i="10"/>
  <c r="L375" i="10"/>
  <c r="L466" i="10"/>
  <c r="L5" i="10"/>
  <c r="L22" i="10"/>
  <c r="L44" i="10"/>
  <c r="L66" i="10"/>
  <c r="L83" i="10"/>
  <c r="L105" i="10"/>
  <c r="L127" i="10"/>
  <c r="L149" i="10"/>
  <c r="L166" i="10"/>
  <c r="L187" i="10"/>
  <c r="L203" i="10"/>
  <c r="L223" i="10"/>
  <c r="L237" i="10"/>
  <c r="L250" i="10"/>
  <c r="L263" i="10"/>
  <c r="L277" i="10"/>
  <c r="L290" i="10"/>
  <c r="L303" i="10"/>
  <c r="L316" i="10"/>
  <c r="L329" i="10"/>
  <c r="L342" i="10"/>
  <c r="L355" i="10"/>
  <c r="L368" i="10"/>
  <c r="L381" i="10"/>
  <c r="L394" i="10"/>
  <c r="L407" i="10"/>
  <c r="L421" i="10"/>
  <c r="L434" i="10"/>
  <c r="L447" i="10"/>
  <c r="L460" i="10"/>
  <c r="L473" i="10"/>
  <c r="L486" i="10"/>
  <c r="L499" i="10"/>
  <c r="L512" i="10"/>
  <c r="L525" i="10"/>
  <c r="L538" i="10"/>
  <c r="L292" i="10"/>
  <c r="L449" i="10"/>
  <c r="L47" i="10"/>
  <c r="L210" i="10"/>
  <c r="L306" i="10"/>
  <c r="L398" i="10"/>
  <c r="L463" i="10"/>
  <c r="L31" i="10"/>
  <c r="L153" i="10"/>
  <c r="L255" i="10"/>
  <c r="L373" i="10"/>
  <c r="L438" i="10"/>
  <c r="L503" i="10"/>
  <c r="L93" i="10"/>
  <c r="L212" i="10"/>
  <c r="L243" i="10"/>
  <c r="L308" i="10"/>
  <c r="L334" i="10"/>
  <c r="L387" i="10"/>
  <c r="L478" i="10"/>
  <c r="L138" i="10"/>
  <c r="L322" i="10"/>
  <c r="L414" i="10"/>
  <c r="L532" i="10"/>
  <c r="L6" i="10"/>
  <c r="L23" i="10"/>
  <c r="L45" i="10"/>
  <c r="L67" i="10"/>
  <c r="L89" i="10"/>
  <c r="L106" i="10"/>
  <c r="L128" i="10"/>
  <c r="L150" i="10"/>
  <c r="L167" i="10"/>
  <c r="L188" i="10"/>
  <c r="L208" i="10"/>
  <c r="L224" i="10"/>
  <c r="L238" i="10"/>
  <c r="L251" i="10"/>
  <c r="L265" i="10"/>
  <c r="L278" i="10"/>
  <c r="L291" i="10"/>
  <c r="L304" i="10"/>
  <c r="L317" i="10"/>
  <c r="L330" i="10"/>
  <c r="L343" i="10"/>
  <c r="L356" i="10"/>
  <c r="L369" i="10"/>
  <c r="L382" i="10"/>
  <c r="L395" i="10"/>
  <c r="L409" i="10"/>
  <c r="L422" i="10"/>
  <c r="L435" i="10"/>
  <c r="L448" i="10"/>
  <c r="L461" i="10"/>
  <c r="L474" i="10"/>
  <c r="L487" i="10"/>
  <c r="L500" i="10"/>
  <c r="L513" i="10"/>
  <c r="L526" i="10"/>
  <c r="L539" i="10"/>
  <c r="L90" i="10"/>
  <c r="L318" i="10"/>
  <c r="L383" i="10"/>
  <c r="L423" i="10"/>
  <c r="L475" i="10"/>
  <c r="L541" i="10"/>
  <c r="L91" i="10"/>
  <c r="L254" i="10"/>
  <c r="L345" i="10"/>
  <c r="L450" i="10"/>
  <c r="L542" i="10"/>
  <c r="L70" i="10"/>
  <c r="L281" i="10"/>
  <c r="L425" i="10"/>
  <c r="L517" i="10"/>
  <c r="L71" i="10"/>
  <c r="L229" i="10"/>
  <c r="L347" i="10"/>
  <c r="L452" i="10"/>
  <c r="L77" i="10"/>
  <c r="L155" i="10"/>
  <c r="L230" i="10"/>
  <c r="L270" i="10"/>
  <c r="L335" i="10"/>
  <c r="L440" i="10"/>
  <c r="L506" i="10"/>
  <c r="L7" i="10"/>
  <c r="L29" i="10"/>
  <c r="L46" i="10"/>
  <c r="L68" i="10"/>
  <c r="L107" i="10"/>
  <c r="L129" i="10"/>
  <c r="L151" i="10"/>
  <c r="L173" i="10"/>
  <c r="L189" i="10"/>
  <c r="L209" i="10"/>
  <c r="L225" i="10"/>
  <c r="L239" i="10"/>
  <c r="L266" i="10"/>
  <c r="L344" i="10"/>
  <c r="L357" i="10"/>
  <c r="L370" i="10"/>
  <c r="L410" i="10"/>
  <c r="L436" i="10"/>
  <c r="L527" i="10"/>
  <c r="L152" i="10"/>
  <c r="L371" i="10"/>
  <c r="L476" i="10"/>
  <c r="L131" i="10"/>
  <c r="L268" i="10"/>
  <c r="L412" i="10"/>
  <c r="L543" i="10"/>
  <c r="L154" i="10"/>
  <c r="L256" i="10"/>
  <c r="L361" i="10"/>
  <c r="L439" i="10"/>
  <c r="L518" i="10"/>
  <c r="L11" i="10"/>
  <c r="L244" i="10"/>
  <c r="L362" i="10"/>
  <c r="L453" i="10"/>
  <c r="L56" i="10"/>
  <c r="L271" i="10"/>
  <c r="L428" i="10"/>
  <c r="L245" i="10"/>
  <c r="L78" i="10"/>
  <c r="L284" i="10"/>
  <c r="L441" i="10"/>
  <c r="L310" i="10"/>
  <c r="L178" i="10"/>
  <c r="L507" i="10"/>
  <c r="L363" i="10"/>
  <c r="L376" i="10"/>
  <c r="L546" i="10"/>
  <c r="L95" i="10"/>
  <c r="L297" i="10"/>
  <c r="L454" i="10"/>
  <c r="L117" i="10"/>
  <c r="L467" i="10"/>
  <c r="L350" i="10"/>
  <c r="L402" i="10"/>
  <c r="L415" i="10"/>
  <c r="L139" i="10"/>
  <c r="L323" i="10"/>
  <c r="L481" i="10"/>
  <c r="L520" i="10"/>
  <c r="L214" i="10"/>
  <c r="L389" i="10"/>
  <c r="L258" i="10"/>
  <c r="L161" i="10"/>
  <c r="L337" i="10"/>
  <c r="L494" i="10"/>
  <c r="L198" i="10"/>
  <c r="L533" i="10"/>
  <c r="L232" i="10"/>
  <c r="L17" i="10"/>
  <c r="L34" i="10"/>
  <c r="N4" i="10"/>
  <c r="N16" i="10"/>
  <c r="N28" i="10"/>
  <c r="N40" i="10"/>
  <c r="N52" i="10"/>
  <c r="N5" i="10"/>
  <c r="N17" i="10"/>
  <c r="N29" i="10"/>
  <c r="N41" i="10"/>
  <c r="N53" i="10"/>
  <c r="N65" i="10"/>
  <c r="N77" i="10"/>
  <c r="N89" i="10"/>
  <c r="N101" i="10"/>
  <c r="N113" i="10"/>
  <c r="N125" i="10"/>
  <c r="N137" i="10"/>
  <c r="N149" i="10"/>
  <c r="N161" i="10"/>
  <c r="N173" i="10"/>
  <c r="N185" i="10"/>
  <c r="N197" i="10"/>
  <c r="N209" i="10"/>
  <c r="N221" i="10"/>
  <c r="N233" i="10"/>
  <c r="N245" i="10"/>
  <c r="N257" i="10"/>
  <c r="N269" i="10"/>
  <c r="N281" i="10"/>
  <c r="N293" i="10"/>
  <c r="N305" i="10"/>
  <c r="N317" i="10"/>
  <c r="N329" i="10"/>
  <c r="N341" i="10"/>
  <c r="N353" i="10"/>
  <c r="N365" i="10"/>
  <c r="N377" i="10"/>
  <c r="N389" i="10"/>
  <c r="N401" i="10"/>
  <c r="N413" i="10"/>
  <c r="N425" i="10"/>
  <c r="N437" i="10"/>
  <c r="N449" i="10"/>
  <c r="N461" i="10"/>
  <c r="N473" i="10"/>
  <c r="N485" i="10"/>
  <c r="N497" i="10"/>
  <c r="N509" i="10"/>
  <c r="N521" i="10"/>
  <c r="N533" i="10"/>
  <c r="N545" i="10"/>
  <c r="N6" i="10"/>
  <c r="N18" i="10"/>
  <c r="N30" i="10"/>
  <c r="N42" i="10"/>
  <c r="N54" i="10"/>
  <c r="N66" i="10"/>
  <c r="N78" i="10"/>
  <c r="N90" i="10"/>
  <c r="N102" i="10"/>
  <c r="N114" i="10"/>
  <c r="N126" i="10"/>
  <c r="N138" i="10"/>
  <c r="N150" i="10"/>
  <c r="N162" i="10"/>
  <c r="N174" i="10"/>
  <c r="N186" i="10"/>
  <c r="N198" i="10"/>
  <c r="N210" i="10"/>
  <c r="N222" i="10"/>
  <c r="N234" i="10"/>
  <c r="N246" i="10"/>
  <c r="N258" i="10"/>
  <c r="N270" i="10"/>
  <c r="N282" i="10"/>
  <c r="N294" i="10"/>
  <c r="N306" i="10"/>
  <c r="N318" i="10"/>
  <c r="N330" i="10"/>
  <c r="N342" i="10"/>
  <c r="N354" i="10"/>
  <c r="N366" i="10"/>
  <c r="N378" i="10"/>
  <c r="N390" i="10"/>
  <c r="N402" i="10"/>
  <c r="N414" i="10"/>
  <c r="N426" i="10"/>
  <c r="N438" i="10"/>
  <c r="N450" i="10"/>
  <c r="N462" i="10"/>
  <c r="N474" i="10"/>
  <c r="N486" i="10"/>
  <c r="N498" i="10"/>
  <c r="N510" i="10"/>
  <c r="N522" i="10"/>
  <c r="N534" i="10"/>
  <c r="N546" i="10"/>
  <c r="N7" i="10"/>
  <c r="N19" i="10"/>
  <c r="N31" i="10"/>
  <c r="N43" i="10"/>
  <c r="N55" i="10"/>
  <c r="N67" i="10"/>
  <c r="N79" i="10"/>
  <c r="N91" i="10"/>
  <c r="N103" i="10"/>
  <c r="N115" i="10"/>
  <c r="N127" i="10"/>
  <c r="N139" i="10"/>
  <c r="N151" i="10"/>
  <c r="N163" i="10"/>
  <c r="N175" i="10"/>
  <c r="N187" i="10"/>
  <c r="N199" i="10"/>
  <c r="N211" i="10"/>
  <c r="N223" i="10"/>
  <c r="N235" i="10"/>
  <c r="N247" i="10"/>
  <c r="N259" i="10"/>
  <c r="N271" i="10"/>
  <c r="N283" i="10"/>
  <c r="N295" i="10"/>
  <c r="N307" i="10"/>
  <c r="N319" i="10"/>
  <c r="N331" i="10"/>
  <c r="N343" i="10"/>
  <c r="N355" i="10"/>
  <c r="N367" i="10"/>
  <c r="N379" i="10"/>
  <c r="N391" i="10"/>
  <c r="N403" i="10"/>
  <c r="N415" i="10"/>
  <c r="N427" i="10"/>
  <c r="N439" i="10"/>
  <c r="N451" i="10"/>
  <c r="N463" i="10"/>
  <c r="N475" i="10"/>
  <c r="N487" i="10"/>
  <c r="N499" i="10"/>
  <c r="N511" i="10"/>
  <c r="N523" i="10"/>
  <c r="N535" i="10"/>
  <c r="N547" i="10"/>
  <c r="N8" i="10"/>
  <c r="N20" i="10"/>
  <c r="N32" i="10"/>
  <c r="N44" i="10"/>
  <c r="N56" i="10"/>
  <c r="N68" i="10"/>
  <c r="N80" i="10"/>
  <c r="N92" i="10"/>
  <c r="N104" i="10"/>
  <c r="N116" i="10"/>
  <c r="N128" i="10"/>
  <c r="N140" i="10"/>
  <c r="N152" i="10"/>
  <c r="N164" i="10"/>
  <c r="N176" i="10"/>
  <c r="N188" i="10"/>
  <c r="N200" i="10"/>
  <c r="N212" i="10"/>
  <c r="N224" i="10"/>
  <c r="N236" i="10"/>
  <c r="N248" i="10"/>
  <c r="N260" i="10"/>
  <c r="N272" i="10"/>
  <c r="N284" i="10"/>
  <c r="N296" i="10"/>
  <c r="N308" i="10"/>
  <c r="N320" i="10"/>
  <c r="N332" i="10"/>
  <c r="N344" i="10"/>
  <c r="N356" i="10"/>
  <c r="N368" i="10"/>
  <c r="N380" i="10"/>
  <c r="N392" i="10"/>
  <c r="N404" i="10"/>
  <c r="N416" i="10"/>
  <c r="N428" i="10"/>
  <c r="N440" i="10"/>
  <c r="N452" i="10"/>
  <c r="N464" i="10"/>
  <c r="N476" i="10"/>
  <c r="N488" i="10"/>
  <c r="N500" i="10"/>
  <c r="N512" i="10"/>
  <c r="N524" i="10"/>
  <c r="N536" i="10"/>
  <c r="N9" i="10"/>
  <c r="N21" i="10"/>
  <c r="N33" i="10"/>
  <c r="N45" i="10"/>
  <c r="N57" i="10"/>
  <c r="N69" i="10"/>
  <c r="N81" i="10"/>
  <c r="N93" i="10"/>
  <c r="N105" i="10"/>
  <c r="N117" i="10"/>
  <c r="N129" i="10"/>
  <c r="N141" i="10"/>
  <c r="N153" i="10"/>
  <c r="N165" i="10"/>
  <c r="N177" i="10"/>
  <c r="N189" i="10"/>
  <c r="N201" i="10"/>
  <c r="N213" i="10"/>
  <c r="N225" i="10"/>
  <c r="N237" i="10"/>
  <c r="N249" i="10"/>
  <c r="N261" i="10"/>
  <c r="N273" i="10"/>
  <c r="N285" i="10"/>
  <c r="N297" i="10"/>
  <c r="N309" i="10"/>
  <c r="N321" i="10"/>
  <c r="N333" i="10"/>
  <c r="N345" i="10"/>
  <c r="N357" i="10"/>
  <c r="N369" i="10"/>
  <c r="N381" i="10"/>
  <c r="N393" i="10"/>
  <c r="N405" i="10"/>
  <c r="N417" i="10"/>
  <c r="N429" i="10"/>
  <c r="N441" i="10"/>
  <c r="N453" i="10"/>
  <c r="N465" i="10"/>
  <c r="N477" i="10"/>
  <c r="N489" i="10"/>
  <c r="N501" i="10"/>
  <c r="N513" i="10"/>
  <c r="N525" i="10"/>
  <c r="N537" i="10"/>
  <c r="N25" i="10"/>
  <c r="N49" i="10"/>
  <c r="N11" i="10"/>
  <c r="N35" i="10"/>
  <c r="N59" i="10"/>
  <c r="N76" i="10"/>
  <c r="N12" i="10"/>
  <c r="N38" i="10"/>
  <c r="N64" i="10"/>
  <c r="N87" i="10"/>
  <c r="N109" i="10"/>
  <c r="N131" i="10"/>
  <c r="N148" i="10"/>
  <c r="N170" i="10"/>
  <c r="N192" i="10"/>
  <c r="N214" i="10"/>
  <c r="N231" i="10"/>
  <c r="N253" i="10"/>
  <c r="N275" i="10"/>
  <c r="N292" i="10"/>
  <c r="N314" i="10"/>
  <c r="N336" i="10"/>
  <c r="N358" i="10"/>
  <c r="N375" i="10"/>
  <c r="N397" i="10"/>
  <c r="N419" i="10"/>
  <c r="N436" i="10"/>
  <c r="N458" i="10"/>
  <c r="N480" i="10"/>
  <c r="N502" i="10"/>
  <c r="N519" i="10"/>
  <c r="N541" i="10"/>
  <c r="N120" i="10"/>
  <c r="N143" i="10"/>
  <c r="N304" i="10"/>
  <c r="N470" i="10"/>
  <c r="N144" i="10"/>
  <c r="N266" i="10"/>
  <c r="N432" i="10"/>
  <c r="N84" i="10"/>
  <c r="N250" i="10"/>
  <c r="N394" i="10"/>
  <c r="N85" i="10"/>
  <c r="N190" i="10"/>
  <c r="N229" i="10"/>
  <c r="N334" i="10"/>
  <c r="N456" i="10"/>
  <c r="N13" i="10"/>
  <c r="N39" i="10"/>
  <c r="N70" i="10"/>
  <c r="N88" i="10"/>
  <c r="N110" i="10"/>
  <c r="N132" i="10"/>
  <c r="N154" i="10"/>
  <c r="N171" i="10"/>
  <c r="N193" i="10"/>
  <c r="N215" i="10"/>
  <c r="N232" i="10"/>
  <c r="N254" i="10"/>
  <c r="N276" i="10"/>
  <c r="N298" i="10"/>
  <c r="N315" i="10"/>
  <c r="N337" i="10"/>
  <c r="N359" i="10"/>
  <c r="N376" i="10"/>
  <c r="N398" i="10"/>
  <c r="N420" i="10"/>
  <c r="N442" i="10"/>
  <c r="N459" i="10"/>
  <c r="N481" i="10"/>
  <c r="N503" i="10"/>
  <c r="N520" i="10"/>
  <c r="N542" i="10"/>
  <c r="N159" i="10"/>
  <c r="N182" i="10"/>
  <c r="N265" i="10"/>
  <c r="N409" i="10"/>
  <c r="N27" i="10"/>
  <c r="N205" i="10"/>
  <c r="N388" i="10"/>
  <c r="N123" i="10"/>
  <c r="N267" i="10"/>
  <c r="N411" i="10"/>
  <c r="N124" i="10"/>
  <c r="N268" i="10"/>
  <c r="N373" i="10"/>
  <c r="N517" i="10"/>
  <c r="N14" i="10"/>
  <c r="N46" i="10"/>
  <c r="N71" i="10"/>
  <c r="N94" i="10"/>
  <c r="N111" i="10"/>
  <c r="N133" i="10"/>
  <c r="N155" i="10"/>
  <c r="N172" i="10"/>
  <c r="N194" i="10"/>
  <c r="N216" i="10"/>
  <c r="N238" i="10"/>
  <c r="N255" i="10"/>
  <c r="N277" i="10"/>
  <c r="N299" i="10"/>
  <c r="N316" i="10"/>
  <c r="N338" i="10"/>
  <c r="N360" i="10"/>
  <c r="N382" i="10"/>
  <c r="N399" i="10"/>
  <c r="N421" i="10"/>
  <c r="N443" i="10"/>
  <c r="N460" i="10"/>
  <c r="N482" i="10"/>
  <c r="N504" i="10"/>
  <c r="N526" i="10"/>
  <c r="N543" i="10"/>
  <c r="N75" i="10"/>
  <c r="N99" i="10"/>
  <c r="N243" i="10"/>
  <c r="N370" i="10"/>
  <c r="N492" i="10"/>
  <c r="N122" i="10"/>
  <c r="N227" i="10"/>
  <c r="N310" i="10"/>
  <c r="N371" i="10"/>
  <c r="N454" i="10"/>
  <c r="N532" i="10"/>
  <c r="N34" i="10"/>
  <c r="N106" i="10"/>
  <c r="N184" i="10"/>
  <c r="N350" i="10"/>
  <c r="N472" i="10"/>
  <c r="N168" i="10"/>
  <c r="N495" i="10"/>
  <c r="N15" i="10"/>
  <c r="N47" i="10"/>
  <c r="N72" i="10"/>
  <c r="N95" i="10"/>
  <c r="N112" i="10"/>
  <c r="N134" i="10"/>
  <c r="N156" i="10"/>
  <c r="N178" i="10"/>
  <c r="N195" i="10"/>
  <c r="N217" i="10"/>
  <c r="N239" i="10"/>
  <c r="N256" i="10"/>
  <c r="N278" i="10"/>
  <c r="N300" i="10"/>
  <c r="N322" i="10"/>
  <c r="N339" i="10"/>
  <c r="N361" i="10"/>
  <c r="N383" i="10"/>
  <c r="N400" i="10"/>
  <c r="N422" i="10"/>
  <c r="N444" i="10"/>
  <c r="N466" i="10"/>
  <c r="N483" i="10"/>
  <c r="N505" i="10"/>
  <c r="N527" i="10"/>
  <c r="N544" i="10"/>
  <c r="N51" i="10"/>
  <c r="N121" i="10"/>
  <c r="N226" i="10"/>
  <c r="N348" i="10"/>
  <c r="N431" i="10"/>
  <c r="N531" i="10"/>
  <c r="N100" i="10"/>
  <c r="N244" i="10"/>
  <c r="N410" i="10"/>
  <c r="N206" i="10"/>
  <c r="N372" i="10"/>
  <c r="N494" i="10"/>
  <c r="N538" i="10"/>
  <c r="N62" i="10"/>
  <c r="N412" i="10"/>
  <c r="N22" i="10"/>
  <c r="N48" i="10"/>
  <c r="N73" i="10"/>
  <c r="N96" i="10"/>
  <c r="N118" i="10"/>
  <c r="N135" i="10"/>
  <c r="N157" i="10"/>
  <c r="N179" i="10"/>
  <c r="N196" i="10"/>
  <c r="N218" i="10"/>
  <c r="N240" i="10"/>
  <c r="N262" i="10"/>
  <c r="N279" i="10"/>
  <c r="N301" i="10"/>
  <c r="N323" i="10"/>
  <c r="N340" i="10"/>
  <c r="N362" i="10"/>
  <c r="N384" i="10"/>
  <c r="N406" i="10"/>
  <c r="N423" i="10"/>
  <c r="N445" i="10"/>
  <c r="N467" i="10"/>
  <c r="N484" i="10"/>
  <c r="N506" i="10"/>
  <c r="N528" i="10"/>
  <c r="N98" i="10"/>
  <c r="N26" i="10"/>
  <c r="N160" i="10"/>
  <c r="N287" i="10"/>
  <c r="N448" i="10"/>
  <c r="N60" i="10"/>
  <c r="N183" i="10"/>
  <c r="N349" i="10"/>
  <c r="N493" i="10"/>
  <c r="N167" i="10"/>
  <c r="N289" i="10"/>
  <c r="N433" i="10"/>
  <c r="N3" i="10"/>
  <c r="N107" i="10"/>
  <c r="N207" i="10"/>
  <c r="N251" i="10"/>
  <c r="N351" i="10"/>
  <c r="N478" i="10"/>
  <c r="N23" i="10"/>
  <c r="N50" i="10"/>
  <c r="N74" i="10"/>
  <c r="N97" i="10"/>
  <c r="N119" i="10"/>
  <c r="N136" i="10"/>
  <c r="N158" i="10"/>
  <c r="N180" i="10"/>
  <c r="N202" i="10"/>
  <c r="N219" i="10"/>
  <c r="N241" i="10"/>
  <c r="N263" i="10"/>
  <c r="N280" i="10"/>
  <c r="N302" i="10"/>
  <c r="N324" i="10"/>
  <c r="N346" i="10"/>
  <c r="N363" i="10"/>
  <c r="N385" i="10"/>
  <c r="N407" i="10"/>
  <c r="N424" i="10"/>
  <c r="N446" i="10"/>
  <c r="N468" i="10"/>
  <c r="N490" i="10"/>
  <c r="N507" i="10"/>
  <c r="N529" i="10"/>
  <c r="N58" i="10"/>
  <c r="N204" i="10"/>
  <c r="N326" i="10"/>
  <c r="N387" i="10"/>
  <c r="N514" i="10"/>
  <c r="N83" i="10"/>
  <c r="N288" i="10"/>
  <c r="N471" i="10"/>
  <c r="N145" i="10"/>
  <c r="N311" i="10"/>
  <c r="N455" i="10"/>
  <c r="N146" i="10"/>
  <c r="N312" i="10"/>
  <c r="N395" i="10"/>
  <c r="N539" i="10"/>
  <c r="N24" i="10"/>
  <c r="N142" i="10"/>
  <c r="N181" i="10"/>
  <c r="N203" i="10"/>
  <c r="N220" i="10"/>
  <c r="N242" i="10"/>
  <c r="N264" i="10"/>
  <c r="N286" i="10"/>
  <c r="N303" i="10"/>
  <c r="N325" i="10"/>
  <c r="N347" i="10"/>
  <c r="N364" i="10"/>
  <c r="N386" i="10"/>
  <c r="N408" i="10"/>
  <c r="N430" i="10"/>
  <c r="N447" i="10"/>
  <c r="N469" i="10"/>
  <c r="N491" i="10"/>
  <c r="N508" i="10"/>
  <c r="N530" i="10"/>
  <c r="N82" i="10"/>
  <c r="N166" i="10"/>
  <c r="N327" i="10"/>
  <c r="N515" i="10"/>
  <c r="N61" i="10"/>
  <c r="N228" i="10"/>
  <c r="N328" i="10"/>
  <c r="N516" i="10"/>
  <c r="N36" i="10"/>
  <c r="N290" i="10"/>
  <c r="N434" i="10"/>
  <c r="N108" i="10"/>
  <c r="N352" i="10"/>
  <c r="N10" i="10"/>
  <c r="N86" i="10"/>
  <c r="N130" i="10"/>
  <c r="N374" i="10"/>
  <c r="N418" i="10"/>
  <c r="N230" i="10"/>
  <c r="N63" i="10"/>
  <c r="N147" i="10"/>
  <c r="N396" i="10"/>
  <c r="N169" i="10"/>
  <c r="N479" i="10"/>
  <c r="N518" i="10"/>
  <c r="N313" i="10"/>
  <c r="N274" i="10"/>
  <c r="N335" i="10"/>
  <c r="N191" i="10"/>
  <c r="N435" i="10"/>
  <c r="N496" i="10"/>
  <c r="N37" i="10"/>
  <c r="N208" i="10"/>
  <c r="N457" i="10"/>
  <c r="N252" i="10"/>
  <c r="N291" i="10"/>
  <c r="N540" i="10"/>
  <c r="R12" i="10"/>
  <c r="R24" i="10"/>
  <c r="R36" i="10"/>
  <c r="R48" i="10"/>
  <c r="R60" i="10"/>
  <c r="R72" i="10"/>
  <c r="R84" i="10"/>
  <c r="R96" i="10"/>
  <c r="R108" i="10"/>
  <c r="R120" i="10"/>
  <c r="R132" i="10"/>
  <c r="R144" i="10"/>
  <c r="R156" i="10"/>
  <c r="R168" i="10"/>
  <c r="R180" i="10"/>
  <c r="R192" i="10"/>
  <c r="R204" i="10"/>
  <c r="R216" i="10"/>
  <c r="R228" i="10"/>
  <c r="R240" i="10"/>
  <c r="R252" i="10"/>
  <c r="R264" i="10"/>
  <c r="R276" i="10"/>
  <c r="R288" i="10"/>
  <c r="R300" i="10"/>
  <c r="R312" i="10"/>
  <c r="R324" i="10"/>
  <c r="R336" i="10"/>
  <c r="R348" i="10"/>
  <c r="R360" i="10"/>
  <c r="R372" i="10"/>
  <c r="R384" i="10"/>
  <c r="R396" i="10"/>
  <c r="R408" i="10"/>
  <c r="R420" i="10"/>
  <c r="R3" i="10"/>
  <c r="R16" i="10"/>
  <c r="R29" i="10"/>
  <c r="R42" i="10"/>
  <c r="R55" i="10"/>
  <c r="R68" i="10"/>
  <c r="R81" i="10"/>
  <c r="R94" i="10"/>
  <c r="R107" i="10"/>
  <c r="R121" i="10"/>
  <c r="R134" i="10"/>
  <c r="R147" i="10"/>
  <c r="R160" i="10"/>
  <c r="R173" i="10"/>
  <c r="R186" i="10"/>
  <c r="R199" i="10"/>
  <c r="R212" i="10"/>
  <c r="R225" i="10"/>
  <c r="R238" i="10"/>
  <c r="R251" i="10"/>
  <c r="R265" i="10"/>
  <c r="R278" i="10"/>
  <c r="R291" i="10"/>
  <c r="R304" i="10"/>
  <c r="R317" i="10"/>
  <c r="R330" i="10"/>
  <c r="R343" i="10"/>
  <c r="R356" i="10"/>
  <c r="R369" i="10"/>
  <c r="R382" i="10"/>
  <c r="R395" i="10"/>
  <c r="R409" i="10"/>
  <c r="R422" i="10"/>
  <c r="R434" i="10"/>
  <c r="R446" i="10"/>
  <c r="R458" i="10"/>
  <c r="R470" i="10"/>
  <c r="R482" i="10"/>
  <c r="R494" i="10"/>
  <c r="R506" i="10"/>
  <c r="R518" i="10"/>
  <c r="R530" i="10"/>
  <c r="R542" i="10"/>
  <c r="R4" i="10"/>
  <c r="R17" i="10"/>
  <c r="R30" i="10"/>
  <c r="R43" i="10"/>
  <c r="R56" i="10"/>
  <c r="R69" i="10"/>
  <c r="R82" i="10"/>
  <c r="R95" i="10"/>
  <c r="R109" i="10"/>
  <c r="R122" i="10"/>
  <c r="R135" i="10"/>
  <c r="R148" i="10"/>
  <c r="R161" i="10"/>
  <c r="R174" i="10"/>
  <c r="R187" i="10"/>
  <c r="R200" i="10"/>
  <c r="R213" i="10"/>
  <c r="R226" i="10"/>
  <c r="R239" i="10"/>
  <c r="R253" i="10"/>
  <c r="R266" i="10"/>
  <c r="R279" i="10"/>
  <c r="R292" i="10"/>
  <c r="R305" i="10"/>
  <c r="R318" i="10"/>
  <c r="R331" i="10"/>
  <c r="R344" i="10"/>
  <c r="R357" i="10"/>
  <c r="R370" i="10"/>
  <c r="R383" i="10"/>
  <c r="R397" i="10"/>
  <c r="R410" i="10"/>
  <c r="R423" i="10"/>
  <c r="R435" i="10"/>
  <c r="R447" i="10"/>
  <c r="R459" i="10"/>
  <c r="R471" i="10"/>
  <c r="R483" i="10"/>
  <c r="R495" i="10"/>
  <c r="R507" i="10"/>
  <c r="R519" i="10"/>
  <c r="R531" i="10"/>
  <c r="R543" i="10"/>
  <c r="R5" i="10"/>
  <c r="R18" i="10"/>
  <c r="R31" i="10"/>
  <c r="R44" i="10"/>
  <c r="R57" i="10"/>
  <c r="R70" i="10"/>
  <c r="R83" i="10"/>
  <c r="R97" i="10"/>
  <c r="R110" i="10"/>
  <c r="R123" i="10"/>
  <c r="R136" i="10"/>
  <c r="R149" i="10"/>
  <c r="R162" i="10"/>
  <c r="R175" i="10"/>
  <c r="R188" i="10"/>
  <c r="R201" i="10"/>
  <c r="R214" i="10"/>
  <c r="R227" i="10"/>
  <c r="R241" i="10"/>
  <c r="R254" i="10"/>
  <c r="R267" i="10"/>
  <c r="R280" i="10"/>
  <c r="R293" i="10"/>
  <c r="R306" i="10"/>
  <c r="R319" i="10"/>
  <c r="R332" i="10"/>
  <c r="R345" i="10"/>
  <c r="R358" i="10"/>
  <c r="R371" i="10"/>
  <c r="R385" i="10"/>
  <c r="R398" i="10"/>
  <c r="R411" i="10"/>
  <c r="R424" i="10"/>
  <c r="R436" i="10"/>
  <c r="R448" i="10"/>
  <c r="R460" i="10"/>
  <c r="R472" i="10"/>
  <c r="R484" i="10"/>
  <c r="R496" i="10"/>
  <c r="R508" i="10"/>
  <c r="R520" i="10"/>
  <c r="R532" i="10"/>
  <c r="R544" i="10"/>
  <c r="R6" i="10"/>
  <c r="R19" i="10"/>
  <c r="R32" i="10"/>
  <c r="R45" i="10"/>
  <c r="R58" i="10"/>
  <c r="R71" i="10"/>
  <c r="R85" i="10"/>
  <c r="R98" i="10"/>
  <c r="R111" i="10"/>
  <c r="R124" i="10"/>
  <c r="R137" i="10"/>
  <c r="R150" i="10"/>
  <c r="R163" i="10"/>
  <c r="R176" i="10"/>
  <c r="R189" i="10"/>
  <c r="R202" i="10"/>
  <c r="R215" i="10"/>
  <c r="R229" i="10"/>
  <c r="R242" i="10"/>
  <c r="R255" i="10"/>
  <c r="R268" i="10"/>
  <c r="R281" i="10"/>
  <c r="R294" i="10"/>
  <c r="R307" i="10"/>
  <c r="R320" i="10"/>
  <c r="R333" i="10"/>
  <c r="R346" i="10"/>
  <c r="R359" i="10"/>
  <c r="R373" i="10"/>
  <c r="R386" i="10"/>
  <c r="R399" i="10"/>
  <c r="R412" i="10"/>
  <c r="R425" i="10"/>
  <c r="R437" i="10"/>
  <c r="R449" i="10"/>
  <c r="R461" i="10"/>
  <c r="R473" i="10"/>
  <c r="R485" i="10"/>
  <c r="R497" i="10"/>
  <c r="R509" i="10"/>
  <c r="R521" i="10"/>
  <c r="R533" i="10"/>
  <c r="R545" i="10"/>
  <c r="R7" i="10"/>
  <c r="R20" i="10"/>
  <c r="R33" i="10"/>
  <c r="R46" i="10"/>
  <c r="R59" i="10"/>
  <c r="R73" i="10"/>
  <c r="R86" i="10"/>
  <c r="R99" i="10"/>
  <c r="R112" i="10"/>
  <c r="R125" i="10"/>
  <c r="R138" i="10"/>
  <c r="R151" i="10"/>
  <c r="R164" i="10"/>
  <c r="R177" i="10"/>
  <c r="R190" i="10"/>
  <c r="R203" i="10"/>
  <c r="R217" i="10"/>
  <c r="R230" i="10"/>
  <c r="R243" i="10"/>
  <c r="R256" i="10"/>
  <c r="R269" i="10"/>
  <c r="R282" i="10"/>
  <c r="R295" i="10"/>
  <c r="R308" i="10"/>
  <c r="R321" i="10"/>
  <c r="R334" i="10"/>
  <c r="R347" i="10"/>
  <c r="R361" i="10"/>
  <c r="R374" i="10"/>
  <c r="R387" i="10"/>
  <c r="R400" i="10"/>
  <c r="R413" i="10"/>
  <c r="R426" i="10"/>
  <c r="R438" i="10"/>
  <c r="R450" i="10"/>
  <c r="R462" i="10"/>
  <c r="R474" i="10"/>
  <c r="R486" i="10"/>
  <c r="R498" i="10"/>
  <c r="R510" i="10"/>
  <c r="R522" i="10"/>
  <c r="R534" i="10"/>
  <c r="R546" i="10"/>
  <c r="R8" i="10"/>
  <c r="R21" i="10"/>
  <c r="R34" i="10"/>
  <c r="R47" i="10"/>
  <c r="R61" i="10"/>
  <c r="R74" i="10"/>
  <c r="R87" i="10"/>
  <c r="R100" i="10"/>
  <c r="R113" i="10"/>
  <c r="R126" i="10"/>
  <c r="R139" i="10"/>
  <c r="R152" i="10"/>
  <c r="R165" i="10"/>
  <c r="R178" i="10"/>
  <c r="R191" i="10"/>
  <c r="R205" i="10"/>
  <c r="R218" i="10"/>
  <c r="R231" i="10"/>
  <c r="R244" i="10"/>
  <c r="R257" i="10"/>
  <c r="R270" i="10"/>
  <c r="R283" i="10"/>
  <c r="R296" i="10"/>
  <c r="R309" i="10"/>
  <c r="R322" i="10"/>
  <c r="R335" i="10"/>
  <c r="R349" i="10"/>
  <c r="R362" i="10"/>
  <c r="R375" i="10"/>
  <c r="R388" i="10"/>
  <c r="R401" i="10"/>
  <c r="R414" i="10"/>
  <c r="R427" i="10"/>
  <c r="R439" i="10"/>
  <c r="R451" i="10"/>
  <c r="R463" i="10"/>
  <c r="R475" i="10"/>
  <c r="R487" i="10"/>
  <c r="R499" i="10"/>
  <c r="R511" i="10"/>
  <c r="R523" i="10"/>
  <c r="R535" i="10"/>
  <c r="R547" i="10"/>
  <c r="R26" i="10"/>
  <c r="R52" i="10"/>
  <c r="R78" i="10"/>
  <c r="R104" i="10"/>
  <c r="R130" i="10"/>
  <c r="R157" i="10"/>
  <c r="R183" i="10"/>
  <c r="R209" i="10"/>
  <c r="R235" i="10"/>
  <c r="R261" i="10"/>
  <c r="R287" i="10"/>
  <c r="R314" i="10"/>
  <c r="R340" i="10"/>
  <c r="R366" i="10"/>
  <c r="R392" i="10"/>
  <c r="R418" i="10"/>
  <c r="R443" i="10"/>
  <c r="R467" i="10"/>
  <c r="R491" i="10"/>
  <c r="R515" i="10"/>
  <c r="R539" i="10"/>
  <c r="R27" i="10"/>
  <c r="R53" i="10"/>
  <c r="R79" i="10"/>
  <c r="R105" i="10"/>
  <c r="R131" i="10"/>
  <c r="R158" i="10"/>
  <c r="R184" i="10"/>
  <c r="R210" i="10"/>
  <c r="R236" i="10"/>
  <c r="R262" i="10"/>
  <c r="R289" i="10"/>
  <c r="R315" i="10"/>
  <c r="R341" i="10"/>
  <c r="R367" i="10"/>
  <c r="R393" i="10"/>
  <c r="R419" i="10"/>
  <c r="R444" i="10"/>
  <c r="R468" i="10"/>
  <c r="R28" i="10"/>
  <c r="R54" i="10"/>
  <c r="R80" i="10"/>
  <c r="R106" i="10"/>
  <c r="R133" i="10"/>
  <c r="R159" i="10"/>
  <c r="R185" i="10"/>
  <c r="R211" i="10"/>
  <c r="R237" i="10"/>
  <c r="R263" i="10"/>
  <c r="R290" i="10"/>
  <c r="R316" i="10"/>
  <c r="R342" i="10"/>
  <c r="R368" i="10"/>
  <c r="R394" i="10"/>
  <c r="R421" i="10"/>
  <c r="R445" i="10"/>
  <c r="R469" i="10"/>
  <c r="R9" i="10"/>
  <c r="R35" i="10"/>
  <c r="R62" i="10"/>
  <c r="R88" i="10"/>
  <c r="R114" i="10"/>
  <c r="R140" i="10"/>
  <c r="R166" i="10"/>
  <c r="R193" i="10"/>
  <c r="R219" i="10"/>
  <c r="R245" i="10"/>
  <c r="R271" i="10"/>
  <c r="R297" i="10"/>
  <c r="R323" i="10"/>
  <c r="R350" i="10"/>
  <c r="R376" i="10"/>
  <c r="R402" i="10"/>
  <c r="R428" i="10"/>
  <c r="R452" i="10"/>
  <c r="R476" i="10"/>
  <c r="R10" i="10"/>
  <c r="R37" i="10"/>
  <c r="R63" i="10"/>
  <c r="R89" i="10"/>
  <c r="R115" i="10"/>
  <c r="R141" i="10"/>
  <c r="R167" i="10"/>
  <c r="R194" i="10"/>
  <c r="R220" i="10"/>
  <c r="R246" i="10"/>
  <c r="R272" i="10"/>
  <c r="R298" i="10"/>
  <c r="R325" i="10"/>
  <c r="R351" i="10"/>
  <c r="R377" i="10"/>
  <c r="R403" i="10"/>
  <c r="R429" i="10"/>
  <c r="R453" i="10"/>
  <c r="R477" i="10"/>
  <c r="R501" i="10"/>
  <c r="R525" i="10"/>
  <c r="R11" i="10"/>
  <c r="R38" i="10"/>
  <c r="R64" i="10"/>
  <c r="R90" i="10"/>
  <c r="R116" i="10"/>
  <c r="R142" i="10"/>
  <c r="R169" i="10"/>
  <c r="R195" i="10"/>
  <c r="R221" i="10"/>
  <c r="R247" i="10"/>
  <c r="R273" i="10"/>
  <c r="R299" i="10"/>
  <c r="R326" i="10"/>
  <c r="R352" i="10"/>
  <c r="R378" i="10"/>
  <c r="R404" i="10"/>
  <c r="R430" i="10"/>
  <c r="R454" i="10"/>
  <c r="R478" i="10"/>
  <c r="R13" i="10"/>
  <c r="R39" i="10"/>
  <c r="R65" i="10"/>
  <c r="R91" i="10"/>
  <c r="R117" i="10"/>
  <c r="R143" i="10"/>
  <c r="R170" i="10"/>
  <c r="R196" i="10"/>
  <c r="R222" i="10"/>
  <c r="R248" i="10"/>
  <c r="R274" i="10"/>
  <c r="R301" i="10"/>
  <c r="R327" i="10"/>
  <c r="R353" i="10"/>
  <c r="R379" i="10"/>
  <c r="R405" i="10"/>
  <c r="R431" i="10"/>
  <c r="R455" i="10"/>
  <c r="R15" i="10"/>
  <c r="R76" i="10"/>
  <c r="R145" i="10"/>
  <c r="R206" i="10"/>
  <c r="R260" i="10"/>
  <c r="R329" i="10"/>
  <c r="R390" i="10"/>
  <c r="R456" i="10"/>
  <c r="R493" i="10"/>
  <c r="R526" i="10"/>
  <c r="R303" i="10"/>
  <c r="R181" i="10"/>
  <c r="R514" i="10"/>
  <c r="R127" i="10"/>
  <c r="R516" i="10"/>
  <c r="R67" i="10"/>
  <c r="R197" i="10"/>
  <c r="R490" i="10"/>
  <c r="R22" i="10"/>
  <c r="R77" i="10"/>
  <c r="R146" i="10"/>
  <c r="R207" i="10"/>
  <c r="R275" i="10"/>
  <c r="R337" i="10"/>
  <c r="R391" i="10"/>
  <c r="R457" i="10"/>
  <c r="R500" i="10"/>
  <c r="R527" i="10"/>
  <c r="R118" i="10"/>
  <c r="R234" i="10"/>
  <c r="R540" i="10"/>
  <c r="R488" i="10"/>
  <c r="R380" i="10"/>
  <c r="R313" i="10"/>
  <c r="R23" i="10"/>
  <c r="R92" i="10"/>
  <c r="R153" i="10"/>
  <c r="R208" i="10"/>
  <c r="R277" i="10"/>
  <c r="R338" i="10"/>
  <c r="R406" i="10"/>
  <c r="R464" i="10"/>
  <c r="R502" i="10"/>
  <c r="R528" i="10"/>
  <c r="R364" i="10"/>
  <c r="R365" i="10"/>
  <c r="R182" i="10"/>
  <c r="R517" i="10"/>
  <c r="R25" i="10"/>
  <c r="R93" i="10"/>
  <c r="R154" i="10"/>
  <c r="R223" i="10"/>
  <c r="R284" i="10"/>
  <c r="R339" i="10"/>
  <c r="R407" i="10"/>
  <c r="R465" i="10"/>
  <c r="R503" i="10"/>
  <c r="R529" i="10"/>
  <c r="R481" i="10"/>
  <c r="R51" i="10"/>
  <c r="R433" i="10"/>
  <c r="R311" i="10"/>
  <c r="R441" i="10"/>
  <c r="R40" i="10"/>
  <c r="R101" i="10"/>
  <c r="R155" i="10"/>
  <c r="R224" i="10"/>
  <c r="R285" i="10"/>
  <c r="R354" i="10"/>
  <c r="R415" i="10"/>
  <c r="R466" i="10"/>
  <c r="R504" i="10"/>
  <c r="R536" i="10"/>
  <c r="R513" i="10"/>
  <c r="R249" i="10"/>
  <c r="R541" i="10"/>
  <c r="R250" i="10"/>
  <c r="R258" i="10"/>
  <c r="R41" i="10"/>
  <c r="R102" i="10"/>
  <c r="R171" i="10"/>
  <c r="R232" i="10"/>
  <c r="R286" i="10"/>
  <c r="R355" i="10"/>
  <c r="R416" i="10"/>
  <c r="R479" i="10"/>
  <c r="R505" i="10"/>
  <c r="R537" i="10"/>
  <c r="R417" i="10"/>
  <c r="R50" i="10"/>
  <c r="R179" i="10"/>
  <c r="R432" i="10"/>
  <c r="R119" i="10"/>
  <c r="R66" i="10"/>
  <c r="R489" i="10"/>
  <c r="R381" i="10"/>
  <c r="R49" i="10"/>
  <c r="R103" i="10"/>
  <c r="R172" i="10"/>
  <c r="R233" i="10"/>
  <c r="R302" i="10"/>
  <c r="R363" i="10"/>
  <c r="R480" i="10"/>
  <c r="R512" i="10"/>
  <c r="R538" i="10"/>
  <c r="R310" i="10"/>
  <c r="R440" i="10"/>
  <c r="R128" i="10"/>
  <c r="R524" i="10"/>
  <c r="R389" i="10"/>
  <c r="R14" i="10"/>
  <c r="R198" i="10"/>
  <c r="R492" i="10"/>
  <c r="R75" i="10"/>
  <c r="R129" i="10"/>
  <c r="R259" i="10"/>
  <c r="R328" i="10"/>
  <c r="R442" i="10"/>
  <c r="L2" i="10"/>
  <c r="R2" i="10"/>
  <c r="H2" i="10"/>
  <c r="Y427" i="10" l="1"/>
  <c r="Y318" i="10"/>
  <c r="Y508" i="10"/>
  <c r="Y230" i="10"/>
  <c r="AE456" i="10"/>
  <c r="Y448" i="10"/>
  <c r="Y306" i="10"/>
  <c r="AE508" i="10"/>
  <c r="Y353" i="10"/>
  <c r="Y509" i="10"/>
  <c r="AE170" i="10"/>
  <c r="Y125" i="10"/>
  <c r="Y116" i="10"/>
  <c r="Y69" i="10"/>
  <c r="Y75" i="10"/>
  <c r="AE395" i="10"/>
  <c r="Y284" i="10"/>
  <c r="Y81" i="10"/>
  <c r="Y485" i="10"/>
  <c r="Y100" i="10"/>
  <c r="Y219" i="10"/>
  <c r="Y337" i="10"/>
  <c r="AE530" i="10"/>
  <c r="AE286" i="10"/>
  <c r="AE206" i="10"/>
  <c r="AE434" i="10"/>
  <c r="Y516" i="10"/>
  <c r="AE75" i="10"/>
  <c r="Y345" i="10"/>
  <c r="Y197" i="10"/>
  <c r="Y185" i="10"/>
  <c r="Y356" i="10"/>
  <c r="Y365" i="10"/>
  <c r="Y172" i="10"/>
  <c r="Y395" i="10"/>
  <c r="Y323" i="10"/>
  <c r="Y297" i="10"/>
  <c r="AE123" i="10"/>
  <c r="Y492" i="10"/>
  <c r="Y495" i="10"/>
  <c r="Y302" i="10"/>
  <c r="AE384" i="10"/>
  <c r="AE492" i="10"/>
  <c r="AE336" i="10"/>
  <c r="AE513" i="10"/>
  <c r="AE476" i="10"/>
  <c r="AE19" i="10"/>
  <c r="Y423" i="10"/>
  <c r="Y113" i="10"/>
  <c r="Y399" i="10"/>
  <c r="Y62" i="10"/>
  <c r="AE219" i="10"/>
  <c r="Y430" i="10"/>
  <c r="Y273" i="10"/>
  <c r="Y477" i="10"/>
  <c r="AE100" i="10"/>
  <c r="AE424" i="10"/>
  <c r="Y179" i="10"/>
  <c r="AE230" i="10"/>
  <c r="AE60" i="10"/>
  <c r="Y65" i="10"/>
  <c r="AE34" i="10"/>
  <c r="Y189" i="10"/>
  <c r="Y535" i="10"/>
  <c r="AE506" i="10"/>
  <c r="AE260" i="10"/>
  <c r="AE185" i="10"/>
  <c r="Y167" i="10"/>
  <c r="Y142" i="10"/>
  <c r="Y352" i="10"/>
  <c r="Y193" i="10"/>
  <c r="Y49" i="10"/>
  <c r="Y489" i="10"/>
  <c r="Y512" i="10"/>
  <c r="Y131" i="10"/>
  <c r="Y178" i="10"/>
  <c r="Y362" i="10"/>
  <c r="Y117" i="10"/>
  <c r="Y442" i="10"/>
  <c r="Y217" i="10"/>
  <c r="Y54" i="10"/>
  <c r="Y124" i="10"/>
  <c r="Y170" i="10"/>
  <c r="Y502" i="10"/>
  <c r="Y496" i="10"/>
  <c r="AE356" i="10"/>
  <c r="Y91" i="10"/>
  <c r="Y128" i="10"/>
  <c r="Y473" i="10"/>
  <c r="Y127" i="10"/>
  <c r="Y441" i="10"/>
  <c r="Y239" i="10"/>
  <c r="Y371" i="10"/>
  <c r="AE478" i="10"/>
  <c r="AE495" i="10"/>
  <c r="AE122" i="10"/>
  <c r="AE319" i="10"/>
  <c r="Y106" i="10"/>
  <c r="Y13" i="10"/>
  <c r="Y207" i="10"/>
  <c r="Y314" i="10"/>
  <c r="Y476" i="10"/>
  <c r="Y460" i="10"/>
  <c r="Y130" i="10"/>
  <c r="Y403" i="10"/>
  <c r="Y42" i="10"/>
  <c r="Y456" i="10"/>
  <c r="Y368" i="10"/>
  <c r="Y450" i="10"/>
  <c r="Y340" i="10"/>
  <c r="Y293" i="10"/>
  <c r="Y419" i="10"/>
  <c r="Y110" i="10"/>
  <c r="AE242" i="10"/>
  <c r="Y14" i="10"/>
  <c r="Y312" i="10"/>
  <c r="Y285" i="10"/>
  <c r="Y164" i="10"/>
  <c r="Y444" i="10"/>
  <c r="Y522" i="10"/>
  <c r="Y292" i="10"/>
  <c r="AE442" i="10"/>
  <c r="AE489" i="10"/>
  <c r="Y47" i="10"/>
  <c r="AE365" i="10"/>
  <c r="Y322" i="10"/>
  <c r="Y202" i="10"/>
  <c r="Y70" i="10"/>
  <c r="Y247" i="10"/>
  <c r="Y329" i="10"/>
  <c r="Y542" i="10"/>
  <c r="Y136" i="10"/>
  <c r="Y97" i="10"/>
  <c r="Y497" i="10"/>
  <c r="Y34" i="10"/>
  <c r="Y283" i="10"/>
  <c r="Y339" i="10"/>
  <c r="Y231" i="10"/>
  <c r="AE386" i="10"/>
  <c r="AE532" i="10"/>
  <c r="AE110" i="10"/>
  <c r="AE404" i="10"/>
  <c r="AE41" i="10"/>
  <c r="Y294" i="10"/>
  <c r="Y325" i="10"/>
  <c r="Y468" i="10"/>
  <c r="AE468" i="10"/>
  <c r="AE362" i="10"/>
  <c r="AE217" i="10"/>
  <c r="AE320" i="10"/>
  <c r="Y67" i="10"/>
  <c r="Y384" i="10"/>
  <c r="Y344" i="10"/>
  <c r="Y315" i="10"/>
  <c r="Y391" i="10"/>
  <c r="Y438" i="10"/>
  <c r="Y24" i="10"/>
  <c r="Y369" i="10"/>
  <c r="Y26" i="10"/>
  <c r="Y277" i="10"/>
  <c r="Y236" i="10"/>
  <c r="Y232" i="10"/>
  <c r="Y250" i="10"/>
  <c r="Y68" i="10"/>
  <c r="Y77" i="10"/>
  <c r="Y390" i="10"/>
  <c r="Y351" i="10"/>
  <c r="Y388" i="10"/>
  <c r="Y220" i="10"/>
  <c r="Y255" i="10"/>
  <c r="Y139" i="10"/>
  <c r="Y455" i="10"/>
  <c r="Y214" i="10"/>
  <c r="Y153" i="10"/>
  <c r="Y60" i="10"/>
  <c r="Y51" i="10"/>
  <c r="AE202" i="10"/>
  <c r="AE340" i="10"/>
  <c r="Y95" i="10"/>
  <c r="Y271" i="10"/>
  <c r="Y383" i="10"/>
  <c r="Y212" i="10"/>
  <c r="Y514" i="10"/>
  <c r="Y359" i="10"/>
  <c r="Y8" i="10"/>
  <c r="Y215" i="10"/>
  <c r="Y160" i="10"/>
  <c r="Y111" i="10"/>
  <c r="Y50" i="10"/>
  <c r="Y443" i="10"/>
  <c r="Y234" i="10"/>
  <c r="Y146" i="10"/>
  <c r="AE178" i="10"/>
  <c r="AE85" i="10"/>
  <c r="AE189" i="10"/>
  <c r="AE415" i="10"/>
  <c r="Y520" i="10"/>
  <c r="Y56" i="10"/>
  <c r="Y506" i="10"/>
  <c r="Y409" i="10"/>
  <c r="Y23" i="10"/>
  <c r="Y93" i="10"/>
  <c r="Y41" i="10"/>
  <c r="Y333" i="10"/>
  <c r="Y364" i="10"/>
  <c r="Y148" i="10"/>
  <c r="Y4" i="10"/>
  <c r="Y216" i="10"/>
  <c r="Y348" i="10"/>
  <c r="Y515" i="10"/>
  <c r="Y222" i="10"/>
  <c r="Y295" i="10"/>
  <c r="Y311" i="10"/>
  <c r="Y282" i="10"/>
  <c r="Y355" i="10"/>
  <c r="Y341" i="10"/>
  <c r="Y372" i="10"/>
  <c r="Y481" i="10"/>
  <c r="Y243" i="10"/>
  <c r="Y363" i="10"/>
  <c r="Y79" i="10"/>
  <c r="Y475" i="10"/>
  <c r="Y17" i="10"/>
  <c r="Y536" i="10"/>
  <c r="Y73" i="10"/>
  <c r="Y343" i="10"/>
  <c r="Y35" i="10"/>
  <c r="AE496" i="10"/>
  <c r="AE48" i="10"/>
  <c r="AE497" i="10"/>
  <c r="AE353" i="10"/>
  <c r="Y530" i="10"/>
  <c r="Y518" i="10"/>
  <c r="Y531" i="10"/>
  <c r="Y275" i="10"/>
  <c r="Y529" i="10"/>
  <c r="Y112" i="10"/>
  <c r="Y539" i="10"/>
  <c r="Y182" i="10"/>
  <c r="Y264" i="10"/>
  <c r="Y319" i="10"/>
  <c r="Y175" i="10"/>
  <c r="Y498" i="10"/>
  <c r="Y354" i="10"/>
  <c r="Y401" i="10"/>
  <c r="AE136" i="10"/>
  <c r="AE247" i="10"/>
  <c r="Y335" i="10"/>
  <c r="Y85" i="10"/>
  <c r="Y336" i="10"/>
  <c r="Y386" i="10"/>
  <c r="Y397" i="10"/>
  <c r="Y180" i="10"/>
  <c r="AE364" i="10"/>
  <c r="AE97" i="10"/>
  <c r="AE322" i="10"/>
  <c r="Y527" i="10"/>
  <c r="Y213" i="10"/>
  <c r="Y385" i="10"/>
  <c r="Y327" i="10"/>
  <c r="Y12" i="10"/>
  <c r="Y524" i="10"/>
  <c r="Y48" i="10"/>
  <c r="AE325" i="10"/>
  <c r="AE368" i="10"/>
  <c r="AE450" i="10"/>
  <c r="Y467" i="10"/>
  <c r="Y411" i="10"/>
  <c r="Y104" i="10"/>
  <c r="Y55" i="10"/>
  <c r="Y483" i="10"/>
  <c r="Y141" i="10"/>
  <c r="Y57" i="10"/>
  <c r="Y98" i="10"/>
  <c r="Y25" i="10"/>
  <c r="Y276" i="10"/>
  <c r="AE157" i="10"/>
  <c r="AE172" i="10"/>
  <c r="AE254" i="10"/>
  <c r="AE200" i="10"/>
  <c r="AE175" i="10"/>
  <c r="AE294" i="10"/>
  <c r="Y161" i="10"/>
  <c r="Y287" i="10"/>
  <c r="Y462" i="10"/>
  <c r="Y101" i="10"/>
  <c r="Y500" i="10"/>
  <c r="AE264" i="10"/>
  <c r="AE311" i="10"/>
  <c r="AE168" i="10"/>
  <c r="AE155" i="10"/>
  <c r="AE481" i="10"/>
  <c r="AE426" i="10"/>
  <c r="AE138" i="10"/>
  <c r="AE401" i="10"/>
  <c r="Y458" i="10"/>
  <c r="Y398" i="10"/>
  <c r="Y410" i="10"/>
  <c r="Y347" i="10"/>
  <c r="Y440" i="10"/>
  <c r="Y296" i="10"/>
  <c r="Y150" i="10"/>
  <c r="Y382" i="10"/>
  <c r="Y187" i="10"/>
  <c r="Y169" i="10"/>
  <c r="Y366" i="10"/>
  <c r="Y424" i="10"/>
  <c r="AE444" i="10"/>
  <c r="AE243" i="10"/>
  <c r="AE193" i="10"/>
  <c r="AE292" i="10"/>
  <c r="AE345" i="10"/>
  <c r="AE164" i="10"/>
  <c r="AE427" i="10"/>
  <c r="AE283" i="10"/>
  <c r="Y303" i="10"/>
  <c r="Y119" i="10"/>
  <c r="Y120" i="10"/>
  <c r="Y519" i="10"/>
  <c r="Y494" i="10"/>
  <c r="Y253" i="10"/>
  <c r="Y191" i="10"/>
  <c r="Y63" i="10"/>
  <c r="Y537" i="10"/>
  <c r="Y249" i="10"/>
  <c r="Y99" i="10"/>
  <c r="Y126" i="10"/>
  <c r="Y451" i="10"/>
  <c r="Y162" i="10"/>
  <c r="Y5" i="10"/>
  <c r="Y528" i="10"/>
  <c r="Y486" i="10"/>
  <c r="Y342" i="10"/>
  <c r="Y198" i="10"/>
  <c r="Y44" i="10"/>
  <c r="Y533" i="10"/>
  <c r="Y389" i="10"/>
  <c r="Y469" i="10"/>
  <c r="Y256" i="10"/>
  <c r="AE323" i="10"/>
  <c r="AE73" i="10"/>
  <c r="AE531" i="10"/>
  <c r="AE12" i="10"/>
  <c r="AE440" i="10"/>
  <c r="AE296" i="10"/>
  <c r="AE509" i="10"/>
  <c r="Y357" i="10"/>
  <c r="Y431" i="10"/>
  <c r="Y274" i="10"/>
  <c r="Y18" i="10"/>
  <c r="Y135" i="10"/>
  <c r="Y507" i="10"/>
  <c r="Y422" i="10"/>
  <c r="Y479" i="10"/>
  <c r="Y381" i="10"/>
  <c r="Y237" i="10"/>
  <c r="Y9" i="10"/>
  <c r="Y404" i="10"/>
  <c r="Y260" i="10"/>
  <c r="Y39" i="10"/>
  <c r="Y166" i="10"/>
  <c r="Y439" i="10"/>
  <c r="Y149" i="10"/>
  <c r="Y432" i="10"/>
  <c r="Y330" i="10"/>
  <c r="Y186" i="10"/>
  <c r="Y143" i="10"/>
  <c r="Y521" i="10"/>
  <c r="Y377" i="10"/>
  <c r="Y244" i="10"/>
  <c r="Y94" i="10"/>
  <c r="Y484" i="10"/>
  <c r="AE213" i="10"/>
  <c r="AE502" i="10"/>
  <c r="AE209" i="10"/>
  <c r="Y428" i="10"/>
  <c r="Y29" i="10"/>
  <c r="Y210" i="10"/>
  <c r="Y434" i="10"/>
  <c r="Y261" i="10"/>
  <c r="Y286" i="10"/>
  <c r="Y123" i="10"/>
  <c r="Y513" i="10"/>
  <c r="Y225" i="10"/>
  <c r="AE142" i="10"/>
  <c r="Y412" i="10"/>
  <c r="Y266" i="10"/>
  <c r="Y45" i="10"/>
  <c r="Y263" i="10"/>
  <c r="Y115" i="10"/>
  <c r="Y248" i="10"/>
  <c r="Y196" i="10"/>
  <c r="Y228" i="10"/>
  <c r="Y415" i="10"/>
  <c r="AE151" i="10"/>
  <c r="AE191" i="10"/>
  <c r="AE24" i="10"/>
  <c r="AE363" i="10"/>
  <c r="AE112" i="10"/>
  <c r="AE9" i="10"/>
  <c r="AE498" i="10"/>
  <c r="AE354" i="10"/>
  <c r="AE329" i="10"/>
  <c r="Y268" i="10"/>
  <c r="Y464" i="10"/>
  <c r="Y545" i="10"/>
  <c r="Y199" i="10"/>
  <c r="AE539" i="10"/>
  <c r="AE167" i="10"/>
  <c r="AE484" i="10"/>
  <c r="AE339" i="10"/>
  <c r="AE255" i="10"/>
  <c r="AE182" i="10"/>
  <c r="AE432" i="10"/>
  <c r="AE11" i="10"/>
  <c r="AE536" i="10"/>
  <c r="AE79" i="10"/>
  <c r="AE51" i="10"/>
  <c r="Y192" i="10"/>
  <c r="AE512" i="10"/>
  <c r="AE224" i="10"/>
  <c r="Y158" i="10"/>
  <c r="Y118" i="10"/>
  <c r="AE518" i="10"/>
  <c r="AE352" i="10"/>
  <c r="AE529" i="10"/>
  <c r="Y53" i="10"/>
  <c r="Y152" i="10"/>
  <c r="Y320" i="10"/>
  <c r="Y534" i="10"/>
  <c r="Y541" i="10"/>
  <c r="Y22" i="10"/>
  <c r="Y129" i="10"/>
  <c r="Y298" i="10"/>
  <c r="Y176" i="10"/>
  <c r="Y350" i="10"/>
  <c r="Y36" i="10"/>
  <c r="Y133" i="10"/>
  <c r="Y270" i="10"/>
  <c r="Y201" i="10"/>
  <c r="Y407" i="10"/>
  <c r="Y380" i="10"/>
  <c r="Y376" i="10"/>
  <c r="Y525" i="10"/>
  <c r="Y251" i="10"/>
  <c r="Y205" i="10"/>
  <c r="Y532" i="10"/>
  <c r="Y208" i="10"/>
  <c r="Y501" i="10"/>
  <c r="Y221" i="10"/>
  <c r="Y181" i="10"/>
  <c r="Y493" i="10"/>
  <c r="Y265" i="10"/>
  <c r="Y87" i="10"/>
  <c r="Y156" i="10"/>
  <c r="Y392" i="10"/>
  <c r="AE407" i="10"/>
  <c r="AE156" i="10"/>
  <c r="AE253" i="10"/>
  <c r="Y245" i="10"/>
  <c r="Y154" i="10"/>
  <c r="Y229" i="10"/>
  <c r="Y447" i="10"/>
  <c r="Y374" i="10"/>
  <c r="Y226" i="10"/>
  <c r="Y457" i="10"/>
  <c r="Y299" i="10"/>
  <c r="Y102" i="10"/>
  <c r="Y40" i="10"/>
  <c r="Y421" i="10"/>
  <c r="Y52" i="10"/>
  <c r="Y252" i="10"/>
  <c r="Y417" i="10"/>
  <c r="Y37" i="10"/>
  <c r="Y278" i="10"/>
  <c r="Y331" i="10"/>
  <c r="Y32" i="10"/>
  <c r="Y510" i="10"/>
  <c r="Y373" i="10"/>
  <c r="Y61" i="10"/>
  <c r="Y413" i="10"/>
  <c r="Y269" i="10"/>
  <c r="Y121" i="10"/>
  <c r="Y140" i="10"/>
  <c r="Y280" i="10"/>
  <c r="AE376" i="10"/>
  <c r="Y435" i="10"/>
  <c r="Y262" i="10"/>
  <c r="Y30" i="10"/>
  <c r="Y80" i="10"/>
  <c r="Y547" i="10"/>
  <c r="Y233" i="10"/>
  <c r="Y155" i="10"/>
  <c r="Y405" i="10"/>
  <c r="Y257" i="10"/>
  <c r="Y108" i="10"/>
  <c r="Y289" i="10"/>
  <c r="Y11" i="10"/>
  <c r="Y174" i="10"/>
  <c r="AE166" i="10"/>
  <c r="AE494" i="10"/>
  <c r="AE268" i="10"/>
  <c r="AE39" i="10"/>
  <c r="AE397" i="10"/>
  <c r="AE148" i="10"/>
  <c r="AE318" i="10"/>
  <c r="AE149" i="10"/>
  <c r="AE5" i="10"/>
  <c r="Y195" i="10"/>
  <c r="Y209" i="10"/>
  <c r="AE486" i="10"/>
  <c r="Y393" i="10"/>
  <c r="Y406" i="10"/>
  <c r="AE23" i="10"/>
  <c r="AE179" i="10"/>
  <c r="AE124" i="10"/>
  <c r="AE375" i="10"/>
  <c r="AE131" i="10"/>
  <c r="AE537" i="10"/>
  <c r="AE500" i="10"/>
  <c r="AE162" i="10"/>
  <c r="Y375" i="10"/>
  <c r="Y224" i="10"/>
  <c r="Y72" i="10"/>
  <c r="Y307" i="10"/>
  <c r="AE291" i="10"/>
  <c r="AE479" i="10"/>
  <c r="AE108" i="10"/>
  <c r="AE455" i="10"/>
  <c r="AE507" i="10"/>
  <c r="AE263" i="10"/>
  <c r="AE406" i="10"/>
  <c r="AE505" i="10"/>
  <c r="AE256" i="10"/>
  <c r="AE421" i="10"/>
  <c r="AE411" i="10"/>
  <c r="AE503" i="10"/>
  <c r="AE304" i="10"/>
  <c r="AE358" i="10"/>
  <c r="AE109" i="10"/>
  <c r="AE525" i="10"/>
  <c r="AE381" i="10"/>
  <c r="AE237" i="10"/>
  <c r="AE93" i="10"/>
  <c r="AE488" i="10"/>
  <c r="AE344" i="10"/>
  <c r="AE56" i="10"/>
  <c r="AE463" i="10"/>
  <c r="AE31" i="10"/>
  <c r="AE438" i="10"/>
  <c r="AE150" i="10"/>
  <c r="AE6" i="10"/>
  <c r="AE413" i="10"/>
  <c r="AE269" i="10"/>
  <c r="AE125" i="10"/>
  <c r="AE40" i="10"/>
  <c r="Y59" i="10"/>
  <c r="Y38" i="10"/>
  <c r="AE252" i="10"/>
  <c r="AE490" i="10"/>
  <c r="AE241" i="10"/>
  <c r="AE351" i="10"/>
  <c r="AE448" i="10"/>
  <c r="AE135" i="10"/>
  <c r="AE239" i="10"/>
  <c r="AE399" i="10"/>
  <c r="AE232" i="10"/>
  <c r="AE334" i="10"/>
  <c r="AE143" i="10"/>
  <c r="AE87" i="10"/>
  <c r="AE369" i="10"/>
  <c r="AE225" i="10"/>
  <c r="AE81" i="10"/>
  <c r="AE332" i="10"/>
  <c r="AE188" i="10"/>
  <c r="AE44" i="10"/>
  <c r="AE451" i="10"/>
  <c r="AE307" i="10"/>
  <c r="AE163" i="10"/>
  <c r="AE282" i="10"/>
  <c r="AE545" i="10"/>
  <c r="AE257" i="10"/>
  <c r="AE113" i="10"/>
  <c r="Y426" i="10"/>
  <c r="Y171" i="10"/>
  <c r="Y471" i="10"/>
  <c r="Y66" i="10"/>
  <c r="Y218" i="10"/>
  <c r="Y74" i="10"/>
  <c r="Y504" i="10"/>
  <c r="Y88" i="10"/>
  <c r="Y465" i="10"/>
  <c r="Y321" i="10"/>
  <c r="Y177" i="10"/>
  <c r="Y21" i="10"/>
  <c r="Y408" i="10"/>
  <c r="Y526" i="10"/>
  <c r="Y488" i="10"/>
  <c r="Y200" i="10"/>
  <c r="Y46" i="10"/>
  <c r="Y203" i="10"/>
  <c r="Y523" i="10"/>
  <c r="Y379" i="10"/>
  <c r="Y235" i="10"/>
  <c r="Y84" i="10"/>
  <c r="Y517" i="10"/>
  <c r="Y503" i="10"/>
  <c r="Y414" i="10"/>
  <c r="Y122" i="10"/>
  <c r="Y206" i="10"/>
  <c r="Y300" i="10"/>
  <c r="Y346" i="10"/>
  <c r="Y461" i="10"/>
  <c r="Y317" i="10"/>
  <c r="Y173" i="10"/>
  <c r="Y16" i="10"/>
  <c r="Y480" i="10"/>
  <c r="Y478" i="10"/>
  <c r="Y472" i="10"/>
  <c r="Y328" i="10"/>
  <c r="Y184" i="10"/>
  <c r="Y28" i="10"/>
  <c r="Y43" i="10"/>
  <c r="AE457" i="10"/>
  <c r="AE290" i="10"/>
  <c r="AE491" i="10"/>
  <c r="AE145" i="10"/>
  <c r="AE251" i="10"/>
  <c r="AE244" i="10"/>
  <c r="AE382" i="10"/>
  <c r="AE133" i="10"/>
  <c r="AE215" i="10"/>
  <c r="AE229" i="10"/>
  <c r="AE501" i="10"/>
  <c r="AE357" i="10"/>
  <c r="AE464" i="10"/>
  <c r="AE176" i="10"/>
  <c r="AE32" i="10"/>
  <c r="AE439" i="10"/>
  <c r="AE295" i="10"/>
  <c r="AE7" i="10"/>
  <c r="AE126" i="10"/>
  <c r="AE533" i="10"/>
  <c r="AE389" i="10"/>
  <c r="AE245" i="10"/>
  <c r="AE101" i="10"/>
  <c r="Y491" i="10"/>
  <c r="Y241" i="10"/>
  <c r="Y543" i="10"/>
  <c r="Y183" i="10"/>
  <c r="Y89" i="10"/>
  <c r="Y420" i="10"/>
  <c r="Y538" i="10"/>
  <c r="Y453" i="10"/>
  <c r="Y309" i="10"/>
  <c r="Y165" i="10"/>
  <c r="Y324" i="10"/>
  <c r="Y466" i="10"/>
  <c r="Y332" i="10"/>
  <c r="Y188" i="10"/>
  <c r="Y33" i="10"/>
  <c r="Y90" i="10"/>
  <c r="Y114" i="10"/>
  <c r="Y511" i="10"/>
  <c r="Y367" i="10"/>
  <c r="Y223" i="10"/>
  <c r="Y71" i="10"/>
  <c r="Y433" i="10"/>
  <c r="Y546" i="10"/>
  <c r="Y402" i="10"/>
  <c r="Y258" i="10"/>
  <c r="Y109" i="10"/>
  <c r="Y92" i="10"/>
  <c r="Y240" i="10"/>
  <c r="Y449" i="10"/>
  <c r="Y305" i="10"/>
  <c r="Y3" i="10"/>
  <c r="Y396" i="10"/>
  <c r="Y394" i="10"/>
  <c r="Y316" i="10"/>
  <c r="Y15" i="10"/>
  <c r="Y31" i="10"/>
  <c r="AE208" i="10"/>
  <c r="AE36" i="10"/>
  <c r="AE469" i="10"/>
  <c r="AE220" i="10"/>
  <c r="AE195" i="10"/>
  <c r="AE111" i="10"/>
  <c r="AE388" i="10"/>
  <c r="AE38" i="10"/>
  <c r="AE201" i="10"/>
  <c r="AE139" i="10"/>
  <c r="AE521" i="10"/>
  <c r="AE377" i="10"/>
  <c r="AE233" i="10"/>
  <c r="AE4" i="10"/>
  <c r="Y361" i="10"/>
  <c r="Y107" i="10"/>
  <c r="Y474" i="10"/>
  <c r="Y463" i="10"/>
  <c r="Y544" i="10"/>
  <c r="Y137" i="10"/>
  <c r="Y267" i="10"/>
  <c r="Y301" i="10"/>
  <c r="Y103" i="10"/>
  <c r="Y326" i="10"/>
  <c r="Y400" i="10"/>
  <c r="Y272" i="10"/>
  <c r="Y64" i="10"/>
  <c r="Y132" i="10"/>
  <c r="Y470" i="10"/>
  <c r="Y145" i="10"/>
  <c r="Y291" i="10"/>
  <c r="Y482" i="10"/>
  <c r="Y242" i="10"/>
  <c r="Y360" i="10"/>
  <c r="Y454" i="10"/>
  <c r="Y290" i="10"/>
  <c r="Y418" i="10"/>
  <c r="Y20" i="10"/>
  <c r="Y540" i="10"/>
  <c r="Y10" i="10"/>
  <c r="Y499" i="10"/>
  <c r="Y211" i="10"/>
  <c r="Y58" i="10"/>
  <c r="Y349" i="10"/>
  <c r="Y246" i="10"/>
  <c r="Y96" i="10"/>
  <c r="Y168" i="10"/>
  <c r="Y437" i="10"/>
  <c r="Y147" i="10"/>
  <c r="Y338" i="10"/>
  <c r="Y288" i="10"/>
  <c r="Y310" i="10"/>
  <c r="Y304" i="10"/>
  <c r="Y159" i="10"/>
  <c r="Y163" i="10"/>
  <c r="Y19" i="10"/>
  <c r="AE37" i="10"/>
  <c r="AE63" i="10"/>
  <c r="AE516" i="10"/>
  <c r="AE180" i="10"/>
  <c r="AE26" i="10"/>
  <c r="AE422" i="10"/>
  <c r="AE99" i="10"/>
  <c r="AE94" i="10"/>
  <c r="AE205" i="10"/>
  <c r="AE519" i="10"/>
  <c r="AE477" i="10"/>
  <c r="AE333" i="10"/>
  <c r="AE271" i="10"/>
  <c r="AE221" i="10"/>
  <c r="AE77" i="10"/>
  <c r="Y78" i="10"/>
  <c r="Y334" i="10"/>
  <c r="Y105" i="10"/>
  <c r="Y446" i="10"/>
  <c r="Y82" i="10"/>
  <c r="Y190" i="10"/>
  <c r="Y358" i="10"/>
  <c r="Y313" i="10"/>
  <c r="Y416" i="10"/>
  <c r="Y259" i="10"/>
  <c r="Y86" i="10"/>
  <c r="Y157" i="10"/>
  <c r="Y459" i="10"/>
  <c r="Y387" i="10"/>
  <c r="Y279" i="10"/>
  <c r="Y27" i="10"/>
  <c r="Y505" i="10"/>
  <c r="Y144" i="10"/>
  <c r="Y429" i="10"/>
  <c r="Y138" i="10"/>
  <c r="Y194" i="10"/>
  <c r="Y370" i="10"/>
  <c r="Y452" i="10"/>
  <c r="Y308" i="10"/>
  <c r="Y6" i="10"/>
  <c r="Y490" i="10"/>
  <c r="Y487" i="10"/>
  <c r="Y227" i="10"/>
  <c r="Y378" i="10"/>
  <c r="Y83" i="10"/>
  <c r="Y445" i="10"/>
  <c r="Y76" i="10"/>
  <c r="Y425" i="10"/>
  <c r="Y281" i="10"/>
  <c r="Y134" i="10"/>
  <c r="Y254" i="10"/>
  <c r="Y204" i="10"/>
  <c r="Y238" i="10"/>
  <c r="Y436" i="10"/>
  <c r="Y151" i="10"/>
  <c r="Y7" i="10"/>
  <c r="AB153" i="10"/>
  <c r="S153" i="10"/>
  <c r="V153" i="10"/>
  <c r="AB272" i="10"/>
  <c r="V272" i="10"/>
  <c r="S272" i="10"/>
  <c r="AB78" i="10"/>
  <c r="V78" i="10"/>
  <c r="S78" i="10"/>
  <c r="V59" i="10"/>
  <c r="AB59" i="10"/>
  <c r="S59" i="10"/>
  <c r="AB83" i="10"/>
  <c r="V83" i="10"/>
  <c r="S83" i="10"/>
  <c r="AB107" i="10"/>
  <c r="V107" i="10"/>
  <c r="S107" i="10"/>
  <c r="AB504" i="10"/>
  <c r="V504" i="10"/>
  <c r="S504" i="10"/>
  <c r="AB143" i="10"/>
  <c r="V143" i="10"/>
  <c r="S143" i="10"/>
  <c r="S444" i="10"/>
  <c r="AB444" i="10"/>
  <c r="V444" i="10"/>
  <c r="AB361" i="10"/>
  <c r="V361" i="10"/>
  <c r="S361" i="10"/>
  <c r="AB227" i="10"/>
  <c r="S227" i="10"/>
  <c r="V227" i="10"/>
  <c r="AB228" i="10"/>
  <c r="V228" i="10"/>
  <c r="S228" i="10"/>
  <c r="AB23" i="10"/>
  <c r="V23" i="10"/>
  <c r="S23" i="10"/>
  <c r="AB220" i="10"/>
  <c r="V220" i="10"/>
  <c r="S220" i="10"/>
  <c r="AB26" i="10"/>
  <c r="S26" i="10"/>
  <c r="V26" i="10"/>
  <c r="V281" i="10"/>
  <c r="AB281" i="10"/>
  <c r="S281" i="10"/>
  <c r="AB148" i="10"/>
  <c r="V148" i="10"/>
  <c r="S148" i="10"/>
  <c r="AB72" i="10"/>
  <c r="S72" i="10"/>
  <c r="V72" i="10"/>
  <c r="AE287" i="10"/>
  <c r="AE370" i="10"/>
  <c r="AE120" i="10"/>
  <c r="AB415" i="10"/>
  <c r="S415" i="10"/>
  <c r="V415" i="10"/>
  <c r="AB273" i="10"/>
  <c r="V273" i="10"/>
  <c r="S273" i="10"/>
  <c r="S314" i="10"/>
  <c r="V314" i="10"/>
  <c r="AB314" i="10"/>
  <c r="AB20" i="10"/>
  <c r="V20" i="10"/>
  <c r="S20" i="10"/>
  <c r="AB44" i="10"/>
  <c r="V44" i="10"/>
  <c r="S44" i="10"/>
  <c r="AB204" i="10"/>
  <c r="V204" i="10"/>
  <c r="S204" i="10"/>
  <c r="AE147" i="10"/>
  <c r="AE207" i="10"/>
  <c r="AE350" i="10"/>
  <c r="AE190" i="10"/>
  <c r="AE20" i="10"/>
  <c r="AE258" i="10"/>
  <c r="AB538" i="10"/>
  <c r="S538" i="10"/>
  <c r="V538" i="10"/>
  <c r="AB493" i="10"/>
  <c r="V493" i="10"/>
  <c r="S493" i="10"/>
  <c r="AB35" i="10"/>
  <c r="S35" i="10"/>
  <c r="V35" i="10"/>
  <c r="AB231" i="10"/>
  <c r="V231" i="10"/>
  <c r="S231" i="10"/>
  <c r="AB98" i="10"/>
  <c r="V98" i="10"/>
  <c r="S98" i="10"/>
  <c r="S122" i="10"/>
  <c r="V122" i="10"/>
  <c r="AB122" i="10"/>
  <c r="AB48" i="10"/>
  <c r="V48" i="10"/>
  <c r="S48" i="10"/>
  <c r="AE447" i="10"/>
  <c r="AE338" i="10"/>
  <c r="AE102" i="10"/>
  <c r="AB259" i="10"/>
  <c r="V259" i="10"/>
  <c r="S259" i="10"/>
  <c r="AB512" i="10"/>
  <c r="V512" i="10"/>
  <c r="S512" i="10"/>
  <c r="AB432" i="10"/>
  <c r="V432" i="10"/>
  <c r="S432" i="10"/>
  <c r="AB102" i="10"/>
  <c r="V102" i="10"/>
  <c r="S102" i="10"/>
  <c r="AB285" i="10"/>
  <c r="V285" i="10"/>
  <c r="S285" i="10"/>
  <c r="AB465" i="10"/>
  <c r="V465" i="10"/>
  <c r="S465" i="10"/>
  <c r="AB528" i="10"/>
  <c r="V528" i="10"/>
  <c r="S528" i="10"/>
  <c r="AB488" i="10"/>
  <c r="V488" i="10"/>
  <c r="S488" i="10"/>
  <c r="AB77" i="10"/>
  <c r="V77" i="10"/>
  <c r="S77" i="10"/>
  <c r="AB456" i="10"/>
  <c r="S456" i="10"/>
  <c r="V456" i="10"/>
  <c r="AB353" i="10"/>
  <c r="V353" i="10"/>
  <c r="S353" i="10"/>
  <c r="AB39" i="10"/>
  <c r="V39" i="10"/>
  <c r="S39" i="10"/>
  <c r="V221" i="10"/>
  <c r="AB221" i="10"/>
  <c r="S221" i="10"/>
  <c r="AB453" i="10"/>
  <c r="V453" i="10"/>
  <c r="S453" i="10"/>
  <c r="AB141" i="10"/>
  <c r="S141" i="10"/>
  <c r="V141" i="10"/>
  <c r="AB323" i="10"/>
  <c r="S323" i="10"/>
  <c r="V323" i="10"/>
  <c r="AB9" i="10"/>
  <c r="V9" i="10"/>
  <c r="S9" i="10"/>
  <c r="V185" i="10"/>
  <c r="S185" i="10"/>
  <c r="AB185" i="10"/>
  <c r="AB341" i="10"/>
  <c r="V341" i="10"/>
  <c r="S341" i="10"/>
  <c r="AB27" i="10"/>
  <c r="S27" i="10"/>
  <c r="V27" i="10"/>
  <c r="AB261" i="10"/>
  <c r="V261" i="10"/>
  <c r="S261" i="10"/>
  <c r="AB523" i="10"/>
  <c r="S523" i="10"/>
  <c r="V523" i="10"/>
  <c r="AB375" i="10"/>
  <c r="S375" i="10"/>
  <c r="V375" i="10"/>
  <c r="AB218" i="10"/>
  <c r="S218" i="10"/>
  <c r="V218" i="10"/>
  <c r="V61" i="10"/>
  <c r="S61" i="10"/>
  <c r="AB61" i="10"/>
  <c r="AB462" i="10"/>
  <c r="V462" i="10"/>
  <c r="S462" i="10"/>
  <c r="AB308" i="10"/>
  <c r="V308" i="10"/>
  <c r="S308" i="10"/>
  <c r="AB151" i="10"/>
  <c r="V151" i="10"/>
  <c r="S151" i="10"/>
  <c r="AB545" i="10"/>
  <c r="S545" i="10"/>
  <c r="V545" i="10"/>
  <c r="AB399" i="10"/>
  <c r="S399" i="10"/>
  <c r="V399" i="10"/>
  <c r="AB242" i="10"/>
  <c r="S242" i="10"/>
  <c r="V242" i="10"/>
  <c r="AB85" i="10"/>
  <c r="V85" i="10"/>
  <c r="S85" i="10"/>
  <c r="AB484" i="10"/>
  <c r="V484" i="10"/>
  <c r="S484" i="10"/>
  <c r="AB332" i="10"/>
  <c r="V332" i="10"/>
  <c r="S332" i="10"/>
  <c r="AB175" i="10"/>
  <c r="V175" i="10"/>
  <c r="S175" i="10"/>
  <c r="AB18" i="10"/>
  <c r="V18" i="10"/>
  <c r="S18" i="10"/>
  <c r="AB423" i="10"/>
  <c r="V423" i="10"/>
  <c r="S423" i="10"/>
  <c r="AB266" i="10"/>
  <c r="S266" i="10"/>
  <c r="V266" i="10"/>
  <c r="AB109" i="10"/>
  <c r="S109" i="10"/>
  <c r="V109" i="10"/>
  <c r="AB506" i="10"/>
  <c r="V506" i="10"/>
  <c r="S506" i="10"/>
  <c r="AB356" i="10"/>
  <c r="V356" i="10"/>
  <c r="S356" i="10"/>
  <c r="AB199" i="10"/>
  <c r="V199" i="10"/>
  <c r="S199" i="10"/>
  <c r="AB42" i="10"/>
  <c r="V42" i="10"/>
  <c r="S42" i="10"/>
  <c r="AB324" i="10"/>
  <c r="V324" i="10"/>
  <c r="S324" i="10"/>
  <c r="AB180" i="10"/>
  <c r="V180" i="10"/>
  <c r="S180" i="10"/>
  <c r="AB36" i="10"/>
  <c r="V36" i="10"/>
  <c r="S36" i="10"/>
  <c r="AE328" i="10"/>
  <c r="AE430" i="10"/>
  <c r="AE181" i="10"/>
  <c r="AE83" i="10"/>
  <c r="AE158" i="10"/>
  <c r="AE3" i="10"/>
  <c r="AE98" i="10"/>
  <c r="AE301" i="10"/>
  <c r="AE431" i="10"/>
  <c r="AE400" i="10"/>
  <c r="AE106" i="10"/>
  <c r="AE316" i="10"/>
  <c r="AE71" i="10"/>
  <c r="AE27" i="10"/>
  <c r="AE398" i="10"/>
  <c r="AE154" i="10"/>
  <c r="AE394" i="10"/>
  <c r="AE76" i="10"/>
  <c r="AE465" i="10"/>
  <c r="AE321" i="10"/>
  <c r="AE177" i="10"/>
  <c r="AE33" i="10"/>
  <c r="AE428" i="10"/>
  <c r="AE284" i="10"/>
  <c r="AE140" i="10"/>
  <c r="AE547" i="10"/>
  <c r="AE403" i="10"/>
  <c r="AE259" i="10"/>
  <c r="AE115" i="10"/>
  <c r="AE522" i="10"/>
  <c r="AE378" i="10"/>
  <c r="AE234" i="10"/>
  <c r="AE90" i="10"/>
  <c r="AE65" i="10"/>
  <c r="AB49" i="10"/>
  <c r="V49" i="10"/>
  <c r="S49" i="10"/>
  <c r="AB514" i="10"/>
  <c r="V514" i="10"/>
  <c r="S514" i="10"/>
  <c r="AB140" i="10"/>
  <c r="V140" i="10"/>
  <c r="S140" i="10"/>
  <c r="AB283" i="10"/>
  <c r="V283" i="10"/>
  <c r="S283" i="10"/>
  <c r="AB150" i="10"/>
  <c r="V150" i="10"/>
  <c r="S150" i="10"/>
  <c r="AB17" i="10"/>
  <c r="V17" i="10"/>
  <c r="S17" i="10"/>
  <c r="AB96" i="10"/>
  <c r="S96" i="10"/>
  <c r="V96" i="10"/>
  <c r="AB381" i="10"/>
  <c r="V381" i="10"/>
  <c r="S381" i="10"/>
  <c r="AB455" i="10"/>
  <c r="V455" i="10"/>
  <c r="S455" i="10"/>
  <c r="AB290" i="10"/>
  <c r="S290" i="10"/>
  <c r="V290" i="10"/>
  <c r="AB113" i="10"/>
  <c r="V113" i="10"/>
  <c r="S113" i="10"/>
  <c r="AB137" i="10"/>
  <c r="V137" i="10"/>
  <c r="S137" i="10"/>
  <c r="AB161" i="10"/>
  <c r="V161" i="10"/>
  <c r="S161" i="10"/>
  <c r="AB84" i="10"/>
  <c r="V84" i="10"/>
  <c r="S84" i="10"/>
  <c r="AE169" i="10"/>
  <c r="AE483" i="10"/>
  <c r="AE267" i="10"/>
  <c r="AB466" i="10"/>
  <c r="V466" i="10"/>
  <c r="S466" i="10"/>
  <c r="AB299" i="10"/>
  <c r="V299" i="10"/>
  <c r="S299" i="10"/>
  <c r="AB105" i="10"/>
  <c r="V105" i="10"/>
  <c r="S105" i="10"/>
  <c r="AB347" i="10"/>
  <c r="V347" i="10"/>
  <c r="S347" i="10"/>
  <c r="AB214" i="10"/>
  <c r="V214" i="10"/>
  <c r="S214" i="10"/>
  <c r="AB360" i="10"/>
  <c r="V360" i="10"/>
  <c r="S360" i="10"/>
  <c r="AE472" i="10"/>
  <c r="AB232" i="10"/>
  <c r="V232" i="10"/>
  <c r="S232" i="10"/>
  <c r="AB405" i="10"/>
  <c r="V405" i="10"/>
  <c r="S405" i="10"/>
  <c r="AB237" i="10"/>
  <c r="V237" i="10"/>
  <c r="S237" i="10"/>
  <c r="AB334" i="10"/>
  <c r="V334" i="10"/>
  <c r="S334" i="10"/>
  <c r="AB201" i="10"/>
  <c r="V201" i="10"/>
  <c r="S201" i="10"/>
  <c r="AB348" i="10"/>
  <c r="S348" i="10"/>
  <c r="V348" i="10"/>
  <c r="AE57" i="10"/>
  <c r="AB328" i="10"/>
  <c r="V328" i="10"/>
  <c r="S328" i="10"/>
  <c r="AB364" i="10"/>
  <c r="V364" i="10"/>
  <c r="S364" i="10"/>
  <c r="AB247" i="10"/>
  <c r="V247" i="10"/>
  <c r="S247" i="10"/>
  <c r="AB53" i="10"/>
  <c r="V53" i="10"/>
  <c r="S53" i="10"/>
  <c r="AB474" i="10"/>
  <c r="V474" i="10"/>
  <c r="S474" i="10"/>
  <c r="AB496" i="10"/>
  <c r="V496" i="10"/>
  <c r="S496" i="10"/>
  <c r="AB212" i="10"/>
  <c r="V212" i="10"/>
  <c r="S212" i="10"/>
  <c r="AE288" i="10"/>
  <c r="AE152" i="10"/>
  <c r="AE246" i="10"/>
  <c r="AB129" i="10"/>
  <c r="V129" i="10"/>
  <c r="S129" i="10"/>
  <c r="AB480" i="10"/>
  <c r="V480" i="10"/>
  <c r="S480" i="10"/>
  <c r="AB179" i="10"/>
  <c r="S179" i="10"/>
  <c r="V179" i="10"/>
  <c r="AB41" i="10"/>
  <c r="V41" i="10"/>
  <c r="S41" i="10"/>
  <c r="AB224" i="10"/>
  <c r="S224" i="10"/>
  <c r="V224" i="10"/>
  <c r="AB407" i="10"/>
  <c r="V407" i="10"/>
  <c r="S407" i="10"/>
  <c r="AB502" i="10"/>
  <c r="V502" i="10"/>
  <c r="S502" i="10"/>
  <c r="AB540" i="10"/>
  <c r="V540" i="10"/>
  <c r="S540" i="10"/>
  <c r="AB22" i="10"/>
  <c r="V22" i="10"/>
  <c r="S22" i="10"/>
  <c r="AB390" i="10"/>
  <c r="V390" i="10"/>
  <c r="S390" i="10"/>
  <c r="AB327" i="10"/>
  <c r="V327" i="10"/>
  <c r="S327" i="10"/>
  <c r="AB13" i="10"/>
  <c r="V13" i="10"/>
  <c r="S13" i="10"/>
  <c r="AB195" i="10"/>
  <c r="S195" i="10"/>
  <c r="V195" i="10"/>
  <c r="AB429" i="10"/>
  <c r="S429" i="10"/>
  <c r="V429" i="10"/>
  <c r="AB115" i="10"/>
  <c r="V115" i="10"/>
  <c r="S115" i="10"/>
  <c r="AB297" i="10"/>
  <c r="V297" i="10"/>
  <c r="S297" i="10"/>
  <c r="AB469" i="10"/>
  <c r="V469" i="10"/>
  <c r="S469" i="10"/>
  <c r="AB159" i="10"/>
  <c r="V159" i="10"/>
  <c r="S159" i="10"/>
  <c r="S315" i="10"/>
  <c r="V315" i="10"/>
  <c r="AB315" i="10"/>
  <c r="AB539" i="10"/>
  <c r="S539" i="10"/>
  <c r="V539" i="10"/>
  <c r="AB235" i="10"/>
  <c r="V235" i="10"/>
  <c r="S235" i="10"/>
  <c r="AB511" i="10"/>
  <c r="V511" i="10"/>
  <c r="S511" i="10"/>
  <c r="AB362" i="10"/>
  <c r="S362" i="10"/>
  <c r="V362" i="10"/>
  <c r="AB205" i="10"/>
  <c r="V205" i="10"/>
  <c r="S205" i="10"/>
  <c r="AB47" i="10"/>
  <c r="V47" i="10"/>
  <c r="S47" i="10"/>
  <c r="AB450" i="10"/>
  <c r="V450" i="10"/>
  <c r="S450" i="10"/>
  <c r="AB295" i="10"/>
  <c r="V295" i="10"/>
  <c r="S295" i="10"/>
  <c r="AB138" i="10"/>
  <c r="V138" i="10"/>
  <c r="S138" i="10"/>
  <c r="AB533" i="10"/>
  <c r="S533" i="10"/>
  <c r="V533" i="10"/>
  <c r="AB386" i="10"/>
  <c r="S386" i="10"/>
  <c r="V386" i="10"/>
  <c r="AB229" i="10"/>
  <c r="V229" i="10"/>
  <c r="S229" i="10"/>
  <c r="AB71" i="10"/>
  <c r="S71" i="10"/>
  <c r="V71" i="10"/>
  <c r="AB472" i="10"/>
  <c r="V472" i="10"/>
  <c r="S472" i="10"/>
  <c r="AB319" i="10"/>
  <c r="V319" i="10"/>
  <c r="S319" i="10"/>
  <c r="AB162" i="10"/>
  <c r="V162" i="10"/>
  <c r="S162" i="10"/>
  <c r="AB5" i="10"/>
  <c r="V5" i="10"/>
  <c r="S5" i="10"/>
  <c r="AB410" i="10"/>
  <c r="S410" i="10"/>
  <c r="V410" i="10"/>
  <c r="AB253" i="10"/>
  <c r="S253" i="10"/>
  <c r="V253" i="10"/>
  <c r="AB95" i="10"/>
  <c r="S95" i="10"/>
  <c r="V95" i="10"/>
  <c r="AB494" i="10"/>
  <c r="V494" i="10"/>
  <c r="S494" i="10"/>
  <c r="AB343" i="10"/>
  <c r="V343" i="10"/>
  <c r="S343" i="10"/>
  <c r="AB186" i="10"/>
  <c r="V186" i="10"/>
  <c r="S186" i="10"/>
  <c r="V29" i="10"/>
  <c r="AB29" i="10"/>
  <c r="S29" i="10"/>
  <c r="V312" i="10"/>
  <c r="S312" i="10"/>
  <c r="AB312" i="10"/>
  <c r="AB168" i="10"/>
  <c r="V168" i="10"/>
  <c r="S168" i="10"/>
  <c r="AB24" i="10"/>
  <c r="V24" i="10"/>
  <c r="S24" i="10"/>
  <c r="AE435" i="10"/>
  <c r="AE418" i="10"/>
  <c r="AE228" i="10"/>
  <c r="AE408" i="10"/>
  <c r="AE514" i="10"/>
  <c r="AE385" i="10"/>
  <c r="AE433" i="10"/>
  <c r="AE528" i="10"/>
  <c r="AE279" i="10"/>
  <c r="AE22" i="10"/>
  <c r="AE348" i="10"/>
  <c r="AE383" i="10"/>
  <c r="AE134" i="10"/>
  <c r="AE543" i="10"/>
  <c r="AE299" i="10"/>
  <c r="AE46" i="10"/>
  <c r="AE409" i="10"/>
  <c r="AE132" i="10"/>
  <c r="AE250" i="10"/>
  <c r="AE480" i="10"/>
  <c r="AE231" i="10"/>
  <c r="AE59" i="10"/>
  <c r="AE453" i="10"/>
  <c r="AE309" i="10"/>
  <c r="AE165" i="10"/>
  <c r="AE21" i="10"/>
  <c r="AE416" i="10"/>
  <c r="AE272" i="10"/>
  <c r="AE128" i="10"/>
  <c r="AE535" i="10"/>
  <c r="AE391" i="10"/>
  <c r="AE103" i="10"/>
  <c r="AE510" i="10"/>
  <c r="AE366" i="10"/>
  <c r="AE222" i="10"/>
  <c r="AE78" i="10"/>
  <c r="AE485" i="10"/>
  <c r="AE341" i="10"/>
  <c r="AE197" i="10"/>
  <c r="AE53" i="10"/>
  <c r="AB416" i="10"/>
  <c r="S416" i="10"/>
  <c r="V416" i="10"/>
  <c r="AB15" i="10"/>
  <c r="V15" i="10"/>
  <c r="S15" i="10"/>
  <c r="AB468" i="10"/>
  <c r="S468" i="10"/>
  <c r="V468" i="10"/>
  <c r="AB522" i="10"/>
  <c r="S522" i="10"/>
  <c r="V522" i="10"/>
  <c r="AB398" i="10"/>
  <c r="S398" i="10"/>
  <c r="V398" i="10"/>
  <c r="AB422" i="10"/>
  <c r="V422" i="10"/>
  <c r="S422" i="10"/>
  <c r="AB51" i="10"/>
  <c r="S51" i="10"/>
  <c r="V51" i="10"/>
  <c r="AB326" i="10"/>
  <c r="V326" i="10"/>
  <c r="S326" i="10"/>
  <c r="AB366" i="10"/>
  <c r="S366" i="10"/>
  <c r="V366" i="10"/>
  <c r="AB46" i="10"/>
  <c r="V46" i="10"/>
  <c r="S46" i="10"/>
  <c r="AB70" i="10"/>
  <c r="S70" i="10"/>
  <c r="V70" i="10"/>
  <c r="AB251" i="10"/>
  <c r="V251" i="10"/>
  <c r="S251" i="10"/>
  <c r="AE28" i="10"/>
  <c r="V440" i="10"/>
  <c r="AB440" i="10"/>
  <c r="S440" i="10"/>
  <c r="AB481" i="10"/>
  <c r="V481" i="10"/>
  <c r="S481" i="10"/>
  <c r="AB431" i="10"/>
  <c r="V431" i="10"/>
  <c r="S431" i="10"/>
  <c r="AB263" i="10"/>
  <c r="V263" i="10"/>
  <c r="S263" i="10"/>
  <c r="AB100" i="10"/>
  <c r="V100" i="10"/>
  <c r="S100" i="10"/>
  <c r="AB124" i="10"/>
  <c r="V124" i="10"/>
  <c r="S124" i="10"/>
  <c r="AB305" i="10"/>
  <c r="V305" i="10"/>
  <c r="S305" i="10"/>
  <c r="AB238" i="10"/>
  <c r="V238" i="10"/>
  <c r="S238" i="10"/>
  <c r="AE466" i="10"/>
  <c r="AE459" i="10"/>
  <c r="AE64" i="10"/>
  <c r="AB529" i="10"/>
  <c r="V529" i="10"/>
  <c r="S529" i="10"/>
  <c r="AB91" i="10"/>
  <c r="V91" i="10"/>
  <c r="S91" i="10"/>
  <c r="AB393" i="10"/>
  <c r="V393" i="10"/>
  <c r="S393" i="10"/>
  <c r="AB87" i="10"/>
  <c r="S87" i="10"/>
  <c r="V87" i="10"/>
  <c r="AB268" i="10"/>
  <c r="V268" i="10"/>
  <c r="S268" i="10"/>
  <c r="AB135" i="10"/>
  <c r="S135" i="10"/>
  <c r="V135" i="10"/>
  <c r="AB171" i="10"/>
  <c r="S171" i="10"/>
  <c r="V171" i="10"/>
  <c r="AB379" i="10"/>
  <c r="S379" i="10"/>
  <c r="V379" i="10"/>
  <c r="AB211" i="10"/>
  <c r="V211" i="10"/>
  <c r="S211" i="10"/>
  <c r="AB74" i="10"/>
  <c r="S74" i="10"/>
  <c r="V74" i="10"/>
  <c r="AB255" i="10"/>
  <c r="S255" i="10"/>
  <c r="V255" i="10"/>
  <c r="AB279" i="10"/>
  <c r="V279" i="10"/>
  <c r="S279" i="10"/>
  <c r="AB192" i="10"/>
  <c r="S192" i="10"/>
  <c r="V192" i="10"/>
  <c r="AE184" i="10"/>
  <c r="AE534" i="10"/>
  <c r="AB75" i="10"/>
  <c r="S75" i="10"/>
  <c r="V75" i="10"/>
  <c r="AB363" i="10"/>
  <c r="S363" i="10"/>
  <c r="V363" i="10"/>
  <c r="AB50" i="10"/>
  <c r="S50" i="10"/>
  <c r="V50" i="10"/>
  <c r="AB258" i="10"/>
  <c r="S258" i="10"/>
  <c r="V258" i="10"/>
  <c r="AB155" i="10"/>
  <c r="S155" i="10"/>
  <c r="V155" i="10"/>
  <c r="AB339" i="10"/>
  <c r="S339" i="10"/>
  <c r="V339" i="10"/>
  <c r="AB464" i="10"/>
  <c r="V464" i="10"/>
  <c r="S464" i="10"/>
  <c r="AB234" i="10"/>
  <c r="V234" i="10"/>
  <c r="S234" i="10"/>
  <c r="AB490" i="10"/>
  <c r="V490" i="10"/>
  <c r="S490" i="10"/>
  <c r="AB329" i="10"/>
  <c r="V329" i="10"/>
  <c r="S329" i="10"/>
  <c r="AB301" i="10"/>
  <c r="V301" i="10"/>
  <c r="S301" i="10"/>
  <c r="AB478" i="10"/>
  <c r="V478" i="10"/>
  <c r="S478" i="10"/>
  <c r="AB169" i="10"/>
  <c r="V169" i="10"/>
  <c r="S169" i="10"/>
  <c r="AB403" i="10"/>
  <c r="S403" i="10"/>
  <c r="V403" i="10"/>
  <c r="V89" i="10"/>
  <c r="AB89" i="10"/>
  <c r="S89" i="10"/>
  <c r="AB271" i="10"/>
  <c r="V271" i="10"/>
  <c r="S271" i="10"/>
  <c r="S445" i="10"/>
  <c r="AB445" i="10"/>
  <c r="V445" i="10"/>
  <c r="AB133" i="10"/>
  <c r="V133" i="10"/>
  <c r="S133" i="10"/>
  <c r="AB289" i="10"/>
  <c r="S289" i="10"/>
  <c r="V289" i="10"/>
  <c r="AB515" i="10"/>
  <c r="V515" i="10"/>
  <c r="S515" i="10"/>
  <c r="AB209" i="10"/>
  <c r="V209" i="10"/>
  <c r="S209" i="10"/>
  <c r="AB499" i="10"/>
  <c r="S499" i="10"/>
  <c r="V499" i="10"/>
  <c r="AB349" i="10"/>
  <c r="S349" i="10"/>
  <c r="V349" i="10"/>
  <c r="AB191" i="10"/>
  <c r="S191" i="10"/>
  <c r="V191" i="10"/>
  <c r="AB34" i="10"/>
  <c r="S34" i="10"/>
  <c r="V34" i="10"/>
  <c r="AB438" i="10"/>
  <c r="V438" i="10"/>
  <c r="S438" i="10"/>
  <c r="AB282" i="10"/>
  <c r="V282" i="10"/>
  <c r="S282" i="10"/>
  <c r="V125" i="10"/>
  <c r="S125" i="10"/>
  <c r="AB125" i="10"/>
  <c r="AB521" i="10"/>
  <c r="S521" i="10"/>
  <c r="V521" i="10"/>
  <c r="AB373" i="10"/>
  <c r="V373" i="10"/>
  <c r="S373" i="10"/>
  <c r="AB215" i="10"/>
  <c r="V215" i="10"/>
  <c r="S215" i="10"/>
  <c r="AB58" i="10"/>
  <c r="V58" i="10"/>
  <c r="S58" i="10"/>
  <c r="AB460" i="10"/>
  <c r="V460" i="10"/>
  <c r="S460" i="10"/>
  <c r="AB306" i="10"/>
  <c r="S306" i="10"/>
  <c r="V306" i="10"/>
  <c r="AB149" i="10"/>
  <c r="V149" i="10"/>
  <c r="S149" i="10"/>
  <c r="AB543" i="10"/>
  <c r="V543" i="10"/>
  <c r="S543" i="10"/>
  <c r="AB397" i="10"/>
  <c r="V397" i="10"/>
  <c r="S397" i="10"/>
  <c r="AB239" i="10"/>
  <c r="V239" i="10"/>
  <c r="S239" i="10"/>
  <c r="AB82" i="10"/>
  <c r="V82" i="10"/>
  <c r="S82" i="10"/>
  <c r="AB482" i="10"/>
  <c r="S482" i="10"/>
  <c r="V482" i="10"/>
  <c r="AB330" i="10"/>
  <c r="V330" i="10"/>
  <c r="S330" i="10"/>
  <c r="AB173" i="10"/>
  <c r="V173" i="10"/>
  <c r="S173" i="10"/>
  <c r="AB16" i="10"/>
  <c r="V16" i="10"/>
  <c r="S16" i="10"/>
  <c r="AB300" i="10"/>
  <c r="V300" i="10"/>
  <c r="S300" i="10"/>
  <c r="AB156" i="10"/>
  <c r="S156" i="10"/>
  <c r="V156" i="10"/>
  <c r="AB12" i="10"/>
  <c r="S12" i="10"/>
  <c r="V12" i="10"/>
  <c r="AE374" i="10"/>
  <c r="AE61" i="10"/>
  <c r="AE387" i="10"/>
  <c r="AE119" i="10"/>
  <c r="AE289" i="10"/>
  <c r="AE262" i="10"/>
  <c r="AE412" i="10"/>
  <c r="AE226" i="10"/>
  <c r="AE361" i="10"/>
  <c r="AE526" i="10"/>
  <c r="AE277" i="10"/>
  <c r="AE14" i="10"/>
  <c r="AE265" i="10"/>
  <c r="AE359" i="10"/>
  <c r="AE84" i="10"/>
  <c r="AE458" i="10"/>
  <c r="AE214" i="10"/>
  <c r="AE35" i="10"/>
  <c r="AE441" i="10"/>
  <c r="AE297" i="10"/>
  <c r="AE153" i="10"/>
  <c r="AE116" i="10"/>
  <c r="AE523" i="10"/>
  <c r="AE379" i="10"/>
  <c r="AE235" i="10"/>
  <c r="AE91" i="10"/>
  <c r="AE210" i="10"/>
  <c r="AE66" i="10"/>
  <c r="AE473" i="10"/>
  <c r="AB536" i="10"/>
  <c r="S536" i="10"/>
  <c r="V536" i="10"/>
  <c r="AB170" i="10"/>
  <c r="S170" i="10"/>
  <c r="V170" i="10"/>
  <c r="AB316" i="10"/>
  <c r="V316" i="10"/>
  <c r="S316" i="10"/>
  <c r="AB126" i="10"/>
  <c r="V126" i="10"/>
  <c r="S126" i="10"/>
  <c r="AB307" i="10"/>
  <c r="V307" i="10"/>
  <c r="S307" i="10"/>
  <c r="AB483" i="10"/>
  <c r="S483" i="10"/>
  <c r="V483" i="10"/>
  <c r="AB355" i="10"/>
  <c r="V355" i="10"/>
  <c r="S355" i="10"/>
  <c r="AB337" i="10"/>
  <c r="V337" i="10"/>
  <c r="S337" i="10"/>
  <c r="AB428" i="10"/>
  <c r="V428" i="10"/>
  <c r="S428" i="10"/>
  <c r="AB427" i="10"/>
  <c r="V427" i="10"/>
  <c r="S427" i="10"/>
  <c r="AB203" i="10"/>
  <c r="V203" i="10"/>
  <c r="S203" i="10"/>
  <c r="AB385" i="10"/>
  <c r="V385" i="10"/>
  <c r="S385" i="10"/>
  <c r="AB4" i="10"/>
  <c r="V4" i="10"/>
  <c r="S4" i="10"/>
  <c r="AB275" i="10"/>
  <c r="V275" i="10"/>
  <c r="S275" i="10"/>
  <c r="AB402" i="10"/>
  <c r="S402" i="10"/>
  <c r="V402" i="10"/>
  <c r="AB414" i="10"/>
  <c r="V414" i="10"/>
  <c r="S414" i="10"/>
  <c r="AB437" i="10"/>
  <c r="V437" i="10"/>
  <c r="S437" i="10"/>
  <c r="AB459" i="10"/>
  <c r="S459" i="10"/>
  <c r="V459" i="10"/>
  <c r="AB81" i="10"/>
  <c r="V81" i="10"/>
  <c r="S81" i="10"/>
  <c r="AE270" i="10"/>
  <c r="AE16" i="10"/>
  <c r="AB442" i="10"/>
  <c r="S442" i="10"/>
  <c r="V442" i="10"/>
  <c r="V313" i="10"/>
  <c r="AB313" i="10"/>
  <c r="S313" i="10"/>
  <c r="AB376" i="10"/>
  <c r="V376" i="10"/>
  <c r="S376" i="10"/>
  <c r="AB547" i="10"/>
  <c r="V547" i="10"/>
  <c r="S547" i="10"/>
  <c r="AB177" i="10"/>
  <c r="S177" i="10"/>
  <c r="V177" i="10"/>
  <c r="AB508" i="10"/>
  <c r="V508" i="10"/>
  <c r="S508" i="10"/>
  <c r="AB292" i="10"/>
  <c r="V292" i="10"/>
  <c r="S292" i="10"/>
  <c r="AB225" i="10"/>
  <c r="S225" i="10"/>
  <c r="V225" i="10"/>
  <c r="AE160" i="10"/>
  <c r="AE308" i="10"/>
  <c r="AE402" i="10"/>
  <c r="AB354" i="10"/>
  <c r="S354" i="10"/>
  <c r="V354" i="10"/>
  <c r="AB477" i="10"/>
  <c r="V477" i="10"/>
  <c r="S477" i="10"/>
  <c r="AB535" i="10"/>
  <c r="S535" i="10"/>
  <c r="V535" i="10"/>
  <c r="AB7" i="10"/>
  <c r="V7" i="10"/>
  <c r="S7" i="10"/>
  <c r="AB31" i="10"/>
  <c r="V31" i="10"/>
  <c r="S31" i="10"/>
  <c r="AB55" i="10"/>
  <c r="V55" i="10"/>
  <c r="S55" i="10"/>
  <c r="AE171" i="10"/>
  <c r="AE8" i="10"/>
  <c r="AB492" i="10"/>
  <c r="V492" i="10"/>
  <c r="S492" i="10"/>
  <c r="AB302" i="10"/>
  <c r="S302" i="10"/>
  <c r="V302" i="10"/>
  <c r="AB417" i="10"/>
  <c r="S417" i="10"/>
  <c r="V417" i="10"/>
  <c r="AB250" i="10"/>
  <c r="V250" i="10"/>
  <c r="S250" i="10"/>
  <c r="AB101" i="10"/>
  <c r="V101" i="10"/>
  <c r="S101" i="10"/>
  <c r="AB284" i="10"/>
  <c r="V284" i="10"/>
  <c r="S284" i="10"/>
  <c r="AB406" i="10"/>
  <c r="V406" i="10"/>
  <c r="S406" i="10"/>
  <c r="AB118" i="10"/>
  <c r="V118" i="10"/>
  <c r="S118" i="10"/>
  <c r="AB197" i="10"/>
  <c r="V197" i="10"/>
  <c r="S197" i="10"/>
  <c r="AB260" i="10"/>
  <c r="S260" i="10"/>
  <c r="V260" i="10"/>
  <c r="AB274" i="10"/>
  <c r="V274" i="10"/>
  <c r="S274" i="10"/>
  <c r="AB454" i="10"/>
  <c r="V454" i="10"/>
  <c r="S454" i="10"/>
  <c r="AB142" i="10"/>
  <c r="V142" i="10"/>
  <c r="S142" i="10"/>
  <c r="AB377" i="10"/>
  <c r="S377" i="10"/>
  <c r="V377" i="10"/>
  <c r="AB63" i="10"/>
  <c r="S63" i="10"/>
  <c r="V63" i="10"/>
  <c r="AB245" i="10"/>
  <c r="V245" i="10"/>
  <c r="S245" i="10"/>
  <c r="AB421" i="10"/>
  <c r="V421" i="10"/>
  <c r="S421" i="10"/>
  <c r="AB106" i="10"/>
  <c r="V106" i="10"/>
  <c r="S106" i="10"/>
  <c r="AB262" i="10"/>
  <c r="V262" i="10"/>
  <c r="S262" i="10"/>
  <c r="AB491" i="10"/>
  <c r="V491" i="10"/>
  <c r="S491" i="10"/>
  <c r="S183" i="10"/>
  <c r="V183" i="10"/>
  <c r="AB183" i="10"/>
  <c r="AB487" i="10"/>
  <c r="V487" i="10"/>
  <c r="S487" i="10"/>
  <c r="AB335" i="10"/>
  <c r="V335" i="10"/>
  <c r="S335" i="10"/>
  <c r="AB178" i="10"/>
  <c r="S178" i="10"/>
  <c r="V178" i="10"/>
  <c r="AB21" i="10"/>
  <c r="V21" i="10"/>
  <c r="S21" i="10"/>
  <c r="AB426" i="10"/>
  <c r="V426" i="10"/>
  <c r="S426" i="10"/>
  <c r="AB269" i="10"/>
  <c r="V269" i="10"/>
  <c r="S269" i="10"/>
  <c r="AB112" i="10"/>
  <c r="V112" i="10"/>
  <c r="S112" i="10"/>
  <c r="S509" i="10"/>
  <c r="AB509" i="10"/>
  <c r="V509" i="10"/>
  <c r="AB359" i="10"/>
  <c r="V359" i="10"/>
  <c r="S359" i="10"/>
  <c r="AB202" i="10"/>
  <c r="V202" i="10"/>
  <c r="S202" i="10"/>
  <c r="AB45" i="10"/>
  <c r="V45" i="10"/>
  <c r="S45" i="10"/>
  <c r="AB448" i="10"/>
  <c r="V448" i="10"/>
  <c r="S448" i="10"/>
  <c r="AB293" i="10"/>
  <c r="V293" i="10"/>
  <c r="S293" i="10"/>
  <c r="AB136" i="10"/>
  <c r="V136" i="10"/>
  <c r="S136" i="10"/>
  <c r="AB531" i="10"/>
  <c r="V531" i="10"/>
  <c r="S531" i="10"/>
  <c r="AB383" i="10"/>
  <c r="V383" i="10"/>
  <c r="S383" i="10"/>
  <c r="AB226" i="10"/>
  <c r="S226" i="10"/>
  <c r="V226" i="10"/>
  <c r="AB69" i="10"/>
  <c r="V69" i="10"/>
  <c r="S69" i="10"/>
  <c r="AB470" i="10"/>
  <c r="V470" i="10"/>
  <c r="S470" i="10"/>
  <c r="V317" i="10"/>
  <c r="S317" i="10"/>
  <c r="AB317" i="10"/>
  <c r="AB160" i="10"/>
  <c r="V160" i="10"/>
  <c r="S160" i="10"/>
  <c r="AB3" i="10"/>
  <c r="V3" i="10"/>
  <c r="S3" i="10"/>
  <c r="AB288" i="10"/>
  <c r="S288" i="10"/>
  <c r="V288" i="10"/>
  <c r="AB144" i="10"/>
  <c r="V144" i="10"/>
  <c r="S144" i="10"/>
  <c r="AE335" i="10"/>
  <c r="AE130" i="10"/>
  <c r="AE515" i="10"/>
  <c r="AE326" i="10"/>
  <c r="AE346" i="10"/>
  <c r="AE240" i="10"/>
  <c r="AE62" i="10"/>
  <c r="AE121" i="10"/>
  <c r="AE95" i="10"/>
  <c r="AE454" i="10"/>
  <c r="AE504" i="10"/>
  <c r="AE517" i="10"/>
  <c r="AE337" i="10"/>
  <c r="AE88" i="10"/>
  <c r="AE436" i="10"/>
  <c r="AE192" i="10"/>
  <c r="AE429" i="10"/>
  <c r="AE285" i="10"/>
  <c r="AE141" i="10"/>
  <c r="AE392" i="10"/>
  <c r="AE248" i="10"/>
  <c r="AE104" i="10"/>
  <c r="AE511" i="10"/>
  <c r="AE367" i="10"/>
  <c r="AE223" i="10"/>
  <c r="AE342" i="10"/>
  <c r="AE198" i="10"/>
  <c r="AE54" i="10"/>
  <c r="AE461" i="10"/>
  <c r="AE317" i="10"/>
  <c r="AE173" i="10"/>
  <c r="AE29" i="10"/>
  <c r="AB524" i="10"/>
  <c r="S524" i="10"/>
  <c r="V524" i="10"/>
  <c r="AB391" i="10"/>
  <c r="V391" i="10"/>
  <c r="S391" i="10"/>
  <c r="AB452" i="10"/>
  <c r="V452" i="10"/>
  <c r="S452" i="10"/>
  <c r="AB439" i="10"/>
  <c r="V439" i="10"/>
  <c r="S439" i="10"/>
  <c r="AB461" i="10"/>
  <c r="S461" i="10"/>
  <c r="V461" i="10"/>
  <c r="AB174" i="10"/>
  <c r="V174" i="10"/>
  <c r="S174" i="10"/>
  <c r="AB240" i="10"/>
  <c r="V240" i="10"/>
  <c r="S240" i="10"/>
  <c r="AB181" i="10"/>
  <c r="V181" i="10"/>
  <c r="S181" i="10"/>
  <c r="AB114" i="10"/>
  <c r="V114" i="10"/>
  <c r="S114" i="10"/>
  <c r="AB270" i="10"/>
  <c r="S270" i="10"/>
  <c r="V270" i="10"/>
  <c r="AB294" i="10"/>
  <c r="V294" i="10"/>
  <c r="S294" i="10"/>
  <c r="AB318" i="10"/>
  <c r="S318" i="10"/>
  <c r="V318" i="10"/>
  <c r="AB372" i="10"/>
  <c r="V372" i="10"/>
  <c r="S372" i="10"/>
  <c r="AB286" i="10"/>
  <c r="S286" i="10"/>
  <c r="V286" i="10"/>
  <c r="AB525" i="10"/>
  <c r="S525" i="10"/>
  <c r="V525" i="10"/>
  <c r="AB340" i="10"/>
  <c r="V340" i="10"/>
  <c r="S340" i="10"/>
  <c r="S190" i="10"/>
  <c r="AB190" i="10"/>
  <c r="V190" i="10"/>
  <c r="AB57" i="10"/>
  <c r="V57" i="10"/>
  <c r="S57" i="10"/>
  <c r="AB216" i="10"/>
  <c r="V216" i="10"/>
  <c r="S216" i="10"/>
  <c r="AE396" i="10"/>
  <c r="AE69" i="10"/>
  <c r="AB66" i="10"/>
  <c r="V66" i="10"/>
  <c r="S66" i="10"/>
  <c r="AB526" i="10"/>
  <c r="V526" i="10"/>
  <c r="S526" i="10"/>
  <c r="AB194" i="10"/>
  <c r="S194" i="10"/>
  <c r="V194" i="10"/>
  <c r="AB244" i="10"/>
  <c r="V244" i="10"/>
  <c r="S244" i="10"/>
  <c r="AB358" i="10"/>
  <c r="V358" i="10"/>
  <c r="S358" i="10"/>
  <c r="AB68" i="10"/>
  <c r="V68" i="10"/>
  <c r="S68" i="10"/>
  <c r="AE446" i="10"/>
  <c r="AB503" i="10"/>
  <c r="V503" i="10"/>
  <c r="S503" i="10"/>
  <c r="AB65" i="10"/>
  <c r="V65" i="10"/>
  <c r="S65" i="10"/>
  <c r="AB367" i="10"/>
  <c r="S367" i="10"/>
  <c r="V367" i="10"/>
  <c r="AB321" i="10"/>
  <c r="S321" i="10"/>
  <c r="V321" i="10"/>
  <c r="AB345" i="10"/>
  <c r="V345" i="10"/>
  <c r="S345" i="10"/>
  <c r="AB369" i="10"/>
  <c r="V369" i="10"/>
  <c r="S369" i="10"/>
  <c r="AE203" i="10"/>
  <c r="AE275" i="10"/>
  <c r="AE390" i="10"/>
  <c r="AB198" i="10"/>
  <c r="V198" i="10"/>
  <c r="S198" i="10"/>
  <c r="AB233" i="10"/>
  <c r="V233" i="10"/>
  <c r="S233" i="10"/>
  <c r="AB537" i="10"/>
  <c r="S537" i="10"/>
  <c r="V537" i="10"/>
  <c r="AB541" i="10"/>
  <c r="V541" i="10"/>
  <c r="S541" i="10"/>
  <c r="AB40" i="10"/>
  <c r="V40" i="10"/>
  <c r="S40" i="10"/>
  <c r="AB223" i="10"/>
  <c r="V223" i="10"/>
  <c r="S223" i="10"/>
  <c r="AB338" i="10"/>
  <c r="S338" i="10"/>
  <c r="V338" i="10"/>
  <c r="AB527" i="10"/>
  <c r="V527" i="10"/>
  <c r="S527" i="10"/>
  <c r="AB67" i="10"/>
  <c r="V67" i="10"/>
  <c r="S67" i="10"/>
  <c r="AB206" i="10"/>
  <c r="S206" i="10"/>
  <c r="V206" i="10"/>
  <c r="AB248" i="10"/>
  <c r="V248" i="10"/>
  <c r="S248" i="10"/>
  <c r="AB430" i="10"/>
  <c r="V430" i="10"/>
  <c r="S430" i="10"/>
  <c r="AB116" i="10"/>
  <c r="V116" i="10"/>
  <c r="S116" i="10"/>
  <c r="AB351" i="10"/>
  <c r="S351" i="10"/>
  <c r="V351" i="10"/>
  <c r="AB37" i="10"/>
  <c r="V37" i="10"/>
  <c r="S37" i="10"/>
  <c r="AB219" i="10"/>
  <c r="S219" i="10"/>
  <c r="V219" i="10"/>
  <c r="AB394" i="10"/>
  <c r="V394" i="10"/>
  <c r="S394" i="10"/>
  <c r="AB80" i="10"/>
  <c r="V80" i="10"/>
  <c r="S80" i="10"/>
  <c r="AB236" i="10"/>
  <c r="V236" i="10"/>
  <c r="S236" i="10"/>
  <c r="AB467" i="10"/>
  <c r="S467" i="10"/>
  <c r="V467" i="10"/>
  <c r="AB157" i="10"/>
  <c r="S157" i="10"/>
  <c r="V157" i="10"/>
  <c r="AB475" i="10"/>
  <c r="V475" i="10"/>
  <c r="S475" i="10"/>
  <c r="AB322" i="10"/>
  <c r="S322" i="10"/>
  <c r="V322" i="10"/>
  <c r="AB165" i="10"/>
  <c r="V165" i="10"/>
  <c r="S165" i="10"/>
  <c r="AB8" i="10"/>
  <c r="V8" i="10"/>
  <c r="S8" i="10"/>
  <c r="AB413" i="10"/>
  <c r="V413" i="10"/>
  <c r="S413" i="10"/>
  <c r="AB256" i="10"/>
  <c r="V256" i="10"/>
  <c r="S256" i="10"/>
  <c r="AB99" i="10"/>
  <c r="V99" i="10"/>
  <c r="S99" i="10"/>
  <c r="AB497" i="10"/>
  <c r="S497" i="10"/>
  <c r="V497" i="10"/>
  <c r="AB346" i="10"/>
  <c r="V346" i="10"/>
  <c r="S346" i="10"/>
  <c r="V189" i="10"/>
  <c r="S189" i="10"/>
  <c r="AB189" i="10"/>
  <c r="AB32" i="10"/>
  <c r="V32" i="10"/>
  <c r="S32" i="10"/>
  <c r="AB436" i="10"/>
  <c r="V436" i="10"/>
  <c r="S436" i="10"/>
  <c r="AB280" i="10"/>
  <c r="V280" i="10"/>
  <c r="S280" i="10"/>
  <c r="S123" i="10"/>
  <c r="V123" i="10"/>
  <c r="AB123" i="10"/>
  <c r="AB519" i="10"/>
  <c r="V519" i="10"/>
  <c r="S519" i="10"/>
  <c r="AB370" i="10"/>
  <c r="V370" i="10"/>
  <c r="S370" i="10"/>
  <c r="AB213" i="10"/>
  <c r="V213" i="10"/>
  <c r="S213" i="10"/>
  <c r="V56" i="10"/>
  <c r="AB56" i="10"/>
  <c r="S56" i="10"/>
  <c r="AB458" i="10"/>
  <c r="S458" i="10"/>
  <c r="V458" i="10"/>
  <c r="AB304" i="10"/>
  <c r="V304" i="10"/>
  <c r="S304" i="10"/>
  <c r="AB147" i="10"/>
  <c r="S147" i="10"/>
  <c r="V147" i="10"/>
  <c r="AB420" i="10"/>
  <c r="V420" i="10"/>
  <c r="S420" i="10"/>
  <c r="AB276" i="10"/>
  <c r="V276" i="10"/>
  <c r="S276" i="10"/>
  <c r="AB132" i="10"/>
  <c r="V132" i="10"/>
  <c r="S132" i="10"/>
  <c r="AE274" i="10"/>
  <c r="AE86" i="10"/>
  <c r="AE327" i="10"/>
  <c r="AE347" i="10"/>
  <c r="AE204" i="10"/>
  <c r="AE324" i="10"/>
  <c r="AE74" i="10"/>
  <c r="AE493" i="10"/>
  <c r="AE467" i="10"/>
  <c r="AE218" i="10"/>
  <c r="AE538" i="10"/>
  <c r="AE72" i="10"/>
  <c r="AE371" i="10"/>
  <c r="AE482" i="10"/>
  <c r="AE238" i="10"/>
  <c r="AE373" i="10"/>
  <c r="AE159" i="10"/>
  <c r="AE315" i="10"/>
  <c r="AE70" i="10"/>
  <c r="AE266" i="10"/>
  <c r="AE419" i="10"/>
  <c r="AE49" i="10"/>
  <c r="AE417" i="10"/>
  <c r="AE273" i="10"/>
  <c r="AE129" i="10"/>
  <c r="AE524" i="10"/>
  <c r="AE380" i="10"/>
  <c r="AE236" i="10"/>
  <c r="AE92" i="10"/>
  <c r="AE499" i="10"/>
  <c r="AE355" i="10"/>
  <c r="AE211" i="10"/>
  <c r="AE67" i="10"/>
  <c r="AE474" i="10"/>
  <c r="AE330" i="10"/>
  <c r="AE186" i="10"/>
  <c r="AE42" i="10"/>
  <c r="AE449" i="10"/>
  <c r="AE305" i="10"/>
  <c r="AE161" i="10"/>
  <c r="AE17" i="10"/>
  <c r="AB25" i="10"/>
  <c r="V25" i="10"/>
  <c r="S25" i="10"/>
  <c r="AB38" i="10"/>
  <c r="V38" i="10"/>
  <c r="S38" i="10"/>
  <c r="AB392" i="10"/>
  <c r="V392" i="10"/>
  <c r="S392" i="10"/>
  <c r="AB217" i="10"/>
  <c r="V217" i="10"/>
  <c r="S217" i="10"/>
  <c r="AB241" i="10"/>
  <c r="V241" i="10"/>
  <c r="S241" i="10"/>
  <c r="AB265" i="10"/>
  <c r="V265" i="10"/>
  <c r="S265" i="10"/>
  <c r="AB517" i="10"/>
  <c r="V517" i="10"/>
  <c r="S517" i="10"/>
  <c r="AB246" i="10"/>
  <c r="V246" i="10"/>
  <c r="S246" i="10"/>
  <c r="AB52" i="10"/>
  <c r="V52" i="10"/>
  <c r="S52" i="10"/>
  <c r="AB449" i="10"/>
  <c r="V449" i="10"/>
  <c r="S449" i="10"/>
  <c r="AB471" i="10"/>
  <c r="V471" i="10"/>
  <c r="S471" i="10"/>
  <c r="AB94" i="10"/>
  <c r="S94" i="10"/>
  <c r="V94" i="10"/>
  <c r="AE410" i="10"/>
  <c r="S182" i="10"/>
  <c r="V182" i="10"/>
  <c r="AB182" i="10"/>
  <c r="AB303" i="10"/>
  <c r="S303" i="10"/>
  <c r="V303" i="10"/>
  <c r="AB88" i="10"/>
  <c r="V88" i="10"/>
  <c r="S88" i="10"/>
  <c r="AB257" i="10"/>
  <c r="V257" i="10"/>
  <c r="S257" i="10"/>
  <c r="AB33" i="10"/>
  <c r="S33" i="10"/>
  <c r="V33" i="10"/>
  <c r="AB371" i="10"/>
  <c r="V371" i="10"/>
  <c r="S371" i="10"/>
  <c r="AB542" i="10"/>
  <c r="V542" i="10"/>
  <c r="S542" i="10"/>
  <c r="AE314" i="10"/>
  <c r="AB365" i="10"/>
  <c r="S365" i="10"/>
  <c r="V365" i="10"/>
  <c r="AB501" i="10"/>
  <c r="V501" i="10"/>
  <c r="S501" i="10"/>
  <c r="AB79" i="10"/>
  <c r="V79" i="10"/>
  <c r="S79" i="10"/>
  <c r="AB486" i="10"/>
  <c r="S486" i="10"/>
  <c r="V486" i="10"/>
  <c r="AB111" i="10"/>
  <c r="S111" i="10"/>
  <c r="V111" i="10"/>
  <c r="AB530" i="10"/>
  <c r="V530" i="10"/>
  <c r="S530" i="10"/>
  <c r="AE471" i="10"/>
  <c r="AE96" i="10"/>
  <c r="AE114" i="10"/>
  <c r="AB380" i="10"/>
  <c r="S380" i="10"/>
  <c r="V380" i="10"/>
  <c r="AB167" i="10"/>
  <c r="V167" i="10"/>
  <c r="S167" i="10"/>
  <c r="AB287" i="10"/>
  <c r="S287" i="10"/>
  <c r="V287" i="10"/>
  <c r="AB164" i="10"/>
  <c r="V164" i="10"/>
  <c r="S164" i="10"/>
  <c r="V188" i="10"/>
  <c r="S188" i="10"/>
  <c r="AB188" i="10"/>
  <c r="AB518" i="10"/>
  <c r="V518" i="10"/>
  <c r="S518" i="10"/>
  <c r="AE107" i="10"/>
  <c r="AE45" i="10"/>
  <c r="AE127" i="10"/>
  <c r="AB14" i="10"/>
  <c r="S14" i="10"/>
  <c r="V14" i="10"/>
  <c r="AB172" i="10"/>
  <c r="V172" i="10"/>
  <c r="S172" i="10"/>
  <c r="AB505" i="10"/>
  <c r="V505" i="10"/>
  <c r="S505" i="10"/>
  <c r="AB249" i="10"/>
  <c r="V249" i="10"/>
  <c r="S249" i="10"/>
  <c r="AB441" i="10"/>
  <c r="V441" i="10"/>
  <c r="S441" i="10"/>
  <c r="AB154" i="10"/>
  <c r="S154" i="10"/>
  <c r="V154" i="10"/>
  <c r="AB277" i="10"/>
  <c r="V277" i="10"/>
  <c r="S277" i="10"/>
  <c r="AB500" i="10"/>
  <c r="S500" i="10"/>
  <c r="V500" i="10"/>
  <c r="AB516" i="10"/>
  <c r="V516" i="10"/>
  <c r="S516" i="10"/>
  <c r="AB145" i="10"/>
  <c r="V145" i="10"/>
  <c r="S145" i="10"/>
  <c r="AB222" i="10"/>
  <c r="S222" i="10"/>
  <c r="V222" i="10"/>
  <c r="AB404" i="10"/>
  <c r="S404" i="10"/>
  <c r="V404" i="10"/>
  <c r="AB90" i="10"/>
  <c r="V90" i="10"/>
  <c r="S90" i="10"/>
  <c r="AB325" i="10"/>
  <c r="V325" i="10"/>
  <c r="S325" i="10"/>
  <c r="AB10" i="10"/>
  <c r="V10" i="10"/>
  <c r="S10" i="10"/>
  <c r="AB193" i="10"/>
  <c r="S193" i="10"/>
  <c r="V193" i="10"/>
  <c r="AB368" i="10"/>
  <c r="S368" i="10"/>
  <c r="V368" i="10"/>
  <c r="AB54" i="10"/>
  <c r="V54" i="10"/>
  <c r="S54" i="10"/>
  <c r="AB210" i="10"/>
  <c r="S210" i="10"/>
  <c r="V210" i="10"/>
  <c r="S443" i="10"/>
  <c r="AB443" i="10"/>
  <c r="V443" i="10"/>
  <c r="AB130" i="10"/>
  <c r="V130" i="10"/>
  <c r="S130" i="10"/>
  <c r="AB463" i="10"/>
  <c r="V463" i="10"/>
  <c r="S463" i="10"/>
  <c r="AB309" i="10"/>
  <c r="V309" i="10"/>
  <c r="S309" i="10"/>
  <c r="AB152" i="10"/>
  <c r="V152" i="10"/>
  <c r="S152" i="10"/>
  <c r="AB546" i="10"/>
  <c r="S546" i="10"/>
  <c r="V546" i="10"/>
  <c r="AB400" i="10"/>
  <c r="V400" i="10"/>
  <c r="S400" i="10"/>
  <c r="AB243" i="10"/>
  <c r="S243" i="10"/>
  <c r="V243" i="10"/>
  <c r="AB86" i="10"/>
  <c r="S86" i="10"/>
  <c r="V86" i="10"/>
  <c r="AB485" i="10"/>
  <c r="S485" i="10"/>
  <c r="V485" i="10"/>
  <c r="AB333" i="10"/>
  <c r="V333" i="10"/>
  <c r="S333" i="10"/>
  <c r="AB176" i="10"/>
  <c r="S176" i="10"/>
  <c r="V176" i="10"/>
  <c r="AB19" i="10"/>
  <c r="V19" i="10"/>
  <c r="S19" i="10"/>
  <c r="AB424" i="10"/>
  <c r="V424" i="10"/>
  <c r="S424" i="10"/>
  <c r="AB267" i="10"/>
  <c r="S267" i="10"/>
  <c r="V267" i="10"/>
  <c r="AB110" i="10"/>
  <c r="S110" i="10"/>
  <c r="V110" i="10"/>
  <c r="AB507" i="10"/>
  <c r="V507" i="10"/>
  <c r="S507" i="10"/>
  <c r="AB357" i="10"/>
  <c r="V357" i="10"/>
  <c r="S357" i="10"/>
  <c r="AB200" i="10"/>
  <c r="V200" i="10"/>
  <c r="S200" i="10"/>
  <c r="AB43" i="10"/>
  <c r="V43" i="10"/>
  <c r="S43" i="10"/>
  <c r="AB446" i="10"/>
  <c r="S446" i="10"/>
  <c r="V446" i="10"/>
  <c r="AB291" i="10"/>
  <c r="S291" i="10"/>
  <c r="V291" i="10"/>
  <c r="AB134" i="10"/>
  <c r="S134" i="10"/>
  <c r="V134" i="10"/>
  <c r="AB408" i="10"/>
  <c r="V408" i="10"/>
  <c r="S408" i="10"/>
  <c r="AB264" i="10"/>
  <c r="V264" i="10"/>
  <c r="S264" i="10"/>
  <c r="V120" i="10"/>
  <c r="AB120" i="10"/>
  <c r="S120" i="10"/>
  <c r="AE313" i="10"/>
  <c r="AE10" i="10"/>
  <c r="AE312" i="10"/>
  <c r="AE58" i="10"/>
  <c r="AE302" i="10"/>
  <c r="AE50" i="10"/>
  <c r="AE349" i="10"/>
  <c r="AE445" i="10"/>
  <c r="AE196" i="10"/>
  <c r="AE544" i="10"/>
  <c r="AE300" i="10"/>
  <c r="AE47" i="10"/>
  <c r="AE310" i="10"/>
  <c r="AE460" i="10"/>
  <c r="AE216" i="10"/>
  <c r="AE542" i="10"/>
  <c r="AE298" i="10"/>
  <c r="AE144" i="10"/>
  <c r="AE25" i="10"/>
  <c r="AE405" i="10"/>
  <c r="AE261" i="10"/>
  <c r="AE117" i="10"/>
  <c r="AE80" i="10"/>
  <c r="AE487" i="10"/>
  <c r="AE343" i="10"/>
  <c r="AE199" i="10"/>
  <c r="AE55" i="10"/>
  <c r="AE462" i="10"/>
  <c r="AE174" i="10"/>
  <c r="AE30" i="10"/>
  <c r="AE437" i="10"/>
  <c r="AE293" i="10"/>
  <c r="AB433" i="10"/>
  <c r="V433" i="10"/>
  <c r="S433" i="10"/>
  <c r="AB352" i="10"/>
  <c r="V352" i="10"/>
  <c r="S352" i="10"/>
  <c r="AB158" i="10"/>
  <c r="S158" i="10"/>
  <c r="V158" i="10"/>
  <c r="AB374" i="10"/>
  <c r="S374" i="10"/>
  <c r="V374" i="10"/>
  <c r="AB544" i="10"/>
  <c r="V544" i="10"/>
  <c r="S544" i="10"/>
  <c r="AB331" i="10"/>
  <c r="V331" i="10"/>
  <c r="S331" i="10"/>
  <c r="AB384" i="10"/>
  <c r="V384" i="10"/>
  <c r="S384" i="10"/>
  <c r="AB128" i="10"/>
  <c r="V128" i="10"/>
  <c r="S128" i="10"/>
  <c r="AB92" i="10"/>
  <c r="V92" i="10"/>
  <c r="S92" i="10"/>
  <c r="AB11" i="10"/>
  <c r="V11" i="10"/>
  <c r="S11" i="10"/>
  <c r="AB131" i="10"/>
  <c r="V131" i="10"/>
  <c r="S131" i="10"/>
  <c r="AB510" i="10"/>
  <c r="V510" i="10"/>
  <c r="S510" i="10"/>
  <c r="AB532" i="10"/>
  <c r="V532" i="10"/>
  <c r="S532" i="10"/>
  <c r="AB409" i="10"/>
  <c r="V409" i="10"/>
  <c r="S409" i="10"/>
  <c r="AB489" i="10"/>
  <c r="V489" i="10"/>
  <c r="S489" i="10"/>
  <c r="AB117" i="10"/>
  <c r="V117" i="10"/>
  <c r="S117" i="10"/>
  <c r="AB419" i="10"/>
  <c r="S419" i="10"/>
  <c r="V419" i="10"/>
  <c r="AB498" i="10"/>
  <c r="S498" i="10"/>
  <c r="V498" i="10"/>
  <c r="AB520" i="10"/>
  <c r="V520" i="10"/>
  <c r="S520" i="10"/>
  <c r="AB395" i="10"/>
  <c r="V395" i="10"/>
  <c r="S395" i="10"/>
  <c r="AE118" i="10"/>
  <c r="AE414" i="10"/>
  <c r="AB310" i="10"/>
  <c r="V310" i="10"/>
  <c r="S310" i="10"/>
  <c r="AB207" i="10"/>
  <c r="S207" i="10"/>
  <c r="V207" i="10"/>
  <c r="AB62" i="10"/>
  <c r="S62" i="10"/>
  <c r="V62" i="10"/>
  <c r="AB401" i="10"/>
  <c r="S401" i="10"/>
  <c r="V401" i="10"/>
  <c r="AB425" i="10"/>
  <c r="S425" i="10"/>
  <c r="V425" i="10"/>
  <c r="AB447" i="10"/>
  <c r="V447" i="10"/>
  <c r="S447" i="10"/>
  <c r="V382" i="10"/>
  <c r="AB382" i="10"/>
  <c r="S382" i="10"/>
  <c r="V60" i="10"/>
  <c r="S60" i="10"/>
  <c r="AB60" i="10"/>
  <c r="AE360" i="10"/>
  <c r="AE541" i="10"/>
  <c r="AE452" i="10"/>
  <c r="AE546" i="10"/>
  <c r="AE89" i="10"/>
  <c r="AB119" i="10"/>
  <c r="V119" i="10"/>
  <c r="S119" i="10"/>
  <c r="AB146" i="10"/>
  <c r="S146" i="10"/>
  <c r="V146" i="10"/>
  <c r="AB350" i="10"/>
  <c r="S350" i="10"/>
  <c r="V350" i="10"/>
  <c r="AB388" i="10"/>
  <c r="V388" i="10"/>
  <c r="S388" i="10"/>
  <c r="AB412" i="10"/>
  <c r="V412" i="10"/>
  <c r="S412" i="10"/>
  <c r="AB435" i="10"/>
  <c r="V435" i="10"/>
  <c r="S435" i="10"/>
  <c r="AB336" i="10"/>
  <c r="V336" i="10"/>
  <c r="S336" i="10"/>
  <c r="AE420" i="10"/>
  <c r="AB389" i="10"/>
  <c r="S389" i="10"/>
  <c r="V389" i="10"/>
  <c r="AB103" i="10"/>
  <c r="V103" i="10"/>
  <c r="S103" i="10"/>
  <c r="AB479" i="10"/>
  <c r="V479" i="10"/>
  <c r="S479" i="10"/>
  <c r="AB513" i="10"/>
  <c r="V513" i="10"/>
  <c r="S513" i="10"/>
  <c r="V311" i="10"/>
  <c r="AB311" i="10"/>
  <c r="S311" i="10"/>
  <c r="AB93" i="10"/>
  <c r="S93" i="10"/>
  <c r="V93" i="10"/>
  <c r="AB208" i="10"/>
  <c r="V208" i="10"/>
  <c r="S208" i="10"/>
  <c r="AB457" i="10"/>
  <c r="S457" i="10"/>
  <c r="V457" i="10"/>
  <c r="AB127" i="10"/>
  <c r="V127" i="10"/>
  <c r="S127" i="10"/>
  <c r="AB76" i="10"/>
  <c r="V76" i="10"/>
  <c r="S76" i="10"/>
  <c r="AB196" i="10"/>
  <c r="V196" i="10"/>
  <c r="S196" i="10"/>
  <c r="AB378" i="10"/>
  <c r="S378" i="10"/>
  <c r="V378" i="10"/>
  <c r="AB64" i="10"/>
  <c r="V64" i="10"/>
  <c r="S64" i="10"/>
  <c r="AB298" i="10"/>
  <c r="V298" i="10"/>
  <c r="S298" i="10"/>
  <c r="AB476" i="10"/>
  <c r="V476" i="10"/>
  <c r="S476" i="10"/>
  <c r="AB166" i="10"/>
  <c r="V166" i="10"/>
  <c r="S166" i="10"/>
  <c r="AB342" i="10"/>
  <c r="V342" i="10"/>
  <c r="S342" i="10"/>
  <c r="AB28" i="10"/>
  <c r="V28" i="10"/>
  <c r="S28" i="10"/>
  <c r="AB184" i="10"/>
  <c r="V184" i="10"/>
  <c r="S184" i="10"/>
  <c r="AB418" i="10"/>
  <c r="S418" i="10"/>
  <c r="V418" i="10"/>
  <c r="AB104" i="10"/>
  <c r="V104" i="10"/>
  <c r="S104" i="10"/>
  <c r="AB451" i="10"/>
  <c r="V451" i="10"/>
  <c r="S451" i="10"/>
  <c r="AB296" i="10"/>
  <c r="V296" i="10"/>
  <c r="S296" i="10"/>
  <c r="AB139" i="10"/>
  <c r="V139" i="10"/>
  <c r="S139" i="10"/>
  <c r="AB534" i="10"/>
  <c r="V534" i="10"/>
  <c r="S534" i="10"/>
  <c r="AB387" i="10"/>
  <c r="S387" i="10"/>
  <c r="V387" i="10"/>
  <c r="AB230" i="10"/>
  <c r="V230" i="10"/>
  <c r="S230" i="10"/>
  <c r="AB73" i="10"/>
  <c r="V73" i="10"/>
  <c r="S73" i="10"/>
  <c r="AB473" i="10"/>
  <c r="S473" i="10"/>
  <c r="V473" i="10"/>
  <c r="AB320" i="10"/>
  <c r="S320" i="10"/>
  <c r="V320" i="10"/>
  <c r="AB163" i="10"/>
  <c r="V163" i="10"/>
  <c r="S163" i="10"/>
  <c r="AB6" i="10"/>
  <c r="V6" i="10"/>
  <c r="S6" i="10"/>
  <c r="AB411" i="10"/>
  <c r="S411" i="10"/>
  <c r="V411" i="10"/>
  <c r="AB254" i="10"/>
  <c r="S254" i="10"/>
  <c r="V254" i="10"/>
  <c r="AB97" i="10"/>
  <c r="S97" i="10"/>
  <c r="V97" i="10"/>
  <c r="AB495" i="10"/>
  <c r="S495" i="10"/>
  <c r="V495" i="10"/>
  <c r="AB344" i="10"/>
  <c r="V344" i="10"/>
  <c r="S344" i="10"/>
  <c r="AB187" i="10"/>
  <c r="V187" i="10"/>
  <c r="S187" i="10"/>
  <c r="AB30" i="10"/>
  <c r="V30" i="10"/>
  <c r="S30" i="10"/>
  <c r="AB434" i="10"/>
  <c r="S434" i="10"/>
  <c r="V434" i="10"/>
  <c r="AB278" i="10"/>
  <c r="V278" i="10"/>
  <c r="S278" i="10"/>
  <c r="V121" i="10"/>
  <c r="AB121" i="10"/>
  <c r="S121" i="10"/>
  <c r="AB396" i="10"/>
  <c r="V396" i="10"/>
  <c r="S396" i="10"/>
  <c r="AB252" i="10"/>
  <c r="V252" i="10"/>
  <c r="S252" i="10"/>
  <c r="AB108" i="10"/>
  <c r="V108" i="10"/>
  <c r="S108" i="10"/>
  <c r="AE540" i="10"/>
  <c r="AE82" i="10"/>
  <c r="AE303" i="10"/>
  <c r="AE146" i="10"/>
  <c r="AE280" i="10"/>
  <c r="AE183" i="10"/>
  <c r="AE423" i="10"/>
  <c r="AE372" i="10"/>
  <c r="AE527" i="10"/>
  <c r="AE278" i="10"/>
  <c r="AE15" i="10"/>
  <c r="AE227" i="10"/>
  <c r="AE443" i="10"/>
  <c r="AE194" i="10"/>
  <c r="AE520" i="10"/>
  <c r="AE276" i="10"/>
  <c r="AE13" i="10"/>
  <c r="AE470" i="10"/>
  <c r="AE393" i="10"/>
  <c r="AE249" i="10"/>
  <c r="AE105" i="10"/>
  <c r="AE212" i="10"/>
  <c r="AE68" i="10"/>
  <c r="AE475" i="10"/>
  <c r="AE331" i="10"/>
  <c r="AE187" i="10"/>
  <c r="AE43" i="10"/>
  <c r="AE306" i="10"/>
  <c r="AE18" i="10"/>
  <c r="AE425" i="10"/>
  <c r="AE281" i="10"/>
  <c r="AE137" i="10"/>
  <c r="AE52" i="10"/>
  <c r="S2" i="10"/>
  <c r="V2" i="10"/>
  <c r="AB2" i="10"/>
  <c r="Y2" i="10"/>
  <c r="AE2" i="10"/>
  <c r="AI16" i="10" l="1"/>
  <c r="AJ14" i="10"/>
  <c r="AJ15" i="10"/>
  <c r="AI14" i="10"/>
  <c r="AJ10" i="10"/>
  <c r="AI15" i="10"/>
  <c r="AJ13" i="10"/>
  <c r="AJ16" i="10"/>
  <c r="AI13" i="10"/>
  <c r="AI10" i="10"/>
  <c r="AK10" i="10" l="1"/>
  <c r="T299" i="10" s="1"/>
  <c r="U299" i="10" s="1"/>
  <c r="AK16" i="10"/>
  <c r="AF448" i="10" s="1"/>
  <c r="AG448" i="10" s="1"/>
  <c r="AK15" i="10"/>
  <c r="AC421" i="10" s="1"/>
  <c r="AD421" i="10" s="1"/>
  <c r="AK14" i="10"/>
  <c r="Z378" i="10" s="1"/>
  <c r="AA378" i="10" s="1"/>
  <c r="AK13" i="10"/>
  <c r="W547" i="10" s="1"/>
  <c r="AC346" i="10" l="1"/>
  <c r="AD346" i="10" s="1"/>
  <c r="T92" i="10"/>
  <c r="U92" i="10" s="1"/>
  <c r="Z71" i="10"/>
  <c r="AA71" i="10" s="1"/>
  <c r="AC234" i="10"/>
  <c r="AD234" i="10" s="1"/>
  <c r="T270" i="10"/>
  <c r="U270" i="10" s="1"/>
  <c r="T442" i="10"/>
  <c r="U442" i="10" s="1"/>
  <c r="AF2" i="10"/>
  <c r="AG2" i="10" s="1"/>
  <c r="T2" i="10"/>
  <c r="U2" i="10" s="1"/>
  <c r="T547" i="10"/>
  <c r="U547" i="10" s="1"/>
  <c r="AC101" i="10"/>
  <c r="AD101" i="10" s="1"/>
  <c r="AC324" i="10"/>
  <c r="AD324" i="10" s="1"/>
  <c r="AF534" i="10"/>
  <c r="W58" i="10"/>
  <c r="T379" i="10"/>
  <c r="U379" i="10" s="1"/>
  <c r="AC501" i="10"/>
  <c r="AD501" i="10" s="1"/>
  <c r="T451" i="10"/>
  <c r="U451" i="10" s="1"/>
  <c r="T294" i="10"/>
  <c r="U294" i="10" s="1"/>
  <c r="T178" i="10"/>
  <c r="U178" i="10" s="1"/>
  <c r="T134" i="10"/>
  <c r="U134" i="10" s="1"/>
  <c r="T142" i="10"/>
  <c r="U142" i="10" s="1"/>
  <c r="T168" i="10"/>
  <c r="U168" i="10" s="1"/>
  <c r="AF342" i="10"/>
  <c r="T58" i="10"/>
  <c r="U58" i="10" s="1"/>
  <c r="T119" i="10"/>
  <c r="U119" i="10" s="1"/>
  <c r="Z112" i="10"/>
  <c r="AA112" i="10" s="1"/>
  <c r="Z372" i="10"/>
  <c r="AA372" i="10" s="1"/>
  <c r="W264" i="10"/>
  <c r="Z273" i="10"/>
  <c r="AA273" i="10" s="1"/>
  <c r="AC274" i="10"/>
  <c r="AD274" i="10" s="1"/>
  <c r="Z384" i="10"/>
  <c r="AA384" i="10" s="1"/>
  <c r="W135" i="10"/>
  <c r="X135" i="10" s="1"/>
  <c r="T64" i="10"/>
  <c r="U64" i="10" s="1"/>
  <c r="Z76" i="10"/>
  <c r="AA76" i="10" s="1"/>
  <c r="W169" i="10"/>
  <c r="AF482" i="10"/>
  <c r="T524" i="10"/>
  <c r="U524" i="10" s="1"/>
  <c r="W37" i="10"/>
  <c r="X37" i="10" s="1"/>
  <c r="AF313" i="10"/>
  <c r="AC419" i="10"/>
  <c r="AD419" i="10" s="1"/>
  <c r="Z432" i="10"/>
  <c r="AA432" i="10" s="1"/>
  <c r="T143" i="10"/>
  <c r="U143" i="10" s="1"/>
  <c r="T337" i="10"/>
  <c r="U337" i="10" s="1"/>
  <c r="AF426" i="10"/>
  <c r="T307" i="10"/>
  <c r="U307" i="10" s="1"/>
  <c r="Z221" i="10"/>
  <c r="AA221" i="10" s="1"/>
  <c r="Z141" i="10"/>
  <c r="AA141" i="10" s="1"/>
  <c r="AF66" i="10"/>
  <c r="AC402" i="10"/>
  <c r="AD402" i="10" s="1"/>
  <c r="AF295" i="10"/>
  <c r="T384" i="10"/>
  <c r="U384" i="10" s="1"/>
  <c r="Z456" i="10"/>
  <c r="AA456" i="10" s="1"/>
  <c r="Z472" i="10"/>
  <c r="AA472" i="10" s="1"/>
  <c r="T414" i="10"/>
  <c r="U414" i="10" s="1"/>
  <c r="T319" i="10"/>
  <c r="U319" i="10" s="1"/>
  <c r="AF464" i="10"/>
  <c r="T290" i="10"/>
  <c r="U290" i="10" s="1"/>
  <c r="Z448" i="10"/>
  <c r="AA448" i="10" s="1"/>
  <c r="AC513" i="10"/>
  <c r="AD513" i="10" s="1"/>
  <c r="T454" i="10"/>
  <c r="U454" i="10" s="1"/>
  <c r="W480" i="10"/>
  <c r="AF167" i="10"/>
  <c r="Z147" i="10"/>
  <c r="AA147" i="10" s="1"/>
  <c r="W65" i="10"/>
  <c r="Z24" i="10"/>
  <c r="AA24" i="10" s="1"/>
  <c r="T421" i="10"/>
  <c r="U421" i="10" s="1"/>
  <c r="T293" i="10"/>
  <c r="U293" i="10" s="1"/>
  <c r="T128" i="10"/>
  <c r="U128" i="10" s="1"/>
  <c r="AF48" i="10"/>
  <c r="W508" i="10"/>
  <c r="W370" i="10"/>
  <c r="W15" i="10"/>
  <c r="X15" i="10" s="1"/>
  <c r="W485" i="10"/>
  <c r="W109" i="10"/>
  <c r="AC40" i="10"/>
  <c r="AD40" i="10" s="1"/>
  <c r="W393" i="10"/>
  <c r="W87" i="10"/>
  <c r="Z388" i="10"/>
  <c r="AA388" i="10" s="1"/>
  <c r="Z116" i="10"/>
  <c r="AA116" i="10" s="1"/>
  <c r="Z22" i="10"/>
  <c r="AA22" i="10" s="1"/>
  <c r="W18" i="10"/>
  <c r="X18" i="10" s="1"/>
  <c r="W202" i="10"/>
  <c r="W45" i="10"/>
  <c r="X45" i="10" s="1"/>
  <c r="AC321" i="10"/>
  <c r="AD321" i="10" s="1"/>
  <c r="AC461" i="10"/>
  <c r="AD461" i="10" s="1"/>
  <c r="W520" i="10"/>
  <c r="AC144" i="10"/>
  <c r="AD144" i="10" s="1"/>
  <c r="W425" i="10"/>
  <c r="W274" i="10"/>
  <c r="AC180" i="10"/>
  <c r="AD180" i="10" s="1"/>
  <c r="AC190" i="10"/>
  <c r="AD190" i="10" s="1"/>
  <c r="AC152" i="10"/>
  <c r="AD152" i="10" s="1"/>
  <c r="Z171" i="10"/>
  <c r="AA171" i="10" s="1"/>
  <c r="Z405" i="10"/>
  <c r="AA405" i="10" s="1"/>
  <c r="Z359" i="10"/>
  <c r="AA359" i="10" s="1"/>
  <c r="W151" i="10"/>
  <c r="AC262" i="10"/>
  <c r="AD262" i="10" s="1"/>
  <c r="W482" i="10"/>
  <c r="AC77" i="10"/>
  <c r="AD77" i="10" s="1"/>
  <c r="AF249" i="10"/>
  <c r="AC155" i="10"/>
  <c r="AD155" i="10" s="1"/>
  <c r="AF375" i="10"/>
  <c r="AC178" i="10"/>
  <c r="AD178" i="10" s="1"/>
  <c r="AC539" i="10"/>
  <c r="AD539" i="10" s="1"/>
  <c r="Z148" i="10"/>
  <c r="AA148" i="10" s="1"/>
  <c r="Z262" i="10"/>
  <c r="AA262" i="10" s="1"/>
  <c r="Z358" i="10"/>
  <c r="AA358" i="10" s="1"/>
  <c r="AC157" i="10"/>
  <c r="AD157" i="10" s="1"/>
  <c r="T191" i="10"/>
  <c r="U191" i="10" s="1"/>
  <c r="W521" i="10"/>
  <c r="AC142" i="10"/>
  <c r="AD142" i="10" s="1"/>
  <c r="T387" i="10"/>
  <c r="U387" i="10" s="1"/>
  <c r="AC294" i="10"/>
  <c r="AD294" i="10" s="1"/>
  <c r="T323" i="10"/>
  <c r="U323" i="10" s="1"/>
  <c r="W293" i="10"/>
  <c r="X293" i="10" s="1"/>
  <c r="AF386" i="10"/>
  <c r="AC192" i="10"/>
  <c r="AD192" i="10" s="1"/>
  <c r="W126" i="10"/>
  <c r="AC150" i="10"/>
  <c r="AD150" i="10" s="1"/>
  <c r="Z466" i="10"/>
  <c r="AA466" i="10" s="1"/>
  <c r="Z277" i="10"/>
  <c r="AA277" i="10" s="1"/>
  <c r="Z442" i="10"/>
  <c r="AA442" i="10" s="1"/>
  <c r="W490" i="10"/>
  <c r="AC107" i="10"/>
  <c r="AD107" i="10" s="1"/>
  <c r="AC437" i="10"/>
  <c r="AD437" i="10" s="1"/>
  <c r="AC541" i="10"/>
  <c r="AD541" i="10" s="1"/>
  <c r="W541" i="10"/>
  <c r="W262" i="10"/>
  <c r="AC492" i="10"/>
  <c r="AD492" i="10" s="1"/>
  <c r="W221" i="10"/>
  <c r="AF111" i="10"/>
  <c r="AG111" i="10" s="1"/>
  <c r="AF271" i="10"/>
  <c r="W322" i="10"/>
  <c r="AC143" i="10"/>
  <c r="AD143" i="10" s="1"/>
  <c r="AC218" i="10"/>
  <c r="AD218" i="10" s="1"/>
  <c r="AC477" i="10"/>
  <c r="AD477" i="10" s="1"/>
  <c r="Z511" i="10"/>
  <c r="AA511" i="10" s="1"/>
  <c r="Z287" i="10"/>
  <c r="AA287" i="10" s="1"/>
  <c r="Z207" i="10"/>
  <c r="AA207" i="10" s="1"/>
  <c r="AF61" i="10"/>
  <c r="AF29" i="10"/>
  <c r="AG29" i="10" s="1"/>
  <c r="AF412" i="10"/>
  <c r="AF410" i="10"/>
  <c r="AF335" i="10"/>
  <c r="T203" i="10"/>
  <c r="U203" i="10" s="1"/>
  <c r="AF227" i="10"/>
  <c r="W325" i="10"/>
  <c r="AF247" i="10"/>
  <c r="AF322" i="10"/>
  <c r="AF535" i="10"/>
  <c r="W143" i="10"/>
  <c r="X143" i="10" s="1"/>
  <c r="W268" i="10"/>
  <c r="Z538" i="10"/>
  <c r="AA538" i="10" s="1"/>
  <c r="Z155" i="10"/>
  <c r="AA155" i="10" s="1"/>
  <c r="Z290" i="10"/>
  <c r="AA290" i="10" s="1"/>
  <c r="T514" i="10"/>
  <c r="U514" i="10" s="1"/>
  <c r="AF120" i="10"/>
  <c r="T255" i="10"/>
  <c r="U255" i="10" s="1"/>
  <c r="AC284" i="10"/>
  <c r="AD284" i="10" s="1"/>
  <c r="T31" i="10"/>
  <c r="U31" i="10" s="1"/>
  <c r="W184" i="10"/>
  <c r="AC4" i="10"/>
  <c r="AD4" i="10" s="1"/>
  <c r="W410" i="10"/>
  <c r="AF363" i="10"/>
  <c r="AF444" i="10"/>
  <c r="AC265" i="10"/>
  <c r="AD265" i="10" s="1"/>
  <c r="AF298" i="10"/>
  <c r="AC383" i="10"/>
  <c r="AD383" i="10" s="1"/>
  <c r="W95" i="10"/>
  <c r="Z272" i="10"/>
  <c r="AA272" i="10" s="1"/>
  <c r="Z113" i="10"/>
  <c r="AA113" i="10" s="1"/>
  <c r="Z235" i="10"/>
  <c r="AA235" i="10" s="1"/>
  <c r="T432" i="10"/>
  <c r="U432" i="10" s="1"/>
  <c r="AF192" i="10"/>
  <c r="AC452" i="10"/>
  <c r="AD452" i="10" s="1"/>
  <c r="T538" i="10"/>
  <c r="U538" i="10" s="1"/>
  <c r="AF240" i="10"/>
  <c r="T358" i="10"/>
  <c r="U358" i="10" s="1"/>
  <c r="T149" i="10"/>
  <c r="U149" i="10" s="1"/>
  <c r="W242" i="10"/>
  <c r="AF156" i="10"/>
  <c r="AF202" i="10"/>
  <c r="W2" i="10"/>
  <c r="X2" i="10" s="1"/>
  <c r="AC495" i="10"/>
  <c r="AD495" i="10" s="1"/>
  <c r="W441" i="10"/>
  <c r="AF540" i="10"/>
  <c r="AC534" i="10"/>
  <c r="AD534" i="10" s="1"/>
  <c r="Z525" i="10"/>
  <c r="AA525" i="10" s="1"/>
  <c r="Z295" i="10"/>
  <c r="AA295" i="10" s="1"/>
  <c r="Z6" i="10"/>
  <c r="AA6" i="10" s="1"/>
  <c r="AF91" i="10"/>
  <c r="W284" i="10"/>
  <c r="AF147" i="10"/>
  <c r="AG147" i="10" s="1"/>
  <c r="AF226" i="10"/>
  <c r="W463" i="10"/>
  <c r="T426" i="10"/>
  <c r="U426" i="10" s="1"/>
  <c r="W91" i="10"/>
  <c r="AC543" i="10"/>
  <c r="AD543" i="10" s="1"/>
  <c r="AF496" i="10"/>
  <c r="AF457" i="10"/>
  <c r="AF27" i="10"/>
  <c r="Z529" i="10"/>
  <c r="AA529" i="10" s="1"/>
  <c r="Z36" i="10"/>
  <c r="AA36" i="10" s="1"/>
  <c r="Z102" i="10"/>
  <c r="AA102" i="10" s="1"/>
  <c r="Z129" i="10"/>
  <c r="AA129" i="10" s="1"/>
  <c r="Z314" i="10"/>
  <c r="AA314" i="10" s="1"/>
  <c r="Z308" i="10"/>
  <c r="AA308" i="10" s="1"/>
  <c r="Z111" i="10"/>
  <c r="AA111" i="10" s="1"/>
  <c r="Z279" i="10"/>
  <c r="AA279" i="10" s="1"/>
  <c r="Z367" i="10"/>
  <c r="AA367" i="10" s="1"/>
  <c r="Z169" i="10"/>
  <c r="AA169" i="10" s="1"/>
  <c r="Z332" i="10"/>
  <c r="AA332" i="10" s="1"/>
  <c r="Z431" i="10"/>
  <c r="AA431" i="10" s="1"/>
  <c r="Z29" i="10"/>
  <c r="AA29" i="10" s="1"/>
  <c r="Z162" i="10"/>
  <c r="AA162" i="10" s="1"/>
  <c r="Z320" i="10"/>
  <c r="AA320" i="10" s="1"/>
  <c r="Z283" i="10"/>
  <c r="AA283" i="10" s="1"/>
  <c r="Z309" i="10"/>
  <c r="AA309" i="10" s="1"/>
  <c r="Z503" i="10"/>
  <c r="AA503" i="10" s="1"/>
  <c r="Z47" i="10"/>
  <c r="AA47" i="10" s="1"/>
  <c r="T372" i="10"/>
  <c r="U372" i="10" s="1"/>
  <c r="AF305" i="10"/>
  <c r="AG305" i="10" s="1"/>
  <c r="W6" i="10"/>
  <c r="X6" i="10" s="1"/>
  <c r="W280" i="10"/>
  <c r="W307" i="10"/>
  <c r="T340" i="10"/>
  <c r="U340" i="10" s="1"/>
  <c r="AF159" i="10"/>
  <c r="W259" i="10"/>
  <c r="T24" i="10"/>
  <c r="U24" i="10" s="1"/>
  <c r="W78" i="10"/>
  <c r="T406" i="10"/>
  <c r="U406" i="10" s="1"/>
  <c r="AF17" i="10"/>
  <c r="T83" i="10"/>
  <c r="U83" i="10" s="1"/>
  <c r="T73" i="10"/>
  <c r="U73" i="10" s="1"/>
  <c r="T130" i="10"/>
  <c r="U130" i="10" s="1"/>
  <c r="AC118" i="10"/>
  <c r="AD118" i="10" s="1"/>
  <c r="T157" i="10"/>
  <c r="U157" i="10" s="1"/>
  <c r="AC512" i="10"/>
  <c r="AD512" i="10" s="1"/>
  <c r="W356" i="10"/>
  <c r="AC167" i="10"/>
  <c r="AD167" i="10" s="1"/>
  <c r="W174" i="10"/>
  <c r="AF504" i="10"/>
  <c r="AF207" i="10"/>
  <c r="T77" i="10"/>
  <c r="U77" i="10" s="1"/>
  <c r="AF471" i="10"/>
  <c r="T117" i="10"/>
  <c r="U117" i="10" s="1"/>
  <c r="AF326" i="10"/>
  <c r="T70" i="10"/>
  <c r="U70" i="10" s="1"/>
  <c r="AC199" i="10"/>
  <c r="AD199" i="10" s="1"/>
  <c r="T458" i="10"/>
  <c r="U458" i="10" s="1"/>
  <c r="AF163" i="10"/>
  <c r="AF155" i="10"/>
  <c r="AF51" i="10"/>
  <c r="AF290" i="10"/>
  <c r="AF307" i="10"/>
  <c r="AG307" i="10" s="1"/>
  <c r="AF531" i="10"/>
  <c r="AF189" i="10"/>
  <c r="AF388" i="10"/>
  <c r="Z2" i="10"/>
  <c r="AA2" i="10" s="1"/>
  <c r="T528" i="10"/>
  <c r="U528" i="10" s="1"/>
  <c r="T465" i="10"/>
  <c r="U465" i="10" s="1"/>
  <c r="T28" i="10"/>
  <c r="U28" i="10" s="1"/>
  <c r="T173" i="10"/>
  <c r="U173" i="10" s="1"/>
  <c r="Z263" i="10"/>
  <c r="AA263" i="10" s="1"/>
  <c r="Z502" i="10"/>
  <c r="AA502" i="10" s="1"/>
  <c r="Z53" i="10"/>
  <c r="AA53" i="10" s="1"/>
  <c r="Z151" i="10"/>
  <c r="AA151" i="10" s="1"/>
  <c r="Z520" i="10"/>
  <c r="AA520" i="10" s="1"/>
  <c r="Z387" i="10"/>
  <c r="AA387" i="10" s="1"/>
  <c r="Z95" i="10"/>
  <c r="AA95" i="10" s="1"/>
  <c r="Z518" i="10"/>
  <c r="AA518" i="10" s="1"/>
  <c r="Z90" i="10"/>
  <c r="AA90" i="10" s="1"/>
  <c r="Z204" i="10"/>
  <c r="AA204" i="10" s="1"/>
  <c r="Z174" i="10"/>
  <c r="AA174" i="10" s="1"/>
  <c r="Z437" i="10"/>
  <c r="AA437" i="10" s="1"/>
  <c r="Z420" i="10"/>
  <c r="AA420" i="10" s="1"/>
  <c r="Z65" i="10"/>
  <c r="AA65" i="10" s="1"/>
  <c r="Z478" i="10"/>
  <c r="AA478" i="10" s="1"/>
  <c r="Z219" i="10"/>
  <c r="AA219" i="10" s="1"/>
  <c r="Z166" i="10"/>
  <c r="AA166" i="10" s="1"/>
  <c r="Z108" i="10"/>
  <c r="AA108" i="10" s="1"/>
  <c r="Z115" i="10"/>
  <c r="AA115" i="10" s="1"/>
  <c r="T338" i="10"/>
  <c r="U338" i="10" s="1"/>
  <c r="AC395" i="10"/>
  <c r="AD395" i="10" s="1"/>
  <c r="AC491" i="10"/>
  <c r="AD491" i="10" s="1"/>
  <c r="W479" i="10"/>
  <c r="AC453" i="10"/>
  <c r="AD453" i="10" s="1"/>
  <c r="W430" i="10"/>
  <c r="AC519" i="10"/>
  <c r="AD519" i="10" s="1"/>
  <c r="T194" i="10"/>
  <c r="U194" i="10" s="1"/>
  <c r="W30" i="10"/>
  <c r="X30" i="10" s="1"/>
  <c r="W361" i="10"/>
  <c r="T541" i="10"/>
  <c r="U541" i="10" s="1"/>
  <c r="W156" i="10"/>
  <c r="W159" i="10"/>
  <c r="AF104" i="10"/>
  <c r="AF297" i="10"/>
  <c r="AC116" i="10"/>
  <c r="AD116" i="10" s="1"/>
  <c r="W189" i="10"/>
  <c r="T25" i="10"/>
  <c r="U25" i="10" s="1"/>
  <c r="AC305" i="10"/>
  <c r="AD305" i="10" s="1"/>
  <c r="AC209" i="10"/>
  <c r="AD209" i="10" s="1"/>
  <c r="AC114" i="10"/>
  <c r="AD114" i="10" s="1"/>
  <c r="AF146" i="10"/>
  <c r="AG146" i="10" s="1"/>
  <c r="T493" i="10"/>
  <c r="U493" i="10" s="1"/>
  <c r="W376" i="10"/>
  <c r="T30" i="10"/>
  <c r="U30" i="10" s="1"/>
  <c r="AC535" i="10"/>
  <c r="AD535" i="10" s="1"/>
  <c r="T445" i="10"/>
  <c r="U445" i="10" s="1"/>
  <c r="T98" i="10"/>
  <c r="U98" i="10" s="1"/>
  <c r="T483" i="10"/>
  <c r="U483" i="10" s="1"/>
  <c r="AF86" i="10"/>
  <c r="T535" i="10"/>
  <c r="U535" i="10" s="1"/>
  <c r="W147" i="10"/>
  <c r="X147" i="10" s="1"/>
  <c r="T35" i="10"/>
  <c r="U35" i="10" s="1"/>
  <c r="W358" i="10"/>
  <c r="AF253" i="10"/>
  <c r="AF40" i="10"/>
  <c r="AF151" i="10"/>
  <c r="AF113" i="10"/>
  <c r="AF376" i="10"/>
  <c r="AF125" i="10"/>
  <c r="AF532" i="10"/>
  <c r="AF239" i="10"/>
  <c r="Z97" i="10"/>
  <c r="AA97" i="10" s="1"/>
  <c r="Z399" i="10"/>
  <c r="AA399" i="10" s="1"/>
  <c r="Z55" i="10"/>
  <c r="AA55" i="10" s="1"/>
  <c r="Z533" i="10"/>
  <c r="AA533" i="10" s="1"/>
  <c r="Z483" i="10"/>
  <c r="AA483" i="10" s="1"/>
  <c r="Z514" i="10"/>
  <c r="AA514" i="10" s="1"/>
  <c r="Z233" i="10"/>
  <c r="AA233" i="10" s="1"/>
  <c r="T234" i="10"/>
  <c r="U234" i="10" s="1"/>
  <c r="AF370" i="10"/>
  <c r="T316" i="10"/>
  <c r="U316" i="10" s="1"/>
  <c r="T120" i="10"/>
  <c r="U120" i="10" s="1"/>
  <c r="AF377" i="10"/>
  <c r="AF332" i="10"/>
  <c r="AF382" i="10"/>
  <c r="AF507" i="10"/>
  <c r="AF344" i="10"/>
  <c r="AF424" i="10"/>
  <c r="AF220" i="10"/>
  <c r="AF427" i="10"/>
  <c r="AF19" i="10"/>
  <c r="AG19" i="10" s="1"/>
  <c r="Z361" i="10"/>
  <c r="AA361" i="10" s="1"/>
  <c r="Z288" i="10"/>
  <c r="AA288" i="10" s="1"/>
  <c r="Z187" i="10"/>
  <c r="AA187" i="10" s="1"/>
  <c r="Z363" i="10"/>
  <c r="AA363" i="10" s="1"/>
  <c r="Z523" i="10"/>
  <c r="AA523" i="10" s="1"/>
  <c r="Z401" i="10"/>
  <c r="AA401" i="10" s="1"/>
  <c r="Z452" i="10"/>
  <c r="AA452" i="10" s="1"/>
  <c r="Z110" i="10"/>
  <c r="AA110" i="10" s="1"/>
  <c r="Z16" i="10"/>
  <c r="AA16" i="10" s="1"/>
  <c r="Z237" i="10"/>
  <c r="AA237" i="10" s="1"/>
  <c r="Z346" i="10"/>
  <c r="AA346" i="10" s="1"/>
  <c r="Z94" i="10"/>
  <c r="AA94" i="10" s="1"/>
  <c r="Z157" i="10"/>
  <c r="AA157" i="10" s="1"/>
  <c r="Z354" i="10"/>
  <c r="AA354" i="10" s="1"/>
  <c r="Z154" i="10"/>
  <c r="AA154" i="10" s="1"/>
  <c r="Z497" i="10"/>
  <c r="AA497" i="10" s="1"/>
  <c r="Z296" i="10"/>
  <c r="AA296" i="10" s="1"/>
  <c r="Z214" i="10"/>
  <c r="AA214" i="10" s="1"/>
  <c r="Z428" i="10"/>
  <c r="AA428" i="10" s="1"/>
  <c r="AC182" i="10"/>
  <c r="AD182" i="10" s="1"/>
  <c r="AF82" i="10"/>
  <c r="AF527" i="10"/>
  <c r="W215" i="10"/>
  <c r="W288" i="10"/>
  <c r="AC117" i="10"/>
  <c r="AD117" i="10" s="1"/>
  <c r="AC6" i="10"/>
  <c r="AD6" i="10" s="1"/>
  <c r="W194" i="10"/>
  <c r="AF543" i="10"/>
  <c r="AF331" i="10"/>
  <c r="T491" i="10"/>
  <c r="U491" i="10" s="1"/>
  <c r="T155" i="10"/>
  <c r="U155" i="10" s="1"/>
  <c r="AC538" i="10"/>
  <c r="AD538" i="10" s="1"/>
  <c r="AF21" i="10"/>
  <c r="AC254" i="10"/>
  <c r="AD254" i="10" s="1"/>
  <c r="W476" i="10"/>
  <c r="W173" i="10"/>
  <c r="W326" i="10"/>
  <c r="W271" i="10"/>
  <c r="AC331" i="10"/>
  <c r="AD331" i="10" s="1"/>
  <c r="AC536" i="10"/>
  <c r="AD536" i="10" s="1"/>
  <c r="T438" i="10"/>
  <c r="U438" i="10" s="1"/>
  <c r="T450" i="10"/>
  <c r="U450" i="10" s="1"/>
  <c r="W31" i="10"/>
  <c r="X31" i="10" s="1"/>
  <c r="T11" i="10"/>
  <c r="U11" i="10" s="1"/>
  <c r="T388" i="10"/>
  <c r="U388" i="10" s="1"/>
  <c r="AF523" i="10"/>
  <c r="T225" i="10"/>
  <c r="U225" i="10" s="1"/>
  <c r="AC216" i="10"/>
  <c r="AD216" i="10" s="1"/>
  <c r="AC230" i="10"/>
  <c r="AD230" i="10" s="1"/>
  <c r="W28" i="10"/>
  <c r="W301" i="10"/>
  <c r="AC355" i="10"/>
  <c r="AD355" i="10" s="1"/>
  <c r="AF56" i="10"/>
  <c r="AF406" i="10"/>
  <c r="AF438" i="10"/>
  <c r="AF501" i="10"/>
  <c r="AF229" i="10"/>
  <c r="AF133" i="10"/>
  <c r="AF136" i="10"/>
  <c r="AF369" i="10"/>
  <c r="AF411" i="10"/>
  <c r="Z18" i="10"/>
  <c r="AA18" i="10" s="1"/>
  <c r="T210" i="10"/>
  <c r="U210" i="10" s="1"/>
  <c r="Z366" i="10"/>
  <c r="AA366" i="10" s="1"/>
  <c r="Z253" i="10"/>
  <c r="AA253" i="10" s="1"/>
  <c r="Z298" i="10"/>
  <c r="AA298" i="10" s="1"/>
  <c r="Z255" i="10"/>
  <c r="AA255" i="10" s="1"/>
  <c r="Z163" i="10"/>
  <c r="AA163" i="10" s="1"/>
  <c r="Z186" i="10"/>
  <c r="AA186" i="10" s="1"/>
  <c r="Z459" i="10"/>
  <c r="AA459" i="10" s="1"/>
  <c r="Z371" i="10"/>
  <c r="AA371" i="10" s="1"/>
  <c r="Z446" i="10"/>
  <c r="AA446" i="10" s="1"/>
  <c r="Z23" i="10"/>
  <c r="AA23" i="10" s="1"/>
  <c r="Z121" i="10"/>
  <c r="AA121" i="10" s="1"/>
  <c r="Z297" i="10"/>
  <c r="AA297" i="10" s="1"/>
  <c r="Z303" i="10"/>
  <c r="AA303" i="10" s="1"/>
  <c r="Z250" i="10"/>
  <c r="AA250" i="10" s="1"/>
  <c r="Z445" i="10"/>
  <c r="AA445" i="10" s="1"/>
  <c r="Z306" i="10"/>
  <c r="AA306" i="10" s="1"/>
  <c r="Z40" i="10"/>
  <c r="AA40" i="10" s="1"/>
  <c r="Z493" i="10"/>
  <c r="AA493" i="10" s="1"/>
  <c r="Z312" i="10"/>
  <c r="AA312" i="10" s="1"/>
  <c r="W536" i="10"/>
  <c r="AC412" i="10"/>
  <c r="AD412" i="10" s="1"/>
  <c r="T498" i="10"/>
  <c r="U498" i="10" s="1"/>
  <c r="AF466" i="10"/>
  <c r="T239" i="10"/>
  <c r="U239" i="10" s="1"/>
  <c r="T37" i="10"/>
  <c r="U37" i="10" s="1"/>
  <c r="T122" i="10"/>
  <c r="U122" i="10" s="1"/>
  <c r="W62" i="10"/>
  <c r="AC474" i="10"/>
  <c r="AD474" i="10" s="1"/>
  <c r="W203" i="10"/>
  <c r="W127" i="10"/>
  <c r="AC10" i="10"/>
  <c r="AD10" i="10" s="1"/>
  <c r="AC30" i="10"/>
  <c r="AD30" i="10" s="1"/>
  <c r="AC22" i="10"/>
  <c r="AD22" i="10" s="1"/>
  <c r="T349" i="10"/>
  <c r="U349" i="10" s="1"/>
  <c r="AF402" i="10"/>
  <c r="AC268" i="10"/>
  <c r="AD268" i="10" s="1"/>
  <c r="W427" i="10"/>
  <c r="AF341" i="10"/>
  <c r="AG341" i="10" s="1"/>
  <c r="T494" i="10"/>
  <c r="U494" i="10" s="1"/>
  <c r="T108" i="10"/>
  <c r="U108" i="10" s="1"/>
  <c r="AC366" i="10"/>
  <c r="AD366" i="10" s="1"/>
  <c r="W73" i="10"/>
  <c r="AC339" i="10"/>
  <c r="AD339" i="10" s="1"/>
  <c r="AF514" i="10"/>
  <c r="AC387" i="10"/>
  <c r="AD387" i="10" s="1"/>
  <c r="AF184" i="10"/>
  <c r="T306" i="10"/>
  <c r="U306" i="10" s="1"/>
  <c r="AC283" i="10"/>
  <c r="AD283" i="10" s="1"/>
  <c r="W234" i="10"/>
  <c r="AF293" i="10"/>
  <c r="AG293" i="10" s="1"/>
  <c r="W416" i="10"/>
  <c r="T133" i="10"/>
  <c r="U133" i="10" s="1"/>
  <c r="AF124" i="10"/>
  <c r="AF356" i="10"/>
  <c r="AF100" i="10"/>
  <c r="AF182" i="10"/>
  <c r="AF463" i="10"/>
  <c r="AF269" i="10"/>
  <c r="AF469" i="10"/>
  <c r="AF296" i="10"/>
  <c r="AF318" i="10"/>
  <c r="Z132" i="10"/>
  <c r="AA132" i="10" s="1"/>
  <c r="Z127" i="10"/>
  <c r="AA127" i="10" s="1"/>
  <c r="Z512" i="10"/>
  <c r="AA512" i="10" s="1"/>
  <c r="Z239" i="10"/>
  <c r="AA239" i="10" s="1"/>
  <c r="Z138" i="10"/>
  <c r="AA138" i="10" s="1"/>
  <c r="Z397" i="10"/>
  <c r="AA397" i="10" s="1"/>
  <c r="T197" i="10"/>
  <c r="U197" i="10" s="1"/>
  <c r="T45" i="10"/>
  <c r="U45" i="10" s="1"/>
  <c r="AC225" i="10"/>
  <c r="AD225" i="10" s="1"/>
  <c r="AC425" i="10"/>
  <c r="AD425" i="10" s="1"/>
  <c r="T481" i="10"/>
  <c r="U481" i="10" s="1"/>
  <c r="AF43" i="10"/>
  <c r="W68" i="10"/>
  <c r="W185" i="10"/>
  <c r="W38" i="10"/>
  <c r="X38" i="10" s="1"/>
  <c r="Z330" i="10"/>
  <c r="AA330" i="10" s="1"/>
  <c r="Z487" i="10"/>
  <c r="AA487" i="10" s="1"/>
  <c r="Z390" i="10"/>
  <c r="AA390" i="10" s="1"/>
  <c r="Z217" i="10"/>
  <c r="AA217" i="10" s="1"/>
  <c r="Z267" i="10"/>
  <c r="AA267" i="10" s="1"/>
  <c r="Z167" i="10"/>
  <c r="AA167" i="10" s="1"/>
  <c r="Z190" i="10"/>
  <c r="AA190" i="10" s="1"/>
  <c r="Z170" i="10"/>
  <c r="AA170" i="10" s="1"/>
  <c r="Z96" i="10"/>
  <c r="AA96" i="10" s="1"/>
  <c r="Z498" i="10"/>
  <c r="AA498" i="10" s="1"/>
  <c r="Z349" i="10"/>
  <c r="AA349" i="10" s="1"/>
  <c r="Z353" i="10"/>
  <c r="AA353" i="10" s="1"/>
  <c r="Z499" i="10"/>
  <c r="AA499" i="10" s="1"/>
  <c r="Z197" i="10"/>
  <c r="AA197" i="10" s="1"/>
  <c r="Z285" i="10"/>
  <c r="AA285" i="10" s="1"/>
  <c r="Z282" i="10"/>
  <c r="AA282" i="10" s="1"/>
  <c r="Z245" i="10"/>
  <c r="AA245" i="10" s="1"/>
  <c r="Z49" i="10"/>
  <c r="AA49" i="10" s="1"/>
  <c r="Z416" i="10"/>
  <c r="AA416" i="10" s="1"/>
  <c r="T169" i="10"/>
  <c r="U169" i="10" s="1"/>
  <c r="T46" i="10"/>
  <c r="U46" i="10" s="1"/>
  <c r="T152" i="10"/>
  <c r="U152" i="10" s="1"/>
  <c r="T71" i="10"/>
  <c r="U71" i="10" s="1"/>
  <c r="W529" i="10"/>
  <c r="AF483" i="10"/>
  <c r="AC133" i="10"/>
  <c r="AD133" i="10" s="1"/>
  <c r="AC546" i="10"/>
  <c r="AD546" i="10" s="1"/>
  <c r="T36" i="10"/>
  <c r="U36" i="10" s="1"/>
  <c r="AC301" i="10"/>
  <c r="AD301" i="10" s="1"/>
  <c r="AC342" i="10"/>
  <c r="AD342" i="10" s="1"/>
  <c r="W192" i="10"/>
  <c r="W60" i="10"/>
  <c r="AF65" i="10"/>
  <c r="T440" i="10"/>
  <c r="U440" i="10" s="1"/>
  <c r="AC311" i="10"/>
  <c r="AD311" i="10" s="1"/>
  <c r="W338" i="10"/>
  <c r="AC243" i="10"/>
  <c r="AD243" i="10" s="1"/>
  <c r="T195" i="10"/>
  <c r="U195" i="10" s="1"/>
  <c r="T348" i="10"/>
  <c r="U348" i="10" s="1"/>
  <c r="T336" i="10"/>
  <c r="U336" i="10" s="1"/>
  <c r="AF68" i="10"/>
  <c r="AC510" i="10"/>
  <c r="AD510" i="10" s="1"/>
  <c r="AC327" i="10"/>
  <c r="AD327" i="10" s="1"/>
  <c r="AC129" i="10"/>
  <c r="AD129" i="10" s="1"/>
  <c r="AC409" i="10"/>
  <c r="AD409" i="10" s="1"/>
  <c r="AF409" i="10"/>
  <c r="T238" i="10"/>
  <c r="U238" i="10" s="1"/>
  <c r="W144" i="10"/>
  <c r="AF46" i="10"/>
  <c r="T249" i="10"/>
  <c r="U249" i="10" s="1"/>
  <c r="T344" i="10"/>
  <c r="U344" i="10" s="1"/>
  <c r="AC416" i="10"/>
  <c r="AD416" i="10" s="1"/>
  <c r="AF529" i="10"/>
  <c r="AF500" i="10"/>
  <c r="AF502" i="10"/>
  <c r="AF536" i="10"/>
  <c r="AF539" i="10"/>
  <c r="AF512" i="10"/>
  <c r="AF87" i="10"/>
  <c r="AF495" i="10"/>
  <c r="AF185" i="10"/>
  <c r="Z125" i="10"/>
  <c r="AA125" i="10" s="1"/>
  <c r="Z302" i="10"/>
  <c r="AA302" i="10" s="1"/>
  <c r="Z329" i="10"/>
  <c r="AA329" i="10" s="1"/>
  <c r="T253" i="10"/>
  <c r="U253" i="10" s="1"/>
  <c r="AC229" i="10"/>
  <c r="AD229" i="10" s="1"/>
  <c r="T533" i="10"/>
  <c r="U533" i="10" s="1"/>
  <c r="AC382" i="10"/>
  <c r="AD382" i="10" s="1"/>
  <c r="W136" i="10"/>
  <c r="AC361" i="10"/>
  <c r="AD361" i="10" s="1"/>
  <c r="T219" i="10"/>
  <c r="U219" i="10" s="1"/>
  <c r="Z369" i="10"/>
  <c r="AA369" i="10" s="1"/>
  <c r="Z212" i="10"/>
  <c r="AA212" i="10" s="1"/>
  <c r="Z131" i="10"/>
  <c r="AA131" i="10" s="1"/>
  <c r="Z389" i="10"/>
  <c r="AA389" i="10" s="1"/>
  <c r="Z271" i="10"/>
  <c r="AA271" i="10" s="1"/>
  <c r="Z73" i="10"/>
  <c r="AA73" i="10" s="1"/>
  <c r="Z168" i="10"/>
  <c r="AA168" i="10" s="1"/>
  <c r="Z500" i="10"/>
  <c r="AA500" i="10" s="1"/>
  <c r="Z463" i="10"/>
  <c r="AA463" i="10" s="1"/>
  <c r="Z180" i="10"/>
  <c r="AA180" i="10" s="1"/>
  <c r="Z467" i="10"/>
  <c r="AA467" i="10" s="1"/>
  <c r="Z365" i="10"/>
  <c r="AA365" i="10" s="1"/>
  <c r="Z238" i="10"/>
  <c r="AA238" i="10" s="1"/>
  <c r="Z100" i="10"/>
  <c r="AA100" i="10" s="1"/>
  <c r="Z86" i="10"/>
  <c r="AA86" i="10" s="1"/>
  <c r="Z75" i="10"/>
  <c r="AA75" i="10" s="1"/>
  <c r="Z83" i="10"/>
  <c r="AA83" i="10" s="1"/>
  <c r="Z506" i="10"/>
  <c r="AA506" i="10" s="1"/>
  <c r="Z161" i="10"/>
  <c r="AA161" i="10" s="1"/>
  <c r="AF76" i="10"/>
  <c r="W47" i="10"/>
  <c r="X47" i="10" s="1"/>
  <c r="W517" i="10"/>
  <c r="T127" i="10"/>
  <c r="U127" i="10" s="1"/>
  <c r="T162" i="10"/>
  <c r="U162" i="10" s="1"/>
  <c r="T102" i="10"/>
  <c r="U102" i="10" s="1"/>
  <c r="AC362" i="10"/>
  <c r="AD362" i="10" s="1"/>
  <c r="T88" i="10"/>
  <c r="U88" i="10" s="1"/>
  <c r="W382" i="10"/>
  <c r="AF366" i="10"/>
  <c r="AC92" i="10"/>
  <c r="AD92" i="10" s="1"/>
  <c r="AC360" i="10"/>
  <c r="AD360" i="10" s="1"/>
  <c r="T291" i="10"/>
  <c r="U291" i="10" s="1"/>
  <c r="W193" i="10"/>
  <c r="W205" i="10"/>
  <c r="AF174" i="10"/>
  <c r="T324" i="10"/>
  <c r="U324" i="10" s="1"/>
  <c r="W380" i="10"/>
  <c r="AC368" i="10"/>
  <c r="AD368" i="10" s="1"/>
  <c r="W266" i="10"/>
  <c r="AF117" i="10"/>
  <c r="AC127" i="10"/>
  <c r="AD127" i="10" s="1"/>
  <c r="W154" i="10"/>
  <c r="AF414" i="10"/>
  <c r="AF398" i="10"/>
  <c r="W152" i="10"/>
  <c r="W336" i="10"/>
  <c r="W229" i="10"/>
  <c r="T189" i="10"/>
  <c r="U189" i="10" s="1"/>
  <c r="T224" i="10"/>
  <c r="U224" i="10" s="1"/>
  <c r="T132" i="10"/>
  <c r="U132" i="10" s="1"/>
  <c r="AF546" i="10"/>
  <c r="T115" i="10"/>
  <c r="U115" i="10" s="1"/>
  <c r="AF489" i="10"/>
  <c r="AF336" i="10"/>
  <c r="AF101" i="10"/>
  <c r="AF255" i="10"/>
  <c r="AF37" i="10"/>
  <c r="AF60" i="10"/>
  <c r="AF530" i="10"/>
  <c r="AF486" i="10"/>
  <c r="AF260" i="10"/>
  <c r="Z143" i="10"/>
  <c r="AA143" i="10" s="1"/>
  <c r="Z135" i="10"/>
  <c r="AA135" i="10" s="1"/>
  <c r="AF62" i="10"/>
  <c r="AF337" i="10"/>
  <c r="T347" i="10"/>
  <c r="U347" i="10" s="1"/>
  <c r="W86" i="10"/>
  <c r="T177" i="10"/>
  <c r="U177" i="10" s="1"/>
  <c r="W57" i="10"/>
  <c r="W77" i="10"/>
  <c r="Z343" i="10"/>
  <c r="AA343" i="10" s="1"/>
  <c r="Z462" i="10"/>
  <c r="AA462" i="10" s="1"/>
  <c r="Z485" i="10"/>
  <c r="AA485" i="10" s="1"/>
  <c r="Z276" i="10"/>
  <c r="AA276" i="10" s="1"/>
  <c r="Z347" i="10"/>
  <c r="AA347" i="10" s="1"/>
  <c r="Z294" i="10"/>
  <c r="AA294" i="10" s="1"/>
  <c r="Z137" i="10"/>
  <c r="AA137" i="10" s="1"/>
  <c r="Z404" i="10"/>
  <c r="AA404" i="10" s="1"/>
  <c r="Z517" i="10"/>
  <c r="AA517" i="10" s="1"/>
  <c r="Z225" i="10"/>
  <c r="AA225" i="10" s="1"/>
  <c r="Z203" i="10"/>
  <c r="AA203" i="10" s="1"/>
  <c r="Z251" i="10"/>
  <c r="AA251" i="10" s="1"/>
  <c r="Z124" i="10"/>
  <c r="AA124" i="10" s="1"/>
  <c r="Z35" i="10"/>
  <c r="AA35" i="10" s="1"/>
  <c r="Z419" i="10"/>
  <c r="AA419" i="10" s="1"/>
  <c r="Z39" i="10"/>
  <c r="AA39" i="10" s="1"/>
  <c r="Z429" i="10"/>
  <c r="AA429" i="10" s="1"/>
  <c r="Z234" i="10"/>
  <c r="AA234" i="10" s="1"/>
  <c r="Z152" i="10"/>
  <c r="AA152" i="10" s="1"/>
  <c r="W158" i="10"/>
  <c r="AC84" i="10"/>
  <c r="AD84" i="10" s="1"/>
  <c r="T394" i="10"/>
  <c r="U394" i="10" s="1"/>
  <c r="W544" i="10"/>
  <c r="AC105" i="10"/>
  <c r="AD105" i="10" s="1"/>
  <c r="T54" i="10"/>
  <c r="U54" i="10" s="1"/>
  <c r="AC281" i="10"/>
  <c r="AD281" i="10" s="1"/>
  <c r="AC475" i="10"/>
  <c r="AD475" i="10" s="1"/>
  <c r="W507" i="10"/>
  <c r="AC13" i="10"/>
  <c r="AD13" i="10" s="1"/>
  <c r="AC29" i="10"/>
  <c r="AD29" i="10" s="1"/>
  <c r="T457" i="10"/>
  <c r="U457" i="10" s="1"/>
  <c r="T164" i="10"/>
  <c r="U164" i="10" s="1"/>
  <c r="AF355" i="10"/>
  <c r="AC455" i="10"/>
  <c r="AD455" i="10" s="1"/>
  <c r="T295" i="10"/>
  <c r="U295" i="10" s="1"/>
  <c r="T448" i="10"/>
  <c r="U448" i="10" s="1"/>
  <c r="AF57" i="10"/>
  <c r="T517" i="10"/>
  <c r="U517" i="10" s="1"/>
  <c r="T44" i="10"/>
  <c r="U44" i="10" s="1"/>
  <c r="AF134" i="10"/>
  <c r="AF405" i="10"/>
  <c r="W334" i="10"/>
  <c r="W424" i="10"/>
  <c r="AC432" i="10"/>
  <c r="AD432" i="10" s="1"/>
  <c r="W297" i="10"/>
  <c r="AF310" i="10"/>
  <c r="T360" i="10"/>
  <c r="U360" i="10" s="1"/>
  <c r="T182" i="10"/>
  <c r="U182" i="10" s="1"/>
  <c r="AF154" i="10"/>
  <c r="W399" i="10"/>
  <c r="AF312" i="10"/>
  <c r="AF177" i="10"/>
  <c r="AF24" i="10"/>
  <c r="AF479" i="10"/>
  <c r="AF491" i="10"/>
  <c r="AF180" i="10"/>
  <c r="AG180" i="10" s="1"/>
  <c r="AF243" i="10"/>
  <c r="AF85" i="10"/>
  <c r="AF110" i="10"/>
  <c r="AF256" i="10"/>
  <c r="AF63" i="10"/>
  <c r="W56" i="10"/>
  <c r="W114" i="10"/>
  <c r="W149" i="10"/>
  <c r="AF161" i="10"/>
  <c r="Z227" i="10"/>
  <c r="AA227" i="10" s="1"/>
  <c r="Z528" i="10"/>
  <c r="AA528" i="10" s="1"/>
  <c r="Z545" i="10"/>
  <c r="AA545" i="10" s="1"/>
  <c r="Z504" i="10"/>
  <c r="AA504" i="10" s="1"/>
  <c r="Z20" i="10"/>
  <c r="AA20" i="10" s="1"/>
  <c r="Z226" i="10"/>
  <c r="AA226" i="10" s="1"/>
  <c r="Z422" i="10"/>
  <c r="AA422" i="10" s="1"/>
  <c r="Z326" i="10"/>
  <c r="AA326" i="10" s="1"/>
  <c r="Z160" i="10"/>
  <c r="AA160" i="10" s="1"/>
  <c r="Z379" i="10"/>
  <c r="AA379" i="10" s="1"/>
  <c r="Z530" i="10"/>
  <c r="AA530" i="10" s="1"/>
  <c r="Z57" i="10"/>
  <c r="AA57" i="10" s="1"/>
  <c r="Z241" i="10"/>
  <c r="AA241" i="10" s="1"/>
  <c r="Z415" i="10"/>
  <c r="AA415" i="10" s="1"/>
  <c r="Z489" i="10"/>
  <c r="AA489" i="10" s="1"/>
  <c r="Z292" i="10"/>
  <c r="AA292" i="10" s="1"/>
  <c r="Z336" i="10"/>
  <c r="AA336" i="10" s="1"/>
  <c r="Z87" i="10"/>
  <c r="AA87" i="10" s="1"/>
  <c r="Z376" i="10"/>
  <c r="AA376" i="10" s="1"/>
  <c r="Z114" i="10"/>
  <c r="AA114" i="10" s="1"/>
  <c r="AC211" i="10"/>
  <c r="AD211" i="10" s="1"/>
  <c r="T375" i="10"/>
  <c r="U375" i="10" s="1"/>
  <c r="T512" i="10"/>
  <c r="U512" i="10" s="1"/>
  <c r="T443" i="10"/>
  <c r="U443" i="10" s="1"/>
  <c r="AC61" i="10"/>
  <c r="AD61" i="10" s="1"/>
  <c r="AC483" i="10"/>
  <c r="AD483" i="10" s="1"/>
  <c r="W7" i="10"/>
  <c r="X7" i="10" s="1"/>
  <c r="AC141" i="10"/>
  <c r="AD141" i="10" s="1"/>
  <c r="AC542" i="10"/>
  <c r="AD542" i="10" s="1"/>
  <c r="AF33" i="10"/>
  <c r="AG33" i="10" s="1"/>
  <c r="T247" i="10"/>
  <c r="U247" i="10" s="1"/>
  <c r="AC259" i="10"/>
  <c r="AD259" i="10" s="1"/>
  <c r="W17" i="10"/>
  <c r="T67" i="10"/>
  <c r="U67" i="10" s="1"/>
  <c r="T185" i="10"/>
  <c r="U185" i="10" s="1"/>
  <c r="W381" i="10"/>
  <c r="W460" i="10"/>
  <c r="T296" i="10"/>
  <c r="U296" i="10" s="1"/>
  <c r="AC351" i="10"/>
  <c r="AD351" i="10" s="1"/>
  <c r="AF144" i="10"/>
  <c r="AC41" i="10"/>
  <c r="AD41" i="10" s="1"/>
  <c r="W505" i="10"/>
  <c r="AC212" i="10"/>
  <c r="AD212" i="10" s="1"/>
  <c r="W501" i="10"/>
  <c r="W384" i="10"/>
  <c r="W49" i="10"/>
  <c r="X49" i="10" s="1"/>
  <c r="AC287" i="10"/>
  <c r="AD287" i="10" s="1"/>
  <c r="T330" i="10"/>
  <c r="U330" i="10" s="1"/>
  <c r="W140" i="10"/>
  <c r="W432" i="10"/>
  <c r="W72" i="10"/>
  <c r="AF107" i="10"/>
  <c r="W408" i="10"/>
  <c r="AF38" i="10"/>
  <c r="AF9" i="10"/>
  <c r="AF109" i="10"/>
  <c r="AF292" i="10"/>
  <c r="AF319" i="10"/>
  <c r="AF168" i="10"/>
  <c r="AF506" i="10"/>
  <c r="AF75" i="10"/>
  <c r="AF521" i="10"/>
  <c r="W33" i="10"/>
  <c r="X33" i="10" s="1"/>
  <c r="AC428" i="10"/>
  <c r="AD428" i="10" s="1"/>
  <c r="AF420" i="10"/>
  <c r="T540" i="10"/>
  <c r="U540" i="10" s="1"/>
  <c r="AF472" i="10"/>
  <c r="T160" i="10"/>
  <c r="U160" i="10" s="1"/>
  <c r="Z128" i="10"/>
  <c r="AA128" i="10" s="1"/>
  <c r="Z392" i="10"/>
  <c r="AA392" i="10" s="1"/>
  <c r="Z547" i="10"/>
  <c r="AA547" i="10" s="1"/>
  <c r="Z63" i="10"/>
  <c r="AA63" i="10" s="1"/>
  <c r="Z468" i="10"/>
  <c r="AA468" i="10" s="1"/>
  <c r="Z254" i="10"/>
  <c r="AA254" i="10" s="1"/>
  <c r="Z176" i="10"/>
  <c r="AA176" i="10" s="1"/>
  <c r="Z375" i="10"/>
  <c r="AA375" i="10" s="1"/>
  <c r="Z209" i="10"/>
  <c r="AA209" i="10" s="1"/>
  <c r="Z412" i="10"/>
  <c r="AA412" i="10" s="1"/>
  <c r="Z195" i="10"/>
  <c r="AA195" i="10" s="1"/>
  <c r="Z396" i="10"/>
  <c r="AA396" i="10" s="1"/>
  <c r="Z248" i="10"/>
  <c r="AA248" i="10" s="1"/>
  <c r="Z182" i="10"/>
  <c r="AA182" i="10" s="1"/>
  <c r="Z406" i="10"/>
  <c r="AA406" i="10" s="1"/>
  <c r="Z41" i="10"/>
  <c r="AA41" i="10" s="1"/>
  <c r="Z44" i="10"/>
  <c r="AA44" i="10" s="1"/>
  <c r="Z524" i="10"/>
  <c r="AA524" i="10" s="1"/>
  <c r="Z333" i="10"/>
  <c r="AA333" i="10" s="1"/>
  <c r="T240" i="10"/>
  <c r="U240" i="10" s="1"/>
  <c r="AF473" i="10"/>
  <c r="T227" i="10"/>
  <c r="U227" i="10" s="1"/>
  <c r="AF105" i="10"/>
  <c r="T449" i="10"/>
  <c r="U449" i="10" s="1"/>
  <c r="W10" i="10"/>
  <c r="X10" i="10" s="1"/>
  <c r="W429" i="10"/>
  <c r="W196" i="10"/>
  <c r="W97" i="10"/>
  <c r="T497" i="10"/>
  <c r="U497" i="10" s="1"/>
  <c r="W222" i="10"/>
  <c r="AF430" i="10"/>
  <c r="AF300" i="10"/>
  <c r="T141" i="10"/>
  <c r="U141" i="10" s="1"/>
  <c r="AF54" i="10"/>
  <c r="AC404" i="10"/>
  <c r="AD404" i="10" s="1"/>
  <c r="T9" i="10"/>
  <c r="U9" i="10" s="1"/>
  <c r="W122" i="10"/>
  <c r="AC330" i="10"/>
  <c r="AD330" i="10" s="1"/>
  <c r="AC391" i="10"/>
  <c r="AD391" i="10" s="1"/>
  <c r="AC471" i="10"/>
  <c r="AD471" i="10" s="1"/>
  <c r="AF83" i="10"/>
  <c r="AF324" i="10"/>
  <c r="AC176" i="10"/>
  <c r="AD176" i="10" s="1"/>
  <c r="W475" i="10"/>
  <c r="T198" i="10"/>
  <c r="U198" i="10" s="1"/>
  <c r="T456" i="10"/>
  <c r="U456" i="10" s="1"/>
  <c r="W458" i="10"/>
  <c r="W450" i="10"/>
  <c r="T252" i="10"/>
  <c r="U252" i="10" s="1"/>
  <c r="AC223" i="10"/>
  <c r="AD223" i="10" s="1"/>
  <c r="AC172" i="10"/>
  <c r="AD172" i="10" s="1"/>
  <c r="AF493" i="10"/>
  <c r="T167" i="10"/>
  <c r="U167" i="10" s="1"/>
  <c r="AF358" i="10"/>
  <c r="AF340" i="10"/>
  <c r="AF170" i="10"/>
  <c r="AF242" i="10"/>
  <c r="AF209" i="10"/>
  <c r="AF34" i="10"/>
  <c r="AF525" i="10"/>
  <c r="AF492" i="10"/>
  <c r="AF200" i="10"/>
  <c r="W506" i="10"/>
  <c r="T397" i="10"/>
  <c r="U397" i="10" s="1"/>
  <c r="W397" i="10"/>
  <c r="AF15" i="10"/>
  <c r="W308" i="10"/>
  <c r="AC478" i="10"/>
  <c r="AD478" i="10" s="1"/>
  <c r="W471" i="10"/>
  <c r="W163" i="10"/>
  <c r="AC91" i="10"/>
  <c r="AD91" i="10" s="1"/>
  <c r="W303" i="10"/>
  <c r="AC102" i="10"/>
  <c r="AD102" i="10" s="1"/>
  <c r="W232" i="10"/>
  <c r="W439" i="10"/>
  <c r="Z460" i="10"/>
  <c r="AA460" i="10" s="1"/>
  <c r="Z119" i="10"/>
  <c r="AA119" i="10" s="1"/>
  <c r="Z486" i="10"/>
  <c r="AA486" i="10" s="1"/>
  <c r="Z476" i="10"/>
  <c r="AA476" i="10" s="1"/>
  <c r="Z70" i="10"/>
  <c r="AA70" i="10" s="1"/>
  <c r="Z268" i="10"/>
  <c r="AA268" i="10" s="1"/>
  <c r="Z307" i="10"/>
  <c r="AA307" i="10" s="1"/>
  <c r="Z539" i="10"/>
  <c r="AA539" i="10" s="1"/>
  <c r="Z230" i="10"/>
  <c r="AA230" i="10" s="1"/>
  <c r="Z436" i="10"/>
  <c r="AA436" i="10" s="1"/>
  <c r="Z522" i="10"/>
  <c r="AA522" i="10" s="1"/>
  <c r="Z258" i="10"/>
  <c r="AA258" i="10" s="1"/>
  <c r="Z173" i="10"/>
  <c r="AA173" i="10" s="1"/>
  <c r="Z315" i="10"/>
  <c r="AA315" i="10" s="1"/>
  <c r="Z247" i="10"/>
  <c r="AA247" i="10" s="1"/>
  <c r="Z400" i="10"/>
  <c r="AA400" i="10" s="1"/>
  <c r="Z206" i="10"/>
  <c r="AA206" i="10" s="1"/>
  <c r="Z222" i="10"/>
  <c r="AA222" i="10" s="1"/>
  <c r="Z385" i="10"/>
  <c r="AA385" i="10" s="1"/>
  <c r="Z142" i="10"/>
  <c r="AA142" i="10" s="1"/>
  <c r="Z140" i="10"/>
  <c r="AA140" i="10" s="1"/>
  <c r="Z286" i="10"/>
  <c r="AA286" i="10" s="1"/>
  <c r="Z51" i="10"/>
  <c r="AA51" i="10" s="1"/>
  <c r="Z243" i="10"/>
  <c r="AA243" i="10" s="1"/>
  <c r="Z109" i="10"/>
  <c r="AA109" i="10" s="1"/>
  <c r="Z348" i="10"/>
  <c r="AA348" i="10" s="1"/>
  <c r="Z252" i="10"/>
  <c r="AA252" i="10" s="1"/>
  <c r="Z427" i="10"/>
  <c r="AA427" i="10" s="1"/>
  <c r="Z45" i="10"/>
  <c r="AA45" i="10" s="1"/>
  <c r="Z210" i="10"/>
  <c r="AA210" i="10" s="1"/>
  <c r="Z316" i="10"/>
  <c r="AA316" i="10" s="1"/>
  <c r="Z198" i="10"/>
  <c r="AA198" i="10" s="1"/>
  <c r="Z534" i="10"/>
  <c r="AA534" i="10" s="1"/>
  <c r="Z327" i="10"/>
  <c r="AA327" i="10" s="1"/>
  <c r="Z183" i="10"/>
  <c r="AA183" i="10" s="1"/>
  <c r="Z334" i="10"/>
  <c r="AA334" i="10" s="1"/>
  <c r="Z249" i="10"/>
  <c r="AA249" i="10" s="1"/>
  <c r="Z270" i="10"/>
  <c r="AA270" i="10" s="1"/>
  <c r="Z386" i="10"/>
  <c r="AA386" i="10" s="1"/>
  <c r="Z310" i="10"/>
  <c r="AA310" i="10" s="1"/>
  <c r="Z259" i="10"/>
  <c r="AA259" i="10" s="1"/>
  <c r="Z178" i="10"/>
  <c r="AA178" i="10" s="1"/>
  <c r="Z79" i="10"/>
  <c r="AA79" i="10" s="1"/>
  <c r="Z301" i="10"/>
  <c r="AA301" i="10" s="1"/>
  <c r="Z449" i="10"/>
  <c r="AA449" i="10" s="1"/>
  <c r="Z224" i="10"/>
  <c r="AA224" i="10" s="1"/>
  <c r="W142" i="10"/>
  <c r="X142" i="10" s="1"/>
  <c r="AC356" i="10"/>
  <c r="AD356" i="10" s="1"/>
  <c r="AC310" i="10"/>
  <c r="AD310" i="10" s="1"/>
  <c r="AF349" i="10"/>
  <c r="AC338" i="10"/>
  <c r="AD338" i="10" s="1"/>
  <c r="AC469" i="10"/>
  <c r="AD469" i="10" s="1"/>
  <c r="W461" i="10"/>
  <c r="AF278" i="10"/>
  <c r="T105" i="10"/>
  <c r="U105" i="10" s="1"/>
  <c r="W318" i="10"/>
  <c r="W342" i="10"/>
  <c r="T23" i="10"/>
  <c r="U23" i="10" s="1"/>
  <c r="AF119" i="10"/>
  <c r="AG119" i="10" s="1"/>
  <c r="W21" i="10"/>
  <c r="X21" i="10" s="1"/>
  <c r="W200" i="10"/>
  <c r="AF544" i="10"/>
  <c r="T271" i="10"/>
  <c r="U271" i="10" s="1"/>
  <c r="T422" i="10"/>
  <c r="U422" i="10" s="1"/>
  <c r="T114" i="10"/>
  <c r="U114" i="10" s="1"/>
  <c r="W187" i="10"/>
  <c r="AF447" i="10"/>
  <c r="W269" i="10"/>
  <c r="T311" i="10"/>
  <c r="U311" i="10" s="1"/>
  <c r="AC456" i="10"/>
  <c r="AD456" i="10" s="1"/>
  <c r="W306" i="10"/>
  <c r="T222" i="10"/>
  <c r="U222" i="10" s="1"/>
  <c r="W186" i="10"/>
  <c r="T325" i="10"/>
  <c r="U325" i="10" s="1"/>
  <c r="AF367" i="10"/>
  <c r="AC403" i="10"/>
  <c r="AD403" i="10" s="1"/>
  <c r="W346" i="10"/>
  <c r="X346" i="10" s="1"/>
  <c r="T174" i="10"/>
  <c r="U174" i="10" s="1"/>
  <c r="AC353" i="10"/>
  <c r="AD353" i="10" s="1"/>
  <c r="T16" i="10"/>
  <c r="U16" i="10" s="1"/>
  <c r="AC62" i="10"/>
  <c r="AD62" i="10" s="1"/>
  <c r="W107" i="10"/>
  <c r="W355" i="10"/>
  <c r="T277" i="10"/>
  <c r="U277" i="10" s="1"/>
  <c r="AC39" i="10"/>
  <c r="AD39" i="10" s="1"/>
  <c r="T95" i="10"/>
  <c r="U95" i="10" s="1"/>
  <c r="AF436" i="10"/>
  <c r="T211" i="10"/>
  <c r="U211" i="10" s="1"/>
  <c r="T159" i="10"/>
  <c r="U159" i="10" s="1"/>
  <c r="T204" i="10"/>
  <c r="U204" i="10" s="1"/>
  <c r="W514" i="10"/>
  <c r="AC300" i="10"/>
  <c r="AD300" i="10" s="1"/>
  <c r="W404" i="10"/>
  <c r="AC34" i="10"/>
  <c r="AD34" i="10" s="1"/>
  <c r="T289" i="10"/>
  <c r="U289" i="10" s="1"/>
  <c r="AC500" i="10"/>
  <c r="AD500" i="10" s="1"/>
  <c r="W4" i="10"/>
  <c r="X4" i="10" s="1"/>
  <c r="W362" i="10"/>
  <c r="AF275" i="10"/>
  <c r="W537" i="10"/>
  <c r="AC146" i="10"/>
  <c r="AD146" i="10" s="1"/>
  <c r="W319" i="10"/>
  <c r="T412" i="10"/>
  <c r="U412" i="10" s="1"/>
  <c r="W491" i="10"/>
  <c r="AC90" i="10"/>
  <c r="AD90" i="10" s="1"/>
  <c r="W379" i="10"/>
  <c r="T5" i="10"/>
  <c r="U5" i="10" s="1"/>
  <c r="AC517" i="10"/>
  <c r="AD517" i="10" s="1"/>
  <c r="W131" i="10"/>
  <c r="AF228" i="10"/>
  <c r="T66" i="10"/>
  <c r="U66" i="10" s="1"/>
  <c r="AF276" i="10"/>
  <c r="W423" i="10"/>
  <c r="T407" i="10"/>
  <c r="U407" i="10" s="1"/>
  <c r="AC73" i="10"/>
  <c r="AD73" i="10" s="1"/>
  <c r="AC408" i="10"/>
  <c r="AD408" i="10" s="1"/>
  <c r="AC520" i="10"/>
  <c r="AD520" i="10" s="1"/>
  <c r="T479" i="10"/>
  <c r="U479" i="10" s="1"/>
  <c r="AC168" i="10"/>
  <c r="AD168" i="10" s="1"/>
  <c r="T345" i="10"/>
  <c r="U345" i="10" s="1"/>
  <c r="W533" i="10"/>
  <c r="W13" i="10"/>
  <c r="X13" i="10" s="1"/>
  <c r="AC198" i="10"/>
  <c r="AD198" i="10" s="1"/>
  <c r="AF13" i="10"/>
  <c r="T285" i="10"/>
  <c r="U285" i="10" s="1"/>
  <c r="AF283" i="10"/>
  <c r="AG283" i="10" s="1"/>
  <c r="AF241" i="10"/>
  <c r="AF73" i="10"/>
  <c r="AF139" i="10"/>
  <c r="AF264" i="10"/>
  <c r="AF39" i="10"/>
  <c r="AF252" i="10"/>
  <c r="AF450" i="10"/>
  <c r="AF304" i="10"/>
  <c r="AF518" i="10"/>
  <c r="AF282" i="10"/>
  <c r="AF415" i="10"/>
  <c r="AF99" i="10"/>
  <c r="AF545" i="10"/>
  <c r="AF537" i="10"/>
  <c r="AF468" i="10"/>
  <c r="AF351" i="10"/>
  <c r="AG351" i="10" s="1"/>
  <c r="AF11" i="10"/>
  <c r="AF286" i="10"/>
  <c r="AF166" i="10"/>
  <c r="AF4" i="10"/>
  <c r="AG4" i="10" s="1"/>
  <c r="W139" i="10"/>
  <c r="W523" i="10"/>
  <c r="W238" i="10"/>
  <c r="W223" i="10"/>
  <c r="W289" i="10"/>
  <c r="X289" i="10" s="1"/>
  <c r="W179" i="10"/>
  <c r="W123" i="10"/>
  <c r="W113" i="10"/>
  <c r="W267" i="10"/>
  <c r="W216" i="10"/>
  <c r="W209" i="10"/>
  <c r="W420" i="10"/>
  <c r="W495" i="10"/>
  <c r="W183" i="10"/>
  <c r="W385" i="10"/>
  <c r="W249" i="10"/>
  <c r="W457" i="10"/>
  <c r="W324" i="10"/>
  <c r="W241" i="10"/>
  <c r="W369" i="10"/>
  <c r="W304" i="10"/>
  <c r="W494" i="10"/>
  <c r="W145" i="10"/>
  <c r="W182" i="10"/>
  <c r="W445" i="10"/>
  <c r="W378" i="10"/>
  <c r="W454" i="10"/>
  <c r="W94" i="10"/>
  <c r="W67" i="10"/>
  <c r="W464" i="10"/>
  <c r="W540" i="10"/>
  <c r="W512" i="10"/>
  <c r="W305" i="10"/>
  <c r="W43" i="10"/>
  <c r="X43" i="10" s="1"/>
  <c r="W519" i="10"/>
  <c r="W359" i="10"/>
  <c r="W438" i="10"/>
  <c r="W488" i="10"/>
  <c r="W395" i="10"/>
  <c r="W168" i="10"/>
  <c r="W349" i="10"/>
  <c r="W473" i="10"/>
  <c r="W252" i="10"/>
  <c r="W299" i="10"/>
  <c r="W217" i="10"/>
  <c r="W401" i="10"/>
  <c r="W27" i="10"/>
  <c r="W535" i="10"/>
  <c r="W132" i="10"/>
  <c r="W467" i="10"/>
  <c r="W25" i="10"/>
  <c r="W543" i="10"/>
  <c r="W538" i="10"/>
  <c r="W254" i="10"/>
  <c r="W39" i="10"/>
  <c r="X39" i="10" s="1"/>
  <c r="W510" i="10"/>
  <c r="W421" i="10"/>
  <c r="W248" i="10"/>
  <c r="W26" i="10"/>
  <c r="W328" i="10"/>
  <c r="W442" i="10"/>
  <c r="W161" i="10"/>
  <c r="W206" i="10"/>
  <c r="W406" i="10"/>
  <c r="W411" i="10"/>
  <c r="W108" i="10"/>
  <c r="W377" i="10"/>
  <c r="W403" i="10"/>
  <c r="W66" i="10"/>
  <c r="W459" i="10"/>
  <c r="W23" i="10"/>
  <c r="X23" i="10" s="1"/>
  <c r="W240" i="10"/>
  <c r="W256" i="10"/>
  <c r="W130" i="10"/>
  <c r="W227" i="10"/>
  <c r="W76" i="10"/>
  <c r="W110" i="10"/>
  <c r="W426" i="10"/>
  <c r="W29" i="10"/>
  <c r="X29" i="10" s="1"/>
  <c r="W343" i="10"/>
  <c r="W525" i="10"/>
  <c r="W178" i="10"/>
  <c r="W90" i="10"/>
  <c r="W347" i="10"/>
  <c r="W103" i="10"/>
  <c r="W165" i="10"/>
  <c r="W390" i="10"/>
  <c r="W337" i="10"/>
  <c r="W372" i="10"/>
  <c r="W456" i="10"/>
  <c r="W82" i="10"/>
  <c r="W532" i="10"/>
  <c r="W329" i="10"/>
  <c r="W129" i="10"/>
  <c r="W236" i="10"/>
  <c r="W375" i="10"/>
  <c r="W313" i="10"/>
  <c r="W348" i="10"/>
  <c r="W40" i="10"/>
  <c r="X40" i="10" s="1"/>
  <c r="W41" i="10"/>
  <c r="X41" i="10" s="1"/>
  <c r="W257" i="10"/>
  <c r="W32" i="10"/>
  <c r="X32" i="10" s="1"/>
  <c r="W315" i="10"/>
  <c r="X315" i="10" s="1"/>
  <c r="W300" i="10"/>
  <c r="W365" i="10"/>
  <c r="W199" i="10"/>
  <c r="W224" i="10"/>
  <c r="W115" i="10"/>
  <c r="W518" i="10"/>
  <c r="W263" i="10"/>
  <c r="W237" i="10"/>
  <c r="W273" i="10"/>
  <c r="W164" i="10"/>
  <c r="W481" i="10"/>
  <c r="W542" i="10"/>
  <c r="W345" i="10"/>
  <c r="W363" i="10"/>
  <c r="W96" i="10"/>
  <c r="W98" i="10"/>
  <c r="W69" i="10"/>
  <c r="W534" i="10"/>
  <c r="W12" i="10"/>
  <c r="W502" i="10"/>
  <c r="W155" i="10"/>
  <c r="W546" i="10"/>
  <c r="W211" i="10"/>
  <c r="W120" i="10"/>
  <c r="W414" i="10"/>
  <c r="W124" i="10"/>
  <c r="W539" i="10"/>
  <c r="W198" i="10"/>
  <c r="W35" i="10"/>
  <c r="X35" i="10" s="1"/>
  <c r="W477" i="10"/>
  <c r="W449" i="10"/>
  <c r="W99" i="10"/>
  <c r="W133" i="10"/>
  <c r="W448" i="10"/>
  <c r="W3" i="10"/>
  <c r="W44" i="10"/>
  <c r="W419" i="10"/>
  <c r="W243" i="10"/>
  <c r="W302" i="10"/>
  <c r="W14" i="10"/>
  <c r="W483" i="10"/>
  <c r="W283" i="10"/>
  <c r="W167" i="10"/>
  <c r="W310" i="10"/>
  <c r="W472" i="10"/>
  <c r="W93" i="10"/>
  <c r="W46" i="10"/>
  <c r="X46" i="10" s="1"/>
  <c r="W387" i="10"/>
  <c r="W287" i="10"/>
  <c r="W219" i="10"/>
  <c r="W265" i="10"/>
  <c r="W489" i="10"/>
  <c r="W298" i="10"/>
  <c r="W371" i="10"/>
  <c r="W253" i="10"/>
  <c r="W360" i="10"/>
  <c r="W118" i="10"/>
  <c r="X118" i="10" s="1"/>
  <c r="W207" i="10"/>
  <c r="W344" i="10"/>
  <c r="W218" i="10"/>
  <c r="W102" i="10"/>
  <c r="W367" i="10"/>
  <c r="W172" i="10"/>
  <c r="W493" i="10"/>
  <c r="W400" i="10"/>
  <c r="W294" i="10"/>
  <c r="W250" i="10"/>
  <c r="W204" i="10"/>
  <c r="W431" i="10"/>
  <c r="W446" i="10"/>
  <c r="W290" i="10"/>
  <c r="X290" i="10" s="1"/>
  <c r="W84" i="10"/>
  <c r="W100" i="10"/>
  <c r="W176" i="10"/>
  <c r="W181" i="10"/>
  <c r="W339" i="10"/>
  <c r="W487" i="10"/>
  <c r="W522" i="10"/>
  <c r="W83" i="10"/>
  <c r="W175" i="10"/>
  <c r="W497" i="10"/>
  <c r="W16" i="10"/>
  <c r="X16" i="10" s="1"/>
  <c r="W214" i="10"/>
  <c r="W106" i="10"/>
  <c r="W327" i="10"/>
  <c r="W197" i="10"/>
  <c r="W270" i="10"/>
  <c r="W516" i="10"/>
  <c r="W388" i="10"/>
  <c r="W503" i="10"/>
  <c r="W332" i="10"/>
  <c r="W468" i="10"/>
  <c r="W134" i="10"/>
  <c r="X134" i="10" s="1"/>
  <c r="W333" i="10"/>
  <c r="W496" i="10"/>
  <c r="W42" i="10"/>
  <c r="X42" i="10" s="1"/>
  <c r="W125" i="10"/>
  <c r="W111" i="10"/>
  <c r="W455" i="10"/>
  <c r="W364" i="10"/>
  <c r="W36" i="10"/>
  <c r="X36" i="10" s="1"/>
  <c r="W195" i="10"/>
  <c r="W55" i="10"/>
  <c r="W447" i="10"/>
  <c r="W260" i="10"/>
  <c r="W320" i="10"/>
  <c r="X320" i="10" s="1"/>
  <c r="W105" i="10"/>
  <c r="W261" i="10"/>
  <c r="W434" i="10"/>
  <c r="W509" i="10"/>
  <c r="W117" i="10"/>
  <c r="X117" i="10" s="1"/>
  <c r="W141" i="10"/>
  <c r="X141" i="10" s="1"/>
  <c r="W233" i="10"/>
  <c r="W9" i="10"/>
  <c r="X9" i="10" s="1"/>
  <c r="W323" i="10"/>
  <c r="W61" i="10"/>
  <c r="W251" i="10"/>
  <c r="W418" i="10"/>
  <c r="W146" i="10"/>
  <c r="X146" i="10" s="1"/>
  <c r="W88" i="10"/>
  <c r="W201" i="10"/>
  <c r="W309" i="10"/>
  <c r="W170" i="10"/>
  <c r="T383" i="10"/>
  <c r="U383" i="10" s="1"/>
  <c r="W212" i="10"/>
  <c r="W51" i="10"/>
  <c r="AC479" i="10"/>
  <c r="AD479" i="10" s="1"/>
  <c r="T26" i="10"/>
  <c r="U26" i="10" s="1"/>
  <c r="W422" i="10"/>
  <c r="W157" i="10"/>
  <c r="AC307" i="10"/>
  <c r="AD307" i="10" s="1"/>
  <c r="W5" i="10"/>
  <c r="AC8" i="10"/>
  <c r="AD8" i="10" s="1"/>
  <c r="T233" i="10"/>
  <c r="U233" i="10" s="1"/>
  <c r="W545" i="10"/>
  <c r="T260" i="10"/>
  <c r="U260" i="10" s="1"/>
  <c r="Z414" i="10"/>
  <c r="AA414" i="10" s="1"/>
  <c r="Z264" i="10"/>
  <c r="AA264" i="10" s="1"/>
  <c r="Z28" i="10"/>
  <c r="AA28" i="10" s="1"/>
  <c r="Z473" i="10"/>
  <c r="AA473" i="10" s="1"/>
  <c r="Z68" i="10"/>
  <c r="AA68" i="10" s="1"/>
  <c r="Z444" i="10"/>
  <c r="AA444" i="10" s="1"/>
  <c r="Z80" i="10"/>
  <c r="AA80" i="10" s="1"/>
  <c r="Z454" i="10"/>
  <c r="AA454" i="10" s="1"/>
  <c r="Z339" i="10"/>
  <c r="AA339" i="10" s="1"/>
  <c r="Z453" i="10"/>
  <c r="AA453" i="10" s="1"/>
  <c r="Z513" i="10"/>
  <c r="AA513" i="10" s="1"/>
  <c r="Z257" i="10"/>
  <c r="AA257" i="10" s="1"/>
  <c r="Z407" i="10"/>
  <c r="AA407" i="10" s="1"/>
  <c r="Z537" i="10"/>
  <c r="AA537" i="10" s="1"/>
  <c r="Z402" i="10"/>
  <c r="AA402" i="10" s="1"/>
  <c r="Z184" i="10"/>
  <c r="AA184" i="10" s="1"/>
  <c r="Z345" i="10"/>
  <c r="AA345" i="10" s="1"/>
  <c r="Z323" i="10"/>
  <c r="AA323" i="10" s="1"/>
  <c r="Z179" i="10"/>
  <c r="AA179" i="10" s="1"/>
  <c r="Z3" i="10"/>
  <c r="AA3" i="10" s="1"/>
  <c r="Z382" i="10"/>
  <c r="AA382" i="10" s="1"/>
  <c r="Z25" i="10"/>
  <c r="AA25" i="10" s="1"/>
  <c r="Z26" i="10"/>
  <c r="AA26" i="10" s="1"/>
  <c r="Z318" i="10"/>
  <c r="AA318" i="10" s="1"/>
  <c r="Z192" i="10"/>
  <c r="AA192" i="10" s="1"/>
  <c r="Z398" i="10"/>
  <c r="AA398" i="10" s="1"/>
  <c r="Z490" i="10"/>
  <c r="AA490" i="10" s="1"/>
  <c r="Z153" i="10"/>
  <c r="AA153" i="10" s="1"/>
  <c r="Z106" i="10"/>
  <c r="AA106" i="10" s="1"/>
  <c r="Z474" i="10"/>
  <c r="AA474" i="10" s="1"/>
  <c r="Z408" i="10"/>
  <c r="AA408" i="10" s="1"/>
  <c r="Z265" i="10"/>
  <c r="AA265" i="10" s="1"/>
  <c r="Z175" i="10"/>
  <c r="AA175" i="10" s="1"/>
  <c r="Z351" i="10"/>
  <c r="AA351" i="10" s="1"/>
  <c r="Z62" i="10"/>
  <c r="AA62" i="10" s="1"/>
  <c r="Z540" i="10"/>
  <c r="AA540" i="10" s="1"/>
  <c r="Z516" i="10"/>
  <c r="AA516" i="10" s="1"/>
  <c r="Z202" i="10"/>
  <c r="AA202" i="10" s="1"/>
  <c r="Z409" i="10"/>
  <c r="AA409" i="10" s="1"/>
  <c r="Z491" i="10"/>
  <c r="AA491" i="10" s="1"/>
  <c r="Z78" i="10"/>
  <c r="AA78" i="10" s="1"/>
  <c r="Z541" i="10"/>
  <c r="AA541" i="10" s="1"/>
  <c r="Z438" i="10"/>
  <c r="AA438" i="10" s="1"/>
  <c r="Z480" i="10"/>
  <c r="AA480" i="10" s="1"/>
  <c r="Z21" i="10"/>
  <c r="AA21" i="10" s="1"/>
  <c r="AC183" i="10"/>
  <c r="AD183" i="10" s="1"/>
  <c r="AC493" i="10"/>
  <c r="AD493" i="10" s="1"/>
  <c r="T310" i="10"/>
  <c r="U310" i="10" s="1"/>
  <c r="AC377" i="10"/>
  <c r="AD377" i="10" s="1"/>
  <c r="T14" i="10"/>
  <c r="U14" i="10" s="1"/>
  <c r="W466" i="10"/>
  <c r="AC17" i="10"/>
  <c r="AD17" i="10" s="1"/>
  <c r="W63" i="10"/>
  <c r="W121" i="10"/>
  <c r="W462" i="10"/>
  <c r="AC269" i="10"/>
  <c r="AD269" i="10" s="1"/>
  <c r="AC544" i="10"/>
  <c r="AD544" i="10" s="1"/>
  <c r="T257" i="10"/>
  <c r="U257" i="10" s="1"/>
  <c r="T363" i="10"/>
  <c r="U363" i="10" s="1"/>
  <c r="W79" i="10"/>
  <c r="AF449" i="10"/>
  <c r="AC238" i="10"/>
  <c r="AD238" i="10" s="1"/>
  <c r="AF394" i="10"/>
  <c r="W235" i="10"/>
  <c r="AC245" i="10"/>
  <c r="AD245" i="10" s="1"/>
  <c r="W409" i="10"/>
  <c r="T230" i="10"/>
  <c r="U230" i="10" s="1"/>
  <c r="T81" i="10"/>
  <c r="U81" i="10" s="1"/>
  <c r="W433" i="10"/>
  <c r="AC272" i="10"/>
  <c r="AD272" i="10" s="1"/>
  <c r="AC100" i="10"/>
  <c r="AD100" i="10" s="1"/>
  <c r="AF380" i="10"/>
  <c r="AC165" i="10"/>
  <c r="AD165" i="10" s="1"/>
  <c r="AC170" i="10"/>
  <c r="AD170" i="10" s="1"/>
  <c r="T146" i="10"/>
  <c r="U146" i="10" s="1"/>
  <c r="T315" i="10"/>
  <c r="U315" i="10" s="1"/>
  <c r="W190" i="10"/>
  <c r="W498" i="10"/>
  <c r="T208" i="10"/>
  <c r="U208" i="10" s="1"/>
  <c r="T171" i="10"/>
  <c r="U171" i="10" s="1"/>
  <c r="W19" i="10"/>
  <c r="X19" i="10" s="1"/>
  <c r="AC448" i="10"/>
  <c r="AD448" i="10" s="1"/>
  <c r="AC464" i="10"/>
  <c r="AD464" i="10" s="1"/>
  <c r="AF74" i="10"/>
  <c r="AC7" i="10"/>
  <c r="AD7" i="10" s="1"/>
  <c r="AC201" i="10"/>
  <c r="AD201" i="10" s="1"/>
  <c r="T218" i="10"/>
  <c r="U218" i="10" s="1"/>
  <c r="T139" i="10"/>
  <c r="U139" i="10" s="1"/>
  <c r="T495" i="10"/>
  <c r="U495" i="10" s="1"/>
  <c r="AC97" i="10"/>
  <c r="AD97" i="10" s="1"/>
  <c r="W353" i="10"/>
  <c r="W255" i="10"/>
  <c r="AF266" i="10"/>
  <c r="W188" i="10"/>
  <c r="W366" i="10"/>
  <c r="AF92" i="10"/>
  <c r="W119" i="10"/>
  <c r="X119" i="10" s="1"/>
  <c r="T283" i="10"/>
  <c r="U283" i="10" s="1"/>
  <c r="W160" i="10"/>
  <c r="T506" i="10"/>
  <c r="U506" i="10" s="1"/>
  <c r="W452" i="10"/>
  <c r="T87" i="10"/>
  <c r="U87" i="10" s="1"/>
  <c r="AC490" i="10"/>
  <c r="AD490" i="10" s="1"/>
  <c r="T126" i="10"/>
  <c r="U126" i="10" s="1"/>
  <c r="AC217" i="10"/>
  <c r="AD217" i="10" s="1"/>
  <c r="AF445" i="10"/>
  <c r="W405" i="10"/>
  <c r="W394" i="10"/>
  <c r="T300" i="10"/>
  <c r="U300" i="10" s="1"/>
  <c r="AF288" i="10"/>
  <c r="T487" i="10"/>
  <c r="U487" i="10" s="1"/>
  <c r="W311" i="10"/>
  <c r="W20" i="10"/>
  <c r="X20" i="10" s="1"/>
  <c r="AF528" i="10"/>
  <c r="AC222" i="10"/>
  <c r="AD222" i="10" s="1"/>
  <c r="AC160" i="10"/>
  <c r="AD160" i="10" s="1"/>
  <c r="T485" i="10"/>
  <c r="U485" i="10" s="1"/>
  <c r="AF210" i="10"/>
  <c r="W474" i="10"/>
  <c r="T3" i="10"/>
  <c r="U3" i="10" s="1"/>
  <c r="W331" i="10"/>
  <c r="AF428" i="10"/>
  <c r="AF429" i="10"/>
  <c r="T350" i="10"/>
  <c r="U350" i="10" s="1"/>
  <c r="AC59" i="10"/>
  <c r="AD59" i="10" s="1"/>
  <c r="W373" i="10"/>
  <c r="AF484" i="10"/>
  <c r="AF94" i="10"/>
  <c r="AF404" i="10"/>
  <c r="AF230" i="10"/>
  <c r="AF36" i="10"/>
  <c r="AG36" i="10" s="1"/>
  <c r="AF221" i="10"/>
  <c r="AF178" i="10"/>
  <c r="AF352" i="10"/>
  <c r="AF191" i="10"/>
  <c r="AF422" i="10"/>
  <c r="AF122" i="10"/>
  <c r="AG122" i="10" s="1"/>
  <c r="AF162" i="10"/>
  <c r="AF401" i="10"/>
  <c r="AF237" i="10"/>
  <c r="AF224" i="10"/>
  <c r="AF490" i="10"/>
  <c r="AF31" i="10"/>
  <c r="AF339" i="10"/>
  <c r="AF195" i="10"/>
  <c r="AF345" i="10"/>
  <c r="AG345" i="10" s="1"/>
  <c r="AF478" i="10"/>
  <c r="T317" i="10"/>
  <c r="U317" i="10" s="1"/>
  <c r="T522" i="10"/>
  <c r="U522" i="10" s="1"/>
  <c r="AC235" i="10"/>
  <c r="AD235" i="10" s="1"/>
  <c r="T42" i="10"/>
  <c r="U42" i="10" s="1"/>
  <c r="W340" i="10"/>
  <c r="W104" i="10"/>
  <c r="T148" i="10"/>
  <c r="U148" i="10" s="1"/>
  <c r="AF265" i="10"/>
  <c r="Z133" i="10"/>
  <c r="AA133" i="10" s="1"/>
  <c r="Z546" i="10"/>
  <c r="AA546" i="10" s="1"/>
  <c r="Z526" i="10"/>
  <c r="AA526" i="10" s="1"/>
  <c r="Z484" i="10"/>
  <c r="AA484" i="10" s="1"/>
  <c r="Z164" i="10"/>
  <c r="AA164" i="10" s="1"/>
  <c r="Z144" i="10"/>
  <c r="AA144" i="10" s="1"/>
  <c r="Z299" i="10"/>
  <c r="AA299" i="10" s="1"/>
  <c r="Z216" i="10"/>
  <c r="AA216" i="10" s="1"/>
  <c r="Z341" i="10"/>
  <c r="AA341" i="10" s="1"/>
  <c r="Z344" i="10"/>
  <c r="AA344" i="10" s="1"/>
  <c r="Z380" i="10"/>
  <c r="AA380" i="10" s="1"/>
  <c r="Z30" i="10"/>
  <c r="AA30" i="10" s="1"/>
  <c r="Z256" i="10"/>
  <c r="AA256" i="10" s="1"/>
  <c r="Z213" i="10"/>
  <c r="AA213" i="10" s="1"/>
  <c r="Z74" i="10"/>
  <c r="AA74" i="10" s="1"/>
  <c r="Z424" i="10"/>
  <c r="AA424" i="10" s="1"/>
  <c r="Z300" i="10"/>
  <c r="AA300" i="10" s="1"/>
  <c r="Z5" i="10"/>
  <c r="AA5" i="10" s="1"/>
  <c r="Z12" i="10"/>
  <c r="AA12" i="10" s="1"/>
  <c r="Z465" i="10"/>
  <c r="AA465" i="10" s="1"/>
  <c r="Z410" i="10"/>
  <c r="AA410" i="10" s="1"/>
  <c r="Z220" i="10"/>
  <c r="AA220" i="10" s="1"/>
  <c r="Z322" i="10"/>
  <c r="AA322" i="10" s="1"/>
  <c r="Z205" i="10"/>
  <c r="AA205" i="10" s="1"/>
  <c r="Z211" i="10"/>
  <c r="AA211" i="10" s="1"/>
  <c r="Z229" i="10"/>
  <c r="AA229" i="10" s="1"/>
  <c r="Z381" i="10"/>
  <c r="AA381" i="10" s="1"/>
  <c r="Z93" i="10"/>
  <c r="AA93" i="10" s="1"/>
  <c r="Z165" i="10"/>
  <c r="AA165" i="10" s="1"/>
  <c r="Z122" i="10"/>
  <c r="AA122" i="10" s="1"/>
  <c r="Z244" i="10"/>
  <c r="AA244" i="10" s="1"/>
  <c r="Z42" i="10"/>
  <c r="AA42" i="10" s="1"/>
  <c r="Z117" i="10"/>
  <c r="AA117" i="10" s="1"/>
  <c r="Z319" i="10"/>
  <c r="AA319" i="10" s="1"/>
  <c r="Z67" i="10"/>
  <c r="AA67" i="10" s="1"/>
  <c r="Z92" i="10"/>
  <c r="AA92" i="10" s="1"/>
  <c r="Z291" i="10"/>
  <c r="AA291" i="10" s="1"/>
  <c r="Z14" i="10"/>
  <c r="AA14" i="10" s="1"/>
  <c r="Z17" i="10"/>
  <c r="AA17" i="10" s="1"/>
  <c r="Z123" i="10"/>
  <c r="AA123" i="10" s="1"/>
  <c r="Z418" i="10"/>
  <c r="AA418" i="10" s="1"/>
  <c r="Z355" i="10"/>
  <c r="AA355" i="10" s="1"/>
  <c r="Z199" i="10"/>
  <c r="AA199" i="10" s="1"/>
  <c r="Z304" i="10"/>
  <c r="AA304" i="10" s="1"/>
  <c r="Z515" i="10"/>
  <c r="AA515" i="10" s="1"/>
  <c r="T34" i="10"/>
  <c r="U34" i="10" s="1"/>
  <c r="T463" i="10"/>
  <c r="U463" i="10" s="1"/>
  <c r="W286" i="10"/>
  <c r="AC499" i="10"/>
  <c r="AD499" i="10" s="1"/>
  <c r="W213" i="10"/>
  <c r="W351" i="10"/>
  <c r="AC341" i="10"/>
  <c r="AD341" i="10" s="1"/>
  <c r="AF458" i="10"/>
  <c r="AF89" i="10"/>
  <c r="W220" i="10"/>
  <c r="T402" i="10"/>
  <c r="U402" i="10" s="1"/>
  <c r="T10" i="10"/>
  <c r="U10" i="10" s="1"/>
  <c r="AC96" i="10"/>
  <c r="AD96" i="10" s="1"/>
  <c r="AF435" i="10"/>
  <c r="T537" i="10"/>
  <c r="U537" i="10" s="1"/>
  <c r="AF277" i="10"/>
  <c r="W34" i="10"/>
  <c r="X34" i="10" s="1"/>
  <c r="AC98" i="10"/>
  <c r="AD98" i="10" s="1"/>
  <c r="AC290" i="10"/>
  <c r="AD290" i="10" s="1"/>
  <c r="AF214" i="10"/>
  <c r="W443" i="10"/>
  <c r="W437" i="10"/>
  <c r="W282" i="10"/>
  <c r="AC193" i="10"/>
  <c r="AD193" i="10" s="1"/>
  <c r="W317" i="10"/>
  <c r="T229" i="10"/>
  <c r="U229" i="10" s="1"/>
  <c r="W527" i="10"/>
  <c r="T248" i="10"/>
  <c r="U248" i="10" s="1"/>
  <c r="AC299" i="10"/>
  <c r="AD299" i="10" s="1"/>
  <c r="AC445" i="10"/>
  <c r="AD445" i="10" s="1"/>
  <c r="AF443" i="10"/>
  <c r="W112" i="10"/>
  <c r="AC130" i="10"/>
  <c r="AD130" i="10" s="1"/>
  <c r="AC156" i="10"/>
  <c r="AD156" i="10" s="1"/>
  <c r="AC312" i="10"/>
  <c r="AD312" i="10" s="1"/>
  <c r="AC88" i="10"/>
  <c r="AD88" i="10" s="1"/>
  <c r="AF303" i="10"/>
  <c r="AG303" i="10" s="1"/>
  <c r="AF453" i="10"/>
  <c r="W321" i="10"/>
  <c r="X321" i="10" s="1"/>
  <c r="AF52" i="10"/>
  <c r="W180" i="10"/>
  <c r="T490" i="10"/>
  <c r="U490" i="10" s="1"/>
  <c r="T79" i="10"/>
  <c r="U79" i="10" s="1"/>
  <c r="AC545" i="10"/>
  <c r="AD545" i="10" s="1"/>
  <c r="AC401" i="10"/>
  <c r="AD401" i="10" s="1"/>
  <c r="W228" i="10"/>
  <c r="AF299" i="10"/>
  <c r="T40" i="10"/>
  <c r="U40" i="10" s="1"/>
  <c r="AC431" i="10"/>
  <c r="AD431" i="10" s="1"/>
  <c r="T539" i="10"/>
  <c r="U539" i="10" s="1"/>
  <c r="AC67" i="10"/>
  <c r="AD67" i="10" s="1"/>
  <c r="T515" i="10"/>
  <c r="U515" i="10" s="1"/>
  <c r="T221" i="10"/>
  <c r="U221" i="10" s="1"/>
  <c r="W354" i="10"/>
  <c r="T101" i="10"/>
  <c r="U101" i="10" s="1"/>
  <c r="AC423" i="10"/>
  <c r="AD423" i="10" s="1"/>
  <c r="AC277" i="10"/>
  <c r="AD277" i="10" s="1"/>
  <c r="T94" i="10"/>
  <c r="U94" i="10" s="1"/>
  <c r="W478" i="10"/>
  <c r="AC206" i="10"/>
  <c r="AD206" i="10" s="1"/>
  <c r="T478" i="10"/>
  <c r="U478" i="10" s="1"/>
  <c r="T332" i="10"/>
  <c r="U332" i="10" s="1"/>
  <c r="T461" i="10"/>
  <c r="U461" i="10" s="1"/>
  <c r="T278" i="10"/>
  <c r="U278" i="10" s="1"/>
  <c r="AC36" i="10"/>
  <c r="AD36" i="10" s="1"/>
  <c r="AC203" i="10"/>
  <c r="AD203" i="10" s="1"/>
  <c r="AF47" i="10"/>
  <c r="T480" i="10"/>
  <c r="U480" i="10" s="1"/>
  <c r="AC128" i="10"/>
  <c r="AD128" i="10" s="1"/>
  <c r="T33" i="10"/>
  <c r="U33" i="10" s="1"/>
  <c r="T354" i="10"/>
  <c r="U354" i="10" s="1"/>
  <c r="AC257" i="10"/>
  <c r="AD257" i="10" s="1"/>
  <c r="W230" i="10"/>
  <c r="AF3" i="10"/>
  <c r="W177" i="10"/>
  <c r="AC451" i="10"/>
  <c r="AD451" i="10" s="1"/>
  <c r="W465" i="10"/>
  <c r="AC406" i="10"/>
  <c r="AD406" i="10" s="1"/>
  <c r="T408" i="10"/>
  <c r="U408" i="10" s="1"/>
  <c r="T263" i="10"/>
  <c r="U263" i="10" s="1"/>
  <c r="AF164" i="10"/>
  <c r="AF432" i="10"/>
  <c r="AF157" i="10"/>
  <c r="AF7" i="10"/>
  <c r="AF494" i="10"/>
  <c r="AF123" i="10"/>
  <c r="AF244" i="10"/>
  <c r="AF439" i="10"/>
  <c r="AF476" i="10"/>
  <c r="AF357" i="10"/>
  <c r="AF440" i="10"/>
  <c r="AF508" i="10"/>
  <c r="AF455" i="10"/>
  <c r="AF353" i="10"/>
  <c r="AF179" i="10"/>
  <c r="AF251" i="10"/>
  <c r="AF145" i="10"/>
  <c r="AF399" i="10"/>
  <c r="AF503" i="10"/>
  <c r="AF481" i="10"/>
  <c r="AF201" i="10"/>
  <c r="AC450" i="10"/>
  <c r="AD450" i="10" s="1"/>
  <c r="AC460" i="10"/>
  <c r="AD460" i="10" s="1"/>
  <c r="AC51" i="10"/>
  <c r="AD51" i="10" s="1"/>
  <c r="AC332" i="10"/>
  <c r="AD332" i="10" s="1"/>
  <c r="AC476" i="10"/>
  <c r="AD476" i="10" s="1"/>
  <c r="AC241" i="10"/>
  <c r="AD241" i="10" s="1"/>
  <c r="AC25" i="10"/>
  <c r="AD25" i="10" s="1"/>
  <c r="AC303" i="10"/>
  <c r="AD303" i="10" s="1"/>
  <c r="AC148" i="10"/>
  <c r="AD148" i="10" s="1"/>
  <c r="AC484" i="10"/>
  <c r="AD484" i="10" s="1"/>
  <c r="AC31" i="10"/>
  <c r="AD31" i="10" s="1"/>
  <c r="AC427" i="10"/>
  <c r="AD427" i="10" s="1"/>
  <c r="AC306" i="10"/>
  <c r="AD306" i="10" s="1"/>
  <c r="AC151" i="10"/>
  <c r="AD151" i="10" s="1"/>
  <c r="AC196" i="10"/>
  <c r="AD196" i="10" s="1"/>
  <c r="AC420" i="10"/>
  <c r="AD420" i="10" s="1"/>
  <c r="AC69" i="10"/>
  <c r="AD69" i="10" s="1"/>
  <c r="AC429" i="10"/>
  <c r="AD429" i="10" s="1"/>
  <c r="AC373" i="10"/>
  <c r="AD373" i="10" s="1"/>
  <c r="AC357" i="10"/>
  <c r="AD357" i="10" s="1"/>
  <c r="AC112" i="10"/>
  <c r="AD112" i="10" s="1"/>
  <c r="AC47" i="10"/>
  <c r="AD47" i="10" s="1"/>
  <c r="AC15" i="10"/>
  <c r="AD15" i="10" s="1"/>
  <c r="AC18" i="10"/>
  <c r="AD18" i="10" s="1"/>
  <c r="AC267" i="10"/>
  <c r="AD267" i="10" s="1"/>
  <c r="AC99" i="10"/>
  <c r="AD99" i="10" s="1"/>
  <c r="AC113" i="10"/>
  <c r="AD113" i="10" s="1"/>
  <c r="AC247" i="10"/>
  <c r="AD247" i="10" s="1"/>
  <c r="AC378" i="10"/>
  <c r="AD378" i="10" s="1"/>
  <c r="AC12" i="10"/>
  <c r="AD12" i="10" s="1"/>
  <c r="AC296" i="10"/>
  <c r="AD296" i="10" s="1"/>
  <c r="AC288" i="10"/>
  <c r="AD288" i="10" s="1"/>
  <c r="AC58" i="10"/>
  <c r="AD58" i="10" s="1"/>
  <c r="AC343" i="10"/>
  <c r="AD343" i="10" s="1"/>
  <c r="AC325" i="10"/>
  <c r="AD325" i="10" s="1"/>
  <c r="AC70" i="10"/>
  <c r="AD70" i="10" s="1"/>
  <c r="AC340" i="10"/>
  <c r="AD340" i="10" s="1"/>
  <c r="AC316" i="10"/>
  <c r="AD316" i="10" s="1"/>
  <c r="AC376" i="10"/>
  <c r="AD376" i="10" s="1"/>
  <c r="AC108" i="10"/>
  <c r="AD108" i="10" s="1"/>
  <c r="AC486" i="10"/>
  <c r="AD486" i="10" s="1"/>
  <c r="AC458" i="10"/>
  <c r="AD458" i="10" s="1"/>
  <c r="AC293" i="10"/>
  <c r="AD293" i="10" s="1"/>
  <c r="AC246" i="10"/>
  <c r="AD246" i="10" s="1"/>
  <c r="AC149" i="10"/>
  <c r="AD149" i="10" s="1"/>
  <c r="AC123" i="10"/>
  <c r="AD123" i="10" s="1"/>
  <c r="AC531" i="10"/>
  <c r="AD531" i="10" s="1"/>
  <c r="AC185" i="10"/>
  <c r="AD185" i="10" s="1"/>
  <c r="AC503" i="10"/>
  <c r="AD503" i="10" s="1"/>
  <c r="AC236" i="10"/>
  <c r="AD236" i="10" s="1"/>
  <c r="AC194" i="10"/>
  <c r="AD194" i="10" s="1"/>
  <c r="AC242" i="10"/>
  <c r="AD242" i="10" s="1"/>
  <c r="AC422" i="10"/>
  <c r="AD422" i="10" s="1"/>
  <c r="AC27" i="10"/>
  <c r="AD27" i="10" s="1"/>
  <c r="AC348" i="10"/>
  <c r="AD348" i="10" s="1"/>
  <c r="AC177" i="10"/>
  <c r="AD177" i="10" s="1"/>
  <c r="AC72" i="10"/>
  <c r="AD72" i="10" s="1"/>
  <c r="AC318" i="10"/>
  <c r="AD318" i="10" s="1"/>
  <c r="AC66" i="10"/>
  <c r="AD66" i="10" s="1"/>
  <c r="AC208" i="10"/>
  <c r="AD208" i="10" s="1"/>
  <c r="AC271" i="10"/>
  <c r="AD271" i="10" s="1"/>
  <c r="AC506" i="10"/>
  <c r="AD506" i="10" s="1"/>
  <c r="AC135" i="10"/>
  <c r="AD135" i="10" s="1"/>
  <c r="AC136" i="10"/>
  <c r="AD136" i="10" s="1"/>
  <c r="AC523" i="10"/>
  <c r="AD523" i="10" s="1"/>
  <c r="AC473" i="10"/>
  <c r="AD473" i="10" s="1"/>
  <c r="AC276" i="10"/>
  <c r="AD276" i="10" s="1"/>
  <c r="AC509" i="10"/>
  <c r="AD509" i="10" s="1"/>
  <c r="AC525" i="10"/>
  <c r="AD525" i="10" s="1"/>
  <c r="AC56" i="10"/>
  <c r="AD56" i="10" s="1"/>
  <c r="AC251" i="10"/>
  <c r="AD251" i="10" s="1"/>
  <c r="AC489" i="10"/>
  <c r="AD489" i="10" s="1"/>
  <c r="AC94" i="10"/>
  <c r="AD94" i="10" s="1"/>
  <c r="AC468" i="10"/>
  <c r="AD468" i="10" s="1"/>
  <c r="AC441" i="10"/>
  <c r="AD441" i="10" s="1"/>
  <c r="AC233" i="10"/>
  <c r="AD233" i="10" s="1"/>
  <c r="AC508" i="10"/>
  <c r="AD508" i="10" s="1"/>
  <c r="AC24" i="10"/>
  <c r="AD24" i="10" s="1"/>
  <c r="AC164" i="10"/>
  <c r="AD164" i="10" s="1"/>
  <c r="AC124" i="10"/>
  <c r="AD124" i="10" s="1"/>
  <c r="AC28" i="10"/>
  <c r="AD28" i="10" s="1"/>
  <c r="AC264" i="10"/>
  <c r="AD264" i="10" s="1"/>
  <c r="AC132" i="10"/>
  <c r="AD132" i="10" s="1"/>
  <c r="AC417" i="10"/>
  <c r="AD417" i="10" s="1"/>
  <c r="AC494" i="10"/>
  <c r="AD494" i="10" s="1"/>
  <c r="AC266" i="10"/>
  <c r="AD266" i="10" s="1"/>
  <c r="AC200" i="10"/>
  <c r="AD200" i="10" s="1"/>
  <c r="AC336" i="10"/>
  <c r="AD336" i="10" s="1"/>
  <c r="AC87" i="10"/>
  <c r="AD87" i="10" s="1"/>
  <c r="AC279" i="10"/>
  <c r="AD279" i="10" s="1"/>
  <c r="AC410" i="10"/>
  <c r="AD410" i="10" s="1"/>
  <c r="AC304" i="10"/>
  <c r="AD304" i="10" s="1"/>
  <c r="AC44" i="10"/>
  <c r="AD44" i="10" s="1"/>
  <c r="AC444" i="10"/>
  <c r="AD444" i="10" s="1"/>
  <c r="AC147" i="10"/>
  <c r="AD147" i="10" s="1"/>
  <c r="AC111" i="10"/>
  <c r="AD111" i="10" s="1"/>
  <c r="AC35" i="10"/>
  <c r="AD35" i="10" s="1"/>
  <c r="AC189" i="10"/>
  <c r="AD189" i="10" s="1"/>
  <c r="AC291" i="10"/>
  <c r="AD291" i="10" s="1"/>
  <c r="AC337" i="10"/>
  <c r="AD337" i="10" s="1"/>
  <c r="AC367" i="10"/>
  <c r="AD367" i="10" s="1"/>
  <c r="AC171" i="10"/>
  <c r="AD171" i="10" s="1"/>
  <c r="AC68" i="10"/>
  <c r="AD68" i="10" s="1"/>
  <c r="AC462" i="10"/>
  <c r="AD462" i="10" s="1"/>
  <c r="AC326" i="10"/>
  <c r="AD326" i="10" s="1"/>
  <c r="AC23" i="10"/>
  <c r="AD23" i="10" s="1"/>
  <c r="AC487" i="10"/>
  <c r="AD487" i="10" s="1"/>
  <c r="AC386" i="10"/>
  <c r="AD386" i="10" s="1"/>
  <c r="AC37" i="10"/>
  <c r="AD37" i="10" s="1"/>
  <c r="AC103" i="10"/>
  <c r="AD103" i="10" s="1"/>
  <c r="AC526" i="10"/>
  <c r="AD526" i="10" s="1"/>
  <c r="AC309" i="10"/>
  <c r="AD309" i="10" s="1"/>
  <c r="AC204" i="10"/>
  <c r="AD204" i="10" s="1"/>
  <c r="AC121" i="10"/>
  <c r="AD121" i="10" s="1"/>
  <c r="AC82" i="10"/>
  <c r="AD82" i="10" s="1"/>
  <c r="AC110" i="10"/>
  <c r="AD110" i="10" s="1"/>
  <c r="AC173" i="10"/>
  <c r="AD173" i="10" s="1"/>
  <c r="AC159" i="10"/>
  <c r="AD159" i="10" s="1"/>
  <c r="AC481" i="10"/>
  <c r="AD481" i="10" s="1"/>
  <c r="AC446" i="10"/>
  <c r="AD446" i="10" s="1"/>
  <c r="AC5" i="10"/>
  <c r="AD5" i="10" s="1"/>
  <c r="AC158" i="10"/>
  <c r="AD158" i="10" s="1"/>
  <c r="AC358" i="10"/>
  <c r="AD358" i="10" s="1"/>
  <c r="AC472" i="10"/>
  <c r="AD472" i="10" s="1"/>
  <c r="AC364" i="10"/>
  <c r="AD364" i="10" s="1"/>
  <c r="AC215" i="10"/>
  <c r="AD215" i="10" s="1"/>
  <c r="AC153" i="10"/>
  <c r="AD153" i="10" s="1"/>
  <c r="AC95" i="10"/>
  <c r="AD95" i="10" s="1"/>
  <c r="AC393" i="10"/>
  <c r="AD393" i="10" s="1"/>
  <c r="AC140" i="10"/>
  <c r="AD140" i="10" s="1"/>
  <c r="AC466" i="10"/>
  <c r="AD466" i="10" s="1"/>
  <c r="AC19" i="10"/>
  <c r="AD19" i="10" s="1"/>
  <c r="AC440" i="10"/>
  <c r="AD440" i="10" s="1"/>
  <c r="AC411" i="10"/>
  <c r="AD411" i="10" s="1"/>
  <c r="AC522" i="10"/>
  <c r="AD522" i="10" s="1"/>
  <c r="AC275" i="10"/>
  <c r="AD275" i="10" s="1"/>
  <c r="AC280" i="10"/>
  <c r="AD280" i="10" s="1"/>
  <c r="AC308" i="10"/>
  <c r="AD308" i="10" s="1"/>
  <c r="AC86" i="10"/>
  <c r="AD86" i="10" s="1"/>
  <c r="AC205" i="10"/>
  <c r="AD205" i="10" s="1"/>
  <c r="AC207" i="10"/>
  <c r="AD207" i="10" s="1"/>
  <c r="AC181" i="10"/>
  <c r="AD181" i="10" s="1"/>
  <c r="AC179" i="10"/>
  <c r="AD179" i="10" s="1"/>
  <c r="AC380" i="10"/>
  <c r="AD380" i="10" s="1"/>
  <c r="AC467" i="10"/>
  <c r="AD467" i="10" s="1"/>
  <c r="AC20" i="10"/>
  <c r="AD20" i="10" s="1"/>
  <c r="AC131" i="10"/>
  <c r="AD131" i="10" s="1"/>
  <c r="AC369" i="10"/>
  <c r="AD369" i="10" s="1"/>
  <c r="AC273" i="10"/>
  <c r="AD273" i="10" s="1"/>
  <c r="AC253" i="10"/>
  <c r="AD253" i="10" s="1"/>
  <c r="AC345" i="10"/>
  <c r="AD345" i="10" s="1"/>
  <c r="AC145" i="10"/>
  <c r="AD145" i="10" s="1"/>
  <c r="AC278" i="10"/>
  <c r="AD278" i="10" s="1"/>
  <c r="AC333" i="10"/>
  <c r="AD333" i="10" s="1"/>
  <c r="AC26" i="10"/>
  <c r="AD26" i="10" s="1"/>
  <c r="AC385" i="10"/>
  <c r="AD385" i="10" s="1"/>
  <c r="AC256" i="10"/>
  <c r="AD256" i="10" s="1"/>
  <c r="AC255" i="10"/>
  <c r="AD255" i="10" s="1"/>
  <c r="AC370" i="10"/>
  <c r="AD370" i="10" s="1"/>
  <c r="AC71" i="10"/>
  <c r="AD71" i="10" s="1"/>
  <c r="AC415" i="10"/>
  <c r="AD415" i="10" s="1"/>
  <c r="AC397" i="10"/>
  <c r="AD397" i="10" s="1"/>
  <c r="AC344" i="10"/>
  <c r="AD344" i="10" s="1"/>
  <c r="AC381" i="10"/>
  <c r="AD381" i="10" s="1"/>
  <c r="AC426" i="10"/>
  <c r="AD426" i="10" s="1"/>
  <c r="AC515" i="10"/>
  <c r="AD515" i="10" s="1"/>
  <c r="AC286" i="10"/>
  <c r="AD286" i="10" s="1"/>
  <c r="AC282" i="10"/>
  <c r="AD282" i="10" s="1"/>
  <c r="AC53" i="10"/>
  <c r="AD53" i="10" s="1"/>
  <c r="AC162" i="10"/>
  <c r="AD162" i="10" s="1"/>
  <c r="AC126" i="10"/>
  <c r="AD126" i="10" s="1"/>
  <c r="AC240" i="10"/>
  <c r="AD240" i="10" s="1"/>
  <c r="AC405" i="10"/>
  <c r="AD405" i="10" s="1"/>
  <c r="AC442" i="10"/>
  <c r="AD442" i="10" s="1"/>
  <c r="AC248" i="10"/>
  <c r="AD248" i="10" s="1"/>
  <c r="AC221" i="10"/>
  <c r="AD221" i="10" s="1"/>
  <c r="AC54" i="10"/>
  <c r="AD54" i="10" s="1"/>
  <c r="AC38" i="10"/>
  <c r="AD38" i="10" s="1"/>
  <c r="AC184" i="10"/>
  <c r="AD184" i="10" s="1"/>
  <c r="AC470" i="10"/>
  <c r="AD470" i="10" s="1"/>
  <c r="AC79" i="10"/>
  <c r="AD79" i="10" s="1"/>
  <c r="AC371" i="10"/>
  <c r="AD371" i="10" s="1"/>
  <c r="AC137" i="10"/>
  <c r="AD137" i="10" s="1"/>
  <c r="AC210" i="10"/>
  <c r="AD210" i="10" s="1"/>
  <c r="AC457" i="10"/>
  <c r="AD457" i="10" s="1"/>
  <c r="AC505" i="10"/>
  <c r="AD505" i="10" s="1"/>
  <c r="AC439" i="10"/>
  <c r="AD439" i="10" s="1"/>
  <c r="AC527" i="10"/>
  <c r="AD527" i="10" s="1"/>
  <c r="AC139" i="10"/>
  <c r="AD139" i="10" s="1"/>
  <c r="AC359" i="10"/>
  <c r="AD359" i="10" s="1"/>
  <c r="AC239" i="10"/>
  <c r="AD239" i="10" s="1"/>
  <c r="AC496" i="10"/>
  <c r="AD496" i="10" s="1"/>
  <c r="AC65" i="10"/>
  <c r="AD65" i="10" s="1"/>
  <c r="AC191" i="10"/>
  <c r="AD191" i="10" s="1"/>
  <c r="AC175" i="10"/>
  <c r="AD175" i="10" s="1"/>
  <c r="AC46" i="10"/>
  <c r="AD46" i="10" s="1"/>
  <c r="AC507" i="10"/>
  <c r="AD507" i="10" s="1"/>
  <c r="AC3" i="10"/>
  <c r="AD3" i="10" s="1"/>
  <c r="AC399" i="10"/>
  <c r="AD399" i="10" s="1"/>
  <c r="AC319" i="10"/>
  <c r="AD319" i="10" s="1"/>
  <c r="AC418" i="10"/>
  <c r="AD418" i="10" s="1"/>
  <c r="AC45" i="10"/>
  <c r="AD45" i="10" s="1"/>
  <c r="AC227" i="10"/>
  <c r="AD227" i="10" s="1"/>
  <c r="AC93" i="10"/>
  <c r="AD93" i="10" s="1"/>
  <c r="AC436" i="10"/>
  <c r="AD436" i="10" s="1"/>
  <c r="AC169" i="10"/>
  <c r="AD169" i="10" s="1"/>
  <c r="AC447" i="10"/>
  <c r="AD447" i="10" s="1"/>
  <c r="AC354" i="10"/>
  <c r="AD354" i="10" s="1"/>
  <c r="AC237" i="10"/>
  <c r="AD237" i="10" s="1"/>
  <c r="AC530" i="10"/>
  <c r="AD530" i="10" s="1"/>
  <c r="AC228" i="10"/>
  <c r="AD228" i="10" s="1"/>
  <c r="AC349" i="10"/>
  <c r="AD349" i="10" s="1"/>
  <c r="AC55" i="10"/>
  <c r="AD55" i="10" s="1"/>
  <c r="AC186" i="10"/>
  <c r="AD186" i="10" s="1"/>
  <c r="AC226" i="10"/>
  <c r="AD226" i="10" s="1"/>
  <c r="AC42" i="10"/>
  <c r="AD42" i="10" s="1"/>
  <c r="AC511" i="10"/>
  <c r="AD511" i="10" s="1"/>
  <c r="AC434" i="10"/>
  <c r="AD434" i="10" s="1"/>
  <c r="AC75" i="10"/>
  <c r="AD75" i="10" s="1"/>
  <c r="AC14" i="10"/>
  <c r="AD14" i="10" s="1"/>
  <c r="AC109" i="10"/>
  <c r="AD109" i="10" s="1"/>
  <c r="AC414" i="10"/>
  <c r="AD414" i="10" s="1"/>
  <c r="AC298" i="10"/>
  <c r="AD298" i="10" s="1"/>
  <c r="AC48" i="10"/>
  <c r="AD48" i="10" s="1"/>
  <c r="AC350" i="10"/>
  <c r="AD350" i="10" s="1"/>
  <c r="AC252" i="10"/>
  <c r="AD252" i="10" s="1"/>
  <c r="AC83" i="10"/>
  <c r="AD83" i="10" s="1"/>
  <c r="AC379" i="10"/>
  <c r="AD379" i="10" s="1"/>
  <c r="AC76" i="10"/>
  <c r="AD76" i="10" s="1"/>
  <c r="AC407" i="10"/>
  <c r="AD407" i="10" s="1"/>
  <c r="AC213" i="10"/>
  <c r="AD213" i="10" s="1"/>
  <c r="AC533" i="10"/>
  <c r="AD533" i="10" s="1"/>
  <c r="AC463" i="10"/>
  <c r="AD463" i="10" s="1"/>
  <c r="AC365" i="10"/>
  <c r="AD365" i="10" s="1"/>
  <c r="AC138" i="10"/>
  <c r="AD138" i="10" s="1"/>
  <c r="AC449" i="10"/>
  <c r="AD449" i="10" s="1"/>
  <c r="AC219" i="10"/>
  <c r="AD219" i="10" s="1"/>
  <c r="AC214" i="10"/>
  <c r="AD214" i="10" s="1"/>
  <c r="AC504" i="10"/>
  <c r="AD504" i="10" s="1"/>
  <c r="AC497" i="10"/>
  <c r="AD497" i="10" s="1"/>
  <c r="AC220" i="10"/>
  <c r="AD220" i="10" s="1"/>
  <c r="AC285" i="10"/>
  <c r="AD285" i="10" s="1"/>
  <c r="AC106" i="10"/>
  <c r="AD106" i="10" s="1"/>
  <c r="AC480" i="10"/>
  <c r="AD480" i="10" s="1"/>
  <c r="T455" i="10"/>
  <c r="U455" i="10" s="1"/>
  <c r="T262" i="10"/>
  <c r="U262" i="10" s="1"/>
  <c r="T399" i="10"/>
  <c r="U399" i="10" s="1"/>
  <c r="AC202" i="10"/>
  <c r="AD202" i="10" s="1"/>
  <c r="W92" i="10"/>
  <c r="AC154" i="10"/>
  <c r="AD154" i="10" s="1"/>
  <c r="T339" i="10"/>
  <c r="U339" i="10" s="1"/>
  <c r="Z531" i="10"/>
  <c r="AA531" i="10" s="1"/>
  <c r="Z72" i="10"/>
  <c r="AA72" i="10" s="1"/>
  <c r="Z37" i="10"/>
  <c r="AA37" i="10" s="1"/>
  <c r="Z60" i="10"/>
  <c r="AA60" i="10" s="1"/>
  <c r="Z342" i="10"/>
  <c r="AA342" i="10" s="1"/>
  <c r="Z455" i="10"/>
  <c r="AA455" i="10" s="1"/>
  <c r="Z470" i="10"/>
  <c r="AA470" i="10" s="1"/>
  <c r="Z181" i="10"/>
  <c r="AA181" i="10" s="1"/>
  <c r="Z471" i="10"/>
  <c r="AA471" i="10" s="1"/>
  <c r="Z393" i="10"/>
  <c r="AA393" i="10" s="1"/>
  <c r="Z193" i="10"/>
  <c r="AA193" i="10" s="1"/>
  <c r="Z98" i="10"/>
  <c r="AA98" i="10" s="1"/>
  <c r="Z8" i="10"/>
  <c r="AA8" i="10" s="1"/>
  <c r="Z156" i="10"/>
  <c r="AA156" i="10" s="1"/>
  <c r="Z91" i="10"/>
  <c r="AA91" i="10" s="1"/>
  <c r="Z331" i="10"/>
  <c r="AA331" i="10" s="1"/>
  <c r="Z59" i="10"/>
  <c r="AA59" i="10" s="1"/>
  <c r="Z201" i="10"/>
  <c r="AA201" i="10" s="1"/>
  <c r="Z451" i="10"/>
  <c r="AA451" i="10" s="1"/>
  <c r="Z58" i="10"/>
  <c r="AA58" i="10" s="1"/>
  <c r="Z447" i="10"/>
  <c r="AA447" i="10" s="1"/>
  <c r="Z77" i="10"/>
  <c r="AA77" i="10" s="1"/>
  <c r="Z139" i="10"/>
  <c r="AA139" i="10" s="1"/>
  <c r="Z383" i="10"/>
  <c r="AA383" i="10" s="1"/>
  <c r="Z394" i="10"/>
  <c r="AA394" i="10" s="1"/>
  <c r="Z425" i="10"/>
  <c r="AA425" i="10" s="1"/>
  <c r="Z103" i="10"/>
  <c r="AA103" i="10" s="1"/>
  <c r="Z495" i="10"/>
  <c r="AA495" i="10" s="1"/>
  <c r="Z11" i="10"/>
  <c r="AA11" i="10" s="1"/>
  <c r="Z269" i="10"/>
  <c r="AA269" i="10" s="1"/>
  <c r="Z284" i="10"/>
  <c r="AA284" i="10" s="1"/>
  <c r="Z469" i="10"/>
  <c r="AA469" i="10" s="1"/>
  <c r="Z542" i="10"/>
  <c r="AA542" i="10" s="1"/>
  <c r="Z145" i="10"/>
  <c r="AA145" i="10" s="1"/>
  <c r="Z337" i="10"/>
  <c r="AA337" i="10" s="1"/>
  <c r="Z88" i="10"/>
  <c r="AA88" i="10" s="1"/>
  <c r="Z81" i="10"/>
  <c r="AA81" i="10" s="1"/>
  <c r="Z293" i="10"/>
  <c r="AA293" i="10" s="1"/>
  <c r="Z509" i="10"/>
  <c r="AA509" i="10" s="1"/>
  <c r="Z423" i="10"/>
  <c r="AA423" i="10" s="1"/>
  <c r="Z433" i="10"/>
  <c r="AA433" i="10" s="1"/>
  <c r="Z101" i="10"/>
  <c r="AA101" i="10" s="1"/>
  <c r="Z130" i="10"/>
  <c r="AA130" i="10" s="1"/>
  <c r="Z543" i="10"/>
  <c r="AA543" i="10" s="1"/>
  <c r="Z440" i="10"/>
  <c r="AA440" i="10" s="1"/>
  <c r="AF480" i="10"/>
  <c r="AC547" i="10"/>
  <c r="AD547" i="10" s="1"/>
  <c r="T228" i="10"/>
  <c r="U228" i="10" s="1"/>
  <c r="AC295" i="10"/>
  <c r="AD295" i="10" s="1"/>
  <c r="AF446" i="10"/>
  <c r="T382" i="10"/>
  <c r="U382" i="10" s="1"/>
  <c r="AF102" i="10"/>
  <c r="W50" i="10"/>
  <c r="X50" i="10" s="1"/>
  <c r="T446" i="10"/>
  <c r="U446" i="10" s="1"/>
  <c r="AC244" i="10"/>
  <c r="AD244" i="10" s="1"/>
  <c r="W89" i="10"/>
  <c r="AF236" i="10"/>
  <c r="AC57" i="10"/>
  <c r="AD57" i="10" s="1"/>
  <c r="T212" i="10"/>
  <c r="U212" i="10" s="1"/>
  <c r="W85" i="10"/>
  <c r="W386" i="10"/>
  <c r="W24" i="10"/>
  <c r="X24" i="10" s="1"/>
  <c r="AC396" i="10"/>
  <c r="AD396" i="10" s="1"/>
  <c r="W341" i="10"/>
  <c r="AC258" i="10"/>
  <c r="AD258" i="10" s="1"/>
  <c r="T392" i="10"/>
  <c r="U392" i="10" s="1"/>
  <c r="T401" i="10"/>
  <c r="U401" i="10" s="1"/>
  <c r="T100" i="10"/>
  <c r="U100" i="10" s="1"/>
  <c r="AC392" i="10"/>
  <c r="AD392" i="10" s="1"/>
  <c r="W396" i="10"/>
  <c r="W137" i="10"/>
  <c r="AF121" i="10"/>
  <c r="T113" i="10"/>
  <c r="U113" i="10" s="1"/>
  <c r="W513" i="10"/>
  <c r="AC166" i="10"/>
  <c r="AD166" i="10" s="1"/>
  <c r="W428" i="10"/>
  <c r="T385" i="10"/>
  <c r="U385" i="10" s="1"/>
  <c r="T471" i="10"/>
  <c r="U471" i="10" s="1"/>
  <c r="W208" i="10"/>
  <c r="AC328" i="10"/>
  <c r="AD328" i="10" s="1"/>
  <c r="W8" i="10"/>
  <c r="T508" i="10"/>
  <c r="U508" i="10" s="1"/>
  <c r="AC540" i="10"/>
  <c r="AD540" i="10" s="1"/>
  <c r="T359" i="10"/>
  <c r="U359" i="10" s="1"/>
  <c r="AC64" i="10"/>
  <c r="AD64" i="10" s="1"/>
  <c r="AC122" i="10"/>
  <c r="AD122" i="10" s="1"/>
  <c r="T429" i="10"/>
  <c r="U429" i="10" s="1"/>
  <c r="W128" i="10"/>
  <c r="T52" i="10"/>
  <c r="U52" i="10" s="1"/>
  <c r="W357" i="10"/>
  <c r="T509" i="10"/>
  <c r="U509" i="10" s="1"/>
  <c r="AC224" i="10"/>
  <c r="AD224" i="10" s="1"/>
  <c r="AF141" i="10"/>
  <c r="AG141" i="10" s="1"/>
  <c r="T76" i="10"/>
  <c r="U76" i="10" s="1"/>
  <c r="W150" i="10"/>
  <c r="AC524" i="10"/>
  <c r="AD524" i="10" s="1"/>
  <c r="T389" i="10"/>
  <c r="U389" i="10" s="1"/>
  <c r="W153" i="10"/>
  <c r="W239" i="10"/>
  <c r="T75" i="10"/>
  <c r="U75" i="10" s="1"/>
  <c r="W54" i="10"/>
  <c r="AC33" i="10"/>
  <c r="AD33" i="10" s="1"/>
  <c r="AF197" i="10"/>
  <c r="AF416" i="10"/>
  <c r="AF461" i="10"/>
  <c r="W451" i="10"/>
  <c r="W415" i="10"/>
  <c r="T63" i="10"/>
  <c r="U63" i="10" s="1"/>
  <c r="W350" i="10"/>
  <c r="W48" i="10"/>
  <c r="W499" i="10"/>
  <c r="T518" i="10"/>
  <c r="U518" i="10" s="1"/>
  <c r="W166" i="10"/>
  <c r="T172" i="10"/>
  <c r="U172" i="10" s="1"/>
  <c r="AF526" i="10"/>
  <c r="AC363" i="10"/>
  <c r="AD363" i="10" s="1"/>
  <c r="W80" i="10"/>
  <c r="AC125" i="10"/>
  <c r="AD125" i="10" s="1"/>
  <c r="W231" i="10"/>
  <c r="T215" i="10"/>
  <c r="U215" i="10" s="1"/>
  <c r="AC11" i="10"/>
  <c r="AD11" i="10" s="1"/>
  <c r="AF18" i="10"/>
  <c r="AG18" i="10" s="1"/>
  <c r="AC16" i="10"/>
  <c r="AD16" i="10" s="1"/>
  <c r="W486" i="10"/>
  <c r="W296" i="10"/>
  <c r="W295" i="10"/>
  <c r="X295" i="10" s="1"/>
  <c r="AF311" i="10"/>
  <c r="AF32" i="10"/>
  <c r="AG32" i="10" s="1"/>
  <c r="AF108" i="10"/>
  <c r="AF148" i="10"/>
  <c r="AF533" i="10"/>
  <c r="AF12" i="10"/>
  <c r="AF488" i="10"/>
  <c r="AF149" i="10"/>
  <c r="AF477" i="10"/>
  <c r="AF368" i="10"/>
  <c r="AF143" i="10"/>
  <c r="AF389" i="10"/>
  <c r="AF217" i="10"/>
  <c r="AF407" i="10"/>
  <c r="AF175" i="10"/>
  <c r="AF44" i="10"/>
  <c r="AF257" i="10"/>
  <c r="AF41" i="10"/>
  <c r="AF362" i="10"/>
  <c r="AF138" i="10"/>
  <c r="AF198" i="10"/>
  <c r="AF452" i="10"/>
  <c r="AF538" i="10"/>
  <c r="AF465" i="10"/>
  <c r="AF425" i="10"/>
  <c r="AF45" i="10"/>
  <c r="AF467" i="10"/>
  <c r="AF118" i="10"/>
  <c r="AG118" i="10" s="1"/>
  <c r="AF387" i="10"/>
  <c r="AF314" i="10"/>
  <c r="AF55" i="10"/>
  <c r="AF280" i="10"/>
  <c r="AF371" i="10"/>
  <c r="AF289" i="10"/>
  <c r="AF403" i="10"/>
  <c r="AF360" i="10"/>
  <c r="AF171" i="10"/>
  <c r="AF393" i="10"/>
  <c r="AF173" i="10"/>
  <c r="AF130" i="10"/>
  <c r="AF462" i="10"/>
  <c r="AF431" i="10"/>
  <c r="AF10" i="10"/>
  <c r="AF328" i="10"/>
  <c r="AF199" i="10"/>
  <c r="AF186" i="10"/>
  <c r="AF338" i="10"/>
  <c r="AF542" i="10"/>
  <c r="AF419" i="10"/>
  <c r="AF302" i="10"/>
  <c r="AF95" i="10"/>
  <c r="AF258" i="10"/>
  <c r="AF510" i="10"/>
  <c r="AF181" i="10"/>
  <c r="AF487" i="10"/>
  <c r="AF64" i="10"/>
  <c r="AF309" i="10"/>
  <c r="AF511" i="10"/>
  <c r="AF306" i="10"/>
  <c r="AG306" i="10" s="1"/>
  <c r="AF203" i="10"/>
  <c r="AF350" i="10"/>
  <c r="AF58" i="10"/>
  <c r="AF231" i="10"/>
  <c r="AF238" i="10"/>
  <c r="AF190" i="10"/>
  <c r="AF317" i="10"/>
  <c r="AG317" i="10" s="1"/>
  <c r="AF361" i="10"/>
  <c r="AF98" i="10"/>
  <c r="AF222" i="10"/>
  <c r="AF71" i="10"/>
  <c r="AF272" i="10"/>
  <c r="AF522" i="10"/>
  <c r="AF59" i="10"/>
  <c r="AF454" i="10"/>
  <c r="AF137" i="10"/>
  <c r="AF216" i="10"/>
  <c r="AF20" i="10"/>
  <c r="AG20" i="10" s="1"/>
  <c r="AF391" i="10"/>
  <c r="AF308" i="10"/>
  <c r="AF259" i="10"/>
  <c r="AF475" i="10"/>
  <c r="AF16" i="10"/>
  <c r="AF273" i="10"/>
  <c r="AF152" i="10"/>
  <c r="AF50" i="10"/>
  <c r="AF84" i="10"/>
  <c r="AG84" i="10" s="1"/>
  <c r="AF515" i="10"/>
  <c r="AF53" i="10"/>
  <c r="AF67" i="10"/>
  <c r="AF103" i="10"/>
  <c r="AF274" i="10"/>
  <c r="AF499" i="10"/>
  <c r="AF267" i="10"/>
  <c r="AF374" i="10"/>
  <c r="AF343" i="10"/>
  <c r="AG343" i="10" s="1"/>
  <c r="AF72" i="10"/>
  <c r="AF285" i="10"/>
  <c r="AF281" i="10"/>
  <c r="AF248" i="10"/>
  <c r="AF517" i="10"/>
  <c r="AF437" i="10"/>
  <c r="AF49" i="10"/>
  <c r="AF383" i="10"/>
  <c r="AF346" i="10"/>
  <c r="AG346" i="10" s="1"/>
  <c r="AF96" i="10"/>
  <c r="AF80" i="10"/>
  <c r="AF379" i="10"/>
  <c r="AF347" i="10"/>
  <c r="AF223" i="10"/>
  <c r="AF116" i="10"/>
  <c r="AF250" i="10"/>
  <c r="AF88" i="10"/>
  <c r="AF22" i="10"/>
  <c r="AG22" i="10" s="1"/>
  <c r="AF129" i="10"/>
  <c r="AF327" i="10"/>
  <c r="AF262" i="10"/>
  <c r="AF408" i="10"/>
  <c r="AF418" i="10"/>
  <c r="AF153" i="10"/>
  <c r="AF385" i="10"/>
  <c r="AF390" i="10"/>
  <c r="AF42" i="10"/>
  <c r="AF115" i="10"/>
  <c r="AF392" i="10"/>
  <c r="AF70" i="10"/>
  <c r="AF114" i="10"/>
  <c r="AF359" i="10"/>
  <c r="AF541" i="10"/>
  <c r="AF400" i="10"/>
  <c r="AF128" i="10"/>
  <c r="AF246" i="10"/>
  <c r="AF187" i="10"/>
  <c r="AF287" i="10"/>
  <c r="AF69" i="10"/>
  <c r="AF284" i="10"/>
  <c r="AF372" i="10"/>
  <c r="AF160" i="10"/>
  <c r="AF417" i="10"/>
  <c r="AF474" i="10"/>
  <c r="AF234" i="10"/>
  <c r="T400" i="10"/>
  <c r="U400" i="10" s="1"/>
  <c r="T57" i="10"/>
  <c r="U57" i="10" s="1"/>
  <c r="AC438" i="10"/>
  <c r="AD438" i="10" s="1"/>
  <c r="T147" i="10"/>
  <c r="U147" i="10" s="1"/>
  <c r="T280" i="10"/>
  <c r="U280" i="10" s="1"/>
  <c r="AC375" i="10"/>
  <c r="AD375" i="10" s="1"/>
  <c r="AF235" i="10"/>
  <c r="AC388" i="10"/>
  <c r="AD388" i="10" s="1"/>
  <c r="T72" i="10"/>
  <c r="U72" i="10" s="1"/>
  <c r="W81" i="10"/>
  <c r="W210" i="10"/>
  <c r="AC390" i="10"/>
  <c r="AD390" i="10" s="1"/>
  <c r="AF348" i="10"/>
  <c r="Z9" i="10"/>
  <c r="AA9" i="10" s="1"/>
  <c r="Z185" i="10"/>
  <c r="AA185" i="10" s="1"/>
  <c r="Z19" i="10"/>
  <c r="AA19" i="10" s="1"/>
  <c r="Z317" i="10"/>
  <c r="AA317" i="10" s="1"/>
  <c r="Z492" i="10"/>
  <c r="AA492" i="10" s="1"/>
  <c r="Z450" i="10"/>
  <c r="AA450" i="10" s="1"/>
  <c r="Z411" i="10"/>
  <c r="AA411" i="10" s="1"/>
  <c r="Z236" i="10"/>
  <c r="AA236" i="10" s="1"/>
  <c r="Z373" i="10"/>
  <c r="AA373" i="10" s="1"/>
  <c r="Z266" i="10"/>
  <c r="AA266" i="10" s="1"/>
  <c r="Z208" i="10"/>
  <c r="AA208" i="10" s="1"/>
  <c r="Z158" i="10"/>
  <c r="AA158" i="10" s="1"/>
  <c r="Z340" i="10"/>
  <c r="AA340" i="10" s="1"/>
  <c r="Z391" i="10"/>
  <c r="AA391" i="10" s="1"/>
  <c r="Z488" i="10"/>
  <c r="AA488" i="10" s="1"/>
  <c r="Z421" i="10"/>
  <c r="AA421" i="10" s="1"/>
  <c r="Z313" i="10"/>
  <c r="AA313" i="10" s="1"/>
  <c r="Z189" i="10"/>
  <c r="AA189" i="10" s="1"/>
  <c r="Z325" i="10"/>
  <c r="AA325" i="10" s="1"/>
  <c r="Z107" i="10"/>
  <c r="AA107" i="10" s="1"/>
  <c r="Z281" i="10"/>
  <c r="AA281" i="10" s="1"/>
  <c r="Z368" i="10"/>
  <c r="AA368" i="10" s="1"/>
  <c r="Z56" i="10"/>
  <c r="AA56" i="10" s="1"/>
  <c r="Z536" i="10"/>
  <c r="AA536" i="10" s="1"/>
  <c r="Z430" i="10"/>
  <c r="AA430" i="10" s="1"/>
  <c r="Z194" i="10"/>
  <c r="AA194" i="10" s="1"/>
  <c r="Z261" i="10"/>
  <c r="AA261" i="10" s="1"/>
  <c r="Z149" i="10"/>
  <c r="AA149" i="10" s="1"/>
  <c r="Z223" i="10"/>
  <c r="AA223" i="10" s="1"/>
  <c r="Z278" i="10"/>
  <c r="AA278" i="10" s="1"/>
  <c r="Z519" i="10"/>
  <c r="AA519" i="10" s="1"/>
  <c r="Z200" i="10"/>
  <c r="AA200" i="10" s="1"/>
  <c r="Z364" i="10"/>
  <c r="AA364" i="10" s="1"/>
  <c r="Z118" i="10"/>
  <c r="AA118" i="10" s="1"/>
  <c r="Z84" i="10"/>
  <c r="AA84" i="10" s="1"/>
  <c r="Z64" i="10"/>
  <c r="AA64" i="10" s="1"/>
  <c r="Z527" i="10"/>
  <c r="AA527" i="10" s="1"/>
  <c r="Z481" i="10"/>
  <c r="AA481" i="10" s="1"/>
  <c r="Z69" i="10"/>
  <c r="AA69" i="10" s="1"/>
  <c r="Z31" i="10"/>
  <c r="AA31" i="10" s="1"/>
  <c r="Z66" i="10"/>
  <c r="AA66" i="10" s="1"/>
  <c r="Z50" i="10"/>
  <c r="AA50" i="10" s="1"/>
  <c r="Z34" i="10"/>
  <c r="AA34" i="10" s="1"/>
  <c r="Z231" i="10"/>
  <c r="AA231" i="10" s="1"/>
  <c r="Z403" i="10"/>
  <c r="AA403" i="10" s="1"/>
  <c r="T236" i="10"/>
  <c r="U236" i="10" s="1"/>
  <c r="T186" i="10"/>
  <c r="U186" i="10" s="1"/>
  <c r="W101" i="10"/>
  <c r="T59" i="10"/>
  <c r="U59" i="10" s="1"/>
  <c r="W531" i="10"/>
  <c r="AC485" i="10"/>
  <c r="AD485" i="10" s="1"/>
  <c r="AC292" i="10"/>
  <c r="AD292" i="10" s="1"/>
  <c r="AF165" i="10"/>
  <c r="T365" i="10"/>
  <c r="U365" i="10" s="1"/>
  <c r="AC488" i="10"/>
  <c r="AD488" i="10" s="1"/>
  <c r="T416" i="10"/>
  <c r="U416" i="10" s="1"/>
  <c r="T527" i="10"/>
  <c r="U527" i="10" s="1"/>
  <c r="W278" i="10"/>
  <c r="AF106" i="10"/>
  <c r="T492" i="10"/>
  <c r="U492" i="10" s="1"/>
  <c r="T434" i="10"/>
  <c r="U434" i="10" s="1"/>
  <c r="AC32" i="10"/>
  <c r="AD32" i="10" s="1"/>
  <c r="AC119" i="10"/>
  <c r="AD119" i="10" s="1"/>
  <c r="W504" i="10"/>
  <c r="AF485" i="10"/>
  <c r="T116" i="10"/>
  <c r="U116" i="10" s="1"/>
  <c r="W258" i="10"/>
  <c r="W138" i="10"/>
  <c r="X138" i="10" s="1"/>
  <c r="AC394" i="10"/>
  <c r="AD394" i="10" s="1"/>
  <c r="T245" i="10"/>
  <c r="U245" i="10" s="1"/>
  <c r="T261" i="10"/>
  <c r="U261" i="10" s="1"/>
  <c r="T302" i="10"/>
  <c r="U302" i="10" s="1"/>
  <c r="W435" i="10"/>
  <c r="AC430" i="10"/>
  <c r="AD430" i="10" s="1"/>
  <c r="AC43" i="10"/>
  <c r="AD43" i="10" s="1"/>
  <c r="W412" i="10"/>
  <c r="W515" i="10"/>
  <c r="AC80" i="10"/>
  <c r="AD80" i="10" s="1"/>
  <c r="AF441" i="10"/>
  <c r="T199" i="10"/>
  <c r="U199" i="10" s="1"/>
  <c r="AC372" i="10"/>
  <c r="AD372" i="10" s="1"/>
  <c r="AF470" i="10"/>
  <c r="AF316" i="10"/>
  <c r="AG316" i="10" s="1"/>
  <c r="AC81" i="10"/>
  <c r="AD81" i="10" s="1"/>
  <c r="W374" i="10"/>
  <c r="T209" i="10"/>
  <c r="U209" i="10" s="1"/>
  <c r="AF212" i="10"/>
  <c r="AC518" i="10"/>
  <c r="AD518" i="10" s="1"/>
  <c r="AC302" i="10"/>
  <c r="AD302" i="10" s="1"/>
  <c r="W530" i="10"/>
  <c r="W59" i="10"/>
  <c r="AF140" i="10"/>
  <c r="W417" i="10"/>
  <c r="AC320" i="10"/>
  <c r="AD320" i="10" s="1"/>
  <c r="W453" i="10"/>
  <c r="AC63" i="10"/>
  <c r="AD63" i="10" s="1"/>
  <c r="AF261" i="10"/>
  <c r="AC537" i="10"/>
  <c r="AD537" i="10" s="1"/>
  <c r="AC529" i="10"/>
  <c r="AD529" i="10" s="1"/>
  <c r="AF520" i="10"/>
  <c r="T367" i="10"/>
  <c r="U367" i="10" s="1"/>
  <c r="T96" i="10"/>
  <c r="U96" i="10" s="1"/>
  <c r="T175" i="10"/>
  <c r="U175" i="10" s="1"/>
  <c r="W22" i="10"/>
  <c r="X22" i="10" s="1"/>
  <c r="AC250" i="10"/>
  <c r="AD250" i="10" s="1"/>
  <c r="AC352" i="10"/>
  <c r="AD352" i="10" s="1"/>
  <c r="AC400" i="10"/>
  <c r="AD400" i="10" s="1"/>
  <c r="T355" i="10"/>
  <c r="U355" i="10" s="1"/>
  <c r="AF460" i="10"/>
  <c r="T184" i="10"/>
  <c r="U184" i="10" s="1"/>
  <c r="AC398" i="10"/>
  <c r="AD398" i="10" s="1"/>
  <c r="W276" i="10"/>
  <c r="AF204" i="10"/>
  <c r="AF169" i="10"/>
  <c r="W275" i="10"/>
  <c r="AC502" i="10"/>
  <c r="AD502" i="10" s="1"/>
  <c r="W391" i="10"/>
  <c r="W352" i="10"/>
  <c r="AC134" i="10"/>
  <c r="AD134" i="10" s="1"/>
  <c r="AF459" i="10"/>
  <c r="AC443" i="10"/>
  <c r="AD443" i="10" s="1"/>
  <c r="T393" i="10"/>
  <c r="U393" i="10" s="1"/>
  <c r="W74" i="10"/>
  <c r="T519" i="10"/>
  <c r="U519" i="10" s="1"/>
  <c r="AF28" i="10"/>
  <c r="AF397" i="10"/>
  <c r="AF442" i="10"/>
  <c r="AF434" i="10"/>
  <c r="AF81" i="10"/>
  <c r="AF329" i="10"/>
  <c r="AF505" i="10"/>
  <c r="AF498" i="10"/>
  <c r="AF172" i="10"/>
  <c r="AF213" i="10"/>
  <c r="AG213" i="10" s="1"/>
  <c r="AF268" i="10"/>
  <c r="AF142" i="10"/>
  <c r="AG142" i="10" s="1"/>
  <c r="AF112" i="10"/>
  <c r="AF93" i="10"/>
  <c r="AG93" i="10" s="1"/>
  <c r="AF233" i="10"/>
  <c r="AF451" i="10"/>
  <c r="AF254" i="10"/>
  <c r="AF381" i="10"/>
  <c r="AF26" i="10"/>
  <c r="AF97" i="10"/>
  <c r="AF263" i="10"/>
  <c r="AC459" i="10"/>
  <c r="AD459" i="10" s="1"/>
  <c r="T85" i="10"/>
  <c r="U85" i="10" s="1"/>
  <c r="T476" i="10"/>
  <c r="U476" i="10" s="1"/>
  <c r="T502" i="10"/>
  <c r="U502" i="10" s="1"/>
  <c r="T216" i="10"/>
  <c r="U216" i="10" s="1"/>
  <c r="T84" i="10"/>
  <c r="U84" i="10" s="1"/>
  <c r="T474" i="10"/>
  <c r="U474" i="10" s="1"/>
  <c r="T292" i="10"/>
  <c r="U292" i="10" s="1"/>
  <c r="T482" i="10"/>
  <c r="U482" i="10" s="1"/>
  <c r="T298" i="10"/>
  <c r="U298" i="10" s="1"/>
  <c r="T190" i="10"/>
  <c r="U190" i="10" s="1"/>
  <c r="T272" i="10"/>
  <c r="U272" i="10" s="1"/>
  <c r="T312" i="10"/>
  <c r="U312" i="10" s="1"/>
  <c r="T121" i="10"/>
  <c r="U121" i="10" s="1"/>
  <c r="T403" i="10"/>
  <c r="U403" i="10" s="1"/>
  <c r="T525" i="10"/>
  <c r="U525" i="10" s="1"/>
  <c r="T374" i="10"/>
  <c r="U374" i="10" s="1"/>
  <c r="T244" i="10"/>
  <c r="U244" i="10" s="1"/>
  <c r="T124" i="10"/>
  <c r="U124" i="10" s="1"/>
  <c r="T246" i="10"/>
  <c r="U246" i="10" s="1"/>
  <c r="T8" i="10"/>
  <c r="U8" i="10" s="1"/>
  <c r="T313" i="10"/>
  <c r="U313" i="10" s="1"/>
  <c r="T369" i="10"/>
  <c r="U369" i="10" s="1"/>
  <c r="T371" i="10"/>
  <c r="U371" i="10" s="1"/>
  <c r="T366" i="10"/>
  <c r="U366" i="10" s="1"/>
  <c r="T467" i="10"/>
  <c r="U467" i="10" s="1"/>
  <c r="T80" i="10"/>
  <c r="U80" i="10" s="1"/>
  <c r="T308" i="10"/>
  <c r="U308" i="10" s="1"/>
  <c r="T546" i="10"/>
  <c r="U546" i="10" s="1"/>
  <c r="T351" i="10"/>
  <c r="U351" i="10" s="1"/>
  <c r="T258" i="10"/>
  <c r="U258" i="10" s="1"/>
  <c r="T304" i="10"/>
  <c r="U304" i="10" s="1"/>
  <c r="T69" i="10"/>
  <c r="U69" i="10" s="1"/>
  <c r="T282" i="10"/>
  <c r="U282" i="10" s="1"/>
  <c r="T138" i="10"/>
  <c r="U138" i="10" s="1"/>
  <c r="T462" i="10"/>
  <c r="U462" i="10" s="1"/>
  <c r="T469" i="10"/>
  <c r="U469" i="10" s="1"/>
  <c r="T544" i="10"/>
  <c r="U544" i="10" s="1"/>
  <c r="T468" i="10"/>
  <c r="U468" i="10" s="1"/>
  <c r="T447" i="10"/>
  <c r="U447" i="10" s="1"/>
  <c r="T287" i="10"/>
  <c r="U287" i="10" s="1"/>
  <c r="T268" i="10"/>
  <c r="U268" i="10" s="1"/>
  <c r="T201" i="10"/>
  <c r="U201" i="10" s="1"/>
  <c r="T43" i="10"/>
  <c r="U43" i="10" s="1"/>
  <c r="T362" i="10"/>
  <c r="U362" i="10" s="1"/>
  <c r="T7" i="10"/>
  <c r="U7" i="10" s="1"/>
  <c r="T22" i="10"/>
  <c r="U22" i="10" s="1"/>
  <c r="T343" i="10"/>
  <c r="U343" i="10" s="1"/>
  <c r="T320" i="10"/>
  <c r="U320" i="10" s="1"/>
  <c r="T441" i="10"/>
  <c r="U441" i="10" s="1"/>
  <c r="T318" i="10"/>
  <c r="U318" i="10" s="1"/>
  <c r="T196" i="10"/>
  <c r="U196" i="10" s="1"/>
  <c r="T110" i="10"/>
  <c r="U110" i="10" s="1"/>
  <c r="T326" i="10"/>
  <c r="U326" i="10" s="1"/>
  <c r="T109" i="10"/>
  <c r="U109" i="10" s="1"/>
  <c r="T223" i="10"/>
  <c r="U223" i="10" s="1"/>
  <c r="T55" i="10"/>
  <c r="U55" i="10" s="1"/>
  <c r="T207" i="10"/>
  <c r="U207" i="10" s="1"/>
  <c r="T427" i="10"/>
  <c r="U427" i="10" s="1"/>
  <c r="T386" i="10"/>
  <c r="U386" i="10" s="1"/>
  <c r="T380" i="10"/>
  <c r="U380" i="10" s="1"/>
  <c r="T507" i="10"/>
  <c r="U507" i="10" s="1"/>
  <c r="T104" i="10"/>
  <c r="U104" i="10" s="1"/>
  <c r="T158" i="10"/>
  <c r="U158" i="10" s="1"/>
  <c r="T256" i="10"/>
  <c r="U256" i="10" s="1"/>
  <c r="T144" i="10"/>
  <c r="U144" i="10" s="1"/>
  <c r="T530" i="10"/>
  <c r="U530" i="10" s="1"/>
  <c r="T335" i="10"/>
  <c r="U335" i="10" s="1"/>
  <c r="T309" i="10"/>
  <c r="U309" i="10" s="1"/>
  <c r="T29" i="10"/>
  <c r="U29" i="10" s="1"/>
  <c r="T166" i="10"/>
  <c r="U166" i="10" s="1"/>
  <c r="T170" i="10"/>
  <c r="U170" i="10" s="1"/>
  <c r="T192" i="10"/>
  <c r="U192" i="10" s="1"/>
  <c r="T466" i="10"/>
  <c r="U466" i="10" s="1"/>
  <c r="T305" i="10"/>
  <c r="U305" i="10" s="1"/>
  <c r="T47" i="10"/>
  <c r="U47" i="10" s="1"/>
  <c r="T91" i="10"/>
  <c r="U91" i="10" s="1"/>
  <c r="T503" i="10"/>
  <c r="U503" i="10" s="1"/>
  <c r="T220" i="10"/>
  <c r="U220" i="10" s="1"/>
  <c r="T193" i="10"/>
  <c r="U193" i="10" s="1"/>
  <c r="T163" i="10"/>
  <c r="U163" i="10" s="1"/>
  <c r="T90" i="10"/>
  <c r="U90" i="10" s="1"/>
  <c r="T32" i="10"/>
  <c r="U32" i="10" s="1"/>
  <c r="T327" i="10"/>
  <c r="U327" i="10" s="1"/>
  <c r="T396" i="10"/>
  <c r="U396" i="10" s="1"/>
  <c r="T486" i="10"/>
  <c r="U486" i="10" s="1"/>
  <c r="T251" i="10"/>
  <c r="U251" i="10" s="1"/>
  <c r="T281" i="10"/>
  <c r="U281" i="10" s="1"/>
  <c r="T521" i="10"/>
  <c r="U521" i="10" s="1"/>
  <c r="T65" i="10"/>
  <c r="U65" i="10" s="1"/>
  <c r="T205" i="10"/>
  <c r="U205" i="10" s="1"/>
  <c r="T404" i="10"/>
  <c r="U404" i="10" s="1"/>
  <c r="T48" i="10"/>
  <c r="U48" i="10" s="1"/>
  <c r="T472" i="10"/>
  <c r="U472" i="10" s="1"/>
  <c r="T428" i="10"/>
  <c r="U428" i="10" s="1"/>
  <c r="T390" i="10"/>
  <c r="U390" i="10" s="1"/>
  <c r="T368" i="10"/>
  <c r="U368" i="10" s="1"/>
  <c r="T237" i="10"/>
  <c r="U237" i="10" s="1"/>
  <c r="T150" i="10"/>
  <c r="U150" i="10" s="1"/>
  <c r="T411" i="10"/>
  <c r="U411" i="10" s="1"/>
  <c r="T435" i="10"/>
  <c r="U435" i="10" s="1"/>
  <c r="T410" i="10"/>
  <c r="U410" i="10" s="1"/>
  <c r="T475" i="10"/>
  <c r="U475" i="10" s="1"/>
  <c r="T265" i="10"/>
  <c r="U265" i="10" s="1"/>
  <c r="T153" i="10"/>
  <c r="U153" i="10" s="1"/>
  <c r="T322" i="10"/>
  <c r="U322" i="10" s="1"/>
  <c r="T460" i="10"/>
  <c r="U460" i="10" s="1"/>
  <c r="T353" i="10"/>
  <c r="U353" i="10" s="1"/>
  <c r="T381" i="10"/>
  <c r="U381" i="10" s="1"/>
  <c r="T74" i="10"/>
  <c r="U74" i="10" s="1"/>
  <c r="T60" i="10"/>
  <c r="U60" i="10" s="1"/>
  <c r="T56" i="10"/>
  <c r="U56" i="10" s="1"/>
  <c r="T6" i="10"/>
  <c r="U6" i="10" s="1"/>
  <c r="T206" i="10"/>
  <c r="U206" i="10" s="1"/>
  <c r="T264" i="10"/>
  <c r="U264" i="10" s="1"/>
  <c r="T68" i="10"/>
  <c r="U68" i="10" s="1"/>
  <c r="T361" i="10"/>
  <c r="U361" i="10" s="1"/>
  <c r="T391" i="10"/>
  <c r="U391" i="10" s="1"/>
  <c r="T433" i="10"/>
  <c r="U433" i="10" s="1"/>
  <c r="T303" i="10"/>
  <c r="U303" i="10" s="1"/>
  <c r="T329" i="10"/>
  <c r="U329" i="10" s="1"/>
  <c r="T452" i="10"/>
  <c r="U452" i="10" s="1"/>
  <c r="T341" i="10"/>
  <c r="U341" i="10" s="1"/>
  <c r="T424" i="10"/>
  <c r="U424" i="10" s="1"/>
  <c r="T165" i="10"/>
  <c r="U165" i="10" s="1"/>
  <c r="T241" i="10"/>
  <c r="U241" i="10" s="1"/>
  <c r="T297" i="10"/>
  <c r="U297" i="10" s="1"/>
  <c r="T266" i="10"/>
  <c r="U266" i="10" s="1"/>
  <c r="T217" i="10"/>
  <c r="U217" i="10" s="1"/>
  <c r="T333" i="10"/>
  <c r="U333" i="10" s="1"/>
  <c r="T376" i="10"/>
  <c r="U376" i="10" s="1"/>
  <c r="T242" i="10"/>
  <c r="U242" i="10" s="1"/>
  <c r="T19" i="10"/>
  <c r="U19" i="10" s="1"/>
  <c r="T13" i="10"/>
  <c r="U13" i="10" s="1"/>
  <c r="T17" i="10"/>
  <c r="U17" i="10" s="1"/>
  <c r="T415" i="10"/>
  <c r="U415" i="10" s="1"/>
  <c r="T484" i="10"/>
  <c r="U484" i="10" s="1"/>
  <c r="T520" i="10"/>
  <c r="U520" i="10" s="1"/>
  <c r="T511" i="10"/>
  <c r="U511" i="10" s="1"/>
  <c r="T154" i="10"/>
  <c r="U154" i="10" s="1"/>
  <c r="T188" i="10"/>
  <c r="U188" i="10" s="1"/>
  <c r="T370" i="10"/>
  <c r="U370" i="10" s="1"/>
  <c r="T99" i="10"/>
  <c r="U99" i="10" s="1"/>
  <c r="T180" i="10"/>
  <c r="U180" i="10" s="1"/>
  <c r="T499" i="10"/>
  <c r="U499" i="10" s="1"/>
  <c r="T395" i="10"/>
  <c r="U395" i="10" s="1"/>
  <c r="T93" i="10"/>
  <c r="U93" i="10" s="1"/>
  <c r="T436" i="10"/>
  <c r="U436" i="10" s="1"/>
  <c r="T531" i="10"/>
  <c r="U531" i="10" s="1"/>
  <c r="T53" i="10"/>
  <c r="U53" i="10" s="1"/>
  <c r="T534" i="10"/>
  <c r="U534" i="10" s="1"/>
  <c r="T501" i="10"/>
  <c r="U501" i="10" s="1"/>
  <c r="T284" i="10"/>
  <c r="U284" i="10" s="1"/>
  <c r="T516" i="10"/>
  <c r="U516" i="10" s="1"/>
  <c r="T89" i="10"/>
  <c r="U89" i="10" s="1"/>
  <c r="T118" i="10"/>
  <c r="U118" i="10" s="1"/>
  <c r="T123" i="10"/>
  <c r="U123" i="10" s="1"/>
  <c r="T243" i="10"/>
  <c r="U243" i="10" s="1"/>
  <c r="T342" i="10"/>
  <c r="U342" i="10" s="1"/>
  <c r="T20" i="10"/>
  <c r="U20" i="10" s="1"/>
  <c r="T214" i="10"/>
  <c r="U214" i="10" s="1"/>
  <c r="T151" i="10"/>
  <c r="U151" i="10" s="1"/>
  <c r="T231" i="10"/>
  <c r="U231" i="10" s="1"/>
  <c r="T136" i="10"/>
  <c r="U136" i="10" s="1"/>
  <c r="T129" i="10"/>
  <c r="U129" i="10" s="1"/>
  <c r="T50" i="10"/>
  <c r="U50" i="10" s="1"/>
  <c r="T529" i="10"/>
  <c r="U529" i="10" s="1"/>
  <c r="T536" i="10"/>
  <c r="U536" i="10" s="1"/>
  <c r="T334" i="10"/>
  <c r="U334" i="10" s="1"/>
  <c r="T513" i="10"/>
  <c r="U513" i="10" s="1"/>
  <c r="T200" i="10"/>
  <c r="U200" i="10" s="1"/>
  <c r="T21" i="10"/>
  <c r="U21" i="10" s="1"/>
  <c r="T156" i="10"/>
  <c r="U156" i="10" s="1"/>
  <c r="T331" i="10"/>
  <c r="U331" i="10" s="1"/>
  <c r="T235" i="10"/>
  <c r="U235" i="10" s="1"/>
  <c r="T202" i="10"/>
  <c r="U202" i="10" s="1"/>
  <c r="T107" i="10"/>
  <c r="U107" i="10" s="1"/>
  <c r="T62" i="10"/>
  <c r="U62" i="10" s="1"/>
  <c r="T500" i="10"/>
  <c r="U500" i="10" s="1"/>
  <c r="T131" i="10"/>
  <c r="U131" i="10" s="1"/>
  <c r="T356" i="10"/>
  <c r="U356" i="10" s="1"/>
  <c r="T357" i="10"/>
  <c r="U357" i="10" s="1"/>
  <c r="T176" i="10"/>
  <c r="U176" i="10" s="1"/>
  <c r="T425" i="10"/>
  <c r="U425" i="10" s="1"/>
  <c r="T352" i="10"/>
  <c r="U352" i="10" s="1"/>
  <c r="T49" i="10"/>
  <c r="U49" i="10" s="1"/>
  <c r="T137" i="10"/>
  <c r="U137" i="10" s="1"/>
  <c r="T473" i="10"/>
  <c r="U473" i="10" s="1"/>
  <c r="T439" i="10"/>
  <c r="U439" i="10" s="1"/>
  <c r="T161" i="10"/>
  <c r="U161" i="10" s="1"/>
  <c r="T301" i="10"/>
  <c r="U301" i="10" s="1"/>
  <c r="T532" i="10"/>
  <c r="U532" i="10" s="1"/>
  <c r="T346" i="10"/>
  <c r="U346" i="10" s="1"/>
  <c r="T377" i="10"/>
  <c r="U377" i="10" s="1"/>
  <c r="T420" i="10"/>
  <c r="U420" i="10" s="1"/>
  <c r="T259" i="10"/>
  <c r="U259" i="10" s="1"/>
  <c r="T545" i="10"/>
  <c r="U545" i="10" s="1"/>
  <c r="T4" i="10"/>
  <c r="U4" i="10" s="1"/>
  <c r="T444" i="10"/>
  <c r="U444" i="10" s="1"/>
  <c r="T431" i="10"/>
  <c r="U431" i="10" s="1"/>
  <c r="T504" i="10"/>
  <c r="U504" i="10" s="1"/>
  <c r="T213" i="10"/>
  <c r="U213" i="10" s="1"/>
  <c r="T417" i="10"/>
  <c r="U417" i="10" s="1"/>
  <c r="T232" i="10"/>
  <c r="U232" i="10" s="1"/>
  <c r="T275" i="10"/>
  <c r="U275" i="10" s="1"/>
  <c r="T61" i="10"/>
  <c r="U61" i="10" s="1"/>
  <c r="T78" i="10"/>
  <c r="U78" i="10" s="1"/>
  <c r="T405" i="10"/>
  <c r="U405" i="10" s="1"/>
  <c r="T526" i="10"/>
  <c r="U526" i="10" s="1"/>
  <c r="T418" i="10"/>
  <c r="U418" i="10" s="1"/>
  <c r="T328" i="10"/>
  <c r="U328" i="10" s="1"/>
  <c r="T269" i="10"/>
  <c r="U269" i="10" s="1"/>
  <c r="T453" i="10"/>
  <c r="U453" i="10" s="1"/>
  <c r="T477" i="10"/>
  <c r="U477" i="10" s="1"/>
  <c r="T419" i="10"/>
  <c r="U419" i="10" s="1"/>
  <c r="T423" i="10"/>
  <c r="U423" i="10" s="1"/>
  <c r="T288" i="10"/>
  <c r="U288" i="10" s="1"/>
  <c r="T38" i="10"/>
  <c r="U38" i="10" s="1"/>
  <c r="T140" i="10"/>
  <c r="U140" i="10" s="1"/>
  <c r="AC78" i="10"/>
  <c r="AD78" i="10" s="1"/>
  <c r="T464" i="10"/>
  <c r="U464" i="10" s="1"/>
  <c r="AC322" i="10"/>
  <c r="AD322" i="10" s="1"/>
  <c r="AC289" i="10"/>
  <c r="AD289" i="10" s="1"/>
  <c r="T413" i="10"/>
  <c r="U413" i="10" s="1"/>
  <c r="T179" i="10"/>
  <c r="U179" i="10" s="1"/>
  <c r="Z535" i="10"/>
  <c r="AA535" i="10" s="1"/>
  <c r="Z228" i="10"/>
  <c r="AA228" i="10" s="1"/>
  <c r="Z532" i="10"/>
  <c r="AA532" i="10" s="1"/>
  <c r="Z218" i="10"/>
  <c r="AA218" i="10" s="1"/>
  <c r="Z172" i="10"/>
  <c r="AA172" i="10" s="1"/>
  <c r="Z104" i="10"/>
  <c r="AA104" i="10" s="1"/>
  <c r="Z260" i="10"/>
  <c r="AA260" i="10" s="1"/>
  <c r="Z482" i="10"/>
  <c r="AA482" i="10" s="1"/>
  <c r="Z274" i="10"/>
  <c r="AA274" i="10" s="1"/>
  <c r="Z510" i="10"/>
  <c r="AA510" i="10" s="1"/>
  <c r="Z240" i="10"/>
  <c r="AA240" i="10" s="1"/>
  <c r="Z280" i="10"/>
  <c r="AA280" i="10" s="1"/>
  <c r="Z146" i="10"/>
  <c r="AA146" i="10" s="1"/>
  <c r="Z377" i="10"/>
  <c r="AA377" i="10" s="1"/>
  <c r="Z246" i="10"/>
  <c r="AA246" i="10" s="1"/>
  <c r="Z374" i="10"/>
  <c r="AA374" i="10" s="1"/>
  <c r="Z85" i="10"/>
  <c r="AA85" i="10" s="1"/>
  <c r="Z494" i="10"/>
  <c r="AA494" i="10" s="1"/>
  <c r="Z441" i="10"/>
  <c r="AA441" i="10" s="1"/>
  <c r="Z215" i="10"/>
  <c r="AA215" i="10" s="1"/>
  <c r="Z370" i="10"/>
  <c r="AA370" i="10" s="1"/>
  <c r="Z356" i="10"/>
  <c r="AA356" i="10" s="1"/>
  <c r="Z479" i="10"/>
  <c r="AA479" i="10" s="1"/>
  <c r="Z48" i="10"/>
  <c r="AA48" i="10" s="1"/>
  <c r="Z435" i="10"/>
  <c r="AA435" i="10" s="1"/>
  <c r="Z13" i="10"/>
  <c r="AA13" i="10" s="1"/>
  <c r="Z43" i="10"/>
  <c r="AA43" i="10" s="1"/>
  <c r="Z54" i="10"/>
  <c r="AA54" i="10" s="1"/>
  <c r="Z426" i="10"/>
  <c r="AA426" i="10" s="1"/>
  <c r="Z458" i="10"/>
  <c r="AA458" i="10" s="1"/>
  <c r="Z188" i="10"/>
  <c r="AA188" i="10" s="1"/>
  <c r="Z305" i="10"/>
  <c r="AA305" i="10" s="1"/>
  <c r="Z521" i="10"/>
  <c r="AA521" i="10" s="1"/>
  <c r="Z289" i="10"/>
  <c r="AA289" i="10" s="1"/>
  <c r="Z413" i="10"/>
  <c r="AA413" i="10" s="1"/>
  <c r="Z242" i="10"/>
  <c r="AA242" i="10" s="1"/>
  <c r="Z352" i="10"/>
  <c r="AA352" i="10" s="1"/>
  <c r="Z196" i="10"/>
  <c r="AA196" i="10" s="1"/>
  <c r="Z328" i="10"/>
  <c r="AA328" i="10" s="1"/>
  <c r="Z46" i="10"/>
  <c r="AA46" i="10" s="1"/>
  <c r="Z38" i="10"/>
  <c r="AA38" i="10" s="1"/>
  <c r="Z232" i="10"/>
  <c r="AA232" i="10" s="1"/>
  <c r="Z475" i="10"/>
  <c r="AA475" i="10" s="1"/>
  <c r="Z360" i="10"/>
  <c r="AA360" i="10" s="1"/>
  <c r="Z7" i="10"/>
  <c r="AA7" i="10" s="1"/>
  <c r="AF132" i="10"/>
  <c r="W247" i="10"/>
  <c r="AF279" i="10"/>
  <c r="AC21" i="10"/>
  <c r="AD21" i="10" s="1"/>
  <c r="AC313" i="10"/>
  <c r="AD313" i="10" s="1"/>
  <c r="T542" i="10"/>
  <c r="U542" i="10" s="1"/>
  <c r="W281" i="10"/>
  <c r="T41" i="10"/>
  <c r="U41" i="10" s="1"/>
  <c r="W436" i="10"/>
  <c r="T470" i="10"/>
  <c r="U470" i="10" s="1"/>
  <c r="AC297" i="10"/>
  <c r="AD297" i="10" s="1"/>
  <c r="W226" i="10"/>
  <c r="AC104" i="10"/>
  <c r="AD104" i="10" s="1"/>
  <c r="W285" i="10"/>
  <c r="W330" i="10"/>
  <c r="AC261" i="10"/>
  <c r="AD261" i="10" s="1"/>
  <c r="AF25" i="10"/>
  <c r="AC120" i="10"/>
  <c r="AD120" i="10" s="1"/>
  <c r="T286" i="10"/>
  <c r="U286" i="10" s="1"/>
  <c r="AC195" i="10"/>
  <c r="AD195" i="10" s="1"/>
  <c r="W524" i="10"/>
  <c r="T187" i="10"/>
  <c r="U187" i="10" s="1"/>
  <c r="AC161" i="10"/>
  <c r="AD161" i="10" s="1"/>
  <c r="T181" i="10"/>
  <c r="U181" i="10" s="1"/>
  <c r="W64" i="10"/>
  <c r="W444" i="10"/>
  <c r="T12" i="10"/>
  <c r="U12" i="10" s="1"/>
  <c r="W492" i="10"/>
  <c r="T267" i="10"/>
  <c r="U267" i="10" s="1"/>
  <c r="AC188" i="10"/>
  <c r="AD188" i="10" s="1"/>
  <c r="W279" i="10"/>
  <c r="T15" i="10"/>
  <c r="U15" i="10" s="1"/>
  <c r="AC174" i="10"/>
  <c r="AD174" i="10" s="1"/>
  <c r="T254" i="10"/>
  <c r="U254" i="10" s="1"/>
  <c r="AC231" i="10"/>
  <c r="AD231" i="10" s="1"/>
  <c r="W335" i="10"/>
  <c r="W389" i="10"/>
  <c r="AC465" i="10"/>
  <c r="AD465" i="10" s="1"/>
  <c r="T373" i="10"/>
  <c r="U373" i="10" s="1"/>
  <c r="W277" i="10"/>
  <c r="W511" i="10"/>
  <c r="T145" i="10"/>
  <c r="U145" i="10" s="1"/>
  <c r="W292" i="10"/>
  <c r="X292" i="10" s="1"/>
  <c r="AC329" i="10"/>
  <c r="AD329" i="10" s="1"/>
  <c r="W413" i="10"/>
  <c r="T112" i="10"/>
  <c r="U112" i="10" s="1"/>
  <c r="AC528" i="10"/>
  <c r="AD528" i="10" s="1"/>
  <c r="T82" i="10"/>
  <c r="U82" i="10" s="1"/>
  <c r="AC498" i="10"/>
  <c r="AD498" i="10" s="1"/>
  <c r="W272" i="10"/>
  <c r="W316" i="10"/>
  <c r="T505" i="10"/>
  <c r="U505" i="10" s="1"/>
  <c r="T314" i="10"/>
  <c r="U314" i="10" s="1"/>
  <c r="W162" i="10"/>
  <c r="AF270" i="10"/>
  <c r="AC334" i="10"/>
  <c r="AD334" i="10" s="1"/>
  <c r="AF378" i="10"/>
  <c r="T273" i="10"/>
  <c r="U273" i="10" s="1"/>
  <c r="AF547" i="10"/>
  <c r="AC482" i="10"/>
  <c r="AD482" i="10" s="1"/>
  <c r="W500" i="10"/>
  <c r="T279" i="10"/>
  <c r="U279" i="10" s="1"/>
  <c r="AC89" i="10"/>
  <c r="AD89" i="10" s="1"/>
  <c r="AC249" i="10"/>
  <c r="AD249" i="10" s="1"/>
  <c r="AC521" i="10"/>
  <c r="AD521" i="10" s="1"/>
  <c r="AC315" i="10"/>
  <c r="AD315" i="10" s="1"/>
  <c r="T321" i="10"/>
  <c r="U321" i="10" s="1"/>
  <c r="AF8" i="10"/>
  <c r="AC52" i="10"/>
  <c r="AD52" i="10" s="1"/>
  <c r="W407" i="10"/>
  <c r="AF196" i="10"/>
  <c r="W245" i="10"/>
  <c r="AC516" i="10"/>
  <c r="AD516" i="10" s="1"/>
  <c r="T51" i="10"/>
  <c r="U51" i="10" s="1"/>
  <c r="W71" i="10"/>
  <c r="W392" i="10"/>
  <c r="W291" i="10"/>
  <c r="W312" i="10"/>
  <c r="AF396" i="10"/>
  <c r="AF183" i="10"/>
  <c r="W484" i="10"/>
  <c r="AF232" i="10"/>
  <c r="AF421" i="10"/>
  <c r="AF320" i="10"/>
  <c r="AF23" i="10"/>
  <c r="AF193" i="10"/>
  <c r="AG193" i="10" s="1"/>
  <c r="AF333" i="10"/>
  <c r="AF77" i="10"/>
  <c r="AG77" i="10" s="1"/>
  <c r="AF208" i="10"/>
  <c r="AF413" i="10"/>
  <c r="AF519" i="10"/>
  <c r="AF205" i="10"/>
  <c r="AF245" i="10"/>
  <c r="AF364" i="10"/>
  <c r="AF225" i="10"/>
  <c r="AF219" i="10"/>
  <c r="AF497" i="10"/>
  <c r="AF325" i="10"/>
  <c r="AF294" i="10"/>
  <c r="AF354" i="10"/>
  <c r="AF79" i="10"/>
  <c r="T39" i="10"/>
  <c r="U39" i="10" s="1"/>
  <c r="W244" i="10"/>
  <c r="W75" i="10"/>
  <c r="W383" i="10"/>
  <c r="AC314" i="10"/>
  <c r="AD314" i="10" s="1"/>
  <c r="W470" i="10"/>
  <c r="AC424" i="10"/>
  <c r="AD424" i="10" s="1"/>
  <c r="T183" i="10"/>
  <c r="U183" i="10" s="1"/>
  <c r="AF78" i="10"/>
  <c r="T111" i="10"/>
  <c r="U111" i="10" s="1"/>
  <c r="AC85" i="10"/>
  <c r="AD85" i="10" s="1"/>
  <c r="T398" i="10"/>
  <c r="U398" i="10" s="1"/>
  <c r="T430" i="10"/>
  <c r="U430" i="10" s="1"/>
  <c r="AF423" i="10"/>
  <c r="AF321" i="10"/>
  <c r="AG321" i="10" s="1"/>
  <c r="Z439" i="10"/>
  <c r="AA439" i="10" s="1"/>
  <c r="Z461" i="10"/>
  <c r="AA461" i="10" s="1"/>
  <c r="Z505" i="10"/>
  <c r="AA505" i="10" s="1"/>
  <c r="Z417" i="10"/>
  <c r="AA417" i="10" s="1"/>
  <c r="Z335" i="10"/>
  <c r="AA335" i="10" s="1"/>
  <c r="Z395" i="10"/>
  <c r="AA395" i="10" s="1"/>
  <c r="Z507" i="10"/>
  <c r="AA507" i="10" s="1"/>
  <c r="Z159" i="10"/>
  <c r="AA159" i="10" s="1"/>
  <c r="Z350" i="10"/>
  <c r="AA350" i="10" s="1"/>
  <c r="Z27" i="10"/>
  <c r="AA27" i="10" s="1"/>
  <c r="Z177" i="10"/>
  <c r="AA177" i="10" s="1"/>
  <c r="Z32" i="10"/>
  <c r="AA32" i="10" s="1"/>
  <c r="Z311" i="10"/>
  <c r="AA311" i="10" s="1"/>
  <c r="Z443" i="10"/>
  <c r="AA443" i="10" s="1"/>
  <c r="Z544" i="10"/>
  <c r="AA544" i="10" s="1"/>
  <c r="Z134" i="10"/>
  <c r="AA134" i="10" s="1"/>
  <c r="Z136" i="10"/>
  <c r="AA136" i="10" s="1"/>
  <c r="Z477" i="10"/>
  <c r="AA477" i="10" s="1"/>
  <c r="Z501" i="10"/>
  <c r="AA501" i="10" s="1"/>
  <c r="Z434" i="10"/>
  <c r="AA434" i="10" s="1"/>
  <c r="Z120" i="10"/>
  <c r="AA120" i="10" s="1"/>
  <c r="Z15" i="10"/>
  <c r="AA15" i="10" s="1"/>
  <c r="Z191" i="10"/>
  <c r="AA191" i="10" s="1"/>
  <c r="Z362" i="10"/>
  <c r="AA362" i="10" s="1"/>
  <c r="Z324" i="10"/>
  <c r="AA324" i="10" s="1"/>
  <c r="Z105" i="10"/>
  <c r="AA105" i="10" s="1"/>
  <c r="Z496" i="10"/>
  <c r="AA496" i="10" s="1"/>
  <c r="Z99" i="10"/>
  <c r="AA99" i="10" s="1"/>
  <c r="Z10" i="10"/>
  <c r="AA10" i="10" s="1"/>
  <c r="Z357" i="10"/>
  <c r="AA357" i="10" s="1"/>
  <c r="Z457" i="10"/>
  <c r="AA457" i="10" s="1"/>
  <c r="Z52" i="10"/>
  <c r="AA52" i="10" s="1"/>
  <c r="Z126" i="10"/>
  <c r="AA126" i="10" s="1"/>
  <c r="Z33" i="10"/>
  <c r="AA33" i="10" s="1"/>
  <c r="Z150" i="10"/>
  <c r="AA150" i="10" s="1"/>
  <c r="Z338" i="10"/>
  <c r="AA338" i="10" s="1"/>
  <c r="Z508" i="10"/>
  <c r="AA508" i="10" s="1"/>
  <c r="Z4" i="10"/>
  <c r="AA4" i="10" s="1"/>
  <c r="Z82" i="10"/>
  <c r="AA82" i="10" s="1"/>
  <c r="Z61" i="10"/>
  <c r="AA61" i="10" s="1"/>
  <c r="Z89" i="10"/>
  <c r="AA89" i="10" s="1"/>
  <c r="Z464" i="10"/>
  <c r="AA464" i="10" s="1"/>
  <c r="Z275" i="10"/>
  <c r="AA275" i="10" s="1"/>
  <c r="Z321" i="10"/>
  <c r="AA321" i="10" s="1"/>
  <c r="T488" i="10"/>
  <c r="U488" i="10" s="1"/>
  <c r="T364" i="10"/>
  <c r="U364" i="10" s="1"/>
  <c r="AC9" i="10"/>
  <c r="AD9" i="10" s="1"/>
  <c r="T97" i="10"/>
  <c r="U97" i="10" s="1"/>
  <c r="T125" i="10"/>
  <c r="U125" i="10" s="1"/>
  <c r="AC413" i="10"/>
  <c r="AD413" i="10" s="1"/>
  <c r="T250" i="10"/>
  <c r="U250" i="10" s="1"/>
  <c r="AF158" i="10"/>
  <c r="W526" i="10"/>
  <c r="T103" i="10"/>
  <c r="U103" i="10" s="1"/>
  <c r="AC49" i="10"/>
  <c r="AD49" i="10" s="1"/>
  <c r="W225" i="10"/>
  <c r="AC532" i="10"/>
  <c r="AD532" i="10" s="1"/>
  <c r="T459" i="10"/>
  <c r="U459" i="10" s="1"/>
  <c r="AF194" i="10"/>
  <c r="AC374" i="10"/>
  <c r="AD374" i="10" s="1"/>
  <c r="AC260" i="10"/>
  <c r="AD260" i="10" s="1"/>
  <c r="AF127" i="10"/>
  <c r="AC323" i="10"/>
  <c r="AD323" i="10" s="1"/>
  <c r="AC514" i="10"/>
  <c r="AD514" i="10" s="1"/>
  <c r="T274" i="10"/>
  <c r="U274" i="10" s="1"/>
  <c r="AC187" i="10"/>
  <c r="AD187" i="10" s="1"/>
  <c r="T523" i="10"/>
  <c r="U523" i="10" s="1"/>
  <c r="AC335" i="10"/>
  <c r="AD335" i="10" s="1"/>
  <c r="AC433" i="10"/>
  <c r="AD433" i="10" s="1"/>
  <c r="AF330" i="10"/>
  <c r="AC74" i="10"/>
  <c r="AD74" i="10" s="1"/>
  <c r="W70" i="10"/>
  <c r="AF524" i="10"/>
  <c r="AC263" i="10"/>
  <c r="AD263" i="10" s="1"/>
  <c r="AF301" i="10"/>
  <c r="W469" i="10"/>
  <c r="AC454" i="10"/>
  <c r="AD454" i="10" s="1"/>
  <c r="W11" i="10"/>
  <c r="T489" i="10"/>
  <c r="U489" i="10" s="1"/>
  <c r="W402" i="10"/>
  <c r="AF30" i="10"/>
  <c r="W314" i="10"/>
  <c r="X314" i="10" s="1"/>
  <c r="W440" i="10"/>
  <c r="AF373" i="10"/>
  <c r="T510" i="10"/>
  <c r="U510" i="10" s="1"/>
  <c r="AF14" i="10"/>
  <c r="AG14" i="10" s="1"/>
  <c r="AC317" i="10"/>
  <c r="AD317" i="10" s="1"/>
  <c r="AC115" i="10"/>
  <c r="AD115" i="10" s="1"/>
  <c r="AC270" i="10"/>
  <c r="AD270" i="10" s="1"/>
  <c r="T409" i="10"/>
  <c r="U409" i="10" s="1"/>
  <c r="AC60" i="10"/>
  <c r="AD60" i="10" s="1"/>
  <c r="T135" i="10"/>
  <c r="U135" i="10" s="1"/>
  <c r="T86" i="10"/>
  <c r="U86" i="10" s="1"/>
  <c r="AC197" i="10"/>
  <c r="AD197" i="10" s="1"/>
  <c r="AC50" i="10"/>
  <c r="AD50" i="10" s="1"/>
  <c r="T276" i="10"/>
  <c r="U276" i="10" s="1"/>
  <c r="T543" i="10"/>
  <c r="U543" i="10" s="1"/>
  <c r="AC232" i="10"/>
  <c r="AD232" i="10" s="1"/>
  <c r="T27" i="10"/>
  <c r="U27" i="10" s="1"/>
  <c r="AC435" i="10"/>
  <c r="AD435" i="10" s="1"/>
  <c r="T378" i="10"/>
  <c r="U378" i="10" s="1"/>
  <c r="AC163" i="10"/>
  <c r="AD163" i="10" s="1"/>
  <c r="W528" i="10"/>
  <c r="W171" i="10"/>
  <c r="AF218" i="10"/>
  <c r="W246" i="10"/>
  <c r="W398" i="10"/>
  <c r="AF315" i="10"/>
  <c r="AC384" i="10"/>
  <c r="AD384" i="10" s="1"/>
  <c r="AF90" i="10"/>
  <c r="T226" i="10"/>
  <c r="U226" i="10" s="1"/>
  <c r="T18" i="10"/>
  <c r="U18" i="10" s="1"/>
  <c r="T437" i="10"/>
  <c r="U437" i="10" s="1"/>
  <c r="T496" i="10"/>
  <c r="U496" i="10" s="1"/>
  <c r="AF433" i="10"/>
  <c r="AF35" i="10"/>
  <c r="AG35" i="10" s="1"/>
  <c r="AF211" i="10"/>
  <c r="W368" i="10"/>
  <c r="AC347" i="10"/>
  <c r="AD347" i="10" s="1"/>
  <c r="W116" i="10"/>
  <c r="W191" i="10"/>
  <c r="W53" i="10"/>
  <c r="T106" i="10"/>
  <c r="U106" i="10" s="1"/>
  <c r="AC389" i="10"/>
  <c r="AD389" i="10" s="1"/>
  <c r="W148" i="10"/>
  <c r="AF395" i="10"/>
  <c r="AF291" i="10"/>
  <c r="AF509" i="10"/>
  <c r="AF150" i="10"/>
  <c r="AF135" i="10"/>
  <c r="AG135" i="10" s="1"/>
  <c r="AF5" i="10"/>
  <c r="AF176" i="10"/>
  <c r="AF6" i="10"/>
  <c r="AG6" i="10" s="1"/>
  <c r="AF323" i="10"/>
  <c r="AF206" i="10"/>
  <c r="AF215" i="10"/>
  <c r="AF131" i="10"/>
  <c r="AF188" i="10"/>
  <c r="AF365" i="10"/>
  <c r="AF456" i="10"/>
  <c r="AF334" i="10"/>
  <c r="AF516" i="10"/>
  <c r="AF513" i="10"/>
  <c r="AF126" i="10"/>
  <c r="AF384" i="10"/>
  <c r="W52" i="10"/>
  <c r="AC2" i="10"/>
  <c r="AD2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Raisa Ahmed</author>
  </authors>
  <commentList>
    <comment ref="F2" authorId="0" shapeId="0" xr:uid="{2F77B8B4-C526-4892-BF8A-87989422344C}">
      <text>
        <r>
          <rPr>
            <b/>
            <sz val="9"/>
            <color indexed="81"/>
            <rFont val="Tahoma"/>
            <family val="2"/>
          </rPr>
          <t>Raisa Ahmed:</t>
        </r>
        <r>
          <rPr>
            <sz val="9"/>
            <color indexed="81"/>
            <rFont val="Tahoma"/>
            <family val="2"/>
          </rPr>
          <t xml:space="preserve">
blue is from field </t>
        </r>
      </text>
    </comment>
  </commentList>
</comments>
</file>

<file path=xl/sharedStrings.xml><?xml version="1.0" encoding="utf-8"?>
<sst xmlns="http://schemas.openxmlformats.org/spreadsheetml/2006/main" count="2678" uniqueCount="1177">
  <si>
    <t>BD404104</t>
  </si>
  <si>
    <t>BD302602</t>
  </si>
  <si>
    <t>BD501006</t>
  </si>
  <si>
    <t>BD555202</t>
  </si>
  <si>
    <t>BD100602</t>
  </si>
  <si>
    <t>BD603602</t>
  </si>
  <si>
    <t>BD201202</t>
  </si>
  <si>
    <t>BD503813</t>
  </si>
  <si>
    <t>BD401807</t>
  </si>
  <si>
    <t>BD302903</t>
  </si>
  <si>
    <t>BD200304</t>
  </si>
  <si>
    <t>BD201504</t>
  </si>
  <si>
    <t>BD306702</t>
  </si>
  <si>
    <t>BD201233</t>
  </si>
  <si>
    <t>BD408704</t>
  </si>
  <si>
    <t>BD507605</t>
  </si>
  <si>
    <t>BD457204</t>
  </si>
  <si>
    <t>BD506403</t>
  </si>
  <si>
    <t>BD557704</t>
  </si>
  <si>
    <t>BD304802</t>
  </si>
  <si>
    <t>BD100603</t>
  </si>
  <si>
    <t>BD506406</t>
  </si>
  <si>
    <t>BD558503</t>
  </si>
  <si>
    <t>BD302604</t>
  </si>
  <si>
    <t>BD506909</t>
  </si>
  <si>
    <t>BD400108</t>
  </si>
  <si>
    <t>BD508110</t>
  </si>
  <si>
    <t>BD208407</t>
  </si>
  <si>
    <t>BD404109</t>
  </si>
  <si>
    <t>BD508112</t>
  </si>
  <si>
    <t>BD603605</t>
  </si>
  <si>
    <t>BD304806</t>
  </si>
  <si>
    <t>BD201510</t>
  </si>
  <si>
    <t>BD100607</t>
  </si>
  <si>
    <t>BD453907</t>
  </si>
  <si>
    <t>BD609108</t>
  </si>
  <si>
    <t>BD308207</t>
  </si>
  <si>
    <t>BD559408</t>
  </si>
  <si>
    <t>BD100419</t>
  </si>
  <si>
    <t>BD100610</t>
  </si>
  <si>
    <t>BD201204</t>
  </si>
  <si>
    <t>BD306706</t>
  </si>
  <si>
    <t>BD200314</t>
  </si>
  <si>
    <t>BD302605</t>
  </si>
  <si>
    <t>BD603611</t>
  </si>
  <si>
    <t>BD201508</t>
  </si>
  <si>
    <t>BD506915</t>
  </si>
  <si>
    <t>BD100428</t>
  </si>
  <si>
    <t>BD457209</t>
  </si>
  <si>
    <t>BD100651</t>
  </si>
  <si>
    <t>BD208421</t>
  </si>
  <si>
    <t>BD605814</t>
  </si>
  <si>
    <t>BD201909</t>
  </si>
  <si>
    <t>BD309309</t>
  </si>
  <si>
    <t>BD404712</t>
  </si>
  <si>
    <t>BD107838</t>
  </si>
  <si>
    <t>BD201506</t>
  </si>
  <si>
    <t>BD609117</t>
  </si>
  <si>
    <t>BD207507</t>
  </si>
  <si>
    <t>BD306807</t>
  </si>
  <si>
    <t>BD208429</t>
  </si>
  <si>
    <t>BD508811</t>
  </si>
  <si>
    <t>BD507616</t>
  </si>
  <si>
    <t>BD100447</t>
  </si>
  <si>
    <t>BD304811</t>
  </si>
  <si>
    <t>BD456113</t>
  </si>
  <si>
    <t>BD107914</t>
  </si>
  <si>
    <t>BD302910</t>
  </si>
  <si>
    <t>BD507619</t>
  </si>
  <si>
    <t>BD308614</t>
  </si>
  <si>
    <t>BD405015</t>
  </si>
  <si>
    <t>BD100918</t>
  </si>
  <si>
    <t>BD507018</t>
  </si>
  <si>
    <t>BD309319</t>
  </si>
  <si>
    <t>BD554906</t>
  </si>
  <si>
    <t>BD201207</t>
  </si>
  <si>
    <t>BD302606</t>
  </si>
  <si>
    <t>BD552717</t>
  </si>
  <si>
    <t>BD552710</t>
  </si>
  <si>
    <t>BD552712</t>
  </si>
  <si>
    <t>BD609018</t>
  </si>
  <si>
    <t>BD609120</t>
  </si>
  <si>
    <t>BD508122</t>
  </si>
  <si>
    <t>BD201512</t>
  </si>
  <si>
    <t>BD302918</t>
  </si>
  <si>
    <t>BD552721</t>
  </si>
  <si>
    <t>BD557725</t>
  </si>
  <si>
    <t>BD501020</t>
  </si>
  <si>
    <t>BD201915</t>
  </si>
  <si>
    <t>BD201213</t>
  </si>
  <si>
    <t>BD100921</t>
  </si>
  <si>
    <t>BD201918</t>
  </si>
  <si>
    <t>BD302608</t>
  </si>
  <si>
    <t>BD302609</t>
  </si>
  <si>
    <t>BD202216</t>
  </si>
  <si>
    <t>BD201518</t>
  </si>
  <si>
    <t>BD201519</t>
  </si>
  <si>
    <t>BD201927</t>
  </si>
  <si>
    <t>BD201322</t>
  </si>
  <si>
    <t>BD302921</t>
  </si>
  <si>
    <t>BD100925</t>
  </si>
  <si>
    <t>BD554908</t>
  </si>
  <si>
    <t>BD508125</t>
  </si>
  <si>
    <t>BD207510</t>
  </si>
  <si>
    <t>BD507622</t>
  </si>
  <si>
    <t>BD201931</t>
  </si>
  <si>
    <t>BD404111</t>
  </si>
  <si>
    <t>BD508827</t>
  </si>
  <si>
    <t>BD203014</t>
  </si>
  <si>
    <t>BD609023</t>
  </si>
  <si>
    <t>BD554909</t>
  </si>
  <si>
    <t>BD552730</t>
  </si>
  <si>
    <t>BD400114</t>
  </si>
  <si>
    <t>BD201520</t>
  </si>
  <si>
    <t>BD401823</t>
  </si>
  <si>
    <t>BD603626</t>
  </si>
  <si>
    <t>BD201967</t>
  </si>
  <si>
    <t>BD201933</t>
  </si>
  <si>
    <t>BD207521</t>
  </si>
  <si>
    <t>BD609127</t>
  </si>
  <si>
    <t>BD202224</t>
  </si>
  <si>
    <t>BD404717</t>
  </si>
  <si>
    <t>BD203025</t>
  </si>
  <si>
    <t>BD609027</t>
  </si>
  <si>
    <t>BD609131</t>
  </si>
  <si>
    <t>BD302610</t>
  </si>
  <si>
    <t>BD308625</t>
  </si>
  <si>
    <t>BD401831</t>
  </si>
  <si>
    <t>BD302611</t>
  </si>
  <si>
    <t>BD107852</t>
  </si>
  <si>
    <t>BD201936</t>
  </si>
  <si>
    <t>BD100929</t>
  </si>
  <si>
    <t>BD305610</t>
  </si>
  <si>
    <t>BD405039</t>
  </si>
  <si>
    <t>BD408725</t>
  </si>
  <si>
    <t>BD201940</t>
  </si>
  <si>
    <t>BD557734</t>
  </si>
  <si>
    <t>BD309323</t>
  </si>
  <si>
    <t>BD302612</t>
  </si>
  <si>
    <t>BD609029</t>
  </si>
  <si>
    <t>BD453915</t>
  </si>
  <si>
    <t>BD506428</t>
  </si>
  <si>
    <t>BD302614</t>
  </si>
  <si>
    <t>BD309325</t>
  </si>
  <si>
    <t>BD302616</t>
  </si>
  <si>
    <t>BD609032</t>
  </si>
  <si>
    <t>BD456116</t>
  </si>
  <si>
    <t>BD501027</t>
  </si>
  <si>
    <t>BD501033</t>
  </si>
  <si>
    <t>BD404740</t>
  </si>
  <si>
    <t>BD204643</t>
  </si>
  <si>
    <t>BD557312</t>
  </si>
  <si>
    <t>BD552764</t>
  </si>
  <si>
    <t>BD302618</t>
  </si>
  <si>
    <t>BD557315</t>
  </si>
  <si>
    <t>BD201528</t>
  </si>
  <si>
    <t>BD609033</t>
  </si>
  <si>
    <t>BD107855</t>
  </si>
  <si>
    <t>BD404730</t>
  </si>
  <si>
    <t>BD457218</t>
  </si>
  <si>
    <t>BD508131</t>
  </si>
  <si>
    <t>BD400134</t>
  </si>
  <si>
    <t>BD201345</t>
  </si>
  <si>
    <t>BD507633</t>
  </si>
  <si>
    <t>BD302947</t>
  </si>
  <si>
    <t>BD201533</t>
  </si>
  <si>
    <t>BD609135</t>
  </si>
  <si>
    <t>BD203029</t>
  </si>
  <si>
    <t>BD552738</t>
  </si>
  <si>
    <t>BD456120</t>
  </si>
  <si>
    <t>BD553221</t>
  </si>
  <si>
    <t>BD203041</t>
  </si>
  <si>
    <t>BD501040</t>
  </si>
  <si>
    <t>BD456122</t>
  </si>
  <si>
    <t>BD553224</t>
  </si>
  <si>
    <t>BD558527</t>
  </si>
  <si>
    <t>BD405747</t>
  </si>
  <si>
    <t>BD456123</t>
  </si>
  <si>
    <t>BD100632</t>
  </si>
  <si>
    <t>BD305924</t>
  </si>
  <si>
    <t>BD303330</t>
  </si>
  <si>
    <t>BD302624</t>
  </si>
  <si>
    <t>BD309328</t>
  </si>
  <si>
    <t>BD305622</t>
  </si>
  <si>
    <t>BD552743</t>
  </si>
  <si>
    <t>BD308229</t>
  </si>
  <si>
    <t>BD553230</t>
  </si>
  <si>
    <t>BD508134</t>
  </si>
  <si>
    <t>BD609138</t>
  </si>
  <si>
    <t>BD507037</t>
  </si>
  <si>
    <t>BD303532</t>
  </si>
  <si>
    <t>BD309338</t>
  </si>
  <si>
    <t>BD308636</t>
  </si>
  <si>
    <t>BD609141</t>
  </si>
  <si>
    <t>BD302626</t>
  </si>
  <si>
    <t>BD506941</t>
  </si>
  <si>
    <t>BD603644</t>
  </si>
  <si>
    <t>BD201347</t>
  </si>
  <si>
    <t>BD201349</t>
  </si>
  <si>
    <t>BD552747</t>
  </si>
  <si>
    <t>BD201535</t>
  </si>
  <si>
    <t>BD456124</t>
  </si>
  <si>
    <t>BD404414</t>
  </si>
  <si>
    <t>BD559451</t>
  </si>
  <si>
    <t>BD305628</t>
  </si>
  <si>
    <t>BD201537</t>
  </si>
  <si>
    <t>BD555233</t>
  </si>
  <si>
    <t>BD207536</t>
  </si>
  <si>
    <t>BD302628</t>
  </si>
  <si>
    <t>BD100636</t>
  </si>
  <si>
    <t>BD201954</t>
  </si>
  <si>
    <t>BD304827</t>
  </si>
  <si>
    <t>BD507639</t>
  </si>
  <si>
    <t>BD456131</t>
  </si>
  <si>
    <t>BD453929</t>
  </si>
  <si>
    <t>BD304833</t>
  </si>
  <si>
    <t>BD609047</t>
  </si>
  <si>
    <t>BD609153</t>
  </si>
  <si>
    <t>BD557336</t>
  </si>
  <si>
    <t>BD609050</t>
  </si>
  <si>
    <t>BD453936</t>
  </si>
  <si>
    <t>BD302629</t>
  </si>
  <si>
    <t>BD104240</t>
  </si>
  <si>
    <t>BD404419</t>
  </si>
  <si>
    <t>BD458937</t>
  </si>
  <si>
    <t>BD404123</t>
  </si>
  <si>
    <t>BD401855</t>
  </si>
  <si>
    <t>BD503847</t>
  </si>
  <si>
    <t>BD208447</t>
  </si>
  <si>
    <t>BD605835</t>
  </si>
  <si>
    <t>BD207547</t>
  </si>
  <si>
    <t>BD201358</t>
  </si>
  <si>
    <t>BD400138</t>
  </si>
  <si>
    <t>BD302632</t>
  </si>
  <si>
    <t>BD302630</t>
  </si>
  <si>
    <t>BD501054</t>
  </si>
  <si>
    <t>BD552756</t>
  </si>
  <si>
    <t>BD107866</t>
  </si>
  <si>
    <t>BD302633</t>
  </si>
  <si>
    <t>BD503858</t>
  </si>
  <si>
    <t>BD408743</t>
  </si>
  <si>
    <t>BD406528</t>
  </si>
  <si>
    <t>BD303332</t>
  </si>
  <si>
    <t>BD303334</t>
  </si>
  <si>
    <t>BD404433</t>
  </si>
  <si>
    <t>BD408747</t>
  </si>
  <si>
    <t>BD555239</t>
  </si>
  <si>
    <t>BD309347</t>
  </si>
  <si>
    <t>BD305440</t>
  </si>
  <si>
    <t>BD457240</t>
  </si>
  <si>
    <t>BD308247</t>
  </si>
  <si>
    <t>BD605856</t>
  </si>
  <si>
    <t>BD205133</t>
  </si>
  <si>
    <t>BD508844</t>
  </si>
  <si>
    <t>BD302634</t>
  </si>
  <si>
    <t>BD609159</t>
  </si>
  <si>
    <t>BD104243</t>
  </si>
  <si>
    <t>BD303336</t>
  </si>
  <si>
    <t>BD208436</t>
  </si>
  <si>
    <t>BD304842</t>
  </si>
  <si>
    <t>BD201263</t>
  </si>
  <si>
    <t>BD303543</t>
  </si>
  <si>
    <t>BD304845</t>
  </si>
  <si>
    <t>BD558542</t>
  </si>
  <si>
    <t>BD107947</t>
  </si>
  <si>
    <t>BD208425</t>
  </si>
  <si>
    <t>BD508850</t>
  </si>
  <si>
    <t>BD457247</t>
  </si>
  <si>
    <t>BD302638</t>
  </si>
  <si>
    <t>BD404138</t>
  </si>
  <si>
    <t>BD204649</t>
  </si>
  <si>
    <t>BD457238</t>
  </si>
  <si>
    <t>BD404748</t>
  </si>
  <si>
    <t>BD552760</t>
  </si>
  <si>
    <t>BD503861</t>
  </si>
  <si>
    <t>BD302636</t>
  </si>
  <si>
    <t>BD302637</t>
  </si>
  <si>
    <t>BD405063</t>
  </si>
  <si>
    <t>BD201543</t>
  </si>
  <si>
    <t>BD557345</t>
  </si>
  <si>
    <t>BD304849</t>
  </si>
  <si>
    <t>BD303551</t>
  </si>
  <si>
    <t>BD404442</t>
  </si>
  <si>
    <t>BD201541</t>
  </si>
  <si>
    <t>BD302640</t>
  </si>
  <si>
    <t>BD404147</t>
  </si>
  <si>
    <t>BD404753</t>
  </si>
  <si>
    <t>BD605865</t>
  </si>
  <si>
    <t>BD304854</t>
  </si>
  <si>
    <t>BD405071</t>
  </si>
  <si>
    <t>BD554952</t>
  </si>
  <si>
    <t>BD405079</t>
  </si>
  <si>
    <t>BD202245</t>
  </si>
  <si>
    <t>BD603668</t>
  </si>
  <si>
    <t>BD201972</t>
  </si>
  <si>
    <t>BD204661</t>
  </si>
  <si>
    <t>BD205143</t>
  </si>
  <si>
    <t>BD302642</t>
  </si>
  <si>
    <t>BD100954</t>
  </si>
  <si>
    <t>BD555255</t>
  </si>
  <si>
    <t>BD506944</t>
  </si>
  <si>
    <t>BD200351</t>
  </si>
  <si>
    <t>BD208458</t>
  </si>
  <si>
    <t>BD201547</t>
  </si>
  <si>
    <t>BD406552</t>
  </si>
  <si>
    <t>BD305944</t>
  </si>
  <si>
    <t>BD457256</t>
  </si>
  <si>
    <t>BD453958</t>
  </si>
  <si>
    <t>BD305454</t>
  </si>
  <si>
    <t>BD603671</t>
  </si>
  <si>
    <t>BD302956</t>
  </si>
  <si>
    <t>BD309357</t>
  </si>
  <si>
    <t>BD405557</t>
  </si>
  <si>
    <t>BD506450</t>
  </si>
  <si>
    <t>BD204665</t>
  </si>
  <si>
    <t>BD202249</t>
  </si>
  <si>
    <t>BD404471</t>
  </si>
  <si>
    <t>BD506447</t>
  </si>
  <si>
    <t>BD204667</t>
  </si>
  <si>
    <t>BD305646</t>
  </si>
  <si>
    <t>BD404161</t>
  </si>
  <si>
    <t>BD306852</t>
  </si>
  <si>
    <t>BD201974</t>
  </si>
  <si>
    <t>BD100965</t>
  </si>
  <si>
    <t>BD107958</t>
  </si>
  <si>
    <t>BD508140</t>
  </si>
  <si>
    <t>BD204670</t>
  </si>
  <si>
    <t>BD201376</t>
  </si>
  <si>
    <t>BD201379</t>
  </si>
  <si>
    <t>BD605874</t>
  </si>
  <si>
    <t>BD201975</t>
  </si>
  <si>
    <t>BD100662</t>
  </si>
  <si>
    <t>BD405787</t>
  </si>
  <si>
    <t>BD453961</t>
  </si>
  <si>
    <t>BD302648</t>
  </si>
  <si>
    <t>BD405094</t>
  </si>
  <si>
    <t>BD201553</t>
  </si>
  <si>
    <t>BD107876</t>
  </si>
  <si>
    <t>BD309366</t>
  </si>
  <si>
    <t>BD558558</t>
  </si>
  <si>
    <t>BD304859</t>
  </si>
  <si>
    <t>BD302650</t>
  </si>
  <si>
    <t>BD405566</t>
  </si>
  <si>
    <t>BD457263</t>
  </si>
  <si>
    <t>BD508153</t>
  </si>
  <si>
    <t>BD400156</t>
  </si>
  <si>
    <t>BD400158</t>
  </si>
  <si>
    <t>BD400160</t>
  </si>
  <si>
    <t>BD302654</t>
  </si>
  <si>
    <t>BD405760</t>
  </si>
  <si>
    <t>BD303558</t>
  </si>
  <si>
    <t>BD456165</t>
  </si>
  <si>
    <t>BD100669</t>
  </si>
  <si>
    <t>BD305956</t>
  </si>
  <si>
    <t>BD201981</t>
  </si>
  <si>
    <t>BD456152</t>
  </si>
  <si>
    <t>BD603677</t>
  </si>
  <si>
    <t>BD201285</t>
  </si>
  <si>
    <t>BD507056</t>
  </si>
  <si>
    <t>BD302962</t>
  </si>
  <si>
    <t>BD309376</t>
  </si>
  <si>
    <t>BD554961</t>
  </si>
  <si>
    <t>BD200373</t>
  </si>
  <si>
    <t>BD458967</t>
  </si>
  <si>
    <t>BD104273</t>
  </si>
  <si>
    <t>BD458970</t>
  </si>
  <si>
    <t>BD456172</t>
  </si>
  <si>
    <t>BD501067</t>
  </si>
  <si>
    <t>BD201987</t>
  </si>
  <si>
    <t>BD208475</t>
  </si>
  <si>
    <t>BD506460</t>
  </si>
  <si>
    <t>BD406576</t>
  </si>
  <si>
    <t>BD306758</t>
  </si>
  <si>
    <t>BD308665</t>
  </si>
  <si>
    <t>BD306860</t>
  </si>
  <si>
    <t>BD201290</t>
  </si>
  <si>
    <t>BD506963</t>
  </si>
  <si>
    <t>BD302662</t>
  </si>
  <si>
    <t>BD552769</t>
  </si>
  <si>
    <t>BD507066</t>
  </si>
  <si>
    <t>BD107976</t>
  </si>
  <si>
    <t>BD107987</t>
  </si>
  <si>
    <t>BD457274</t>
  </si>
  <si>
    <t>BD302663</t>
  </si>
  <si>
    <t>BD506469</t>
  </si>
  <si>
    <t>BD304876</t>
  </si>
  <si>
    <t>BD557364</t>
  </si>
  <si>
    <t>BD207587</t>
  </si>
  <si>
    <t>BD508172</t>
  </si>
  <si>
    <t>BD507655</t>
  </si>
  <si>
    <t>BD201555</t>
  </si>
  <si>
    <t>BD404764</t>
  </si>
  <si>
    <t>BD304879</t>
  </si>
  <si>
    <t>BD306863</t>
  </si>
  <si>
    <t>BD553267</t>
  </si>
  <si>
    <t>BD302664</t>
  </si>
  <si>
    <t>BD302665</t>
  </si>
  <si>
    <t>BD557773</t>
  </si>
  <si>
    <t>BD503874</t>
  </si>
  <si>
    <t>BD204677</t>
  </si>
  <si>
    <t>BD201557</t>
  </si>
  <si>
    <t>BD308273</t>
  </si>
  <si>
    <t>BD552777</t>
  </si>
  <si>
    <t>BD203051</t>
  </si>
  <si>
    <t>BD201565</t>
  </si>
  <si>
    <t>BD555270</t>
  </si>
  <si>
    <t>BD100485</t>
  </si>
  <si>
    <t>BD201561</t>
  </si>
  <si>
    <t>BD506475</t>
  </si>
  <si>
    <t>BD107895</t>
  </si>
  <si>
    <t>BD202256</t>
  </si>
  <si>
    <t>BD554918</t>
  </si>
  <si>
    <t>BD456181</t>
  </si>
  <si>
    <t>BD404769</t>
  </si>
  <si>
    <t>BD558573</t>
  </si>
  <si>
    <t>BD558576</t>
  </si>
  <si>
    <t>BD559482</t>
  </si>
  <si>
    <t>BD107980</t>
  </si>
  <si>
    <t>BD506479</t>
  </si>
  <si>
    <t>BD457283</t>
  </si>
  <si>
    <t>BD508182</t>
  </si>
  <si>
    <t>BD104284</t>
  </si>
  <si>
    <t>BD554977</t>
  </si>
  <si>
    <t>BD208478</t>
  </si>
  <si>
    <t>BD308276</t>
  </si>
  <si>
    <t>BD605880</t>
  </si>
  <si>
    <t>BD305480</t>
  </si>
  <si>
    <t>BD508185</t>
  </si>
  <si>
    <t>BD205165</t>
  </si>
  <si>
    <t>BD204680</t>
  </si>
  <si>
    <t>BD205173</t>
  </si>
  <si>
    <t>BD302666</t>
  </si>
  <si>
    <t>BD400173</t>
  </si>
  <si>
    <t>BD302667</t>
  </si>
  <si>
    <t>BD202266</t>
  </si>
  <si>
    <t>BD208487</t>
  </si>
  <si>
    <t>BD558549</t>
  </si>
  <si>
    <t>BD201570</t>
  </si>
  <si>
    <t>BD506485</t>
  </si>
  <si>
    <t>BD559486</t>
  </si>
  <si>
    <t>BD201574</t>
  </si>
  <si>
    <t>BD554979</t>
  </si>
  <si>
    <t>BD200389</t>
  </si>
  <si>
    <t>BD508861</t>
  </si>
  <si>
    <t>BD205158</t>
  </si>
  <si>
    <t>BD306864</t>
  </si>
  <si>
    <t>BD200391</t>
  </si>
  <si>
    <t>BD306768</t>
  </si>
  <si>
    <t>BD404775</t>
  </si>
  <si>
    <t>BD302668</t>
  </si>
  <si>
    <t>BD302984</t>
  </si>
  <si>
    <t>BD553282</t>
  </si>
  <si>
    <t>BD553288</t>
  </si>
  <si>
    <t>BD557385</t>
  </si>
  <si>
    <t>BD309385</t>
  </si>
  <si>
    <t>BD302990</t>
  </si>
  <si>
    <t>BD201578</t>
  </si>
  <si>
    <t>BD507672</t>
  </si>
  <si>
    <t>BD506486</t>
  </si>
  <si>
    <t>BD201294</t>
  </si>
  <si>
    <t>BD400177</t>
  </si>
  <si>
    <t>BD501081</t>
  </si>
  <si>
    <t>BD453985</t>
  </si>
  <si>
    <t>BD201582</t>
  </si>
  <si>
    <t>BD408782</t>
  </si>
  <si>
    <t>BD305670</t>
  </si>
  <si>
    <t>BD302672</t>
  </si>
  <si>
    <t>BD207580</t>
  </si>
  <si>
    <t>BD305974</t>
  </si>
  <si>
    <t>BD302674</t>
  </si>
  <si>
    <t>BD508190</t>
  </si>
  <si>
    <t>BD302675</t>
  </si>
  <si>
    <t>BD508867</t>
  </si>
  <si>
    <t>BD201395</t>
  </si>
  <si>
    <t>BD404480</t>
  </si>
  <si>
    <t>BD501085</t>
  </si>
  <si>
    <t>BD405585</t>
  </si>
  <si>
    <t>BD308669</t>
  </si>
  <si>
    <t>BD404190</t>
  </si>
  <si>
    <t>BD302680</t>
  </si>
  <si>
    <t>BD501088</t>
  </si>
  <si>
    <t>BD458988</t>
  </si>
  <si>
    <t>BD305487</t>
  </si>
  <si>
    <t>BD305678</t>
  </si>
  <si>
    <t>BD501094</t>
  </si>
  <si>
    <t>BD507088</t>
  </si>
  <si>
    <t>BD306876</t>
  </si>
  <si>
    <t>BD302676</t>
  </si>
  <si>
    <t>BD305682</t>
  </si>
  <si>
    <t>BD506991</t>
  </si>
  <si>
    <t>BD508878</t>
  </si>
  <si>
    <t>BD201586</t>
  </si>
  <si>
    <t>BD203094</t>
  </si>
  <si>
    <t>BD207583</t>
  </si>
  <si>
    <t>BD306704</t>
  </si>
  <si>
    <t>BD501095</t>
  </si>
  <si>
    <t>BD458990</t>
  </si>
  <si>
    <t>BD605883</t>
  </si>
  <si>
    <t>BD305984</t>
  </si>
  <si>
    <t>BD303386</t>
  </si>
  <si>
    <t>BD405595</t>
  </si>
  <si>
    <t>BD207585</t>
  </si>
  <si>
    <t>BD507683</t>
  </si>
  <si>
    <t>BD609086</t>
  </si>
  <si>
    <t>BD609089</t>
  </si>
  <si>
    <t>BD553291</t>
  </si>
  <si>
    <t>BD302688</t>
  </si>
  <si>
    <t>BD609162</t>
  </si>
  <si>
    <t>BD609092</t>
  </si>
  <si>
    <t>BD408790</t>
  </si>
  <si>
    <t>BD309395</t>
  </si>
  <si>
    <t>BD508194</t>
  </si>
  <si>
    <t>BD558592</t>
  </si>
  <si>
    <t>BD304892</t>
  </si>
  <si>
    <t>BD508889</t>
  </si>
  <si>
    <t>BD100991</t>
  </si>
  <si>
    <t>BD302690</t>
  </si>
  <si>
    <t>BD302692</t>
  </si>
  <si>
    <t>BD202290</t>
  </si>
  <si>
    <t>BD557790</t>
  </si>
  <si>
    <t>BD404794</t>
  </si>
  <si>
    <t>BD559494</t>
  </si>
  <si>
    <t>BD200395</t>
  </si>
  <si>
    <t>BD201994</t>
  </si>
  <si>
    <t>BD305994</t>
  </si>
  <si>
    <t>BD456194</t>
  </si>
  <si>
    <t>BD303591</t>
  </si>
  <si>
    <t>BD302693</t>
  </si>
  <si>
    <t>BD202294</t>
  </si>
  <si>
    <t>BD554994</t>
  </si>
  <si>
    <t>BD508894</t>
  </si>
  <si>
    <t>BD302696</t>
  </si>
  <si>
    <t>BD302695</t>
  </si>
  <si>
    <t>BD100694</t>
  </si>
  <si>
    <t>BD609194</t>
  </si>
  <si>
    <t>BD308694</t>
  </si>
  <si>
    <t>BD107990</t>
  </si>
  <si>
    <t>BD100409</t>
  </si>
  <si>
    <t>BD408786</t>
  </si>
  <si>
    <t>BD107857</t>
  </si>
  <si>
    <t>ADM3_PCODE</t>
  </si>
  <si>
    <t>District</t>
  </si>
  <si>
    <t>P Code</t>
  </si>
  <si>
    <t>Wind Gust</t>
  </si>
  <si>
    <t>Rainfall</t>
  </si>
  <si>
    <t>Storm Surge</t>
  </si>
  <si>
    <t>Amtali</t>
  </si>
  <si>
    <t>Barguna</t>
  </si>
  <si>
    <t>Bamna</t>
  </si>
  <si>
    <t>Barguna Sadar</t>
  </si>
  <si>
    <t>Betagi</t>
  </si>
  <si>
    <t>Patharghata</t>
  </si>
  <si>
    <t>Agailjhara</t>
  </si>
  <si>
    <t>Barisal</t>
  </si>
  <si>
    <t>Babuganj</t>
  </si>
  <si>
    <t>Bakerganj</t>
  </si>
  <si>
    <t>Banari Para</t>
  </si>
  <si>
    <t>Gaurnadi</t>
  </si>
  <si>
    <t>Hizla</t>
  </si>
  <si>
    <t>Mehendiganj</t>
  </si>
  <si>
    <t>Muladi</t>
  </si>
  <si>
    <t>Wazirpur</t>
  </si>
  <si>
    <t>Bhola Sadar</t>
  </si>
  <si>
    <t>Bhola</t>
  </si>
  <si>
    <t>Burhanuddin</t>
  </si>
  <si>
    <t>Char Fasson</t>
  </si>
  <si>
    <t>Lalmohan</t>
  </si>
  <si>
    <t>Manpura</t>
  </si>
  <si>
    <t>Tazumuddin</t>
  </si>
  <si>
    <t>Jhalokati Sadar</t>
  </si>
  <si>
    <t>Jhalokati</t>
  </si>
  <si>
    <t>Kanthalia</t>
  </si>
  <si>
    <t>Nalchity</t>
  </si>
  <si>
    <t>Rajapur</t>
  </si>
  <si>
    <t>Bauphal</t>
  </si>
  <si>
    <t>Patuakhali</t>
  </si>
  <si>
    <t>Dashmina</t>
  </si>
  <si>
    <t>Dumki</t>
  </si>
  <si>
    <t>Galachipa</t>
  </si>
  <si>
    <t>Kala Para</t>
  </si>
  <si>
    <t>Mirzaganj</t>
  </si>
  <si>
    <t>Patuakhali Sadar</t>
  </si>
  <si>
    <t>Bhandaria</t>
  </si>
  <si>
    <t>Pirojpur</t>
  </si>
  <si>
    <t>Kawkhali</t>
  </si>
  <si>
    <t>Mathbaria</t>
  </si>
  <si>
    <t>Nazirpur</t>
  </si>
  <si>
    <t>Pirojpur Sadar</t>
  </si>
  <si>
    <t>Alikadam</t>
  </si>
  <si>
    <t>Bandarban</t>
  </si>
  <si>
    <t>Bandarban Sadar</t>
  </si>
  <si>
    <t>Lama</t>
  </si>
  <si>
    <t>Naikhongchhari</t>
  </si>
  <si>
    <t>Rowangchhari</t>
  </si>
  <si>
    <t>Ruma</t>
  </si>
  <si>
    <t>Thanchi</t>
  </si>
  <si>
    <t>Akhaura</t>
  </si>
  <si>
    <t>Brahmanbaria</t>
  </si>
  <si>
    <t>Banchharampur</t>
  </si>
  <si>
    <t>Brahmanbaria Sadar</t>
  </si>
  <si>
    <t>Ashuganj</t>
  </si>
  <si>
    <t>Kasba</t>
  </si>
  <si>
    <t>Nabinagar</t>
  </si>
  <si>
    <t>Nasirnagar</t>
  </si>
  <si>
    <t>Sarail</t>
  </si>
  <si>
    <t>Chandpur Sadar</t>
  </si>
  <si>
    <t>Chandpur</t>
  </si>
  <si>
    <t>Faridganj</t>
  </si>
  <si>
    <t>Haim Char</t>
  </si>
  <si>
    <t>Hajiganj</t>
  </si>
  <si>
    <t>Matlab Dakshin</t>
  </si>
  <si>
    <t>Shahrasti</t>
  </si>
  <si>
    <t>Anowara</t>
  </si>
  <si>
    <t>Bayejid Bostami</t>
  </si>
  <si>
    <t>Banshkhali</t>
  </si>
  <si>
    <t>Bakalia</t>
  </si>
  <si>
    <t>Boalkhali</t>
  </si>
  <si>
    <t>Chandanaish</t>
  </si>
  <si>
    <t>Chandgaon</t>
  </si>
  <si>
    <t>Chittagong Port</t>
  </si>
  <si>
    <t>Double Mooring</t>
  </si>
  <si>
    <t>Fatikchhari</t>
  </si>
  <si>
    <t>Halishahar</t>
  </si>
  <si>
    <t>Hathazari</t>
  </si>
  <si>
    <t>Khulshi</t>
  </si>
  <si>
    <t>Mirsharai</t>
  </si>
  <si>
    <t>Pahartali</t>
  </si>
  <si>
    <t>Panchlaish</t>
  </si>
  <si>
    <t>Patiya</t>
  </si>
  <si>
    <t>Patenga</t>
  </si>
  <si>
    <t>Rangunia</t>
  </si>
  <si>
    <t>Raozan</t>
  </si>
  <si>
    <t>Sandwip</t>
  </si>
  <si>
    <t>Satkania</t>
  </si>
  <si>
    <t>Sitakunda</t>
  </si>
  <si>
    <t>Barura</t>
  </si>
  <si>
    <t>Brahman Para</t>
  </si>
  <si>
    <t>Burichang</t>
  </si>
  <si>
    <t>Chandina</t>
  </si>
  <si>
    <t>Chauddagram</t>
  </si>
  <si>
    <t>Comilla Sadar Dakshin</t>
  </si>
  <si>
    <t>Daudkandi</t>
  </si>
  <si>
    <t>Debidwar</t>
  </si>
  <si>
    <t>Homna</t>
  </si>
  <si>
    <t>Comilla Adarsha Sadar</t>
  </si>
  <si>
    <t>Laksam</t>
  </si>
  <si>
    <t>Manoharganj</t>
  </si>
  <si>
    <t>Meghna</t>
  </si>
  <si>
    <t>Muradnagar</t>
  </si>
  <si>
    <t>Nangalkot</t>
  </si>
  <si>
    <t>Titas</t>
  </si>
  <si>
    <t>Chakaria</t>
  </si>
  <si>
    <t>Cox's Bazar</t>
  </si>
  <si>
    <t>Cox's Bazar Sadar</t>
  </si>
  <si>
    <t>Kutubdia</t>
  </si>
  <si>
    <t>Maheshkhali</t>
  </si>
  <si>
    <t>Pekua</t>
  </si>
  <si>
    <t>Ramu</t>
  </si>
  <si>
    <t>Teknaf</t>
  </si>
  <si>
    <t>Ukhia</t>
  </si>
  <si>
    <t>Chhagalnaiya</t>
  </si>
  <si>
    <t>Feni</t>
  </si>
  <si>
    <t>Daganbhuiyan</t>
  </si>
  <si>
    <t>Feni Sadar</t>
  </si>
  <si>
    <t>Fulgazi</t>
  </si>
  <si>
    <t>Parshuram</t>
  </si>
  <si>
    <t>Sonagazi</t>
  </si>
  <si>
    <t>Dighinala</t>
  </si>
  <si>
    <t>Khagrachhari</t>
  </si>
  <si>
    <t>Khagrachhari Sadar</t>
  </si>
  <si>
    <t>Lakshmichhari</t>
  </si>
  <si>
    <t>Mahalchhari</t>
  </si>
  <si>
    <t>Manikchhari</t>
  </si>
  <si>
    <t>Matiranga</t>
  </si>
  <si>
    <t>Panchhari</t>
  </si>
  <si>
    <t>Ramgarh</t>
  </si>
  <si>
    <t>Kamalnagar</t>
  </si>
  <si>
    <t>Lakshmipur</t>
  </si>
  <si>
    <t>Lakshmipur Sadar</t>
  </si>
  <si>
    <t>Roypur</t>
  </si>
  <si>
    <t>Ramganj</t>
  </si>
  <si>
    <t>Ramgati</t>
  </si>
  <si>
    <t>Begumganj</t>
  </si>
  <si>
    <t>Noakhali</t>
  </si>
  <si>
    <t>Chatkhil</t>
  </si>
  <si>
    <t>Hatiya</t>
  </si>
  <si>
    <t>Kabirhat</t>
  </si>
  <si>
    <t>Senbagh</t>
  </si>
  <si>
    <t>Sonaimuri</t>
  </si>
  <si>
    <t>Subarnachar</t>
  </si>
  <si>
    <t>Baghai Chhari</t>
  </si>
  <si>
    <t>Rangamati</t>
  </si>
  <si>
    <t>Barkal</t>
  </si>
  <si>
    <t>Belai Chhari</t>
  </si>
  <si>
    <t>Kaptai</t>
  </si>
  <si>
    <t>Jurai Chhari</t>
  </si>
  <si>
    <t>Langadu</t>
  </si>
  <si>
    <t>Naniarchar</t>
  </si>
  <si>
    <t>Rajasthali</t>
  </si>
  <si>
    <t>Rangamati Sadar</t>
  </si>
  <si>
    <t>Adabor</t>
  </si>
  <si>
    <t>Dhaka</t>
  </si>
  <si>
    <t>Badda</t>
  </si>
  <si>
    <t>Bangshal</t>
  </si>
  <si>
    <t>Cantonment</t>
  </si>
  <si>
    <t>Dakshinkhan</t>
  </si>
  <si>
    <t>Darus Salam</t>
  </si>
  <si>
    <t>Demra</t>
  </si>
  <si>
    <t>Dhamrai</t>
  </si>
  <si>
    <t>Dhanmondi</t>
  </si>
  <si>
    <t>Dohar</t>
  </si>
  <si>
    <t>Gendaria</t>
  </si>
  <si>
    <t>Gulshan</t>
  </si>
  <si>
    <t>Hazaribagh</t>
  </si>
  <si>
    <t>Jatrabari</t>
  </si>
  <si>
    <t>Kafrul</t>
  </si>
  <si>
    <t>Kadamtali</t>
  </si>
  <si>
    <t>Kalabagan</t>
  </si>
  <si>
    <t>Kamrangir Char</t>
  </si>
  <si>
    <t>Khilgaon</t>
  </si>
  <si>
    <t>Khilkhet</t>
  </si>
  <si>
    <t>Keraniganj</t>
  </si>
  <si>
    <t>Lalbagh</t>
  </si>
  <si>
    <t>Motijheel</t>
  </si>
  <si>
    <t>Nawabganj</t>
  </si>
  <si>
    <t>New Market</t>
  </si>
  <si>
    <t>Pallabi</t>
  </si>
  <si>
    <t>Paltan</t>
  </si>
  <si>
    <t>Ramna</t>
  </si>
  <si>
    <t>Rampura</t>
  </si>
  <si>
    <t>Sabujbagh</t>
  </si>
  <si>
    <t>Savar</t>
  </si>
  <si>
    <t>Shah Ali</t>
  </si>
  <si>
    <t>Shahbagh</t>
  </si>
  <si>
    <t>Shyampur</t>
  </si>
  <si>
    <t>Sutrapur</t>
  </si>
  <si>
    <t>Tejgaon</t>
  </si>
  <si>
    <t>Tejgaon Ind. Area</t>
  </si>
  <si>
    <t>Turag</t>
  </si>
  <si>
    <t>Uttara</t>
  </si>
  <si>
    <t>Uttar Khan</t>
  </si>
  <si>
    <t>Alfadanga</t>
  </si>
  <si>
    <t>Faridpur</t>
  </si>
  <si>
    <t>Bhanga</t>
  </si>
  <si>
    <t>Boalmari</t>
  </si>
  <si>
    <t>Char Bhadrasan</t>
  </si>
  <si>
    <t>Faridpur Sadar</t>
  </si>
  <si>
    <t>Madhukhali</t>
  </si>
  <si>
    <t>Nagarkanda</t>
  </si>
  <si>
    <t>Sadarpur</t>
  </si>
  <si>
    <t>Saltha</t>
  </si>
  <si>
    <t>Gazipur Sadar</t>
  </si>
  <si>
    <t>Gazipur</t>
  </si>
  <si>
    <t>Kaliakair</t>
  </si>
  <si>
    <t>Kapasia</t>
  </si>
  <si>
    <t>Gopalganj Sadar</t>
  </si>
  <si>
    <t>Gopalganj</t>
  </si>
  <si>
    <t>Kashiani</t>
  </si>
  <si>
    <t>Muksudpur</t>
  </si>
  <si>
    <t>Austagram</t>
  </si>
  <si>
    <t>Kishoreganj</t>
  </si>
  <si>
    <t>Bajitpur</t>
  </si>
  <si>
    <t>Bhairab</t>
  </si>
  <si>
    <t>Hossainpur</t>
  </si>
  <si>
    <t>Itna</t>
  </si>
  <si>
    <t>Karimganj</t>
  </si>
  <si>
    <t>Katiadi</t>
  </si>
  <si>
    <t>Kishoreganj Sadar</t>
  </si>
  <si>
    <t>Kuliar Char</t>
  </si>
  <si>
    <t>Mithamain</t>
  </si>
  <si>
    <t>Nikli</t>
  </si>
  <si>
    <t>Pakundia</t>
  </si>
  <si>
    <t>Tarail</t>
  </si>
  <si>
    <t>Kalkini</t>
  </si>
  <si>
    <t>Madaripur</t>
  </si>
  <si>
    <t>Madaripur Sadar</t>
  </si>
  <si>
    <t>Rajoir</t>
  </si>
  <si>
    <t>Shib Char</t>
  </si>
  <si>
    <t>Manikganj</t>
  </si>
  <si>
    <t>Ghior</t>
  </si>
  <si>
    <t>Harirampur</t>
  </si>
  <si>
    <t>Manikganj Sadar</t>
  </si>
  <si>
    <t>Saturia</t>
  </si>
  <si>
    <t>Shibalaya</t>
  </si>
  <si>
    <t>Singair</t>
  </si>
  <si>
    <t>Gazaria</t>
  </si>
  <si>
    <t>Munshiganj</t>
  </si>
  <si>
    <t>Lohajang</t>
  </si>
  <si>
    <t>Munshiganj Sadar</t>
  </si>
  <si>
    <t>Serajdikhan</t>
  </si>
  <si>
    <t>Sreenagar</t>
  </si>
  <si>
    <t>Tongibari</t>
  </si>
  <si>
    <t>Araihazar</t>
  </si>
  <si>
    <t>Narayanganj</t>
  </si>
  <si>
    <t>Sonargaon</t>
  </si>
  <si>
    <t>Bandar</t>
  </si>
  <si>
    <t>Narayanganj Sadar</t>
  </si>
  <si>
    <t>Rupganj</t>
  </si>
  <si>
    <t>Belabo</t>
  </si>
  <si>
    <t>Narsingdi</t>
  </si>
  <si>
    <t>Manohardi</t>
  </si>
  <si>
    <t>Narsingdi Sadar</t>
  </si>
  <si>
    <t>Palash</t>
  </si>
  <si>
    <t>Roypura</t>
  </si>
  <si>
    <t>Shibpur</t>
  </si>
  <si>
    <t>Rajbari</t>
  </si>
  <si>
    <t>Kalukhali</t>
  </si>
  <si>
    <t>Pangsha</t>
  </si>
  <si>
    <t>Rajbari Sadar</t>
  </si>
  <si>
    <t>Bhedarganj</t>
  </si>
  <si>
    <t>Shariatpur</t>
  </si>
  <si>
    <t>Damudya</t>
  </si>
  <si>
    <t>Gosairhat</t>
  </si>
  <si>
    <t>Naria</t>
  </si>
  <si>
    <t>Shariatpur Sadar</t>
  </si>
  <si>
    <t>Zanjira</t>
  </si>
  <si>
    <t>Basail</t>
  </si>
  <si>
    <t>Tangail</t>
  </si>
  <si>
    <t>Bhuapur</t>
  </si>
  <si>
    <t>Delduar</t>
  </si>
  <si>
    <t>Dhanbari</t>
  </si>
  <si>
    <t>Ghatail</t>
  </si>
  <si>
    <t>Gopalpur</t>
  </si>
  <si>
    <t>Kalihati</t>
  </si>
  <si>
    <t>Madhupur</t>
  </si>
  <si>
    <t>Mirzapur</t>
  </si>
  <si>
    <t>Nagarpur</t>
  </si>
  <si>
    <t>Tangail Sadar</t>
  </si>
  <si>
    <t>Bagerhat Sadar</t>
  </si>
  <si>
    <t>Bagerhat</t>
  </si>
  <si>
    <t>Chitalmari</t>
  </si>
  <si>
    <t>Fakirhat</t>
  </si>
  <si>
    <t>Mollahat</t>
  </si>
  <si>
    <t>Mongla</t>
  </si>
  <si>
    <t>Morrelganj</t>
  </si>
  <si>
    <t>Rampal</t>
  </si>
  <si>
    <t>Sarankhola</t>
  </si>
  <si>
    <t>Alamdanga</t>
  </si>
  <si>
    <t>Chuadanga</t>
  </si>
  <si>
    <t>Chuadanga Sadar</t>
  </si>
  <si>
    <t>Damurhuda</t>
  </si>
  <si>
    <t>Jiban Nagar</t>
  </si>
  <si>
    <t>Abhaynagar</t>
  </si>
  <si>
    <t>Jashore</t>
  </si>
  <si>
    <t>Bagher Para</t>
  </si>
  <si>
    <t>Chaugachha</t>
  </si>
  <si>
    <t>Jhikargachha</t>
  </si>
  <si>
    <t>Keshabpur</t>
  </si>
  <si>
    <t>Manirampur</t>
  </si>
  <si>
    <t>Sharsha</t>
  </si>
  <si>
    <t>Harinakunda</t>
  </si>
  <si>
    <t>Jhenaidah</t>
  </si>
  <si>
    <t>Kotchandpur</t>
  </si>
  <si>
    <t>Maheshpur</t>
  </si>
  <si>
    <t>Shailkupa</t>
  </si>
  <si>
    <t>Batiaghata</t>
  </si>
  <si>
    <t>Khulna</t>
  </si>
  <si>
    <t>Dacope</t>
  </si>
  <si>
    <t>Dumuria</t>
  </si>
  <si>
    <t>Dighalia</t>
  </si>
  <si>
    <t>Khan Jahan Ali</t>
  </si>
  <si>
    <t>Koyra</t>
  </si>
  <si>
    <t>Paikgachha</t>
  </si>
  <si>
    <t>Phultala</t>
  </si>
  <si>
    <t>Rupsa</t>
  </si>
  <si>
    <t>Terokhada</t>
  </si>
  <si>
    <t>Bheramara</t>
  </si>
  <si>
    <t>Kushtia</t>
  </si>
  <si>
    <t>Khoksa</t>
  </si>
  <si>
    <t>Kumarkhali</t>
  </si>
  <si>
    <t>Kushtia Sadar</t>
  </si>
  <si>
    <t>Magura Sadar</t>
  </si>
  <si>
    <t>Magura</t>
  </si>
  <si>
    <t>Shalikha</t>
  </si>
  <si>
    <t>Gangni</t>
  </si>
  <si>
    <t>Meherpur</t>
  </si>
  <si>
    <t>Mujib Nagar</t>
  </si>
  <si>
    <t>Meherpur Sadar</t>
  </si>
  <si>
    <t>Kalia</t>
  </si>
  <si>
    <t>Narail</t>
  </si>
  <si>
    <t>Narail Sadar</t>
  </si>
  <si>
    <t>Assasuni</t>
  </si>
  <si>
    <t>Satkhira</t>
  </si>
  <si>
    <t>Debhata</t>
  </si>
  <si>
    <t>Kalaroa</t>
  </si>
  <si>
    <t>Satkhira Sadar</t>
  </si>
  <si>
    <t>Shyamnagar</t>
  </si>
  <si>
    <t>Tala</t>
  </si>
  <si>
    <t>Bakshiganj</t>
  </si>
  <si>
    <t>Jamalpur</t>
  </si>
  <si>
    <t>Dewanganj</t>
  </si>
  <si>
    <t>Islampur</t>
  </si>
  <si>
    <t>Jamalpur Sadar</t>
  </si>
  <si>
    <t>Madarganj</t>
  </si>
  <si>
    <t>Melandaha</t>
  </si>
  <si>
    <t>Sarishabari</t>
  </si>
  <si>
    <t>Bhaluka</t>
  </si>
  <si>
    <t>Mymensingh</t>
  </si>
  <si>
    <t>Dhobaura</t>
  </si>
  <si>
    <t>Fulbaria</t>
  </si>
  <si>
    <t>Gaffargaon</t>
  </si>
  <si>
    <t>Gauripur</t>
  </si>
  <si>
    <t>Haluaghat</t>
  </si>
  <si>
    <t>Ishwarganj</t>
  </si>
  <si>
    <t>Mymensingh Sadar</t>
  </si>
  <si>
    <t>Muktagachha</t>
  </si>
  <si>
    <t>Nandail</t>
  </si>
  <si>
    <t>Phulpur</t>
  </si>
  <si>
    <t>Trishal</t>
  </si>
  <si>
    <t>Atpara</t>
  </si>
  <si>
    <t>Netrakona</t>
  </si>
  <si>
    <t>Barhatta</t>
  </si>
  <si>
    <t>Khaliajuri</t>
  </si>
  <si>
    <t>Kalmakanda</t>
  </si>
  <si>
    <t>Kendua</t>
  </si>
  <si>
    <t>Madan</t>
  </si>
  <si>
    <t>Netrokona Sadar</t>
  </si>
  <si>
    <t>Purbadhala</t>
  </si>
  <si>
    <t>Jhenaigati</t>
  </si>
  <si>
    <t>Sherpur</t>
  </si>
  <si>
    <t>Nakla</t>
  </si>
  <si>
    <t>Nalitabari</t>
  </si>
  <si>
    <t>Sherpur Sadar</t>
  </si>
  <si>
    <t>Sreebardi</t>
  </si>
  <si>
    <t>Adamdighi</t>
  </si>
  <si>
    <t>Bogura</t>
  </si>
  <si>
    <t>Bogra Sadar</t>
  </si>
  <si>
    <t>Dhunat</t>
  </si>
  <si>
    <t>Dhupchanchia</t>
  </si>
  <si>
    <t>Gabtali</t>
  </si>
  <si>
    <t>Kahaloo</t>
  </si>
  <si>
    <t>Nandigram</t>
  </si>
  <si>
    <t>Sariakandi</t>
  </si>
  <si>
    <t>Shajahanpur</t>
  </si>
  <si>
    <t>Sonatola</t>
  </si>
  <si>
    <t>Akkelpur</t>
  </si>
  <si>
    <t>Joypurhat</t>
  </si>
  <si>
    <t>Joypurhat Sadar</t>
  </si>
  <si>
    <t>Kalai</t>
  </si>
  <si>
    <t>Khetlal</t>
  </si>
  <si>
    <t>Panchbibi</t>
  </si>
  <si>
    <t>Atrai</t>
  </si>
  <si>
    <t>Naogaon</t>
  </si>
  <si>
    <t>Badalgachhi</t>
  </si>
  <si>
    <t>Dhamoirhat</t>
  </si>
  <si>
    <t>Manda</t>
  </si>
  <si>
    <t>Mahadebpur</t>
  </si>
  <si>
    <t>Naogaon Sadar</t>
  </si>
  <si>
    <t>Niamatpur</t>
  </si>
  <si>
    <t>Patnitala</t>
  </si>
  <si>
    <t>Porsha</t>
  </si>
  <si>
    <t>Raninagar</t>
  </si>
  <si>
    <t>Sapahar</t>
  </si>
  <si>
    <t>Bagati Para</t>
  </si>
  <si>
    <t>Natore</t>
  </si>
  <si>
    <t>Baraigram</t>
  </si>
  <si>
    <t>Gurudaspur</t>
  </si>
  <si>
    <t>Lalpur</t>
  </si>
  <si>
    <t>Natore Sadar</t>
  </si>
  <si>
    <t>Singra</t>
  </si>
  <si>
    <t>Bholahat</t>
  </si>
  <si>
    <t>Gomastapur</t>
  </si>
  <si>
    <t>Nachole</t>
  </si>
  <si>
    <t>Atgharia</t>
  </si>
  <si>
    <t>Pabna</t>
  </si>
  <si>
    <t>Bera</t>
  </si>
  <si>
    <t>Bhangura</t>
  </si>
  <si>
    <t>Chatmohar</t>
  </si>
  <si>
    <t>Ishwardi</t>
  </si>
  <si>
    <t>Pabna Sadar</t>
  </si>
  <si>
    <t>Santhia</t>
  </si>
  <si>
    <t>Sujanagar</t>
  </si>
  <si>
    <t>Bagha</t>
  </si>
  <si>
    <t>Rajshahi</t>
  </si>
  <si>
    <t>Baghmara</t>
  </si>
  <si>
    <t>Boalia</t>
  </si>
  <si>
    <t>Charghat</t>
  </si>
  <si>
    <t>Godagari</t>
  </si>
  <si>
    <t>Matihar</t>
  </si>
  <si>
    <t>Mohanpur</t>
  </si>
  <si>
    <t>Paba</t>
  </si>
  <si>
    <t>Puthia</t>
  </si>
  <si>
    <t>Rajpara</t>
  </si>
  <si>
    <t>Shah Makhdum</t>
  </si>
  <si>
    <t>Tanore</t>
  </si>
  <si>
    <t>Belkuchi</t>
  </si>
  <si>
    <t>Sirajganj</t>
  </si>
  <si>
    <t>Chauhali</t>
  </si>
  <si>
    <t>Kamarkhanda</t>
  </si>
  <si>
    <t>Kazipur</t>
  </si>
  <si>
    <t>Royganj</t>
  </si>
  <si>
    <t>Shahjadpur</t>
  </si>
  <si>
    <t>Sirajganj Sadar</t>
  </si>
  <si>
    <t>Tarash</t>
  </si>
  <si>
    <t>Ullah Para</t>
  </si>
  <si>
    <t>Birampur</t>
  </si>
  <si>
    <t>Dinajpur</t>
  </si>
  <si>
    <t>Birganj</t>
  </si>
  <si>
    <t>Biral</t>
  </si>
  <si>
    <t>Bochaganj</t>
  </si>
  <si>
    <t>Chirirbandar</t>
  </si>
  <si>
    <t>Fulbari</t>
  </si>
  <si>
    <t>Ghoraghat</t>
  </si>
  <si>
    <t>Hakimpur</t>
  </si>
  <si>
    <t>Kaharole</t>
  </si>
  <si>
    <t>Khansama</t>
  </si>
  <si>
    <t>Dinajpur Sadar</t>
  </si>
  <si>
    <t>Parbatipur</t>
  </si>
  <si>
    <t>Fulchhari</t>
  </si>
  <si>
    <t>Gaibandha</t>
  </si>
  <si>
    <t>Gaibandha Sadar</t>
  </si>
  <si>
    <t>Gobindaganj</t>
  </si>
  <si>
    <t>Palashbari</t>
  </si>
  <si>
    <t>Sadullapur</t>
  </si>
  <si>
    <t>Saghatta</t>
  </si>
  <si>
    <t>Sundarganj</t>
  </si>
  <si>
    <t>Bhurungamari</t>
  </si>
  <si>
    <t>Kurigram</t>
  </si>
  <si>
    <t>Char Rajibpur</t>
  </si>
  <si>
    <t>Chilmari</t>
  </si>
  <si>
    <t>Phulbari</t>
  </si>
  <si>
    <t>Kurigram Sadar</t>
  </si>
  <si>
    <t>Nageshwari</t>
  </si>
  <si>
    <t>Rajarhat</t>
  </si>
  <si>
    <t>Raumari</t>
  </si>
  <si>
    <t>Ulipur</t>
  </si>
  <si>
    <t>Aditmari</t>
  </si>
  <si>
    <t>Lalmonirhat</t>
  </si>
  <si>
    <t>Hatibandha</t>
  </si>
  <si>
    <t>Lalmonirhat Sadar</t>
  </si>
  <si>
    <t>Patgram</t>
  </si>
  <si>
    <t>Dimla</t>
  </si>
  <si>
    <t>Nilphamari</t>
  </si>
  <si>
    <t>Domar</t>
  </si>
  <si>
    <t>Jaldhaka</t>
  </si>
  <si>
    <t>Nilphamari Sadar</t>
  </si>
  <si>
    <t>Saidpur</t>
  </si>
  <si>
    <t>Atwari</t>
  </si>
  <si>
    <t>Panchagarh</t>
  </si>
  <si>
    <t>Boda</t>
  </si>
  <si>
    <t>Debiganj</t>
  </si>
  <si>
    <t>Panchagarh Sadar</t>
  </si>
  <si>
    <t>Tentulia</t>
  </si>
  <si>
    <t>Badarganj</t>
  </si>
  <si>
    <t>Rangpur</t>
  </si>
  <si>
    <t>Gangachara</t>
  </si>
  <si>
    <t>Kaunia</t>
  </si>
  <si>
    <t>Rangpur Sadar</t>
  </si>
  <si>
    <t>Mitha Pukur</t>
  </si>
  <si>
    <t>Pirgachha</t>
  </si>
  <si>
    <t>Taraganj</t>
  </si>
  <si>
    <t>Baliadangi</t>
  </si>
  <si>
    <t>Thakurgaon</t>
  </si>
  <si>
    <t>Haripur</t>
  </si>
  <si>
    <t>Ranisankail</t>
  </si>
  <si>
    <t>Thakurgaon Sadar</t>
  </si>
  <si>
    <t>Ajmiriganj</t>
  </si>
  <si>
    <t>Habiganj</t>
  </si>
  <si>
    <t>Bahubal</t>
  </si>
  <si>
    <t>Baniachong</t>
  </si>
  <si>
    <t>Chunarughat</t>
  </si>
  <si>
    <t>Habiganj Sadar</t>
  </si>
  <si>
    <t>Lakhai</t>
  </si>
  <si>
    <t>Madhabpur</t>
  </si>
  <si>
    <t>Nabiganj</t>
  </si>
  <si>
    <t>Barlekha</t>
  </si>
  <si>
    <t>Maulvibazar</t>
  </si>
  <si>
    <t>Juri</t>
  </si>
  <si>
    <t>Kamalganj</t>
  </si>
  <si>
    <t>Kulaura</t>
  </si>
  <si>
    <t>Maulvi Bazar Sadar</t>
  </si>
  <si>
    <t>Rajnagar</t>
  </si>
  <si>
    <t>Sreemangal</t>
  </si>
  <si>
    <t>Bishwambarpur</t>
  </si>
  <si>
    <t>Sunamganj</t>
  </si>
  <si>
    <t>Chhatak</t>
  </si>
  <si>
    <t>Dakshin Sunamganj</t>
  </si>
  <si>
    <t>Derai</t>
  </si>
  <si>
    <t>Dharampasha</t>
  </si>
  <si>
    <t>Dowarabazar</t>
  </si>
  <si>
    <t>Jagannathpur</t>
  </si>
  <si>
    <t>Jamalganj</t>
  </si>
  <si>
    <t>Sulla</t>
  </si>
  <si>
    <t>Sunamganj Sadar</t>
  </si>
  <si>
    <t>Tahirpur</t>
  </si>
  <si>
    <t>Balaganj</t>
  </si>
  <si>
    <t>Sylhet</t>
  </si>
  <si>
    <t>Beani Bazar</t>
  </si>
  <si>
    <t>Bishwanath</t>
  </si>
  <si>
    <t>Dakshin Surma</t>
  </si>
  <si>
    <t>Fenchuganj</t>
  </si>
  <si>
    <t>Golabganj</t>
  </si>
  <si>
    <t>Gowainghat</t>
  </si>
  <si>
    <t>Jaintiapur</t>
  </si>
  <si>
    <t>Kanaighat</t>
  </si>
  <si>
    <t>Sylhet Sadar</t>
  </si>
  <si>
    <t>Zakiganj</t>
  </si>
  <si>
    <t>Vul_INFORM</t>
  </si>
  <si>
    <t>Norm_Vul</t>
  </si>
  <si>
    <t>Max</t>
  </si>
  <si>
    <t>Min</t>
  </si>
  <si>
    <t>Change</t>
  </si>
  <si>
    <t>Norm_Wind Gust</t>
  </si>
  <si>
    <t>Norm_Rainfall</t>
  </si>
  <si>
    <t>Norm_Storm Surge</t>
  </si>
  <si>
    <t>VCI</t>
  </si>
  <si>
    <t>fAPAR</t>
  </si>
  <si>
    <t>Norm_VCI</t>
  </si>
  <si>
    <t>Norm_fAPAR</t>
  </si>
  <si>
    <t>Classification</t>
  </si>
  <si>
    <t>Impact_fAPAR</t>
  </si>
  <si>
    <t>Impact(VCI+fAPAR)</t>
  </si>
  <si>
    <t>Norm_Impact_VCI</t>
  </si>
  <si>
    <t>Norm_Impact_VCI+F</t>
  </si>
  <si>
    <t>Impact_VCI+F</t>
  </si>
  <si>
    <t>Norm_Impact_fAPAR</t>
  </si>
  <si>
    <t>Impact_VCI</t>
  </si>
  <si>
    <t>Impact(VCI)</t>
  </si>
  <si>
    <t>Nawabganj Sadar</t>
  </si>
  <si>
    <t>Upazila</t>
  </si>
  <si>
    <t>Barisal Sadar (Kotwali)</t>
  </si>
  <si>
    <t>Daulatkhan</t>
  </si>
  <si>
    <t>Nesarabad (Swarupkati)</t>
  </si>
  <si>
    <t>Bijoynagar</t>
  </si>
  <si>
    <t>Kachua</t>
  </si>
  <si>
    <t>Matlab Uttar</t>
  </si>
  <si>
    <t>Kotwali</t>
  </si>
  <si>
    <t>Lohagara</t>
  </si>
  <si>
    <t>Companiganj</t>
  </si>
  <si>
    <t>Noakhali Sadar (Sudharam)</t>
  </si>
  <si>
    <t>Kawkhali (Betbunia)</t>
  </si>
  <si>
    <t>Biman Bandar</t>
  </si>
  <si>
    <t>Chak Bazar</t>
  </si>
  <si>
    <t>Mirpur</t>
  </si>
  <si>
    <t>Mohammadpur</t>
  </si>
  <si>
    <t>Sher-e-bangla Nagar</t>
  </si>
  <si>
    <t>Kaliganj</t>
  </si>
  <si>
    <t>Sreepur</t>
  </si>
  <si>
    <t>Kotali Para</t>
  </si>
  <si>
    <t>Tungi Para</t>
  </si>
  <si>
    <t>Daulatpur</t>
  </si>
  <si>
    <t>Goalandaghat</t>
  </si>
  <si>
    <t>Sakhipur</t>
  </si>
  <si>
    <t>Jhenaidah Sadar</t>
  </si>
  <si>
    <t>Durgapur</t>
  </si>
  <si>
    <t>Mohanganj</t>
  </si>
  <si>
    <t>Shibganj</t>
  </si>
  <si>
    <t>Pirganj</t>
  </si>
  <si>
    <t>Balia Kandi</t>
  </si>
  <si>
    <t>Total Number of House</t>
  </si>
  <si>
    <t>Norm_House</t>
  </si>
  <si>
    <t>Impact_VCI_fAPAR_house</t>
  </si>
  <si>
    <t>Norm_VCI_fAPAR_house</t>
  </si>
  <si>
    <t>Impact_House</t>
  </si>
  <si>
    <t>Norm_Impact_House</t>
  </si>
  <si>
    <t>Vulnerability</t>
  </si>
  <si>
    <t>House</t>
  </si>
  <si>
    <t>Impact_vci+fapar+house</t>
  </si>
  <si>
    <t>Impact_house</t>
  </si>
  <si>
    <t>BD100490</t>
  </si>
  <si>
    <t>Taltoli</t>
  </si>
  <si>
    <t>BD107897</t>
  </si>
  <si>
    <t>Rangabali</t>
  </si>
  <si>
    <t>Indurkani</t>
  </si>
  <si>
    <t>BD201539</t>
  </si>
  <si>
    <t>Chittagong</t>
  </si>
  <si>
    <t>Karnaphuli</t>
  </si>
  <si>
    <t>BD201973</t>
  </si>
  <si>
    <t>Comilla</t>
  </si>
  <si>
    <t>Lalmai</t>
  </si>
  <si>
    <t>BD202232</t>
  </si>
  <si>
    <t>Eidgaon</t>
  </si>
  <si>
    <t>Sadar</t>
  </si>
  <si>
    <t>BD404733</t>
  </si>
  <si>
    <t>City Corporation</t>
  </si>
  <si>
    <t>Low</t>
  </si>
  <si>
    <t>No Impact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</si>
</sst>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0" xfId="0" applyAlignment="1">
      <alignment wrapText="1"/>
    </xf>
    <xf numFmtId="0" fontId="1" fillId="0" borderId="0" xfId="0" applyFont="1"/>
    <xf numFmtId="2" fontId="0" fillId="0" borderId="0" xfId="0" applyNumberFormat="1"/>
    <xf numFmtId="165" fontId="0" fillId="0" borderId="0" xfId="0" applyNumberFormat="1"/>
    <xf numFmtId="1" fontId="0" fillId="0" borderId="0" xfId="0" applyNumberFormat="1"/>
    <xf numFmtId="0" fontId="0" fillId="2" borderId="0" xfId="0" applyFill="1"/>
    <xf numFmtId="0" fontId="1" fillId="3" borderId="0" xfId="0" applyFont="1" applyFill="1"/>
    <xf numFmtId="165" fontId="1" fillId="3" borderId="0" xfId="0" applyNumberFormat="1" applyFont="1" applyFill="1"/>
    <xf numFmtId="164" fontId="1" fillId="0" borderId="0" xfId="0" applyNumberFormat="1" applyFont="1" applyAlignment="1">
      <alignment wrapText="1"/>
    </xf>
    <xf numFmtId="166" fontId="1" fillId="0" borderId="0" xfId="0" applyNumberFormat="1" applyFont="1"/>
    <xf numFmtId="0" fontId="1" fillId="4" borderId="0" xfId="0" applyFont="1" applyFill="1"/>
    <xf numFmtId="0" fontId="1" fillId="5" borderId="0" xfId="0" applyFont="1" applyFill="1"/>
    <xf numFmtId="166" fontId="1" fillId="5" borderId="0" xfId="0" applyNumberFormat="1" applyFont="1" applyFill="1"/>
    <xf numFmtId="166" fontId="4" fillId="0" borderId="0" xfId="0" applyNumberFormat="1" applyFont="1" applyAlignment="1">
      <alignment horizontal="center"/>
    </xf>
    <xf numFmtId="0" fontId="0" fillId="5" borderId="0" xfId="0" applyFill="1"/>
    <xf numFmtId="0" fontId="0" fillId="5" borderId="0" xfId="0" applyFill="1" applyAlignment="1">
      <alignment wrapText="1"/>
    </xf>
    <xf numFmtId="165" fontId="0" fillId="5" borderId="0" xfId="0" applyNumberFormat="1" applyFill="1"/>
    <xf numFmtId="11" fontId="0" fillId="5" borderId="0" xfId="0" applyNumberFormat="1" applyFill="1"/>
    <xf numFmtId="0" fontId="0" fillId="6" borderId="0" xfId="0" applyFill="1"/>
    <xf numFmtId="0" fontId="0" fillId="6" borderId="0" xfId="0" applyFill="1" applyAlignment="1">
      <alignment wrapText="1"/>
    </xf>
    <xf numFmtId="165" fontId="0" fillId="6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DBBFFD-5619-46D0-BCEC-8CFA629056F9}">
  <dimension ref="A1:AK1002"/>
  <sheetViews>
    <sheetView tabSelected="1" topLeftCell="A223" zoomScale="80" zoomScaleNormal="80" workbookViewId="0">
      <selection activeCell="D240" sqref="D240"/>
    </sheetView>
  </sheetViews>
  <sheetFormatPr defaultRowHeight="14.4" x14ac:dyDescent="0.3"/>
  <cols>
    <col min="1" max="1" width="7.6640625" customWidth="1"/>
    <col min="2" max="2" width="13.44140625" customWidth="1"/>
    <col min="3" max="3" width="12.88671875" customWidth="1"/>
    <col min="4" max="4" width="23.109375" customWidth="1"/>
    <col min="5" max="5" width="11.44140625" customWidth="1"/>
    <col min="6" max="6" width="9.6640625" style="3" customWidth="1"/>
    <col min="7" max="7" width="8.77734375" customWidth="1"/>
    <col min="8" max="8" width="15.44140625" customWidth="1"/>
    <col min="9" max="9" width="8.77734375" customWidth="1"/>
    <col min="10" max="10" width="12.77734375" style="3" customWidth="1"/>
    <col min="11" max="11" width="11" customWidth="1"/>
    <col min="12" max="12" width="16.77734375" style="3" customWidth="1"/>
    <col min="13" max="13" width="20.21875" customWidth="1"/>
    <col min="14" max="14" width="17.77734375" style="4" customWidth="1"/>
    <col min="15" max="15" width="16.21875" style="15" customWidth="1"/>
    <col min="16" max="16" width="9.33203125" customWidth="1"/>
    <col min="17" max="17" width="8.88671875" customWidth="1"/>
    <col min="18" max="18" width="11.77734375" customWidth="1"/>
    <col min="19" max="19" width="17.109375" bestFit="1" customWidth="1"/>
    <col min="20" max="20" width="18.21875" bestFit="1" customWidth="1"/>
    <col min="21" max="21" width="11.77734375" bestFit="1" customWidth="1"/>
    <col min="22" max="22" width="12.88671875" bestFit="1" customWidth="1"/>
    <col min="23" max="23" width="18.77734375" bestFit="1" customWidth="1"/>
    <col min="24" max="24" width="11.77734375" bestFit="1" customWidth="1"/>
    <col min="25" max="25" width="10.77734375" bestFit="1" customWidth="1"/>
    <col min="26" max="26" width="16.21875" bestFit="1" customWidth="1"/>
    <col min="27" max="27" width="11.77734375" bestFit="1" customWidth="1"/>
    <col min="28" max="28" width="21.77734375" bestFit="1" customWidth="1"/>
    <col min="29" max="29" width="25.88671875" customWidth="1"/>
    <col min="30" max="30" width="11.77734375" bestFit="1" customWidth="1"/>
    <col min="31" max="31" width="11.88671875" bestFit="1" customWidth="1"/>
    <col min="32" max="32" width="19.77734375" bestFit="1" customWidth="1"/>
    <col min="33" max="33" width="11.77734375" bestFit="1" customWidth="1"/>
    <col min="34" max="34" width="22.109375" bestFit="1" customWidth="1"/>
  </cols>
  <sheetData>
    <row r="1" spans="1:37" ht="15" customHeight="1" x14ac:dyDescent="0.3">
      <c r="A1" s="2" t="s">
        <v>542</v>
      </c>
      <c r="B1" s="2" t="s">
        <v>540</v>
      </c>
      <c r="C1" s="2" t="s">
        <v>541</v>
      </c>
      <c r="D1" s="7" t="s">
        <v>1119</v>
      </c>
      <c r="E1" s="8" t="s">
        <v>1097</v>
      </c>
      <c r="F1" s="9" t="s">
        <v>1098</v>
      </c>
      <c r="G1" s="2" t="s">
        <v>543</v>
      </c>
      <c r="H1" s="2" t="s">
        <v>1102</v>
      </c>
      <c r="I1" s="2" t="s">
        <v>544</v>
      </c>
      <c r="J1" s="10" t="s">
        <v>1103</v>
      </c>
      <c r="K1" s="2" t="s">
        <v>545</v>
      </c>
      <c r="L1" s="2" t="s">
        <v>1104</v>
      </c>
      <c r="M1" s="11" t="s">
        <v>1149</v>
      </c>
      <c r="N1" s="11" t="s">
        <v>1150</v>
      </c>
      <c r="O1" s="12" t="s">
        <v>1105</v>
      </c>
      <c r="P1" s="12" t="s">
        <v>1107</v>
      </c>
      <c r="Q1" s="11" t="s">
        <v>1106</v>
      </c>
      <c r="R1" s="11" t="s">
        <v>1108</v>
      </c>
      <c r="S1" s="12" t="s">
        <v>1111</v>
      </c>
      <c r="T1" s="13" t="s">
        <v>1113</v>
      </c>
      <c r="U1" s="12" t="s">
        <v>1109</v>
      </c>
      <c r="V1" s="12" t="s">
        <v>1110</v>
      </c>
      <c r="W1" s="12" t="s">
        <v>1115</v>
      </c>
      <c r="X1" s="12" t="s">
        <v>1109</v>
      </c>
      <c r="Y1" s="12" t="s">
        <v>1117</v>
      </c>
      <c r="Z1" s="12" t="s">
        <v>1112</v>
      </c>
      <c r="AA1" s="12" t="s">
        <v>1109</v>
      </c>
      <c r="AB1" s="12" t="s">
        <v>1151</v>
      </c>
      <c r="AC1" s="12" t="s">
        <v>1152</v>
      </c>
      <c r="AD1" s="12" t="s">
        <v>1109</v>
      </c>
      <c r="AE1" s="12" t="s">
        <v>1153</v>
      </c>
      <c r="AF1" s="12" t="s">
        <v>1154</v>
      </c>
      <c r="AG1" s="12" t="s">
        <v>1109</v>
      </c>
    </row>
    <row r="2" spans="1:37" x14ac:dyDescent="0.3">
      <c r="A2">
        <v>100409</v>
      </c>
      <c r="B2" t="s">
        <v>537</v>
      </c>
      <c r="C2" s="1" t="s">
        <v>547</v>
      </c>
      <c r="D2" t="s">
        <v>546</v>
      </c>
      <c r="E2" s="4">
        <v>7.5</v>
      </c>
      <c r="F2" s="3">
        <f>(E2-$AJ$5)/$AK$5</f>
        <v>0.95555555555555549</v>
      </c>
      <c r="G2">
        <v>72.32508</v>
      </c>
      <c r="H2">
        <f>(G2-$AJ$6)/$AK$6</f>
        <v>0.6826515980400818</v>
      </c>
      <c r="I2">
        <v>255.1</v>
      </c>
      <c r="J2" s="3">
        <f t="shared" ref="J2:J65" si="0">(I2-$AJ$7)/$AK$7</f>
        <v>0.78880643166357445</v>
      </c>
      <c r="K2">
        <v>0.5</v>
      </c>
      <c r="L2" s="3">
        <f t="shared" ref="L2:L65" si="1">(K2-$AJ$8)/$AK$8</f>
        <v>0.25</v>
      </c>
      <c r="M2">
        <v>27600</v>
      </c>
      <c r="N2">
        <f t="shared" ref="N2:N65" si="2">(M2-$AJ$9)/$AK$9</f>
        <v>0.12945640705360226</v>
      </c>
      <c r="O2" s="15">
        <v>0.51786541399999997</v>
      </c>
      <c r="P2">
        <f t="shared" ref="P2:P65" si="3">(O2-$AJ$11)/$AK$11</f>
        <v>0.52794021162139704</v>
      </c>
      <c r="Q2">
        <v>0.3967</v>
      </c>
      <c r="R2">
        <f t="shared" ref="R2:R65" si="4">(Q2-$AJ$12)/$AK$12</f>
        <v>0.87940589669696301</v>
      </c>
      <c r="S2">
        <f>F2*(R2*0.5+P2*0.5)*(H2*0.4+J2*0.2+L2*0.4)</f>
        <v>0.35692397065151993</v>
      </c>
      <c r="T2" s="14">
        <f t="shared" ref="T2:T65" si="5">(S2-$AJ$10)/$AK$10</f>
        <v>0.59879143427028936</v>
      </c>
      <c r="U2" t="str">
        <f>IF(T2&gt;0.7,"High",IF(T2&gt;0.3,"Moderate",IF(T2&gt;0.15,"Low","No Impact")))</f>
        <v>Moderate</v>
      </c>
      <c r="V2">
        <f>F2*(R2*1)*(H2*0.4+J2*0.2+L2*0.4)</f>
        <v>0.44606091224922251</v>
      </c>
      <c r="W2">
        <f t="shared" ref="W2:W65" si="6">(V2-$AJ$13)/$AK$13</f>
        <v>0.59952782011502315</v>
      </c>
      <c r="X2" t="str">
        <f>IF(W2&gt;0.7,"High",IF(W2&gt;0.3,"Moderate",IF(W2&gt;0.15,"Low","No Impact")))</f>
        <v>Moderate</v>
      </c>
      <c r="Y2">
        <f>F2*(P2*1)*(H2*0.4+J2*0.2+L2*0.4)</f>
        <v>0.26778702905381729</v>
      </c>
      <c r="Z2">
        <f t="shared" ref="Z2:Z65" si="7">(Y2-$AJ$14)/$AK$14</f>
        <v>0.5365497458992462</v>
      </c>
      <c r="AA2" t="str">
        <f>IF(Z2&gt;0.7,"High",IF(Z2&gt;0.3,"Moderate",IF(Z2&gt;0.15,"Low","No Impact")))</f>
        <v>Moderate</v>
      </c>
      <c r="AB2">
        <f>F2*(R2*0.35+P2*0.3+N2*0.35)*(H2*0.4+J2*0.2+L2*0.4)</f>
        <v>0.25943988142483027</v>
      </c>
      <c r="AC2">
        <f t="shared" ref="AC2:AC65" si="8">(AB2-$AJ$15)/$AK$15</f>
        <v>0.60910594398173445</v>
      </c>
      <c r="AD2" t="str">
        <f>IF(AC2&gt;0.7,"High",IF(AC2&gt;0.3,"Moderate",IF(AC2&gt;0.15,"Low","No Impact")))</f>
        <v>Moderate</v>
      </c>
      <c r="AE2">
        <f>F2*(N2*1)*(H2*0.4+J2*0.2+L2*0.4)</f>
        <v>6.5664152632734923E-2</v>
      </c>
      <c r="AF2">
        <f t="shared" ref="AF2:AF65" si="9">(AE2-$AJ$16)/$AK$16</f>
        <v>0.35921179313794271</v>
      </c>
      <c r="AG2" t="str">
        <f>IF(AF2&gt;0.7,"High",IF(AF2&gt;0.3,"Moderate",IF(AF2&gt;0.15,"Low","No Impact")))</f>
        <v>Moderate</v>
      </c>
    </row>
    <row r="3" spans="1:37" x14ac:dyDescent="0.3">
      <c r="A3">
        <v>100419</v>
      </c>
      <c r="B3" t="s">
        <v>38</v>
      </c>
      <c r="C3" s="1" t="s">
        <v>547</v>
      </c>
      <c r="D3" t="s">
        <v>548</v>
      </c>
      <c r="E3" s="4">
        <v>5.6</v>
      </c>
      <c r="F3" s="3">
        <f>(E3-$AJ$5)/$AK$5</f>
        <v>0.53333333333333321</v>
      </c>
      <c r="G3">
        <v>63.07884</v>
      </c>
      <c r="H3">
        <f t="shared" ref="H3:H66" si="10">(G3-$AJ$6)/$AK$6</f>
        <v>0.5953795132824552</v>
      </c>
      <c r="I3">
        <v>198.4</v>
      </c>
      <c r="J3" s="3">
        <f t="shared" si="0"/>
        <v>0.61348175633889912</v>
      </c>
      <c r="K3">
        <v>0.1</v>
      </c>
      <c r="L3" s="3">
        <f t="shared" si="1"/>
        <v>0.05</v>
      </c>
      <c r="M3">
        <v>10180</v>
      </c>
      <c r="N3">
        <f t="shared" si="2"/>
        <v>4.7035055097396299E-2</v>
      </c>
      <c r="O3" s="15">
        <v>0.58660378899999999</v>
      </c>
      <c r="P3">
        <f t="shared" si="3"/>
        <v>0.59801585533683344</v>
      </c>
      <c r="Q3">
        <v>0.39629999999999999</v>
      </c>
      <c r="R3">
        <f t="shared" si="4"/>
        <v>0.87851917534914648</v>
      </c>
      <c r="S3">
        <f t="shared" ref="S3:S66" si="11">F3*(R3*0.5+P3*0.5)*(H3*0.4+J3*0.2+L3*0.4)</f>
        <v>0.14995617188364643</v>
      </c>
      <c r="T3" s="14">
        <f t="shared" si="5"/>
        <v>0.2515731041431199</v>
      </c>
      <c r="U3" t="str">
        <f t="shared" ref="U3:U66" si="12">IF(T3&gt;0.7,"High",IF(T3&gt;0.3,"Moderate",IF(T3&gt;0.15,"Low","No Impact")))</f>
        <v>Low</v>
      </c>
      <c r="V3">
        <f t="shared" ref="V3:V66" si="13">F3*(R3*1)*(H3*0.4+J3*0.2+L3*0.4)</f>
        <v>0.17844395117470588</v>
      </c>
      <c r="W3">
        <f t="shared" si="6"/>
        <v>0.23983745296362158</v>
      </c>
      <c r="X3" t="s">
        <v>1175</v>
      </c>
      <c r="Y3">
        <f t="shared" ref="Y3:Y66" si="14">F3*(P3*1)*(H3*0.4+J3*0.2+L3*0.4)</f>
        <v>0.12146839259258696</v>
      </c>
      <c r="Z3">
        <f t="shared" si="7"/>
        <v>0.24337935788235807</v>
      </c>
      <c r="AA3" t="str">
        <f t="shared" ref="AA3:AA66" si="15">IF(Z3&gt;0.7,"High",IF(Z3&gt;0.3,"Moderate",IF(Z3&gt;0.15,"Low","No Impact")))</f>
        <v>Low</v>
      </c>
      <c r="AB3">
        <f t="shared" ref="AB3:AB66" si="16">F3*(R3*0.35+P3*0.3+N3*0.35)*(H3*0.4+J3*0.2+L3*0.4)</f>
        <v>0.10223970064091316</v>
      </c>
      <c r="AC3">
        <f t="shared" si="8"/>
        <v>0.24003560682067596</v>
      </c>
      <c r="AD3" t="str">
        <f t="shared" ref="AD3:AD66" si="17">IF(AC3&gt;0.7,"High",IF(AC3&gt;0.3,"Moderate",IF(AC3&gt;0.15,"Low","No Impact")))</f>
        <v>Low</v>
      </c>
      <c r="AE3">
        <f t="shared" ref="AE3:AE66" si="18">F3*(N3*1)*(H3*0.4+J3*0.2+L3*0.4)</f>
        <v>9.553714148542905E-3</v>
      </c>
      <c r="AF3">
        <f t="shared" si="9"/>
        <v>5.2263017991259431E-2</v>
      </c>
      <c r="AG3" t="s">
        <v>1176</v>
      </c>
    </row>
    <row r="4" spans="1:37" x14ac:dyDescent="0.3">
      <c r="A4">
        <v>100428</v>
      </c>
      <c r="B4" t="s">
        <v>47</v>
      </c>
      <c r="C4" s="1" t="s">
        <v>547</v>
      </c>
      <c r="D4" t="s">
        <v>549</v>
      </c>
      <c r="E4" s="4">
        <v>7.5</v>
      </c>
      <c r="F4" s="3">
        <f>(E4-$AJ$5)/$AK$5</f>
        <v>0.95555555555555549</v>
      </c>
      <c r="G4">
        <v>73.821600000000004</v>
      </c>
      <c r="H4">
        <f t="shared" si="10"/>
        <v>0.69677673650517502</v>
      </c>
      <c r="I4">
        <v>192.60000000000002</v>
      </c>
      <c r="J4" s="3">
        <f t="shared" si="0"/>
        <v>0.59554730983302417</v>
      </c>
      <c r="K4">
        <v>0.5</v>
      </c>
      <c r="L4" s="3">
        <f t="shared" si="1"/>
        <v>0.25</v>
      </c>
      <c r="M4">
        <v>41704</v>
      </c>
      <c r="N4">
        <f t="shared" si="2"/>
        <v>0.19618836732859246</v>
      </c>
      <c r="O4" s="15">
        <v>0.60910734200000005</v>
      </c>
      <c r="P4">
        <f t="shared" si="3"/>
        <v>0.62095720305358471</v>
      </c>
      <c r="Q4">
        <v>0.37840000000000001</v>
      </c>
      <c r="R4">
        <f t="shared" si="4"/>
        <v>0.83883839503436053</v>
      </c>
      <c r="S4">
        <f t="shared" si="11"/>
        <v>0.34720859941701482</v>
      </c>
      <c r="T4" s="14">
        <f t="shared" si="5"/>
        <v>0.58249249792998548</v>
      </c>
      <c r="U4" t="str">
        <f t="shared" si="12"/>
        <v>Moderate</v>
      </c>
      <c r="V4">
        <f t="shared" si="13"/>
        <v>0.39903107621174033</v>
      </c>
      <c r="W4">
        <f t="shared" si="6"/>
        <v>0.53631740578451315</v>
      </c>
      <c r="X4" t="str">
        <f t="shared" ref="X4:X50" si="19">IF(W4&gt;0.7,"High",IF(W4&gt;0.3,"Moderate",IF(W4&gt;0.15,"Low","No Impact")))</f>
        <v>Moderate</v>
      </c>
      <c r="Y4">
        <f t="shared" si="14"/>
        <v>0.29538612262228942</v>
      </c>
      <c r="Z4">
        <f t="shared" si="7"/>
        <v>0.59184849092635206</v>
      </c>
      <c r="AA4" t="str">
        <f t="shared" si="15"/>
        <v>Moderate</v>
      </c>
      <c r="AB4">
        <f t="shared" si="16"/>
        <v>0.26094073973399845</v>
      </c>
      <c r="AC4">
        <f t="shared" si="8"/>
        <v>0.6126296185693425</v>
      </c>
      <c r="AD4" t="str">
        <f t="shared" si="17"/>
        <v>Moderate</v>
      </c>
      <c r="AE4">
        <f t="shared" si="18"/>
        <v>9.3325789352007138E-2</v>
      </c>
      <c r="AF4">
        <f t="shared" si="9"/>
        <v>0.51053311121898415</v>
      </c>
      <c r="AG4" t="str">
        <f t="shared" ref="AG4:AG36" si="20">IF(AF4&gt;0.7,"High",IF(AF4&gt;0.3,"Moderate",IF(AF4&gt;0.15,"Low","No Impact")))</f>
        <v>Moderate</v>
      </c>
      <c r="AI4" s="2" t="s">
        <v>1099</v>
      </c>
      <c r="AJ4" s="2" t="s">
        <v>1100</v>
      </c>
      <c r="AK4" s="2" t="s">
        <v>1101</v>
      </c>
    </row>
    <row r="5" spans="1:37" x14ac:dyDescent="0.3">
      <c r="A5">
        <v>100447</v>
      </c>
      <c r="B5" t="s">
        <v>63</v>
      </c>
      <c r="C5" s="1" t="s">
        <v>547</v>
      </c>
      <c r="D5" t="s">
        <v>550</v>
      </c>
      <c r="E5" s="4">
        <v>5.6</v>
      </c>
      <c r="F5" s="3">
        <f>(E5-$AJ$5)/$AK$5</f>
        <v>0.53333333333333321</v>
      </c>
      <c r="G5">
        <v>63.909720000000007</v>
      </c>
      <c r="H5">
        <f t="shared" si="10"/>
        <v>0.60322190432826595</v>
      </c>
      <c r="I5">
        <v>228.10000000000002</v>
      </c>
      <c r="J5" s="3">
        <f t="shared" si="0"/>
        <v>0.70531849103277677</v>
      </c>
      <c r="K5">
        <v>0.3</v>
      </c>
      <c r="L5" s="3">
        <f t="shared" si="1"/>
        <v>0.15</v>
      </c>
      <c r="M5">
        <v>7682</v>
      </c>
      <c r="N5">
        <f t="shared" si="2"/>
        <v>3.521596570666137E-2</v>
      </c>
      <c r="O5" s="15">
        <v>0.51402019200000004</v>
      </c>
      <c r="P5">
        <f t="shared" si="3"/>
        <v>0.52402018286193408</v>
      </c>
      <c r="Q5">
        <v>0.38119999999999998</v>
      </c>
      <c r="R5">
        <f t="shared" si="4"/>
        <v>0.84504544446907559</v>
      </c>
      <c r="S5">
        <f t="shared" si="11"/>
        <v>0.16149587948433172</v>
      </c>
      <c r="T5" s="14">
        <f t="shared" si="5"/>
        <v>0.27093262783288774</v>
      </c>
      <c r="U5" t="str">
        <f t="shared" si="12"/>
        <v>Low</v>
      </c>
      <c r="V5">
        <f t="shared" si="13"/>
        <v>0.19936422993076228</v>
      </c>
      <c r="W5">
        <f t="shared" si="6"/>
        <v>0.26795533725788478</v>
      </c>
      <c r="X5" t="s">
        <v>1175</v>
      </c>
      <c r="Y5">
        <f t="shared" si="14"/>
        <v>0.12362752903790114</v>
      </c>
      <c r="Z5">
        <f t="shared" si="7"/>
        <v>0.24770549763299662</v>
      </c>
      <c r="AA5" t="str">
        <f t="shared" si="15"/>
        <v>Low</v>
      </c>
      <c r="AB5">
        <f t="shared" si="16"/>
        <v>0.10977360807823056</v>
      </c>
      <c r="AC5">
        <f t="shared" si="8"/>
        <v>0.25772351114855324</v>
      </c>
      <c r="AD5" t="str">
        <f t="shared" si="17"/>
        <v>Low</v>
      </c>
      <c r="AE5">
        <f t="shared" si="18"/>
        <v>8.3081968316954854E-3</v>
      </c>
      <c r="AF5">
        <f t="shared" si="9"/>
        <v>4.5449490505852112E-2</v>
      </c>
      <c r="AG5" t="s">
        <v>1176</v>
      </c>
      <c r="AH5" s="2" t="s">
        <v>1155</v>
      </c>
      <c r="AI5" s="4">
        <f>MAX(E2:E557)</f>
        <v>7.7</v>
      </c>
      <c r="AJ5">
        <f>MIN((E2:E557))</f>
        <v>3.2</v>
      </c>
      <c r="AK5" s="4">
        <f t="shared" ref="AK5:AK16" si="21">AI5-AJ5</f>
        <v>4.5</v>
      </c>
    </row>
    <row r="6" spans="1:37" x14ac:dyDescent="0.3">
      <c r="A6">
        <v>100485</v>
      </c>
      <c r="B6" t="s">
        <v>406</v>
      </c>
      <c r="C6" s="1" t="s">
        <v>547</v>
      </c>
      <c r="D6" t="s">
        <v>551</v>
      </c>
      <c r="E6" s="4">
        <v>7.5</v>
      </c>
      <c r="F6" s="3">
        <f t="shared" ref="F6:F69" si="22">(E6-$AJ$5)/$AK$5</f>
        <v>0.95555555555555549</v>
      </c>
      <c r="G6">
        <v>70.156440000000003</v>
      </c>
      <c r="H6">
        <f t="shared" si="10"/>
        <v>0.66218254966054813</v>
      </c>
      <c r="I6">
        <v>189.1</v>
      </c>
      <c r="J6" s="3">
        <f t="shared" si="0"/>
        <v>0.58472479901051322</v>
      </c>
      <c r="K6">
        <v>0.3</v>
      </c>
      <c r="L6" s="3">
        <f t="shared" si="1"/>
        <v>0.15</v>
      </c>
      <c r="M6">
        <v>28660</v>
      </c>
      <c r="N6">
        <f t="shared" si="2"/>
        <v>0.13447171320019116</v>
      </c>
      <c r="O6" s="15">
        <v>0.71562857000000002</v>
      </c>
      <c r="P6">
        <f t="shared" si="3"/>
        <v>0.7295507451828358</v>
      </c>
      <c r="Q6">
        <v>0.40360000000000001</v>
      </c>
      <c r="R6">
        <f t="shared" si="4"/>
        <v>0.89470183994679675</v>
      </c>
      <c r="S6">
        <f t="shared" si="11"/>
        <v>0.34286479791200347</v>
      </c>
      <c r="T6" s="14">
        <f t="shared" si="5"/>
        <v>0.57520514446750071</v>
      </c>
      <c r="U6" t="str">
        <f t="shared" si="12"/>
        <v>Moderate</v>
      </c>
      <c r="V6">
        <f t="shared" si="13"/>
        <v>0.37772667669218862</v>
      </c>
      <c r="W6">
        <f t="shared" si="6"/>
        <v>0.50768324427860623</v>
      </c>
      <c r="X6" t="str">
        <f t="shared" si="19"/>
        <v>Moderate</v>
      </c>
      <c r="Y6">
        <f t="shared" si="14"/>
        <v>0.30800291913181838</v>
      </c>
      <c r="Z6">
        <f t="shared" si="7"/>
        <v>0.61712805351446309</v>
      </c>
      <c r="AA6" t="str">
        <f t="shared" si="15"/>
        <v>Moderate</v>
      </c>
      <c r="AB6">
        <f t="shared" si="16"/>
        <v>0.24447523282088002</v>
      </c>
      <c r="AC6">
        <f t="shared" si="8"/>
        <v>0.57397234630891469</v>
      </c>
      <c r="AD6" t="str">
        <f t="shared" si="17"/>
        <v>Moderate</v>
      </c>
      <c r="AE6">
        <f t="shared" si="18"/>
        <v>5.6771486397338526E-2</v>
      </c>
      <c r="AF6">
        <f t="shared" si="9"/>
        <v>0.3105649979518349</v>
      </c>
      <c r="AG6" t="str">
        <f t="shared" si="20"/>
        <v>Moderate</v>
      </c>
      <c r="AH6" s="2" t="s">
        <v>543</v>
      </c>
      <c r="AI6">
        <f>MAX(G1:G557)</f>
        <v>105.94728000000001</v>
      </c>
      <c r="AJ6">
        <f>MIN(G1:G557)</f>
        <v>0</v>
      </c>
      <c r="AK6">
        <f t="shared" si="21"/>
        <v>105.94728000000001</v>
      </c>
    </row>
    <row r="7" spans="1:37" x14ac:dyDescent="0.3">
      <c r="A7" s="15">
        <v>100490</v>
      </c>
      <c r="B7" s="15" t="s">
        <v>1159</v>
      </c>
      <c r="C7" s="15" t="s">
        <v>547</v>
      </c>
      <c r="D7" s="15" t="s">
        <v>1160</v>
      </c>
      <c r="E7" s="4">
        <v>7.5</v>
      </c>
      <c r="F7" s="3">
        <f t="shared" si="22"/>
        <v>0.95555555555555549</v>
      </c>
      <c r="G7">
        <v>70.156440000000003</v>
      </c>
      <c r="H7">
        <f t="shared" si="10"/>
        <v>0.66218254966054813</v>
      </c>
      <c r="I7">
        <v>189.1</v>
      </c>
      <c r="J7" s="3">
        <f t="shared" si="0"/>
        <v>0.58472479901051322</v>
      </c>
      <c r="K7">
        <v>0.3</v>
      </c>
      <c r="L7" s="3">
        <f t="shared" si="1"/>
        <v>0.15</v>
      </c>
      <c r="M7">
        <v>15422</v>
      </c>
      <c r="N7">
        <f t="shared" si="2"/>
        <v>7.1837163418546221E-2</v>
      </c>
      <c r="O7" s="15">
        <v>0.51786541399999997</v>
      </c>
      <c r="P7">
        <f t="shared" si="3"/>
        <v>0.52794021162139704</v>
      </c>
      <c r="Q7">
        <v>0.3967</v>
      </c>
      <c r="R7">
        <f t="shared" si="4"/>
        <v>0.87940589669696301</v>
      </c>
      <c r="S7">
        <f t="shared" si="11"/>
        <v>0.2970778334838286</v>
      </c>
      <c r="T7" s="14">
        <f t="shared" si="5"/>
        <v>0.4983909085091156</v>
      </c>
      <c r="U7" t="str">
        <f t="shared" si="12"/>
        <v>Moderate</v>
      </c>
      <c r="V7">
        <f t="shared" si="13"/>
        <v>0.37126901051484451</v>
      </c>
      <c r="W7">
        <f t="shared" si="6"/>
        <v>0.49900382310535957</v>
      </c>
      <c r="X7" t="str">
        <f t="shared" si="19"/>
        <v>Moderate</v>
      </c>
      <c r="Y7">
        <f t="shared" si="14"/>
        <v>0.22288665645281266</v>
      </c>
      <c r="Z7">
        <f t="shared" si="7"/>
        <v>0.44658540522534124</v>
      </c>
      <c r="AA7" t="str">
        <f t="shared" si="15"/>
        <v>Moderate</v>
      </c>
      <c r="AB7">
        <f t="shared" si="16"/>
        <v>0.20742506625200488</v>
      </c>
      <c r="AC7">
        <f t="shared" si="8"/>
        <v>0.48698696627144394</v>
      </c>
      <c r="AD7" t="str">
        <f t="shared" si="17"/>
        <v>Moderate</v>
      </c>
      <c r="AE7">
        <f t="shared" si="18"/>
        <v>3.0328330388472984E-2</v>
      </c>
      <c r="AF7">
        <f t="shared" si="9"/>
        <v>0.16590930522862349</v>
      </c>
      <c r="AG7" t="s">
        <v>1175</v>
      </c>
      <c r="AH7" s="2" t="s">
        <v>544</v>
      </c>
      <c r="AI7">
        <f>MAX(I1:I557)</f>
        <v>323.40000000000003</v>
      </c>
      <c r="AJ7">
        <f>MIN(K1:K557)</f>
        <v>0</v>
      </c>
      <c r="AK7">
        <f t="shared" si="21"/>
        <v>323.40000000000003</v>
      </c>
    </row>
    <row r="8" spans="1:37" x14ac:dyDescent="0.3">
      <c r="A8">
        <v>100602</v>
      </c>
      <c r="B8" t="s">
        <v>4</v>
      </c>
      <c r="C8" s="1" t="s">
        <v>553</v>
      </c>
      <c r="D8" t="s">
        <v>552</v>
      </c>
      <c r="E8" s="4">
        <v>6.7</v>
      </c>
      <c r="F8" s="3">
        <f t="shared" si="22"/>
        <v>0.77777777777777779</v>
      </c>
      <c r="G8">
        <v>67.859279999999998</v>
      </c>
      <c r="H8">
        <f t="shared" si="10"/>
        <v>0.64050044512704807</v>
      </c>
      <c r="I8">
        <v>145.4</v>
      </c>
      <c r="J8" s="3">
        <f t="shared" si="0"/>
        <v>0.44959802102659241</v>
      </c>
      <c r="K8">
        <v>0</v>
      </c>
      <c r="L8" s="3">
        <f t="shared" si="1"/>
        <v>0</v>
      </c>
      <c r="M8">
        <v>14078</v>
      </c>
      <c r="N8">
        <f t="shared" si="2"/>
        <v>6.5478133738342964E-2</v>
      </c>
      <c r="O8" s="15">
        <v>0.41828090899999998</v>
      </c>
      <c r="P8">
        <f t="shared" si="3"/>
        <v>0.42641834276781865</v>
      </c>
      <c r="Q8">
        <v>0.33679999999999999</v>
      </c>
      <c r="R8">
        <f t="shared" si="4"/>
        <v>0.7466193748614498</v>
      </c>
      <c r="S8">
        <f t="shared" si="11"/>
        <v>0.15789338421269744</v>
      </c>
      <c r="T8" s="14">
        <f t="shared" si="5"/>
        <v>0.2648889224837731</v>
      </c>
      <c r="U8" t="str">
        <f t="shared" si="12"/>
        <v>Low</v>
      </c>
      <c r="V8">
        <f t="shared" si="13"/>
        <v>0.2009931275763123</v>
      </c>
      <c r="W8">
        <f t="shared" si="6"/>
        <v>0.27014465586395325</v>
      </c>
      <c r="X8" t="s">
        <v>1175</v>
      </c>
      <c r="Y8">
        <f t="shared" si="14"/>
        <v>0.11479364084908261</v>
      </c>
      <c r="Z8">
        <f t="shared" si="7"/>
        <v>0.23000553479401847</v>
      </c>
      <c r="AA8" t="str">
        <f t="shared" si="15"/>
        <v>Low</v>
      </c>
      <c r="AB8">
        <f t="shared" si="16"/>
        <v>0.11095513464093755</v>
      </c>
      <c r="AC8">
        <f t="shared" si="8"/>
        <v>0.26049746728962425</v>
      </c>
      <c r="AD8" t="str">
        <f t="shared" si="17"/>
        <v>Low</v>
      </c>
      <c r="AE8">
        <f t="shared" si="18"/>
        <v>1.7626993527152749E-2</v>
      </c>
      <c r="AF8">
        <f t="shared" si="9"/>
        <v>9.6427406715104788E-2</v>
      </c>
      <c r="AG8" t="s">
        <v>1175</v>
      </c>
      <c r="AH8" s="2" t="s">
        <v>545</v>
      </c>
      <c r="AI8">
        <f>MAX(K1:K547)</f>
        <v>2</v>
      </c>
      <c r="AJ8">
        <f>MIN(K1:K557)</f>
        <v>0</v>
      </c>
      <c r="AK8">
        <f t="shared" si="21"/>
        <v>2</v>
      </c>
    </row>
    <row r="9" spans="1:37" x14ac:dyDescent="0.3">
      <c r="A9">
        <v>100603</v>
      </c>
      <c r="B9" t="s">
        <v>20</v>
      </c>
      <c r="C9" s="1" t="s">
        <v>553</v>
      </c>
      <c r="D9" t="s">
        <v>554</v>
      </c>
      <c r="E9" s="4">
        <v>6.7</v>
      </c>
      <c r="F9" s="3">
        <f t="shared" si="22"/>
        <v>0.77777777777777779</v>
      </c>
      <c r="G9">
        <v>66.168719999999993</v>
      </c>
      <c r="H9">
        <f t="shared" si="10"/>
        <v>0.62454382972361333</v>
      </c>
      <c r="I9">
        <v>144.6</v>
      </c>
      <c r="J9" s="3">
        <f t="shared" si="0"/>
        <v>0.44712430426716132</v>
      </c>
      <c r="K9">
        <v>0</v>
      </c>
      <c r="L9" s="3">
        <f t="shared" si="1"/>
        <v>0</v>
      </c>
      <c r="M9">
        <v>12897</v>
      </c>
      <c r="N9">
        <f t="shared" si="2"/>
        <v>5.9890325663700068E-2</v>
      </c>
      <c r="O9" s="15">
        <v>0.80766764999999996</v>
      </c>
      <c r="P9">
        <f t="shared" si="3"/>
        <v>0.82338039678540187</v>
      </c>
      <c r="Q9">
        <v>0.38179999999999997</v>
      </c>
      <c r="R9">
        <f t="shared" si="4"/>
        <v>0.84637552649080017</v>
      </c>
      <c r="S9">
        <f t="shared" si="11"/>
        <v>0.22028688683120448</v>
      </c>
      <c r="T9" s="14">
        <f t="shared" si="5"/>
        <v>0.36956302115494283</v>
      </c>
      <c r="U9" t="str">
        <f t="shared" si="12"/>
        <v>Moderate</v>
      </c>
      <c r="V9">
        <f t="shared" si="13"/>
        <v>0.22332057904002919</v>
      </c>
      <c r="W9">
        <f t="shared" si="6"/>
        <v>0.3001538495349898</v>
      </c>
      <c r="X9" t="str">
        <f t="shared" si="19"/>
        <v>Moderate</v>
      </c>
      <c r="Y9">
        <f t="shared" si="14"/>
        <v>0.21725319462237974</v>
      </c>
      <c r="Z9">
        <f t="shared" si="7"/>
        <v>0.43529795592530651</v>
      </c>
      <c r="AA9" t="str">
        <f t="shared" si="15"/>
        <v>Moderate</v>
      </c>
      <c r="AB9">
        <f t="shared" si="16"/>
        <v>0.14886899178202903</v>
      </c>
      <c r="AC9">
        <f t="shared" si="8"/>
        <v>0.34951059671708368</v>
      </c>
      <c r="AD9" t="str">
        <f t="shared" si="17"/>
        <v>Moderate</v>
      </c>
      <c r="AE9">
        <f t="shared" si="18"/>
        <v>1.580237351801405E-2</v>
      </c>
      <c r="AF9">
        <f t="shared" si="9"/>
        <v>8.6445932821062041E-2</v>
      </c>
      <c r="AG9" t="s">
        <v>1175</v>
      </c>
      <c r="AH9" s="2" t="s">
        <v>1156</v>
      </c>
      <c r="AI9" s="5">
        <f>MAX(M1:M557)</f>
        <v>211592</v>
      </c>
      <c r="AJ9" s="5">
        <f>MIN(M1:M557)</f>
        <v>239</v>
      </c>
      <c r="AK9" s="5">
        <f t="shared" si="21"/>
        <v>211353</v>
      </c>
    </row>
    <row r="10" spans="1:37" x14ac:dyDescent="0.3">
      <c r="A10">
        <v>100607</v>
      </c>
      <c r="B10" t="s">
        <v>33</v>
      </c>
      <c r="C10" s="1" t="s">
        <v>553</v>
      </c>
      <c r="D10" t="s">
        <v>555</v>
      </c>
      <c r="E10" s="4">
        <v>6.7</v>
      </c>
      <c r="F10" s="3">
        <f t="shared" si="22"/>
        <v>0.77777777777777779</v>
      </c>
      <c r="G10">
        <v>68.635080000000002</v>
      </c>
      <c r="H10">
        <f t="shared" si="10"/>
        <v>0.6478229549640161</v>
      </c>
      <c r="I10">
        <v>252.9</v>
      </c>
      <c r="J10" s="3">
        <f t="shared" si="0"/>
        <v>0.78200371057513907</v>
      </c>
      <c r="K10">
        <v>0.1</v>
      </c>
      <c r="L10" s="3">
        <f t="shared" si="1"/>
        <v>0.05</v>
      </c>
      <c r="M10">
        <v>24771</v>
      </c>
      <c r="N10">
        <f t="shared" si="2"/>
        <v>0.11607121734728157</v>
      </c>
      <c r="O10" s="15">
        <v>0.66533903800000005</v>
      </c>
      <c r="P10">
        <f t="shared" si="3"/>
        <v>0.67828285694648993</v>
      </c>
      <c r="Q10">
        <v>0.38030000000000003</v>
      </c>
      <c r="R10">
        <f t="shared" si="4"/>
        <v>0.84305032143648861</v>
      </c>
      <c r="S10">
        <f t="shared" si="11"/>
        <v>0.25767238144391152</v>
      </c>
      <c r="T10" s="14">
        <f t="shared" si="5"/>
        <v>0.43228257988669178</v>
      </c>
      <c r="U10" t="str">
        <f t="shared" si="12"/>
        <v>Moderate</v>
      </c>
      <c r="V10">
        <f t="shared" si="13"/>
        <v>0.28557949972863833</v>
      </c>
      <c r="W10">
        <f t="shared" si="6"/>
        <v>0.38383290317576535</v>
      </c>
      <c r="X10" t="str">
        <f t="shared" si="19"/>
        <v>Moderate</v>
      </c>
      <c r="Y10">
        <f t="shared" si="14"/>
        <v>0.22976526315918477</v>
      </c>
      <c r="Z10">
        <f t="shared" si="7"/>
        <v>0.46036768098935177</v>
      </c>
      <c r="AA10" t="str">
        <f t="shared" si="15"/>
        <v>Moderate</v>
      </c>
      <c r="AB10">
        <f t="shared" si="16"/>
        <v>0.18264391460608415</v>
      </c>
      <c r="AC10">
        <f t="shared" si="8"/>
        <v>0.428806447982021</v>
      </c>
      <c r="AD10" t="str">
        <f t="shared" si="17"/>
        <v>Moderate</v>
      </c>
      <c r="AE10">
        <f t="shared" si="18"/>
        <v>3.931860215230093E-2</v>
      </c>
      <c r="AF10">
        <f t="shared" si="9"/>
        <v>0.21509004558088876</v>
      </c>
      <c r="AG10" t="s">
        <v>1175</v>
      </c>
      <c r="AH10" s="2" t="s">
        <v>1114</v>
      </c>
      <c r="AI10" s="3">
        <f>MAX(S2:S547)</f>
        <v>0.59607394198362473</v>
      </c>
      <c r="AJ10" s="3">
        <f>MIN(S2:S547)</f>
        <v>0</v>
      </c>
      <c r="AK10" s="3">
        <f t="shared" si="21"/>
        <v>0.59607394198362473</v>
      </c>
    </row>
    <row r="11" spans="1:37" x14ac:dyDescent="0.3">
      <c r="A11">
        <v>100610</v>
      </c>
      <c r="B11" t="s">
        <v>39</v>
      </c>
      <c r="C11" s="1" t="s">
        <v>553</v>
      </c>
      <c r="D11" t="s">
        <v>556</v>
      </c>
      <c r="E11" s="4">
        <v>6.7</v>
      </c>
      <c r="F11" s="3">
        <f t="shared" si="22"/>
        <v>0.77777777777777779</v>
      </c>
      <c r="G11">
        <v>66.168719999999993</v>
      </c>
      <c r="H11">
        <f t="shared" si="10"/>
        <v>0.62454382972361333</v>
      </c>
      <c r="I11">
        <v>196.7</v>
      </c>
      <c r="J11" s="3">
        <f t="shared" si="0"/>
        <v>0.60822510822510811</v>
      </c>
      <c r="K11">
        <v>0</v>
      </c>
      <c r="L11" s="3">
        <f t="shared" si="1"/>
        <v>0</v>
      </c>
      <c r="M11">
        <v>9050</v>
      </c>
      <c r="N11">
        <f t="shared" si="2"/>
        <v>4.1688549488296832E-2</v>
      </c>
      <c r="O11" s="15">
        <v>0.63042109800000001</v>
      </c>
      <c r="P11">
        <f t="shared" si="3"/>
        <v>0.64268560689923482</v>
      </c>
      <c r="Q11">
        <v>0.34560000000000002</v>
      </c>
      <c r="R11">
        <f t="shared" si="4"/>
        <v>0.76612724451341174</v>
      </c>
      <c r="S11">
        <f t="shared" si="11"/>
        <v>0.20351380748141149</v>
      </c>
      <c r="T11" s="14">
        <f t="shared" si="5"/>
        <v>0.34142376162956373</v>
      </c>
      <c r="U11" t="str">
        <f t="shared" si="12"/>
        <v>Moderate</v>
      </c>
      <c r="V11">
        <f t="shared" si="13"/>
        <v>0.22134589756165979</v>
      </c>
      <c r="W11">
        <f t="shared" si="6"/>
        <v>0.29749978043895825</v>
      </c>
      <c r="X11" t="s">
        <v>1175</v>
      </c>
      <c r="Y11">
        <f t="shared" si="14"/>
        <v>0.18568171740116318</v>
      </c>
      <c r="Z11">
        <f t="shared" si="7"/>
        <v>0.37203997012755824</v>
      </c>
      <c r="AA11" t="str">
        <f t="shared" si="15"/>
        <v>Moderate</v>
      </c>
      <c r="AB11">
        <f t="shared" si="16"/>
        <v>0.1373911405739158</v>
      </c>
      <c r="AC11">
        <f t="shared" si="8"/>
        <v>0.32256320776283254</v>
      </c>
      <c r="AD11" t="str">
        <f t="shared" si="17"/>
        <v>Moderate</v>
      </c>
      <c r="AE11">
        <f t="shared" si="18"/>
        <v>1.204446059138835E-2</v>
      </c>
      <c r="AF11">
        <f t="shared" si="9"/>
        <v>6.5888496431385307E-2</v>
      </c>
      <c r="AG11" t="s">
        <v>1175</v>
      </c>
      <c r="AH11" s="2" t="s">
        <v>1105</v>
      </c>
      <c r="AI11">
        <f>MAX(O1:O557)</f>
        <v>0.98091678299999996</v>
      </c>
      <c r="AJ11">
        <f>MIN(O1:O557)</f>
        <v>0</v>
      </c>
      <c r="AK11">
        <f t="shared" si="21"/>
        <v>0.98091678299999996</v>
      </c>
    </row>
    <row r="12" spans="1:37" x14ac:dyDescent="0.3">
      <c r="A12">
        <v>100632</v>
      </c>
      <c r="B12" t="s">
        <v>178</v>
      </c>
      <c r="C12" s="1" t="s">
        <v>553</v>
      </c>
      <c r="D12" t="s">
        <v>557</v>
      </c>
      <c r="E12" s="4">
        <v>6.7</v>
      </c>
      <c r="F12" s="3">
        <f t="shared" si="22"/>
        <v>0.77777777777777779</v>
      </c>
      <c r="G12">
        <v>66.414599999999993</v>
      </c>
      <c r="H12">
        <f t="shared" si="10"/>
        <v>0.62686460662321852</v>
      </c>
      <c r="I12">
        <v>121.4</v>
      </c>
      <c r="J12" s="3">
        <f t="shared" si="0"/>
        <v>0.37538651824366109</v>
      </c>
      <c r="K12">
        <v>0</v>
      </c>
      <c r="L12" s="3">
        <f t="shared" si="1"/>
        <v>0</v>
      </c>
      <c r="M12">
        <v>26617</v>
      </c>
      <c r="N12">
        <f t="shared" si="2"/>
        <v>0.12480542031577503</v>
      </c>
      <c r="O12" s="15">
        <v>0.73323406199999996</v>
      </c>
      <c r="P12">
        <f t="shared" si="3"/>
        <v>0.74749874271444694</v>
      </c>
      <c r="Q12">
        <v>0.35970000000000002</v>
      </c>
      <c r="R12">
        <f t="shared" si="4"/>
        <v>0.79738417202394152</v>
      </c>
      <c r="S12">
        <f t="shared" si="11"/>
        <v>0.19575057131082324</v>
      </c>
      <c r="T12" s="14">
        <f t="shared" si="5"/>
        <v>0.32839981338456309</v>
      </c>
      <c r="U12" t="str">
        <f t="shared" si="12"/>
        <v>Moderate</v>
      </c>
      <c r="V12">
        <f t="shared" si="13"/>
        <v>0.20207150423995263</v>
      </c>
      <c r="W12">
        <f t="shared" si="6"/>
        <v>0.27159404717500801</v>
      </c>
      <c r="X12" t="s">
        <v>1175</v>
      </c>
      <c r="Y12">
        <f t="shared" si="14"/>
        <v>0.18942963838169388</v>
      </c>
      <c r="Z12">
        <f t="shared" si="7"/>
        <v>0.37954946771920617</v>
      </c>
      <c r="AA12" t="str">
        <f t="shared" si="15"/>
        <v>Moderate</v>
      </c>
      <c r="AB12">
        <f t="shared" si="16"/>
        <v>0.13862369711734876</v>
      </c>
      <c r="AC12">
        <f t="shared" si="8"/>
        <v>0.32545697071390806</v>
      </c>
      <c r="AD12" t="str">
        <f t="shared" si="17"/>
        <v>Moderate</v>
      </c>
      <c r="AE12">
        <f t="shared" si="18"/>
        <v>3.1627940339592021E-2</v>
      </c>
      <c r="AF12">
        <f t="shared" si="9"/>
        <v>0.17301874321273078</v>
      </c>
      <c r="AG12" t="s">
        <v>1175</v>
      </c>
      <c r="AH12" s="2" t="s">
        <v>1106</v>
      </c>
      <c r="AI12">
        <f>MAX(Q1:Q557)</f>
        <v>0.4511</v>
      </c>
      <c r="AJ12">
        <f>MIN(Q1:Q557)</f>
        <v>0</v>
      </c>
      <c r="AK12">
        <f t="shared" si="21"/>
        <v>0.4511</v>
      </c>
    </row>
    <row r="13" spans="1:37" x14ac:dyDescent="0.3">
      <c r="A13">
        <v>100636</v>
      </c>
      <c r="B13" t="s">
        <v>209</v>
      </c>
      <c r="C13" s="1" t="s">
        <v>553</v>
      </c>
      <c r="D13" t="s">
        <v>558</v>
      </c>
      <c r="E13" s="4">
        <v>6.7</v>
      </c>
      <c r="F13" s="3">
        <f t="shared" si="22"/>
        <v>0.77777777777777779</v>
      </c>
      <c r="G13">
        <v>67.944600000000008</v>
      </c>
      <c r="H13">
        <f t="shared" si="10"/>
        <v>0.6413057513132947</v>
      </c>
      <c r="I13">
        <v>112.10000000000001</v>
      </c>
      <c r="J13" s="3">
        <f t="shared" si="0"/>
        <v>0.34662956091527519</v>
      </c>
      <c r="K13">
        <v>1.5</v>
      </c>
      <c r="L13" s="3">
        <f t="shared" si="1"/>
        <v>0.75</v>
      </c>
      <c r="M13">
        <v>4786</v>
      </c>
      <c r="N13">
        <f t="shared" si="2"/>
        <v>2.1513770800509101E-2</v>
      </c>
      <c r="O13" s="15">
        <v>0.63615287099999995</v>
      </c>
      <c r="P13">
        <f t="shared" si="3"/>
        <v>0.64852888851020907</v>
      </c>
      <c r="Q13">
        <v>0.35220000000000001</v>
      </c>
      <c r="R13">
        <f t="shared" si="4"/>
        <v>0.78075814675238309</v>
      </c>
      <c r="S13">
        <f t="shared" si="11"/>
        <v>0.34786761973691099</v>
      </c>
      <c r="T13" s="14">
        <f t="shared" si="5"/>
        <v>0.58359809955669484</v>
      </c>
      <c r="U13" t="str">
        <f t="shared" si="12"/>
        <v>Moderate</v>
      </c>
      <c r="V13">
        <f t="shared" si="13"/>
        <v>0.38005029276859598</v>
      </c>
      <c r="W13">
        <f t="shared" si="6"/>
        <v>0.51080629864812788</v>
      </c>
      <c r="X13" t="str">
        <f t="shared" si="19"/>
        <v>Moderate</v>
      </c>
      <c r="Y13">
        <f t="shared" si="14"/>
        <v>0.31568494670522607</v>
      </c>
      <c r="Z13">
        <f t="shared" si="7"/>
        <v>0.63252009829372879</v>
      </c>
      <c r="AA13" t="str">
        <f t="shared" si="15"/>
        <v>Moderate</v>
      </c>
      <c r="AB13">
        <f t="shared" si="16"/>
        <v>0.23138838312058585</v>
      </c>
      <c r="AC13">
        <f t="shared" si="8"/>
        <v>0.54324739416714329</v>
      </c>
      <c r="AD13" t="str">
        <f t="shared" si="17"/>
        <v>Moderate</v>
      </c>
      <c r="AE13">
        <f t="shared" si="18"/>
        <v>1.0472276114312604E-2</v>
      </c>
      <c r="AF13">
        <f t="shared" si="9"/>
        <v>5.7287955915577608E-2</v>
      </c>
      <c r="AG13" t="s">
        <v>1176</v>
      </c>
      <c r="AH13" s="2" t="s">
        <v>1110</v>
      </c>
      <c r="AI13">
        <f>MAX(V1:V547)</f>
        <v>0.74402037283881661</v>
      </c>
      <c r="AJ13">
        <f>MIN(V1:V557)</f>
        <v>0</v>
      </c>
      <c r="AK13">
        <f t="shared" si="21"/>
        <v>0.74402037283881661</v>
      </c>
    </row>
    <row r="14" spans="1:37" x14ac:dyDescent="0.3">
      <c r="A14">
        <v>100651</v>
      </c>
      <c r="B14" t="s">
        <v>49</v>
      </c>
      <c r="C14" s="1" t="s">
        <v>553</v>
      </c>
      <c r="D14" t="s">
        <v>1120</v>
      </c>
      <c r="E14" s="4">
        <v>6.8</v>
      </c>
      <c r="F14" s="3">
        <f t="shared" si="22"/>
        <v>0.79999999999999993</v>
      </c>
      <c r="G14">
        <v>66.467880000000008</v>
      </c>
      <c r="H14">
        <f t="shared" si="10"/>
        <v>0.6273674982500731</v>
      </c>
      <c r="I14">
        <v>127.1</v>
      </c>
      <c r="J14" s="3">
        <f t="shared" si="0"/>
        <v>0.39301175015460726</v>
      </c>
      <c r="K14">
        <v>0.1</v>
      </c>
      <c r="L14" s="3">
        <f t="shared" si="1"/>
        <v>0.05</v>
      </c>
      <c r="M14">
        <v>47691</v>
      </c>
      <c r="N14">
        <f t="shared" si="2"/>
        <v>0.22451538421503361</v>
      </c>
      <c r="O14" s="15">
        <v>0.53584432400000004</v>
      </c>
      <c r="P14">
        <f t="shared" si="3"/>
        <v>0.54626889180261895</v>
      </c>
      <c r="Q14">
        <v>0.35980000000000001</v>
      </c>
      <c r="R14">
        <f t="shared" si="4"/>
        <v>0.79760585236089565</v>
      </c>
      <c r="S14">
        <f t="shared" si="11"/>
        <v>0.18790021696186177</v>
      </c>
      <c r="T14" s="14">
        <f t="shared" si="5"/>
        <v>0.31522971183166354</v>
      </c>
      <c r="U14" t="str">
        <f t="shared" si="12"/>
        <v>Moderate</v>
      </c>
      <c r="V14">
        <f t="shared" si="13"/>
        <v>0.22304208537224751</v>
      </c>
      <c r="W14">
        <f t="shared" si="6"/>
        <v>0.29977954033869847</v>
      </c>
      <c r="X14" t="s">
        <v>1175</v>
      </c>
      <c r="Y14">
        <f t="shared" si="14"/>
        <v>0.15275834855147596</v>
      </c>
      <c r="Z14">
        <f t="shared" si="7"/>
        <v>0.30607327542668572</v>
      </c>
      <c r="AA14" t="str">
        <f t="shared" si="15"/>
        <v>Moderate</v>
      </c>
      <c r="AB14">
        <f t="shared" si="16"/>
        <v>0.14586641225653238</v>
      </c>
      <c r="AC14">
        <f t="shared" si="8"/>
        <v>0.34246122163175097</v>
      </c>
      <c r="AD14" t="str">
        <f t="shared" si="17"/>
        <v>Moderate</v>
      </c>
      <c r="AE14">
        <f t="shared" si="18"/>
        <v>6.2783365173722724E-2</v>
      </c>
      <c r="AF14">
        <f t="shared" si="9"/>
        <v>0.34345261880443895</v>
      </c>
      <c r="AG14" t="str">
        <f t="shared" si="20"/>
        <v>Moderate</v>
      </c>
      <c r="AH14" s="2" t="s">
        <v>1116</v>
      </c>
      <c r="AI14">
        <f>MAX(Y1:Y547)</f>
        <v>0.49909077601930796</v>
      </c>
      <c r="AJ14">
        <f>MIN(Y1:Y557)</f>
        <v>0</v>
      </c>
      <c r="AK14">
        <f t="shared" si="21"/>
        <v>0.49909077601930796</v>
      </c>
    </row>
    <row r="15" spans="1:37" x14ac:dyDescent="0.3">
      <c r="A15">
        <v>100662</v>
      </c>
      <c r="B15" t="s">
        <v>331</v>
      </c>
      <c r="C15" s="1" t="s">
        <v>553</v>
      </c>
      <c r="D15" t="s">
        <v>559</v>
      </c>
      <c r="E15" s="4">
        <v>6.7</v>
      </c>
      <c r="F15" s="3">
        <f t="shared" si="22"/>
        <v>0.77777777777777779</v>
      </c>
      <c r="G15">
        <v>67.944600000000008</v>
      </c>
      <c r="H15">
        <f t="shared" si="10"/>
        <v>0.6413057513132947</v>
      </c>
      <c r="I15">
        <v>116.2</v>
      </c>
      <c r="J15" s="3">
        <f t="shared" si="0"/>
        <v>0.3593073593073593</v>
      </c>
      <c r="K15">
        <v>1.5</v>
      </c>
      <c r="L15" s="3">
        <f t="shared" si="1"/>
        <v>0.75</v>
      </c>
      <c r="M15">
        <v>15037</v>
      </c>
      <c r="N15">
        <f t="shared" si="2"/>
        <v>7.0015566374737992E-2</v>
      </c>
      <c r="O15" s="15">
        <v>0.57228671499999995</v>
      </c>
      <c r="P15">
        <f t="shared" si="3"/>
        <v>0.58342025023747601</v>
      </c>
      <c r="Q15">
        <v>0.3659</v>
      </c>
      <c r="R15">
        <f t="shared" si="4"/>
        <v>0.81112835291509644</v>
      </c>
      <c r="S15">
        <f t="shared" si="11"/>
        <v>0.34078788801001064</v>
      </c>
      <c r="T15" s="14">
        <f t="shared" si="5"/>
        <v>0.57172082858702233</v>
      </c>
      <c r="U15" t="str">
        <f t="shared" si="12"/>
        <v>Moderate</v>
      </c>
      <c r="V15">
        <f t="shared" si="13"/>
        <v>0.39643325111807798</v>
      </c>
      <c r="W15">
        <f t="shared" si="6"/>
        <v>0.5328258009998883</v>
      </c>
      <c r="X15" t="str">
        <f t="shared" si="19"/>
        <v>Moderate</v>
      </c>
      <c r="Y15">
        <f t="shared" si="14"/>
        <v>0.28514252490194342</v>
      </c>
      <c r="Z15">
        <f t="shared" si="7"/>
        <v>0.57132397271736457</v>
      </c>
      <c r="AA15" t="str">
        <f t="shared" si="15"/>
        <v>Moderate</v>
      </c>
      <c r="AB15">
        <f t="shared" si="16"/>
        <v>0.23627126003131818</v>
      </c>
      <c r="AC15">
        <f t="shared" si="8"/>
        <v>0.55471128065107211</v>
      </c>
      <c r="AD15" t="str">
        <f t="shared" si="17"/>
        <v>Moderate</v>
      </c>
      <c r="AE15">
        <f t="shared" si="18"/>
        <v>3.4219613341165411E-2</v>
      </c>
      <c r="AF15">
        <f t="shared" si="9"/>
        <v>0.18719633431528115</v>
      </c>
      <c r="AG15" t="s">
        <v>1175</v>
      </c>
      <c r="AH15" s="2" t="s">
        <v>1157</v>
      </c>
      <c r="AI15">
        <f>MAX(AB1:AB547)</f>
        <v>0.4259355601241846</v>
      </c>
      <c r="AJ15">
        <f>MIN(AB1:AB557)</f>
        <v>0</v>
      </c>
      <c r="AK15">
        <f t="shared" si="21"/>
        <v>0.4259355601241846</v>
      </c>
    </row>
    <row r="16" spans="1:37" x14ac:dyDescent="0.3">
      <c r="A16">
        <v>100669</v>
      </c>
      <c r="B16" t="s">
        <v>352</v>
      </c>
      <c r="C16" s="1" t="s">
        <v>553</v>
      </c>
      <c r="D16" t="s">
        <v>560</v>
      </c>
      <c r="E16" s="4">
        <v>6.7</v>
      </c>
      <c r="F16" s="3">
        <f t="shared" si="22"/>
        <v>0.77777777777777779</v>
      </c>
      <c r="G16">
        <v>65.17728000000001</v>
      </c>
      <c r="H16">
        <f t="shared" si="10"/>
        <v>0.61518596796444425</v>
      </c>
      <c r="I16">
        <v>133.19999999999999</v>
      </c>
      <c r="J16" s="3">
        <f t="shared" si="0"/>
        <v>0.41187384044526892</v>
      </c>
      <c r="K16">
        <v>1.5</v>
      </c>
      <c r="L16" s="3">
        <f t="shared" si="1"/>
        <v>0.75</v>
      </c>
      <c r="M16">
        <v>4807</v>
      </c>
      <c r="N16">
        <f t="shared" si="2"/>
        <v>2.1613130639262276E-2</v>
      </c>
      <c r="O16" s="15">
        <v>0.57659190199999999</v>
      </c>
      <c r="P16">
        <f t="shared" si="3"/>
        <v>0.58780919237264184</v>
      </c>
      <c r="Q16">
        <v>0.36940000000000001</v>
      </c>
      <c r="R16">
        <f t="shared" si="4"/>
        <v>0.81888716470849032</v>
      </c>
      <c r="S16">
        <f t="shared" si="11"/>
        <v>0.34379222007504118</v>
      </c>
      <c r="T16" s="14">
        <f t="shared" si="5"/>
        <v>0.57676102889343517</v>
      </c>
      <c r="U16" t="str">
        <f t="shared" si="12"/>
        <v>Moderate</v>
      </c>
      <c r="V16">
        <f t="shared" si="13"/>
        <v>0.40026695872057416</v>
      </c>
      <c r="W16">
        <f t="shared" si="6"/>
        <v>0.53797849270356923</v>
      </c>
      <c r="X16" t="str">
        <f t="shared" si="19"/>
        <v>Moderate</v>
      </c>
      <c r="Y16">
        <f t="shared" si="14"/>
        <v>0.28731748142950819</v>
      </c>
      <c r="Z16">
        <f t="shared" si="7"/>
        <v>0.57568181027331378</v>
      </c>
      <c r="AA16" t="str">
        <f t="shared" si="15"/>
        <v>Moderate</v>
      </c>
      <c r="AB16">
        <f t="shared" si="16"/>
        <v>0.22998620737528319</v>
      </c>
      <c r="AC16">
        <f t="shared" si="8"/>
        <v>0.53995540383674245</v>
      </c>
      <c r="AD16" t="str">
        <f t="shared" si="17"/>
        <v>Moderate</v>
      </c>
      <c r="AE16">
        <f t="shared" si="18"/>
        <v>1.0564363983513632E-2</v>
      </c>
      <c r="AF16">
        <f t="shared" si="9"/>
        <v>5.7791717059149622E-2</v>
      </c>
      <c r="AG16" t="s">
        <v>1176</v>
      </c>
      <c r="AH16" s="2" t="s">
        <v>1158</v>
      </c>
      <c r="AI16">
        <f>MAX(AE1:AE547)</f>
        <v>0.18280065935229164</v>
      </c>
      <c r="AJ16">
        <f>MIN(AE1:AE557)</f>
        <v>0</v>
      </c>
      <c r="AK16">
        <f t="shared" si="21"/>
        <v>0.18280065935229164</v>
      </c>
    </row>
    <row r="17" spans="1:34" x14ac:dyDescent="0.3">
      <c r="A17">
        <v>100694</v>
      </c>
      <c r="B17" t="s">
        <v>533</v>
      </c>
      <c r="C17" s="1" t="s">
        <v>553</v>
      </c>
      <c r="D17" t="s">
        <v>561</v>
      </c>
      <c r="E17" s="4">
        <v>6.7</v>
      </c>
      <c r="F17" s="3">
        <f t="shared" si="22"/>
        <v>0.77777777777777779</v>
      </c>
      <c r="G17">
        <v>67.859279999999998</v>
      </c>
      <c r="H17">
        <f t="shared" si="10"/>
        <v>0.64050044512704807</v>
      </c>
      <c r="I17">
        <v>196.39999999999998</v>
      </c>
      <c r="J17" s="3">
        <f t="shared" si="0"/>
        <v>0.6072974644403214</v>
      </c>
      <c r="K17">
        <v>0</v>
      </c>
      <c r="L17" s="3">
        <f t="shared" si="1"/>
        <v>0</v>
      </c>
      <c r="M17">
        <v>26434</v>
      </c>
      <c r="N17">
        <f t="shared" si="2"/>
        <v>0.1239395702923545</v>
      </c>
      <c r="O17" s="15">
        <v>0.54130868899999995</v>
      </c>
      <c r="P17">
        <f t="shared" si="3"/>
        <v>0.55183956313244154</v>
      </c>
      <c r="Q17">
        <v>0.31590000000000001</v>
      </c>
      <c r="R17">
        <f t="shared" si="4"/>
        <v>0.70028818443804042</v>
      </c>
      <c r="S17">
        <f t="shared" si="11"/>
        <v>0.18389705954702196</v>
      </c>
      <c r="T17" s="14">
        <f t="shared" si="5"/>
        <v>0.308513837956154</v>
      </c>
      <c r="U17" t="str">
        <f t="shared" si="12"/>
        <v>Moderate</v>
      </c>
      <c r="V17">
        <f t="shared" si="13"/>
        <v>0.20569935967564554</v>
      </c>
      <c r="W17">
        <f t="shared" si="6"/>
        <v>0.27647006343495373</v>
      </c>
      <c r="X17" t="s">
        <v>1175</v>
      </c>
      <c r="Y17">
        <f t="shared" si="14"/>
        <v>0.16209475941839843</v>
      </c>
      <c r="Z17">
        <f t="shared" si="7"/>
        <v>0.3247801145740421</v>
      </c>
      <c r="AA17" t="str">
        <f t="shared" si="15"/>
        <v>Moderate</v>
      </c>
      <c r="AB17">
        <f t="shared" si="16"/>
        <v>0.13336510309706734</v>
      </c>
      <c r="AC17">
        <f t="shared" si="8"/>
        <v>0.3131109857514216</v>
      </c>
      <c r="AD17" t="str">
        <f t="shared" si="17"/>
        <v>Moderate</v>
      </c>
      <c r="AE17">
        <f t="shared" si="18"/>
        <v>3.6405426814491174E-2</v>
      </c>
      <c r="AF17">
        <f t="shared" si="9"/>
        <v>0.19915369530659618</v>
      </c>
      <c r="AG17" t="s">
        <v>1175</v>
      </c>
    </row>
    <row r="18" spans="1:34" x14ac:dyDescent="0.3">
      <c r="A18">
        <v>100918</v>
      </c>
      <c r="B18" t="s">
        <v>71</v>
      </c>
      <c r="C18" s="1" t="s">
        <v>563</v>
      </c>
      <c r="D18" t="s">
        <v>562</v>
      </c>
      <c r="E18" s="4">
        <v>7.2</v>
      </c>
      <c r="F18" s="3">
        <f t="shared" si="22"/>
        <v>0.88888888888888884</v>
      </c>
      <c r="G18">
        <v>67.944600000000008</v>
      </c>
      <c r="H18">
        <f t="shared" si="10"/>
        <v>0.6413057513132947</v>
      </c>
      <c r="I18">
        <v>103.19999999999999</v>
      </c>
      <c r="J18" s="3">
        <f t="shared" si="0"/>
        <v>0.31910946196660478</v>
      </c>
      <c r="K18">
        <v>1.5</v>
      </c>
      <c r="L18" s="3">
        <f t="shared" si="1"/>
        <v>0.75</v>
      </c>
      <c r="M18">
        <v>36805</v>
      </c>
      <c r="N18">
        <f t="shared" si="2"/>
        <v>0.1730091363737444</v>
      </c>
      <c r="O18" s="15">
        <v>0.76612328399999996</v>
      </c>
      <c r="P18">
        <f t="shared" si="3"/>
        <v>0.78102780712642772</v>
      </c>
      <c r="Q18">
        <v>0.40150000000000002</v>
      </c>
      <c r="R18">
        <f t="shared" si="4"/>
        <v>0.8900465528707604</v>
      </c>
      <c r="S18">
        <f t="shared" si="11"/>
        <v>0.46072945562643841</v>
      </c>
      <c r="T18" s="14">
        <f t="shared" si="5"/>
        <v>0.77294010553995252</v>
      </c>
      <c r="U18" t="str">
        <f t="shared" si="12"/>
        <v>High</v>
      </c>
      <c r="V18">
        <f t="shared" si="13"/>
        <v>0.49078685377833642</v>
      </c>
      <c r="W18">
        <f t="shared" si="6"/>
        <v>0.65964168683410462</v>
      </c>
      <c r="X18" t="str">
        <f t="shared" si="19"/>
        <v>Moderate</v>
      </c>
      <c r="Y18">
        <f t="shared" si="14"/>
        <v>0.43067205747454052</v>
      </c>
      <c r="Z18">
        <f t="shared" si="7"/>
        <v>0.86291327784002048</v>
      </c>
      <c r="AA18" t="str">
        <f t="shared" si="15"/>
        <v>High</v>
      </c>
      <c r="AB18">
        <f t="shared" si="16"/>
        <v>0.33436708235363538</v>
      </c>
      <c r="AC18">
        <f t="shared" si="8"/>
        <v>0.78501800191594295</v>
      </c>
      <c r="AD18" t="str">
        <f t="shared" si="17"/>
        <v>High</v>
      </c>
      <c r="AE18">
        <f t="shared" si="18"/>
        <v>9.5400189396729937E-2</v>
      </c>
      <c r="AF18">
        <f t="shared" si="9"/>
        <v>0.52188099175766989</v>
      </c>
      <c r="AG18" t="str">
        <f t="shared" si="20"/>
        <v>Moderate</v>
      </c>
      <c r="AH18" s="2"/>
    </row>
    <row r="19" spans="1:34" x14ac:dyDescent="0.3">
      <c r="A19">
        <v>100921</v>
      </c>
      <c r="B19" t="s">
        <v>90</v>
      </c>
      <c r="C19" s="1" t="s">
        <v>563</v>
      </c>
      <c r="D19" t="s">
        <v>564</v>
      </c>
      <c r="E19" s="4">
        <v>7.2</v>
      </c>
      <c r="F19" s="3">
        <f t="shared" si="22"/>
        <v>0.88888888888888884</v>
      </c>
      <c r="G19">
        <v>73.632960000000011</v>
      </c>
      <c r="H19">
        <f t="shared" si="10"/>
        <v>0.69499622831279861</v>
      </c>
      <c r="I19">
        <v>104.10000000000001</v>
      </c>
      <c r="J19" s="3">
        <f t="shared" si="0"/>
        <v>0.32189239332096475</v>
      </c>
      <c r="K19">
        <v>1.5</v>
      </c>
      <c r="L19" s="3">
        <f t="shared" si="1"/>
        <v>0.75</v>
      </c>
      <c r="M19">
        <v>23768</v>
      </c>
      <c r="N19">
        <f t="shared" si="2"/>
        <v>0.11132560219159415</v>
      </c>
      <c r="O19" s="15">
        <v>0.46563471299999998</v>
      </c>
      <c r="P19">
        <f t="shared" si="3"/>
        <v>0.47469338996924881</v>
      </c>
      <c r="Q19">
        <v>0.41270000000000001</v>
      </c>
      <c r="R19">
        <f t="shared" si="4"/>
        <v>0.91487475060962098</v>
      </c>
      <c r="S19">
        <f t="shared" si="11"/>
        <v>0.39672292077277216</v>
      </c>
      <c r="T19" s="14">
        <f t="shared" si="5"/>
        <v>0.66555991267216119</v>
      </c>
      <c r="U19" t="str">
        <f t="shared" si="12"/>
        <v>Moderate</v>
      </c>
      <c r="V19">
        <f t="shared" si="13"/>
        <v>0.52239508463674333</v>
      </c>
      <c r="W19">
        <f t="shared" si="6"/>
        <v>0.70212470478938638</v>
      </c>
      <c r="X19" t="str">
        <f t="shared" si="19"/>
        <v>High</v>
      </c>
      <c r="Y19">
        <f t="shared" si="14"/>
        <v>0.27105075690880098</v>
      </c>
      <c r="Z19">
        <f t="shared" si="7"/>
        <v>0.54308909307174824</v>
      </c>
      <c r="AA19" t="str">
        <f t="shared" si="15"/>
        <v>Moderate</v>
      </c>
      <c r="AB19">
        <f t="shared" si="16"/>
        <v>0.28640199652334503</v>
      </c>
      <c r="AC19">
        <f t="shared" si="8"/>
        <v>0.67240686933920812</v>
      </c>
      <c r="AD19" t="str">
        <f t="shared" si="17"/>
        <v>Moderate</v>
      </c>
      <c r="AE19">
        <f t="shared" si="18"/>
        <v>6.3567113793841612E-2</v>
      </c>
      <c r="AF19">
        <f t="shared" si="9"/>
        <v>0.34774006843889821</v>
      </c>
      <c r="AG19" t="str">
        <f t="shared" si="20"/>
        <v>Moderate</v>
      </c>
    </row>
    <row r="20" spans="1:34" x14ac:dyDescent="0.3">
      <c r="A20">
        <v>100925</v>
      </c>
      <c r="B20" t="s">
        <v>100</v>
      </c>
      <c r="C20" s="1" t="s">
        <v>563</v>
      </c>
      <c r="D20" t="s">
        <v>565</v>
      </c>
      <c r="E20" s="4">
        <v>7.2</v>
      </c>
      <c r="F20" s="3">
        <f t="shared" si="22"/>
        <v>0.88888888888888884</v>
      </c>
      <c r="G20">
        <v>105.94728000000001</v>
      </c>
      <c r="H20">
        <f t="shared" si="10"/>
        <v>1</v>
      </c>
      <c r="I20">
        <v>247.79999999999995</v>
      </c>
      <c r="J20" s="3">
        <f t="shared" si="0"/>
        <v>0.76623376623376604</v>
      </c>
      <c r="K20">
        <v>2</v>
      </c>
      <c r="L20" s="3">
        <f t="shared" si="1"/>
        <v>1</v>
      </c>
      <c r="M20">
        <v>19441</v>
      </c>
      <c r="N20">
        <f t="shared" si="2"/>
        <v>9.0852743987546905E-2</v>
      </c>
      <c r="O20" s="15">
        <v>0.51877729400000006</v>
      </c>
      <c r="P20">
        <f t="shared" si="3"/>
        <v>0.5288698317643119</v>
      </c>
      <c r="Q20">
        <v>0.39610000000000001</v>
      </c>
      <c r="R20">
        <f t="shared" si="4"/>
        <v>0.87807581467523832</v>
      </c>
      <c r="S20">
        <f t="shared" si="11"/>
        <v>0.59607394198362473</v>
      </c>
      <c r="T20" s="14">
        <f t="shared" si="5"/>
        <v>1</v>
      </c>
      <c r="U20" t="str">
        <f t="shared" si="12"/>
        <v>High</v>
      </c>
      <c r="V20">
        <f t="shared" si="13"/>
        <v>0.74402037283881661</v>
      </c>
      <c r="W20">
        <f t="shared" si="6"/>
        <v>1</v>
      </c>
      <c r="X20" t="str">
        <f t="shared" si="19"/>
        <v>High</v>
      </c>
      <c r="Y20">
        <f t="shared" si="14"/>
        <v>0.4481275111284328</v>
      </c>
      <c r="Z20">
        <f t="shared" si="7"/>
        <v>0.89788778446808326</v>
      </c>
      <c r="AA20" t="str">
        <f t="shared" si="15"/>
        <v>High</v>
      </c>
      <c r="AB20">
        <f t="shared" si="16"/>
        <v>0.42178918750357408</v>
      </c>
      <c r="AC20">
        <f t="shared" si="8"/>
        <v>0.99026525838931689</v>
      </c>
      <c r="AD20" t="str">
        <f t="shared" si="17"/>
        <v>High</v>
      </c>
      <c r="AE20">
        <f t="shared" si="18"/>
        <v>7.6982296204166717E-2</v>
      </c>
      <c r="AF20">
        <f t="shared" si="9"/>
        <v>0.42112701604542457</v>
      </c>
      <c r="AG20" t="str">
        <f t="shared" si="20"/>
        <v>Moderate</v>
      </c>
    </row>
    <row r="21" spans="1:34" x14ac:dyDescent="0.3">
      <c r="A21">
        <v>100929</v>
      </c>
      <c r="B21" t="s">
        <v>131</v>
      </c>
      <c r="C21" s="1" t="s">
        <v>563</v>
      </c>
      <c r="D21" t="s">
        <v>1121</v>
      </c>
      <c r="E21" s="4">
        <v>7.2</v>
      </c>
      <c r="F21" s="3">
        <f t="shared" si="22"/>
        <v>0.88888888888888884</v>
      </c>
      <c r="G21">
        <v>65.807640000000006</v>
      </c>
      <c r="H21">
        <f t="shared" si="10"/>
        <v>0.62113571957675551</v>
      </c>
      <c r="I21">
        <v>103.19999999999999</v>
      </c>
      <c r="J21" s="3">
        <f t="shared" si="0"/>
        <v>0.31910946196660478</v>
      </c>
      <c r="K21">
        <v>1.5</v>
      </c>
      <c r="L21" s="3">
        <f t="shared" si="1"/>
        <v>0.75</v>
      </c>
      <c r="M21">
        <v>11391</v>
      </c>
      <c r="N21">
        <f t="shared" si="2"/>
        <v>5.2764805798829445E-2</v>
      </c>
      <c r="O21" s="15">
        <v>0.58528307899999998</v>
      </c>
      <c r="P21">
        <f t="shared" si="3"/>
        <v>0.59666945162258478</v>
      </c>
      <c r="Q21">
        <v>0.41320000000000001</v>
      </c>
      <c r="R21">
        <f t="shared" si="4"/>
        <v>0.91598315229439153</v>
      </c>
      <c r="S21">
        <f t="shared" si="11"/>
        <v>0.4116271814809816</v>
      </c>
      <c r="T21" s="14">
        <f t="shared" si="5"/>
        <v>0.69056395941611182</v>
      </c>
      <c r="U21" t="str">
        <f t="shared" si="12"/>
        <v>Moderate</v>
      </c>
      <c r="V21">
        <f t="shared" si="13"/>
        <v>0.49851970278788427</v>
      </c>
      <c r="W21">
        <f t="shared" si="6"/>
        <v>0.67003501649528452</v>
      </c>
      <c r="X21" t="str">
        <f t="shared" si="19"/>
        <v>Moderate</v>
      </c>
      <c r="Y21">
        <f t="shared" si="14"/>
        <v>0.32473466017407904</v>
      </c>
      <c r="Z21">
        <f t="shared" si="7"/>
        <v>0.65065249805681891</v>
      </c>
      <c r="AA21" t="str">
        <f t="shared" si="15"/>
        <v>Moderate</v>
      </c>
      <c r="AB21">
        <f t="shared" si="16"/>
        <v>0.28195324674857813</v>
      </c>
      <c r="AC21">
        <f t="shared" si="8"/>
        <v>0.66196221481571682</v>
      </c>
      <c r="AD21" t="str">
        <f t="shared" si="17"/>
        <v>Moderate</v>
      </c>
      <c r="AE21">
        <f t="shared" si="18"/>
        <v>2.8717007773128609E-2</v>
      </c>
      <c r="AF21">
        <f t="shared" si="9"/>
        <v>0.15709466188404425</v>
      </c>
      <c r="AG21" t="s">
        <v>1175</v>
      </c>
    </row>
    <row r="22" spans="1:34" x14ac:dyDescent="0.3">
      <c r="A22">
        <v>100954</v>
      </c>
      <c r="B22" t="s">
        <v>298</v>
      </c>
      <c r="C22" s="1" t="s">
        <v>563</v>
      </c>
      <c r="D22" t="s">
        <v>566</v>
      </c>
      <c r="E22" s="4">
        <v>7.2</v>
      </c>
      <c r="F22" s="3">
        <f t="shared" si="22"/>
        <v>0.88888888888888884</v>
      </c>
      <c r="G22">
        <v>76.935239999999993</v>
      </c>
      <c r="H22">
        <f t="shared" si="10"/>
        <v>0.72616531542857909</v>
      </c>
      <c r="I22">
        <v>95.499999999999986</v>
      </c>
      <c r="J22" s="3">
        <f t="shared" si="0"/>
        <v>0.29529993815708094</v>
      </c>
      <c r="K22">
        <v>2</v>
      </c>
      <c r="L22" s="3">
        <f t="shared" si="1"/>
        <v>1</v>
      </c>
      <c r="M22">
        <v>17773</v>
      </c>
      <c r="N22">
        <f t="shared" si="2"/>
        <v>8.2960733938008929E-2</v>
      </c>
      <c r="O22" s="15">
        <v>0.51780243199999998</v>
      </c>
      <c r="P22">
        <f t="shared" si="3"/>
        <v>0.52787600433991144</v>
      </c>
      <c r="Q22">
        <v>0.41610000000000003</v>
      </c>
      <c r="R22">
        <f t="shared" si="4"/>
        <v>0.92241188206606084</v>
      </c>
      <c r="S22">
        <f t="shared" si="11"/>
        <v>0.48312384150809529</v>
      </c>
      <c r="T22" s="14">
        <f t="shared" si="5"/>
        <v>0.81050991744471801</v>
      </c>
      <c r="U22" t="str">
        <f t="shared" si="12"/>
        <v>High</v>
      </c>
      <c r="V22">
        <f t="shared" si="13"/>
        <v>0.61455270514715132</v>
      </c>
      <c r="W22">
        <f t="shared" si="6"/>
        <v>0.82598908253321046</v>
      </c>
      <c r="X22" t="str">
        <f t="shared" si="19"/>
        <v>High</v>
      </c>
      <c r="Y22">
        <f t="shared" si="14"/>
        <v>0.35169497786903914</v>
      </c>
      <c r="Z22">
        <f t="shared" si="7"/>
        <v>0.70467136394328667</v>
      </c>
      <c r="AA22" t="str">
        <f t="shared" si="15"/>
        <v>High</v>
      </c>
      <c r="AB22">
        <f t="shared" si="16"/>
        <v>0.33994721374210424</v>
      </c>
      <c r="AC22">
        <f t="shared" si="8"/>
        <v>0.79811888362406314</v>
      </c>
      <c r="AD22" t="str">
        <f t="shared" si="17"/>
        <v>High</v>
      </c>
      <c r="AE22">
        <f t="shared" si="18"/>
        <v>5.5272210228255875E-2</v>
      </c>
      <c r="AF22">
        <f t="shared" si="9"/>
        <v>0.30236329794487127</v>
      </c>
      <c r="AG22" t="str">
        <f t="shared" si="20"/>
        <v>Moderate</v>
      </c>
    </row>
    <row r="23" spans="1:34" x14ac:dyDescent="0.3">
      <c r="A23">
        <v>100965</v>
      </c>
      <c r="B23" t="s">
        <v>323</v>
      </c>
      <c r="C23" s="1" t="s">
        <v>563</v>
      </c>
      <c r="D23" t="s">
        <v>567</v>
      </c>
      <c r="E23" s="4">
        <v>5.3</v>
      </c>
      <c r="F23" s="3">
        <f t="shared" si="22"/>
        <v>0.46666666666666656</v>
      </c>
      <c r="G23">
        <v>91.273319999999998</v>
      </c>
      <c r="H23">
        <f t="shared" si="10"/>
        <v>0.86149752971477878</v>
      </c>
      <c r="I23">
        <v>95.699999999999989</v>
      </c>
      <c r="J23" s="3">
        <f t="shared" si="0"/>
        <v>0.29591836734693872</v>
      </c>
      <c r="K23">
        <v>2</v>
      </c>
      <c r="L23" s="3">
        <f t="shared" si="1"/>
        <v>1</v>
      </c>
      <c r="M23">
        <v>12816</v>
      </c>
      <c r="N23">
        <f t="shared" si="2"/>
        <v>5.9507080571366389E-2</v>
      </c>
      <c r="O23" s="15">
        <v>0.61451816699999995</v>
      </c>
      <c r="P23">
        <f t="shared" si="3"/>
        <v>0.62647329279103581</v>
      </c>
      <c r="Q23">
        <v>0.37280000000000002</v>
      </c>
      <c r="R23">
        <f t="shared" si="4"/>
        <v>0.82642429616493018</v>
      </c>
      <c r="S23">
        <f t="shared" si="11"/>
        <v>0.27248991597269534</v>
      </c>
      <c r="T23" s="14">
        <f t="shared" si="5"/>
        <v>0.45714113095750986</v>
      </c>
      <c r="U23" t="str">
        <f t="shared" si="12"/>
        <v>Moderate</v>
      </c>
      <c r="V23">
        <f t="shared" si="13"/>
        <v>0.30999058534001162</v>
      </c>
      <c r="W23">
        <f t="shared" si="6"/>
        <v>0.41664260369274525</v>
      </c>
      <c r="X23" t="str">
        <f t="shared" si="19"/>
        <v>Moderate</v>
      </c>
      <c r="Y23">
        <f t="shared" si="14"/>
        <v>0.23498924660537912</v>
      </c>
      <c r="Z23">
        <f t="shared" si="7"/>
        <v>0.47083468157762198</v>
      </c>
      <c r="AA23" t="str">
        <f t="shared" si="15"/>
        <v>Moderate</v>
      </c>
      <c r="AB23">
        <f t="shared" si="16"/>
        <v>0.18680583648377125</v>
      </c>
      <c r="AC23">
        <f t="shared" si="8"/>
        <v>0.43857769571835387</v>
      </c>
      <c r="AD23" t="str">
        <f t="shared" si="17"/>
        <v>Moderate</v>
      </c>
      <c r="AE23">
        <f t="shared" si="18"/>
        <v>2.2321021809009942E-2</v>
      </c>
      <c r="AF23">
        <f t="shared" si="9"/>
        <v>0.12210580578920718</v>
      </c>
      <c r="AG23" t="s">
        <v>1175</v>
      </c>
    </row>
    <row r="24" spans="1:34" x14ac:dyDescent="0.3">
      <c r="A24">
        <v>100991</v>
      </c>
      <c r="B24" t="s">
        <v>515</v>
      </c>
      <c r="C24" s="1" t="s">
        <v>563</v>
      </c>
      <c r="D24" t="s">
        <v>568</v>
      </c>
      <c r="E24" s="4">
        <v>5.3</v>
      </c>
      <c r="F24" s="3">
        <f t="shared" si="22"/>
        <v>0.46666666666666656</v>
      </c>
      <c r="G24">
        <v>76.935239999999993</v>
      </c>
      <c r="H24">
        <f t="shared" si="10"/>
        <v>0.72616531542857909</v>
      </c>
      <c r="I24">
        <v>92.899999999999977</v>
      </c>
      <c r="J24" s="3">
        <f t="shared" si="0"/>
        <v>0.28726035868893002</v>
      </c>
      <c r="K24">
        <v>1.5</v>
      </c>
      <c r="L24" s="3">
        <f t="shared" si="1"/>
        <v>0.75</v>
      </c>
      <c r="M24">
        <v>7108</v>
      </c>
      <c r="N24">
        <f t="shared" si="2"/>
        <v>3.2500130114074557E-2</v>
      </c>
      <c r="O24" s="15">
        <v>0.49327965299999998</v>
      </c>
      <c r="P24">
        <f t="shared" si="3"/>
        <v>0.50287614764972377</v>
      </c>
      <c r="Q24">
        <v>0.37109999999999999</v>
      </c>
      <c r="R24">
        <f t="shared" si="4"/>
        <v>0.82265573043671025</v>
      </c>
      <c r="S24">
        <f t="shared" si="11"/>
        <v>0.20039511933489604</v>
      </c>
      <c r="T24" s="14">
        <f t="shared" si="5"/>
        <v>0.33619171250468999</v>
      </c>
      <c r="U24" t="str">
        <f t="shared" si="12"/>
        <v>Moderate</v>
      </c>
      <c r="V24">
        <f t="shared" si="13"/>
        <v>0.24873968856998072</v>
      </c>
      <c r="W24">
        <f t="shared" si="6"/>
        <v>0.3343183838110671</v>
      </c>
      <c r="X24" t="str">
        <f t="shared" si="19"/>
        <v>Moderate</v>
      </c>
      <c r="Y24">
        <f t="shared" si="14"/>
        <v>0.15205055009981136</v>
      </c>
      <c r="Z24">
        <f t="shared" si="7"/>
        <v>0.3046550996444965</v>
      </c>
      <c r="AA24" t="str">
        <f t="shared" si="15"/>
        <v>Moderate</v>
      </c>
      <c r="AB24">
        <f t="shared" si="16"/>
        <v>0.13611343556620661</v>
      </c>
      <c r="AC24">
        <f t="shared" si="8"/>
        <v>0.31956344646716456</v>
      </c>
      <c r="AD24" t="str">
        <f t="shared" si="17"/>
        <v>Moderate</v>
      </c>
      <c r="AE24">
        <f t="shared" si="18"/>
        <v>9.8267986764855961E-3</v>
      </c>
      <c r="AF24">
        <f t="shared" si="9"/>
        <v>5.3756910458115391E-2</v>
      </c>
      <c r="AG24" t="s">
        <v>1176</v>
      </c>
    </row>
    <row r="25" spans="1:34" x14ac:dyDescent="0.3">
      <c r="A25">
        <v>104240</v>
      </c>
      <c r="B25" t="s">
        <v>222</v>
      </c>
      <c r="C25" s="1" t="s">
        <v>570</v>
      </c>
      <c r="D25" t="s">
        <v>569</v>
      </c>
      <c r="E25" s="4">
        <v>5.9</v>
      </c>
      <c r="F25" s="3">
        <f t="shared" si="22"/>
        <v>0.60000000000000009</v>
      </c>
      <c r="G25">
        <v>66.168719999999993</v>
      </c>
      <c r="H25">
        <f t="shared" si="10"/>
        <v>0.62454382972361333</v>
      </c>
      <c r="I25">
        <v>245.9</v>
      </c>
      <c r="J25" s="3">
        <f t="shared" si="0"/>
        <v>0.76035868893011749</v>
      </c>
      <c r="K25">
        <v>0</v>
      </c>
      <c r="L25" s="3">
        <f t="shared" si="1"/>
        <v>0</v>
      </c>
      <c r="M25">
        <v>18852</v>
      </c>
      <c r="N25">
        <f t="shared" si="2"/>
        <v>8.806593708156496E-2</v>
      </c>
      <c r="O25" s="15">
        <v>0.44800389299999999</v>
      </c>
      <c r="P25">
        <f t="shared" si="3"/>
        <v>0.45671957169479893</v>
      </c>
      <c r="Q25">
        <v>0.3992</v>
      </c>
      <c r="R25">
        <f t="shared" si="4"/>
        <v>0.88494790512081578</v>
      </c>
      <c r="S25">
        <f t="shared" si="11"/>
        <v>0.16176052872142693</v>
      </c>
      <c r="T25" s="14">
        <f t="shared" si="5"/>
        <v>0.27137661509429112</v>
      </c>
      <c r="U25" t="str">
        <f t="shared" si="12"/>
        <v>Low</v>
      </c>
      <c r="V25">
        <f t="shared" si="13"/>
        <v>0.21339064037390448</v>
      </c>
      <c r="W25">
        <f t="shared" si="6"/>
        <v>0.28680752323986847</v>
      </c>
      <c r="X25" t="s">
        <v>1175</v>
      </c>
      <c r="Y25">
        <f t="shared" si="14"/>
        <v>0.11013041706894941</v>
      </c>
      <c r="Z25">
        <f t="shared" si="7"/>
        <v>0.22066209667775721</v>
      </c>
      <c r="AA25" t="str">
        <f t="shared" si="15"/>
        <v>Low</v>
      </c>
      <c r="AB25">
        <f t="shared" si="16"/>
        <v>0.11515832783032053</v>
      </c>
      <c r="AC25">
        <f t="shared" si="8"/>
        <v>0.27036561069647552</v>
      </c>
      <c r="AD25" t="str">
        <f t="shared" si="17"/>
        <v>Low</v>
      </c>
      <c r="AE25">
        <f t="shared" si="18"/>
        <v>2.1235653082197565E-2</v>
      </c>
      <c r="AF25">
        <f t="shared" si="9"/>
        <v>0.11616836152255021</v>
      </c>
      <c r="AG25" t="s">
        <v>1175</v>
      </c>
    </row>
    <row r="26" spans="1:34" x14ac:dyDescent="0.3">
      <c r="A26">
        <v>104243</v>
      </c>
      <c r="B26" t="s">
        <v>256</v>
      </c>
      <c r="C26" s="1" t="s">
        <v>570</v>
      </c>
      <c r="D26" t="s">
        <v>571</v>
      </c>
      <c r="E26" s="4">
        <v>5.8</v>
      </c>
      <c r="F26" s="3">
        <f t="shared" si="22"/>
        <v>0.57777777777777772</v>
      </c>
      <c r="G26">
        <v>63.07884</v>
      </c>
      <c r="H26">
        <f t="shared" si="10"/>
        <v>0.5953795132824552</v>
      </c>
      <c r="I26">
        <v>244.20000000000002</v>
      </c>
      <c r="J26" s="3">
        <f t="shared" si="0"/>
        <v>0.75510204081632648</v>
      </c>
      <c r="K26">
        <v>0</v>
      </c>
      <c r="L26" s="3">
        <f t="shared" si="1"/>
        <v>0</v>
      </c>
      <c r="M26">
        <v>10294</v>
      </c>
      <c r="N26">
        <f t="shared" si="2"/>
        <v>4.7574437079199255E-2</v>
      </c>
      <c r="O26" s="15">
        <v>0.75962363300000002</v>
      </c>
      <c r="P26">
        <f t="shared" si="3"/>
        <v>0.77440170885525572</v>
      </c>
      <c r="Q26">
        <v>0.39610000000000001</v>
      </c>
      <c r="R26">
        <f t="shared" si="4"/>
        <v>0.87807581467523832</v>
      </c>
      <c r="S26">
        <f t="shared" si="11"/>
        <v>0.18578396360394289</v>
      </c>
      <c r="T26" s="14">
        <f t="shared" si="5"/>
        <v>0.31167939162998459</v>
      </c>
      <c r="U26" t="str">
        <f t="shared" si="12"/>
        <v>Moderate</v>
      </c>
      <c r="V26">
        <f t="shared" si="13"/>
        <v>0.19743978707389251</v>
      </c>
      <c r="W26">
        <f t="shared" si="6"/>
        <v>0.2653687913417736</v>
      </c>
      <c r="X26" t="s">
        <v>1175</v>
      </c>
      <c r="Y26">
        <f t="shared" si="14"/>
        <v>0.17412814013399328</v>
      </c>
      <c r="Z26">
        <f t="shared" si="7"/>
        <v>0.34889071988630965</v>
      </c>
      <c r="AA26" t="str">
        <f t="shared" si="15"/>
        <v>Moderate</v>
      </c>
      <c r="AB26">
        <f t="shared" si="16"/>
        <v>0.1250864409770667</v>
      </c>
      <c r="AC26">
        <f t="shared" si="8"/>
        <v>0.29367456650155443</v>
      </c>
      <c r="AD26" t="str">
        <f t="shared" si="17"/>
        <v>Low</v>
      </c>
      <c r="AE26">
        <f t="shared" si="18"/>
        <v>1.0697352745732427E-2</v>
      </c>
      <c r="AF26">
        <f t="shared" si="9"/>
        <v>5.8519224075207488E-2</v>
      </c>
      <c r="AG26" t="s">
        <v>1175</v>
      </c>
    </row>
    <row r="27" spans="1:34" x14ac:dyDescent="0.3">
      <c r="A27">
        <v>104273</v>
      </c>
      <c r="B27" t="s">
        <v>364</v>
      </c>
      <c r="C27" s="1" t="s">
        <v>570</v>
      </c>
      <c r="D27" t="s">
        <v>572</v>
      </c>
      <c r="E27" s="4">
        <v>5.9</v>
      </c>
      <c r="F27" s="3">
        <f t="shared" si="22"/>
        <v>0.60000000000000009</v>
      </c>
      <c r="G27">
        <v>68.635080000000002</v>
      </c>
      <c r="H27">
        <f t="shared" si="10"/>
        <v>0.6478229549640161</v>
      </c>
      <c r="I27">
        <v>244.20000000000002</v>
      </c>
      <c r="J27" s="3">
        <f t="shared" si="0"/>
        <v>0.75510204081632648</v>
      </c>
      <c r="K27">
        <v>0</v>
      </c>
      <c r="L27" s="3">
        <f t="shared" si="1"/>
        <v>0</v>
      </c>
      <c r="M27">
        <v>19028</v>
      </c>
      <c r="N27">
        <f t="shared" si="2"/>
        <v>8.8898667158734443E-2</v>
      </c>
      <c r="O27" s="15">
        <v>0.62656925500000005</v>
      </c>
      <c r="P27">
        <f t="shared" si="3"/>
        <v>0.63875882833172004</v>
      </c>
      <c r="Q27">
        <v>0.37590000000000001</v>
      </c>
      <c r="R27">
        <f t="shared" si="4"/>
        <v>0.83329638661050764</v>
      </c>
      <c r="S27">
        <f t="shared" si="11"/>
        <v>0.18112885292551925</v>
      </c>
      <c r="T27" s="14">
        <f t="shared" si="5"/>
        <v>0.30386977213389943</v>
      </c>
      <c r="U27" t="str">
        <f t="shared" si="12"/>
        <v>Moderate</v>
      </c>
      <c r="V27">
        <f t="shared" si="13"/>
        <v>0.20506570286450135</v>
      </c>
      <c r="W27">
        <f t="shared" si="6"/>
        <v>0.27561839749370204</v>
      </c>
      <c r="X27" t="s">
        <v>1175</v>
      </c>
      <c r="Y27">
        <f t="shared" si="14"/>
        <v>0.15719200298653713</v>
      </c>
      <c r="Z27">
        <f t="shared" si="7"/>
        <v>0.31495673841196364</v>
      </c>
      <c r="AA27" t="str">
        <f t="shared" si="15"/>
        <v>Moderate</v>
      </c>
      <c r="AB27">
        <f t="shared" si="16"/>
        <v>0.12658756479752312</v>
      </c>
      <c r="AC27">
        <f t="shared" si="8"/>
        <v>0.29719886444939136</v>
      </c>
      <c r="AD27" t="str">
        <f t="shared" si="17"/>
        <v>Low</v>
      </c>
      <c r="AE27">
        <f t="shared" si="18"/>
        <v>2.1877051139961544E-2</v>
      </c>
      <c r="AF27">
        <f t="shared" si="9"/>
        <v>0.11967709097700958</v>
      </c>
      <c r="AG27" t="s">
        <v>1175</v>
      </c>
    </row>
    <row r="28" spans="1:34" x14ac:dyDescent="0.3">
      <c r="A28">
        <v>104284</v>
      </c>
      <c r="B28" t="s">
        <v>421</v>
      </c>
      <c r="C28" s="1" t="s">
        <v>570</v>
      </c>
      <c r="D28" t="s">
        <v>573</v>
      </c>
      <c r="E28" s="4">
        <v>5.8</v>
      </c>
      <c r="F28" s="3">
        <f t="shared" si="22"/>
        <v>0.57777777777777772</v>
      </c>
      <c r="G28">
        <v>64.274039999999999</v>
      </c>
      <c r="H28">
        <f t="shared" si="10"/>
        <v>0.60666059572270281</v>
      </c>
      <c r="I28">
        <v>244.20000000000002</v>
      </c>
      <c r="J28" s="3">
        <f t="shared" si="0"/>
        <v>0.75510204081632648</v>
      </c>
      <c r="K28">
        <v>0</v>
      </c>
      <c r="L28" s="3">
        <f t="shared" si="1"/>
        <v>0</v>
      </c>
      <c r="M28">
        <v>10861</v>
      </c>
      <c r="N28">
        <f t="shared" si="2"/>
        <v>5.0257152725535006E-2</v>
      </c>
      <c r="O28" s="15">
        <v>0.75585246299999997</v>
      </c>
      <c r="P28">
        <f t="shared" si="3"/>
        <v>0.77055717273827096</v>
      </c>
      <c r="Q28">
        <v>0.41930000000000001</v>
      </c>
      <c r="R28">
        <f t="shared" si="4"/>
        <v>0.92950565284859232</v>
      </c>
      <c r="S28">
        <f t="shared" si="11"/>
        <v>0.19335004937096084</v>
      </c>
      <c r="T28" s="14">
        <f t="shared" si="5"/>
        <v>0.32437259164110971</v>
      </c>
      <c r="U28" t="str">
        <f t="shared" si="12"/>
        <v>Moderate</v>
      </c>
      <c r="V28">
        <f t="shared" si="13"/>
        <v>0.2114274380499121</v>
      </c>
      <c r="W28">
        <f t="shared" si="6"/>
        <v>0.28416888269229612</v>
      </c>
      <c r="X28" t="s">
        <v>1175</v>
      </c>
      <c r="Y28">
        <f t="shared" si="14"/>
        <v>0.17527266069200959</v>
      </c>
      <c r="Z28">
        <f t="shared" si="7"/>
        <v>0.35118393108757623</v>
      </c>
      <c r="AA28" t="str">
        <f t="shared" si="15"/>
        <v>Moderate</v>
      </c>
      <c r="AB28">
        <f t="shared" si="16"/>
        <v>0.1305824631153461</v>
      </c>
      <c r="AC28">
        <f t="shared" si="8"/>
        <v>0.30657797878456977</v>
      </c>
      <c r="AD28" t="str">
        <f t="shared" si="17"/>
        <v>Moderate</v>
      </c>
      <c r="AE28">
        <f t="shared" si="18"/>
        <v>1.143160454363999E-2</v>
      </c>
      <c r="AF28">
        <f t="shared" si="9"/>
        <v>6.2535904324114683E-2</v>
      </c>
      <c r="AG28" t="s">
        <v>1175</v>
      </c>
    </row>
    <row r="29" spans="1:34" x14ac:dyDescent="0.3">
      <c r="A29">
        <v>107838</v>
      </c>
      <c r="B29" t="s">
        <v>55</v>
      </c>
      <c r="C29" s="1" t="s">
        <v>575</v>
      </c>
      <c r="D29" t="s">
        <v>574</v>
      </c>
      <c r="E29" s="4">
        <v>7.4</v>
      </c>
      <c r="F29" s="3">
        <f t="shared" si="22"/>
        <v>0.93333333333333335</v>
      </c>
      <c r="G29">
        <v>74.355119999999999</v>
      </c>
      <c r="H29">
        <f t="shared" si="10"/>
        <v>0.70181244860651448</v>
      </c>
      <c r="I29">
        <v>218.89999999999998</v>
      </c>
      <c r="J29" s="3">
        <f t="shared" si="0"/>
        <v>0.67687074829931959</v>
      </c>
      <c r="K29">
        <v>0.5</v>
      </c>
      <c r="L29" s="3">
        <f t="shared" si="1"/>
        <v>0.25</v>
      </c>
      <c r="M29">
        <v>30925</v>
      </c>
      <c r="N29">
        <f t="shared" si="2"/>
        <v>0.14518838152285513</v>
      </c>
      <c r="O29" s="15">
        <v>0.79476960500000005</v>
      </c>
      <c r="P29">
        <f t="shared" si="3"/>
        <v>0.81023142714441665</v>
      </c>
      <c r="Q29">
        <v>0.3977</v>
      </c>
      <c r="R29">
        <f t="shared" si="4"/>
        <v>0.88162270006650412</v>
      </c>
      <c r="S29">
        <f t="shared" si="11"/>
        <v>0.40747673942358842</v>
      </c>
      <c r="T29" s="14">
        <f t="shared" si="5"/>
        <v>0.68360099431218313</v>
      </c>
      <c r="U29" t="str">
        <f t="shared" si="12"/>
        <v>Moderate</v>
      </c>
      <c r="V29">
        <f t="shared" si="13"/>
        <v>0.42467106052120462</v>
      </c>
      <c r="W29">
        <f t="shared" si="6"/>
        <v>0.57077880663518432</v>
      </c>
      <c r="X29" t="str">
        <f t="shared" si="19"/>
        <v>Moderate</v>
      </c>
      <c r="Y29">
        <f t="shared" si="14"/>
        <v>0.39028241832597221</v>
      </c>
      <c r="Z29">
        <f t="shared" si="7"/>
        <v>0.78198683902519894</v>
      </c>
      <c r="AA29" t="str">
        <f t="shared" si="15"/>
        <v>High</v>
      </c>
      <c r="AB29">
        <f t="shared" si="16"/>
        <v>0.29019725178506256</v>
      </c>
      <c r="AC29">
        <f t="shared" si="8"/>
        <v>0.68131726710128038</v>
      </c>
      <c r="AD29" t="str">
        <f t="shared" si="17"/>
        <v>Moderate</v>
      </c>
      <c r="AE29">
        <f t="shared" si="18"/>
        <v>6.9936157442426469E-2</v>
      </c>
      <c r="AF29">
        <f t="shared" si="9"/>
        <v>0.3825815382188868</v>
      </c>
      <c r="AG29" t="str">
        <f t="shared" si="20"/>
        <v>Moderate</v>
      </c>
    </row>
    <row r="30" spans="1:34" x14ac:dyDescent="0.3">
      <c r="A30">
        <v>107852</v>
      </c>
      <c r="B30" t="s">
        <v>129</v>
      </c>
      <c r="C30" s="1" t="s">
        <v>575</v>
      </c>
      <c r="D30" t="s">
        <v>576</v>
      </c>
      <c r="E30" s="4">
        <v>6.4</v>
      </c>
      <c r="F30" s="3">
        <f t="shared" si="22"/>
        <v>0.71111111111111114</v>
      </c>
      <c r="G30">
        <v>79.369560000000007</v>
      </c>
      <c r="H30">
        <f t="shared" si="10"/>
        <v>0.74914202610958958</v>
      </c>
      <c r="I30">
        <v>255.1</v>
      </c>
      <c r="J30" s="3">
        <f t="shared" si="0"/>
        <v>0.78880643166357445</v>
      </c>
      <c r="K30">
        <v>1</v>
      </c>
      <c r="L30" s="3">
        <f t="shared" si="1"/>
        <v>0.5</v>
      </c>
      <c r="M30">
        <v>16302</v>
      </c>
      <c r="N30">
        <f t="shared" si="2"/>
        <v>7.6000813804393594E-2</v>
      </c>
      <c r="O30" s="15">
        <v>0.503447435</v>
      </c>
      <c r="P30">
        <f t="shared" si="3"/>
        <v>0.51324173846865462</v>
      </c>
      <c r="Q30">
        <v>0.39960000000000001</v>
      </c>
      <c r="R30">
        <f t="shared" si="4"/>
        <v>0.8858346264686322</v>
      </c>
      <c r="S30">
        <f t="shared" si="11"/>
        <v>0.32703222082920047</v>
      </c>
      <c r="T30" s="14">
        <f t="shared" si="5"/>
        <v>0.54864371312877258</v>
      </c>
      <c r="U30" t="str">
        <f t="shared" si="12"/>
        <v>Moderate</v>
      </c>
      <c r="V30">
        <f t="shared" si="13"/>
        <v>0.41412530786970669</v>
      </c>
      <c r="W30">
        <f t="shared" si="6"/>
        <v>0.55660479603482871</v>
      </c>
      <c r="X30" t="str">
        <f t="shared" si="19"/>
        <v>Moderate</v>
      </c>
      <c r="Y30">
        <f t="shared" si="14"/>
        <v>0.23993913378869419</v>
      </c>
      <c r="Z30">
        <f t="shared" si="7"/>
        <v>0.48075249096451311</v>
      </c>
      <c r="AA30" t="str">
        <f t="shared" si="15"/>
        <v>Moderate</v>
      </c>
      <c r="AB30">
        <f t="shared" si="16"/>
        <v>0.22936115958178865</v>
      </c>
      <c r="AC30">
        <f t="shared" si="8"/>
        <v>0.53848793351491187</v>
      </c>
      <c r="AD30" t="str">
        <f t="shared" si="17"/>
        <v>Moderate</v>
      </c>
      <c r="AE30">
        <f t="shared" si="18"/>
        <v>3.5530176259380229E-2</v>
      </c>
      <c r="AF30">
        <f t="shared" si="9"/>
        <v>0.19436568984637426</v>
      </c>
      <c r="AG30" t="s">
        <v>1175</v>
      </c>
    </row>
    <row r="31" spans="1:34" x14ac:dyDescent="0.3">
      <c r="A31">
        <v>107855</v>
      </c>
      <c r="B31" t="s">
        <v>157</v>
      </c>
      <c r="C31" s="1" t="s">
        <v>575</v>
      </c>
      <c r="D31" t="s">
        <v>577</v>
      </c>
      <c r="E31" s="4">
        <v>7.4</v>
      </c>
      <c r="F31" s="3">
        <f t="shared" si="22"/>
        <v>0.93333333333333335</v>
      </c>
      <c r="G31">
        <v>68.635080000000002</v>
      </c>
      <c r="H31">
        <f t="shared" si="10"/>
        <v>0.6478229549640161</v>
      </c>
      <c r="I31">
        <v>252.9</v>
      </c>
      <c r="J31" s="3">
        <f t="shared" si="0"/>
        <v>0.78200371057513907</v>
      </c>
      <c r="K31">
        <v>0.2</v>
      </c>
      <c r="L31" s="3">
        <f t="shared" si="1"/>
        <v>0.1</v>
      </c>
      <c r="M31">
        <v>9856</v>
      </c>
      <c r="N31">
        <f t="shared" si="2"/>
        <v>4.5502074728061587E-2</v>
      </c>
      <c r="O31" s="15">
        <v>0.51244822800000001</v>
      </c>
      <c r="P31">
        <f t="shared" si="3"/>
        <v>0.52241763713405653</v>
      </c>
      <c r="Q31">
        <v>0.38490000000000002</v>
      </c>
      <c r="R31">
        <f t="shared" si="4"/>
        <v>0.85324761693637774</v>
      </c>
      <c r="S31">
        <f t="shared" si="11"/>
        <v>0.2924397880948062</v>
      </c>
      <c r="T31" s="14">
        <f t="shared" si="5"/>
        <v>0.49060991849705798</v>
      </c>
      <c r="U31" t="str">
        <f t="shared" si="12"/>
        <v>Moderate</v>
      </c>
      <c r="V31">
        <f t="shared" si="13"/>
        <v>0.36276783403660356</v>
      </c>
      <c r="W31">
        <f t="shared" si="6"/>
        <v>0.48757782351101425</v>
      </c>
      <c r="X31" t="str">
        <f t="shared" si="19"/>
        <v>Moderate</v>
      </c>
      <c r="Y31">
        <f t="shared" si="14"/>
        <v>0.22211174215300886</v>
      </c>
      <c r="Z31">
        <f t="shared" si="7"/>
        <v>0.44503275320883945</v>
      </c>
      <c r="AA31" t="str">
        <f t="shared" si="15"/>
        <v>Moderate</v>
      </c>
      <c r="AB31">
        <f t="shared" si="16"/>
        <v>0.20037326639683037</v>
      </c>
      <c r="AC31">
        <f t="shared" si="8"/>
        <v>0.47043094109918904</v>
      </c>
      <c r="AD31" t="str">
        <f t="shared" si="17"/>
        <v>Moderate</v>
      </c>
      <c r="AE31">
        <f t="shared" si="18"/>
        <v>1.93457195374756E-2</v>
      </c>
      <c r="AF31">
        <f t="shared" si="9"/>
        <v>0.10582959386482692</v>
      </c>
      <c r="AG31" t="s">
        <v>1175</v>
      </c>
    </row>
    <row r="32" spans="1:34" x14ac:dyDescent="0.3">
      <c r="A32">
        <v>107857</v>
      </c>
      <c r="B32" t="s">
        <v>539</v>
      </c>
      <c r="C32" s="1" t="s">
        <v>575</v>
      </c>
      <c r="D32" t="s">
        <v>578</v>
      </c>
      <c r="E32" s="4">
        <v>7.4</v>
      </c>
      <c r="F32" s="3">
        <f t="shared" si="22"/>
        <v>0.93333333333333335</v>
      </c>
      <c r="G32">
        <v>89.178119999999993</v>
      </c>
      <c r="H32">
        <f t="shared" si="10"/>
        <v>0.84172165628036877</v>
      </c>
      <c r="I32">
        <v>281</v>
      </c>
      <c r="J32" s="3">
        <f t="shared" si="0"/>
        <v>0.86889301175015454</v>
      </c>
      <c r="K32">
        <v>2</v>
      </c>
      <c r="L32" s="3">
        <f t="shared" si="1"/>
        <v>1</v>
      </c>
      <c r="M32">
        <v>35512</v>
      </c>
      <c r="N32">
        <f t="shared" si="2"/>
        <v>0.16689140915908457</v>
      </c>
      <c r="O32" s="15">
        <v>0.29004998900000001</v>
      </c>
      <c r="P32">
        <f t="shared" si="3"/>
        <v>0.2956927580675312</v>
      </c>
      <c r="Q32">
        <v>0.38519999999999999</v>
      </c>
      <c r="R32">
        <f t="shared" si="4"/>
        <v>0.85391265794724003</v>
      </c>
      <c r="S32">
        <f t="shared" si="11"/>
        <v>0.48844977943520063</v>
      </c>
      <c r="T32" s="14">
        <f t="shared" si="5"/>
        <v>0.81944494639327692</v>
      </c>
      <c r="U32" t="str">
        <f t="shared" si="12"/>
        <v>High</v>
      </c>
      <c r="V32">
        <f t="shared" si="13"/>
        <v>0.72562888730492214</v>
      </c>
      <c r="W32">
        <f t="shared" si="6"/>
        <v>0.9752809382574813</v>
      </c>
      <c r="X32" t="str">
        <f t="shared" si="19"/>
        <v>High</v>
      </c>
      <c r="Y32">
        <f t="shared" si="14"/>
        <v>0.25127067156547905</v>
      </c>
      <c r="Z32">
        <f t="shared" si="7"/>
        <v>0.50345685321933964</v>
      </c>
      <c r="AA32" t="str">
        <f t="shared" si="15"/>
        <v>Moderate</v>
      </c>
      <c r="AB32">
        <f t="shared" si="16"/>
        <v>0.37898803920288143</v>
      </c>
      <c r="AC32">
        <f t="shared" si="8"/>
        <v>0.88977787882369985</v>
      </c>
      <c r="AD32" t="str">
        <f t="shared" si="17"/>
        <v>High</v>
      </c>
      <c r="AE32">
        <f t="shared" si="18"/>
        <v>0.14181922050432869</v>
      </c>
      <c r="AF32">
        <f t="shared" si="9"/>
        <v>0.7758135063999746</v>
      </c>
      <c r="AG32" t="str">
        <f t="shared" si="20"/>
        <v>High</v>
      </c>
    </row>
    <row r="33" spans="1:33" x14ac:dyDescent="0.3">
      <c r="A33">
        <v>107866</v>
      </c>
      <c r="B33" t="s">
        <v>237</v>
      </c>
      <c r="C33" s="1" t="s">
        <v>575</v>
      </c>
      <c r="D33" t="s">
        <v>579</v>
      </c>
      <c r="E33" s="4">
        <v>7.4</v>
      </c>
      <c r="F33" s="3">
        <f t="shared" si="22"/>
        <v>0.93333333333333335</v>
      </c>
      <c r="G33">
        <v>88.480800000000002</v>
      </c>
      <c r="H33">
        <f t="shared" si="10"/>
        <v>0.83513989221809182</v>
      </c>
      <c r="I33">
        <v>222.00000000000003</v>
      </c>
      <c r="J33" s="3">
        <f t="shared" si="0"/>
        <v>0.686456400742115</v>
      </c>
      <c r="K33">
        <v>2</v>
      </c>
      <c r="L33" s="3">
        <f t="shared" si="1"/>
        <v>1</v>
      </c>
      <c r="M33">
        <v>36052</v>
      </c>
      <c r="N33">
        <f t="shared" si="2"/>
        <v>0.16944637644130908</v>
      </c>
      <c r="O33" s="15">
        <v>0.60198223299999998</v>
      </c>
      <c r="P33">
        <f t="shared" si="3"/>
        <v>0.61369347882795888</v>
      </c>
      <c r="Q33">
        <v>0.36130000000000001</v>
      </c>
      <c r="R33">
        <f t="shared" si="4"/>
        <v>0.80093105741520731</v>
      </c>
      <c r="S33">
        <f t="shared" si="11"/>
        <v>0.57522695117922285</v>
      </c>
      <c r="T33" s="14">
        <f t="shared" si="5"/>
        <v>0.96502616649366202</v>
      </c>
      <c r="U33" t="str">
        <f t="shared" si="12"/>
        <v>High</v>
      </c>
      <c r="V33">
        <f t="shared" si="13"/>
        <v>0.65136312633913762</v>
      </c>
      <c r="W33">
        <f t="shared" si="6"/>
        <v>0.87546410033619859</v>
      </c>
      <c r="X33" t="str">
        <f t="shared" si="19"/>
        <v>High</v>
      </c>
      <c r="Y33">
        <f t="shared" si="14"/>
        <v>0.49909077601930796</v>
      </c>
      <c r="Z33">
        <f t="shared" si="7"/>
        <v>1</v>
      </c>
      <c r="AA33" t="str">
        <f t="shared" si="15"/>
        <v>High</v>
      </c>
      <c r="AB33">
        <f t="shared" si="16"/>
        <v>0.4259355601241846</v>
      </c>
      <c r="AC33">
        <f t="shared" si="8"/>
        <v>1</v>
      </c>
      <c r="AD33" t="str">
        <f t="shared" si="17"/>
        <v>High</v>
      </c>
      <c r="AE33">
        <f t="shared" si="18"/>
        <v>0.13780352314198305</v>
      </c>
      <c r="AF33">
        <f t="shared" si="9"/>
        <v>0.75384587577668116</v>
      </c>
      <c r="AG33" t="str">
        <f t="shared" si="20"/>
        <v>High</v>
      </c>
    </row>
    <row r="34" spans="1:33" x14ac:dyDescent="0.3">
      <c r="A34">
        <v>107876</v>
      </c>
      <c r="B34" t="s">
        <v>337</v>
      </c>
      <c r="C34" s="1" t="s">
        <v>575</v>
      </c>
      <c r="D34" t="s">
        <v>580</v>
      </c>
      <c r="E34" s="4">
        <v>7.4</v>
      </c>
      <c r="F34" s="3">
        <f t="shared" si="22"/>
        <v>0.93333333333333335</v>
      </c>
      <c r="G34">
        <v>63.909720000000007</v>
      </c>
      <c r="H34">
        <f t="shared" si="10"/>
        <v>0.60322190432826595</v>
      </c>
      <c r="I34">
        <v>264.3</v>
      </c>
      <c r="J34" s="3">
        <f t="shared" si="0"/>
        <v>0.81725417439703152</v>
      </c>
      <c r="K34">
        <v>0.2</v>
      </c>
      <c r="L34" s="3">
        <f t="shared" si="1"/>
        <v>0.1</v>
      </c>
      <c r="M34">
        <v>16333</v>
      </c>
      <c r="N34">
        <f t="shared" si="2"/>
        <v>7.6147487852076853E-2</v>
      </c>
      <c r="O34" s="15">
        <v>0.39504667799999998</v>
      </c>
      <c r="P34">
        <f t="shared" si="3"/>
        <v>0.40273210209718679</v>
      </c>
      <c r="Q34">
        <v>0.37790000000000001</v>
      </c>
      <c r="R34">
        <f t="shared" si="4"/>
        <v>0.83772999334958997</v>
      </c>
      <c r="S34">
        <f t="shared" si="11"/>
        <v>0.25745188557194348</v>
      </c>
      <c r="T34" s="14">
        <f t="shared" si="5"/>
        <v>0.43191266626283115</v>
      </c>
      <c r="U34" t="str">
        <f t="shared" si="12"/>
        <v>Moderate</v>
      </c>
      <c r="V34">
        <f t="shared" si="13"/>
        <v>0.34773358602359228</v>
      </c>
      <c r="W34">
        <f t="shared" si="6"/>
        <v>0.46737105423177</v>
      </c>
      <c r="X34" t="str">
        <f t="shared" si="19"/>
        <v>Moderate</v>
      </c>
      <c r="Y34">
        <f t="shared" si="14"/>
        <v>0.16717018512029475</v>
      </c>
      <c r="Z34">
        <f t="shared" si="7"/>
        <v>0.33494945840038437</v>
      </c>
      <c r="AA34" t="str">
        <f t="shared" si="15"/>
        <v>Moderate</v>
      </c>
      <c r="AB34">
        <f t="shared" si="16"/>
        <v>0.18292063963422797</v>
      </c>
      <c r="AC34">
        <f t="shared" si="8"/>
        <v>0.42945613552645412</v>
      </c>
      <c r="AD34" t="str">
        <f t="shared" si="17"/>
        <v>Moderate</v>
      </c>
      <c r="AE34">
        <f t="shared" si="18"/>
        <v>3.1608082828235018E-2</v>
      </c>
      <c r="AF34">
        <f t="shared" si="9"/>
        <v>0.17291011389253377</v>
      </c>
      <c r="AG34" t="s">
        <v>1175</v>
      </c>
    </row>
    <row r="35" spans="1:33" x14ac:dyDescent="0.3">
      <c r="A35">
        <v>107895</v>
      </c>
      <c r="B35" t="s">
        <v>409</v>
      </c>
      <c r="C35" s="1" t="s">
        <v>575</v>
      </c>
      <c r="D35" t="s">
        <v>581</v>
      </c>
      <c r="E35" s="4">
        <v>7.4</v>
      </c>
      <c r="F35" s="3">
        <f t="shared" si="22"/>
        <v>0.93333333333333335</v>
      </c>
      <c r="G35">
        <v>64.643760000000015</v>
      </c>
      <c r="H35">
        <f t="shared" si="10"/>
        <v>0.6101502558631049</v>
      </c>
      <c r="I35">
        <v>260.90000000000003</v>
      </c>
      <c r="J35" s="3">
        <f t="shared" si="0"/>
        <v>0.80674087816944962</v>
      </c>
      <c r="K35">
        <v>0.1</v>
      </c>
      <c r="L35" s="3">
        <f t="shared" si="1"/>
        <v>0.05</v>
      </c>
      <c r="M35">
        <v>53541</v>
      </c>
      <c r="N35">
        <f t="shared" si="2"/>
        <v>0.25219419643913266</v>
      </c>
      <c r="O35" s="15">
        <v>0.40298110700000001</v>
      </c>
      <c r="P35">
        <f t="shared" si="3"/>
        <v>0.41082089121519294</v>
      </c>
      <c r="Q35">
        <v>0.39789999999999998</v>
      </c>
      <c r="R35">
        <f t="shared" si="4"/>
        <v>0.88206606074041227</v>
      </c>
      <c r="S35">
        <f t="shared" si="11"/>
        <v>0.25666891219812393</v>
      </c>
      <c r="T35" s="14">
        <f t="shared" si="5"/>
        <v>0.43059911551237567</v>
      </c>
      <c r="U35" t="str">
        <f t="shared" si="12"/>
        <v>Moderate</v>
      </c>
      <c r="V35">
        <f t="shared" si="13"/>
        <v>0.35022232369918749</v>
      </c>
      <c r="W35">
        <f t="shared" si="6"/>
        <v>0.47071604015749052</v>
      </c>
      <c r="X35" t="str">
        <f t="shared" si="19"/>
        <v>Moderate</v>
      </c>
      <c r="Y35">
        <f t="shared" si="14"/>
        <v>0.16311550069706035</v>
      </c>
      <c r="Z35">
        <f t="shared" si="7"/>
        <v>0.32682531622413719</v>
      </c>
      <c r="AA35" t="str">
        <f t="shared" si="15"/>
        <v>Moderate</v>
      </c>
      <c r="AB35">
        <f t="shared" si="16"/>
        <v>0.20655905978617783</v>
      </c>
      <c r="AC35">
        <f t="shared" si="8"/>
        <v>0.48495377968900755</v>
      </c>
      <c r="AD35" t="str">
        <f t="shared" si="17"/>
        <v>Moderate</v>
      </c>
      <c r="AE35">
        <f t="shared" si="18"/>
        <v>0.10013313223526887</v>
      </c>
      <c r="AF35">
        <f t="shared" si="9"/>
        <v>0.54777227057093525</v>
      </c>
      <c r="AG35" t="str">
        <f t="shared" si="20"/>
        <v>Moderate</v>
      </c>
    </row>
    <row r="36" spans="1:33" x14ac:dyDescent="0.3">
      <c r="A36" s="15">
        <v>107897</v>
      </c>
      <c r="B36" s="15" t="s">
        <v>1161</v>
      </c>
      <c r="C36" s="15" t="s">
        <v>575</v>
      </c>
      <c r="D36" s="15" t="s">
        <v>1162</v>
      </c>
      <c r="E36" s="4">
        <v>7.4</v>
      </c>
      <c r="F36" s="3">
        <f t="shared" si="22"/>
        <v>0.93333333333333335</v>
      </c>
      <c r="G36">
        <v>64.643760000000015</v>
      </c>
      <c r="H36">
        <f t="shared" si="10"/>
        <v>0.6101502558631049</v>
      </c>
      <c r="I36">
        <v>260.90000000000003</v>
      </c>
      <c r="J36" s="3">
        <f t="shared" si="0"/>
        <v>0.80674087816944962</v>
      </c>
      <c r="K36">
        <v>0.1</v>
      </c>
      <c r="L36" s="3">
        <f t="shared" si="1"/>
        <v>0.05</v>
      </c>
      <c r="M36">
        <v>35512</v>
      </c>
      <c r="N36">
        <f t="shared" si="2"/>
        <v>0.16689140915908457</v>
      </c>
      <c r="O36" s="15">
        <v>0.40298110700000001</v>
      </c>
      <c r="P36">
        <f t="shared" si="3"/>
        <v>0.41082089121519294</v>
      </c>
      <c r="Q36">
        <v>0.39789999999999998</v>
      </c>
      <c r="R36">
        <f t="shared" si="4"/>
        <v>0.88206606074041227</v>
      </c>
      <c r="S36">
        <f t="shared" si="11"/>
        <v>0.25666891219812393</v>
      </c>
      <c r="T36" s="14">
        <f t="shared" si="5"/>
        <v>0.43059911551237567</v>
      </c>
      <c r="U36" t="str">
        <f t="shared" si="12"/>
        <v>Moderate</v>
      </c>
      <c r="V36">
        <f t="shared" si="13"/>
        <v>0.35022232369918749</v>
      </c>
      <c r="W36">
        <f t="shared" si="6"/>
        <v>0.47071604015749052</v>
      </c>
      <c r="X36" t="str">
        <f t="shared" si="19"/>
        <v>Moderate</v>
      </c>
      <c r="Y36">
        <f t="shared" si="14"/>
        <v>0.16311550069706035</v>
      </c>
      <c r="Z36">
        <f t="shared" si="7"/>
        <v>0.32682531622413719</v>
      </c>
      <c r="AA36" t="str">
        <f t="shared" si="15"/>
        <v>Moderate</v>
      </c>
      <c r="AB36">
        <f t="shared" si="16"/>
        <v>0.19470481258392683</v>
      </c>
      <c r="AC36">
        <f t="shared" si="8"/>
        <v>0.45712269838930386</v>
      </c>
      <c r="AD36" t="str">
        <f t="shared" si="17"/>
        <v>Moderate</v>
      </c>
      <c r="AE36">
        <f t="shared" si="18"/>
        <v>6.6263854514551773E-2</v>
      </c>
      <c r="AF36">
        <f t="shared" si="9"/>
        <v>0.36249242617253757</v>
      </c>
      <c r="AG36" t="str">
        <f t="shared" si="20"/>
        <v>Moderate</v>
      </c>
    </row>
    <row r="37" spans="1:33" x14ac:dyDescent="0.3">
      <c r="A37">
        <v>107914</v>
      </c>
      <c r="B37" t="s">
        <v>66</v>
      </c>
      <c r="C37" s="1" t="s">
        <v>583</v>
      </c>
      <c r="D37" t="s">
        <v>582</v>
      </c>
      <c r="E37" s="4">
        <v>7.1</v>
      </c>
      <c r="F37" s="3">
        <f t="shared" si="22"/>
        <v>0.86666666666666659</v>
      </c>
      <c r="G37">
        <v>66.081600000000009</v>
      </c>
      <c r="H37">
        <f t="shared" si="10"/>
        <v>0.62372153395537866</v>
      </c>
      <c r="I37">
        <v>244.20000000000002</v>
      </c>
      <c r="J37" s="3">
        <f t="shared" si="0"/>
        <v>0.75510204081632648</v>
      </c>
      <c r="K37">
        <v>0</v>
      </c>
      <c r="L37" s="3">
        <f t="shared" si="1"/>
        <v>0</v>
      </c>
      <c r="M37">
        <v>20310</v>
      </c>
      <c r="N37">
        <f t="shared" si="2"/>
        <v>9.4964348743571181E-2</v>
      </c>
      <c r="O37" s="15">
        <v>0.43393753899999998</v>
      </c>
      <c r="P37">
        <f t="shared" si="3"/>
        <v>0.44237956422038299</v>
      </c>
      <c r="Q37">
        <v>0.39290000000000003</v>
      </c>
      <c r="R37">
        <f t="shared" si="4"/>
        <v>0.87098204389270673</v>
      </c>
      <c r="S37">
        <f t="shared" si="11"/>
        <v>0.22793904157412309</v>
      </c>
      <c r="T37" s="14">
        <f t="shared" si="5"/>
        <v>0.38240061428550925</v>
      </c>
      <c r="U37" t="str">
        <f t="shared" si="12"/>
        <v>Moderate</v>
      </c>
      <c r="V37">
        <f t="shared" si="13"/>
        <v>0.30232467750965275</v>
      </c>
      <c r="W37">
        <f t="shared" si="6"/>
        <v>0.40633924627108009</v>
      </c>
      <c r="X37" t="str">
        <f t="shared" si="19"/>
        <v>Moderate</v>
      </c>
      <c r="Y37">
        <f t="shared" si="14"/>
        <v>0.15355340563859346</v>
      </c>
      <c r="Z37">
        <f t="shared" si="7"/>
        <v>0.30766628640849303</v>
      </c>
      <c r="AA37" t="str">
        <f t="shared" si="15"/>
        <v>Moderate</v>
      </c>
      <c r="AB37">
        <f t="shared" si="16"/>
        <v>0.16341666260613655</v>
      </c>
      <c r="AC37">
        <f t="shared" si="8"/>
        <v>0.3836652252244242</v>
      </c>
      <c r="AD37" t="str">
        <f t="shared" si="17"/>
        <v>Moderate</v>
      </c>
      <c r="AE37">
        <f t="shared" si="18"/>
        <v>3.2962867960514515E-2</v>
      </c>
      <c r="AF37">
        <f t="shared" si="9"/>
        <v>0.18032138438291295</v>
      </c>
      <c r="AG37" t="s">
        <v>1175</v>
      </c>
    </row>
    <row r="38" spans="1:33" x14ac:dyDescent="0.3">
      <c r="A38">
        <v>107947</v>
      </c>
      <c r="B38" t="s">
        <v>264</v>
      </c>
      <c r="C38" s="1" t="s">
        <v>583</v>
      </c>
      <c r="D38" t="s">
        <v>584</v>
      </c>
      <c r="E38" s="4">
        <v>7.2</v>
      </c>
      <c r="F38" s="3">
        <f t="shared" si="22"/>
        <v>0.88888888888888884</v>
      </c>
      <c r="G38">
        <v>61.832879999999996</v>
      </c>
      <c r="H38">
        <f t="shared" si="10"/>
        <v>0.58361932463013677</v>
      </c>
      <c r="I38">
        <v>247.5</v>
      </c>
      <c r="J38" s="3">
        <f t="shared" si="0"/>
        <v>0.76530612244897955</v>
      </c>
      <c r="K38">
        <v>0</v>
      </c>
      <c r="L38" s="3">
        <f t="shared" si="1"/>
        <v>0</v>
      </c>
      <c r="M38">
        <v>9387</v>
      </c>
      <c r="N38">
        <f t="shared" si="2"/>
        <v>4.3283038329240651E-2</v>
      </c>
      <c r="O38" s="15">
        <v>0.55184595400000003</v>
      </c>
      <c r="P38">
        <f t="shared" si="3"/>
        <v>0.5625818250476402</v>
      </c>
      <c r="Q38">
        <v>0.40600000000000003</v>
      </c>
      <c r="R38">
        <f t="shared" si="4"/>
        <v>0.9000221680336955</v>
      </c>
      <c r="S38">
        <f t="shared" si="11"/>
        <v>0.25124868443648102</v>
      </c>
      <c r="T38" s="14">
        <f t="shared" si="5"/>
        <v>0.42150590176844754</v>
      </c>
      <c r="U38" t="str">
        <f t="shared" si="12"/>
        <v>Moderate</v>
      </c>
      <c r="V38">
        <f t="shared" si="13"/>
        <v>0.30921477960105692</v>
      </c>
      <c r="W38">
        <f t="shared" si="6"/>
        <v>0.41559988259628572</v>
      </c>
      <c r="X38" t="str">
        <f t="shared" si="19"/>
        <v>Moderate</v>
      </c>
      <c r="Y38">
        <f t="shared" si="14"/>
        <v>0.1932825892719052</v>
      </c>
      <c r="Z38">
        <f t="shared" si="7"/>
        <v>0.38726940780894697</v>
      </c>
      <c r="AA38" t="str">
        <f t="shared" si="15"/>
        <v>Moderate</v>
      </c>
      <c r="AB38">
        <f t="shared" si="16"/>
        <v>0.17141461511739084</v>
      </c>
      <c r="AC38">
        <f t="shared" si="8"/>
        <v>0.4024426020391762</v>
      </c>
      <c r="AD38" t="str">
        <f t="shared" si="17"/>
        <v>Moderate</v>
      </c>
      <c r="AE38">
        <f t="shared" si="18"/>
        <v>1.4870472786998263E-2</v>
      </c>
      <c r="AF38">
        <f t="shared" si="9"/>
        <v>8.1348025984632977E-2</v>
      </c>
      <c r="AG38" t="s">
        <v>1175</v>
      </c>
    </row>
    <row r="39" spans="1:33" x14ac:dyDescent="0.3">
      <c r="A39">
        <v>107958</v>
      </c>
      <c r="B39" t="s">
        <v>324</v>
      </c>
      <c r="C39" s="1" t="s">
        <v>583</v>
      </c>
      <c r="D39" t="s">
        <v>585</v>
      </c>
      <c r="E39" s="4">
        <v>7.1</v>
      </c>
      <c r="F39" s="3">
        <f t="shared" si="22"/>
        <v>0.86666666666666659</v>
      </c>
      <c r="G39">
        <v>66.081600000000009</v>
      </c>
      <c r="H39">
        <f t="shared" si="10"/>
        <v>0.62372153395537866</v>
      </c>
      <c r="I39">
        <v>223.6</v>
      </c>
      <c r="J39" s="3">
        <f t="shared" si="0"/>
        <v>0.69140383426097707</v>
      </c>
      <c r="K39">
        <v>0</v>
      </c>
      <c r="L39" s="3">
        <f t="shared" si="1"/>
        <v>0</v>
      </c>
      <c r="M39">
        <v>34224</v>
      </c>
      <c r="N39">
        <f t="shared" si="2"/>
        <v>0.16079733904888976</v>
      </c>
      <c r="O39" s="15">
        <v>0.66688278000000001</v>
      </c>
      <c r="P39">
        <f t="shared" si="3"/>
        <v>0.67985663163028998</v>
      </c>
      <c r="Q39">
        <v>0.3997</v>
      </c>
      <c r="R39">
        <f t="shared" si="4"/>
        <v>0.88605630680558634</v>
      </c>
      <c r="S39">
        <f t="shared" si="11"/>
        <v>0.26312567231227646</v>
      </c>
      <c r="T39" s="14">
        <f t="shared" si="5"/>
        <v>0.44143126176031533</v>
      </c>
      <c r="U39" t="str">
        <f t="shared" si="12"/>
        <v>Moderate</v>
      </c>
      <c r="V39">
        <f t="shared" si="13"/>
        <v>0.29777410443728802</v>
      </c>
      <c r="W39">
        <f t="shared" si="6"/>
        <v>0.40022305209349063</v>
      </c>
      <c r="X39" t="str">
        <f t="shared" si="19"/>
        <v>Moderate</v>
      </c>
      <c r="Y39">
        <f t="shared" si="14"/>
        <v>0.2284772401872649</v>
      </c>
      <c r="Z39">
        <f t="shared" si="7"/>
        <v>0.45778694210615095</v>
      </c>
      <c r="AA39" t="str">
        <f t="shared" si="15"/>
        <v>Moderate</v>
      </c>
      <c r="AB39">
        <f t="shared" si="16"/>
        <v>0.19167763491923576</v>
      </c>
      <c r="AC39">
        <f t="shared" si="8"/>
        <v>0.45001557245737067</v>
      </c>
      <c r="AD39" t="str">
        <f t="shared" si="17"/>
        <v>Moderate</v>
      </c>
      <c r="AE39">
        <f t="shared" si="18"/>
        <v>5.4038646600015651E-2</v>
      </c>
      <c r="AF39">
        <f t="shared" si="9"/>
        <v>0.29561516239322144</v>
      </c>
      <c r="AG39" t="s">
        <v>1175</v>
      </c>
    </row>
    <row r="40" spans="1:33" x14ac:dyDescent="0.3">
      <c r="A40">
        <v>107976</v>
      </c>
      <c r="B40" t="s">
        <v>380</v>
      </c>
      <c r="C40" s="1" t="s">
        <v>583</v>
      </c>
      <c r="D40" t="s">
        <v>586</v>
      </c>
      <c r="E40" s="4">
        <v>7</v>
      </c>
      <c r="F40" s="3">
        <f t="shared" si="22"/>
        <v>0.84444444444444444</v>
      </c>
      <c r="G40">
        <v>67.859279999999998</v>
      </c>
      <c r="H40">
        <f t="shared" si="10"/>
        <v>0.64050044512704807</v>
      </c>
      <c r="I40">
        <v>284.50000000000006</v>
      </c>
      <c r="J40" s="3">
        <f t="shared" si="0"/>
        <v>0.8797155225726655</v>
      </c>
      <c r="K40">
        <v>0</v>
      </c>
      <c r="L40" s="3">
        <f t="shared" si="1"/>
        <v>0</v>
      </c>
      <c r="M40">
        <v>7339</v>
      </c>
      <c r="N40">
        <f t="shared" si="2"/>
        <v>3.3593088340359491E-2</v>
      </c>
      <c r="O40" s="15">
        <v>0.75722040400000001</v>
      </c>
      <c r="P40">
        <f t="shared" si="3"/>
        <v>0.77195172630663411</v>
      </c>
      <c r="Q40">
        <v>0.34379999999999999</v>
      </c>
      <c r="R40">
        <f t="shared" si="4"/>
        <v>0.76213699844823768</v>
      </c>
      <c r="S40">
        <f t="shared" si="11"/>
        <v>0.27991059128842766</v>
      </c>
      <c r="T40" s="14">
        <f t="shared" si="5"/>
        <v>0.4695903839663525</v>
      </c>
      <c r="U40" t="str">
        <f t="shared" si="12"/>
        <v>Moderate</v>
      </c>
      <c r="V40">
        <f t="shared" si="13"/>
        <v>0.27811979116464886</v>
      </c>
      <c r="W40">
        <f t="shared" si="6"/>
        <v>0.37380668771673581</v>
      </c>
      <c r="X40" t="str">
        <f t="shared" si="19"/>
        <v>Moderate</v>
      </c>
      <c r="Y40">
        <f t="shared" si="14"/>
        <v>0.28170139141220657</v>
      </c>
      <c r="Z40">
        <f t="shared" si="7"/>
        <v>0.5644291678941159</v>
      </c>
      <c r="AA40" t="str">
        <f t="shared" si="15"/>
        <v>Moderate</v>
      </c>
      <c r="AB40">
        <f t="shared" si="16"/>
        <v>0.18614293244928715</v>
      </c>
      <c r="AC40">
        <f t="shared" si="8"/>
        <v>0.43702134753673966</v>
      </c>
      <c r="AD40" t="str">
        <f t="shared" si="17"/>
        <v>Moderate</v>
      </c>
      <c r="AE40">
        <f t="shared" si="18"/>
        <v>1.2258823194280243E-2</v>
      </c>
      <c r="AF40">
        <f t="shared" si="9"/>
        <v>6.7061154143077562E-2</v>
      </c>
      <c r="AG40" t="s">
        <v>1175</v>
      </c>
    </row>
    <row r="41" spans="1:33" s="15" customFormat="1" x14ac:dyDescent="0.3">
      <c r="A41" s="15">
        <v>107980</v>
      </c>
      <c r="B41" s="15" t="s">
        <v>417</v>
      </c>
      <c r="C41" s="16" t="s">
        <v>583</v>
      </c>
      <c r="D41" s="15" t="s">
        <v>587</v>
      </c>
      <c r="E41" s="17">
        <v>7.1</v>
      </c>
      <c r="F41" s="3">
        <f t="shared" si="22"/>
        <v>0.86666666666666659</v>
      </c>
      <c r="G41" s="15">
        <v>64.297799999999995</v>
      </c>
      <c r="H41">
        <f t="shared" si="10"/>
        <v>0.60688485820494864</v>
      </c>
      <c r="I41" s="15">
        <v>270.60000000000002</v>
      </c>
      <c r="J41" s="3">
        <f t="shared" si="0"/>
        <v>0.83673469387755095</v>
      </c>
      <c r="K41" s="15">
        <v>0</v>
      </c>
      <c r="L41" s="3">
        <f t="shared" si="1"/>
        <v>0</v>
      </c>
      <c r="M41" s="15">
        <v>16497</v>
      </c>
      <c r="N41">
        <f t="shared" si="2"/>
        <v>7.692344087853023E-2</v>
      </c>
      <c r="O41" s="15">
        <v>0.78824680999999996</v>
      </c>
      <c r="P41">
        <f t="shared" si="3"/>
        <v>0.8035817346189702</v>
      </c>
      <c r="Q41" s="15">
        <v>0.4007</v>
      </c>
      <c r="R41">
        <f t="shared" si="4"/>
        <v>0.88827311017512744</v>
      </c>
      <c r="S41">
        <f t="shared" si="11"/>
        <v>0.30066017113742854</v>
      </c>
      <c r="T41" s="14">
        <f t="shared" si="5"/>
        <v>0.50440079654696302</v>
      </c>
      <c r="U41" t="str">
        <f t="shared" si="12"/>
        <v>Moderate</v>
      </c>
      <c r="V41">
        <f t="shared" si="13"/>
        <v>0.31571070785866684</v>
      </c>
      <c r="W41">
        <f t="shared" si="6"/>
        <v>0.42433072988857778</v>
      </c>
      <c r="X41" t="str">
        <f t="shared" si="19"/>
        <v>Moderate</v>
      </c>
      <c r="Y41">
        <f t="shared" si="14"/>
        <v>0.28560963441619025</v>
      </c>
      <c r="Z41">
        <f t="shared" si="7"/>
        <v>0.57225989366940555</v>
      </c>
      <c r="AA41" t="str">
        <f t="shared" si="15"/>
        <v>Moderate</v>
      </c>
      <c r="AB41">
        <f t="shared" si="16"/>
        <v>0.20575070393179581</v>
      </c>
      <c r="AC41">
        <f t="shared" si="8"/>
        <v>0.48305594365449955</v>
      </c>
      <c r="AD41" t="str">
        <f t="shared" si="17"/>
        <v>Moderate</v>
      </c>
      <c r="AE41">
        <f t="shared" si="18"/>
        <v>2.7340188161158085E-2</v>
      </c>
      <c r="AF41">
        <f t="shared" si="9"/>
        <v>0.14956285309927872</v>
      </c>
      <c r="AG41" t="s">
        <v>1175</v>
      </c>
    </row>
    <row r="42" spans="1:33" x14ac:dyDescent="0.3">
      <c r="A42">
        <v>107987</v>
      </c>
      <c r="B42" t="s">
        <v>381</v>
      </c>
      <c r="C42" s="1" t="s">
        <v>583</v>
      </c>
      <c r="D42" t="s">
        <v>1122</v>
      </c>
      <c r="E42" s="4">
        <v>7.1</v>
      </c>
      <c r="F42" s="3">
        <f t="shared" si="22"/>
        <v>0.86666666666666659</v>
      </c>
      <c r="G42">
        <v>66.168719999999993</v>
      </c>
      <c r="H42">
        <f t="shared" si="10"/>
        <v>0.62454382972361333</v>
      </c>
      <c r="I42">
        <v>268.7</v>
      </c>
      <c r="J42" s="3">
        <f t="shared" si="0"/>
        <v>0.83085961657390217</v>
      </c>
      <c r="K42">
        <v>0</v>
      </c>
      <c r="L42" s="3">
        <f t="shared" si="1"/>
        <v>0</v>
      </c>
      <c r="M42">
        <v>14296</v>
      </c>
      <c r="N42">
        <f t="shared" si="2"/>
        <v>6.650958349301879E-2</v>
      </c>
      <c r="O42" s="15">
        <v>0.80100053699999996</v>
      </c>
      <c r="P42">
        <f t="shared" si="3"/>
        <v>0.81658357862962572</v>
      </c>
      <c r="Q42">
        <v>0.39429999999999998</v>
      </c>
      <c r="R42">
        <f t="shared" si="4"/>
        <v>0.87408556861006426</v>
      </c>
      <c r="S42">
        <f t="shared" si="11"/>
        <v>0.30476356624602702</v>
      </c>
      <c r="T42" s="14">
        <f t="shared" si="5"/>
        <v>0.51128483360945087</v>
      </c>
      <c r="U42" t="str">
        <f t="shared" si="12"/>
        <v>Moderate</v>
      </c>
      <c r="V42">
        <f t="shared" si="13"/>
        <v>0.31512899555624635</v>
      </c>
      <c r="W42">
        <f t="shared" si="6"/>
        <v>0.42354887992363538</v>
      </c>
      <c r="X42" t="str">
        <f t="shared" si="19"/>
        <v>Moderate</v>
      </c>
      <c r="Y42">
        <f t="shared" si="14"/>
        <v>0.29439813693580769</v>
      </c>
      <c r="Z42">
        <f t="shared" si="7"/>
        <v>0.58986891980632106</v>
      </c>
      <c r="AA42" t="str">
        <f t="shared" si="15"/>
        <v>Moderate</v>
      </c>
      <c r="AB42">
        <f t="shared" si="16"/>
        <v>0.20700699943104181</v>
      </c>
      <c r="AC42">
        <f t="shared" si="8"/>
        <v>0.48600544028464637</v>
      </c>
      <c r="AD42" t="str">
        <f t="shared" si="17"/>
        <v>Moderate</v>
      </c>
      <c r="AE42">
        <f t="shared" si="18"/>
        <v>2.3978314016038074E-2</v>
      </c>
      <c r="AF42">
        <f t="shared" si="9"/>
        <v>0.13117192301712272</v>
      </c>
      <c r="AG42" t="s">
        <v>1175</v>
      </c>
    </row>
    <row r="43" spans="1:33" x14ac:dyDescent="0.3">
      <c r="A43">
        <v>107990</v>
      </c>
      <c r="B43" t="s">
        <v>536</v>
      </c>
      <c r="C43" s="1" t="s">
        <v>583</v>
      </c>
      <c r="D43" s="15" t="s">
        <v>1163</v>
      </c>
      <c r="E43" s="4">
        <v>7.1</v>
      </c>
      <c r="F43" s="3">
        <f t="shared" si="22"/>
        <v>0.86666666666666659</v>
      </c>
      <c r="G43">
        <v>65.643480000000011</v>
      </c>
      <c r="H43">
        <f t="shared" si="10"/>
        <v>0.61958626969942043</v>
      </c>
      <c r="I43">
        <v>193.5</v>
      </c>
      <c r="J43" s="3">
        <f t="shared" si="0"/>
        <v>0.59833024118738398</v>
      </c>
      <c r="K43">
        <v>0</v>
      </c>
      <c r="L43" s="3">
        <f t="shared" si="1"/>
        <v>0</v>
      </c>
      <c r="M43">
        <v>6600</v>
      </c>
      <c r="N43">
        <f t="shared" si="2"/>
        <v>3.0096568300426303E-2</v>
      </c>
      <c r="O43" s="15">
        <v>0.73399232000000003</v>
      </c>
      <c r="P43">
        <f t="shared" si="3"/>
        <v>0.74827175222263487</v>
      </c>
      <c r="Q43">
        <v>0.40079999999999999</v>
      </c>
      <c r="R43">
        <f t="shared" si="4"/>
        <v>0.88849479051208158</v>
      </c>
      <c r="S43">
        <f t="shared" si="11"/>
        <v>0.26065546636528042</v>
      </c>
      <c r="T43" s="14">
        <f t="shared" si="5"/>
        <v>0.43728713504547245</v>
      </c>
      <c r="U43" t="str">
        <f t="shared" si="12"/>
        <v>Moderate</v>
      </c>
      <c r="V43">
        <f t="shared" si="13"/>
        <v>0.28298601900440301</v>
      </c>
      <c r="W43">
        <f t="shared" si="6"/>
        <v>0.38034713743746995</v>
      </c>
      <c r="X43" t="str">
        <f t="shared" si="19"/>
        <v>Moderate</v>
      </c>
      <c r="Y43">
        <f t="shared" si="14"/>
        <v>0.2383249137261578</v>
      </c>
      <c r="Z43">
        <f t="shared" si="7"/>
        <v>0.47751816939397396</v>
      </c>
      <c r="AA43" t="str">
        <f t="shared" si="15"/>
        <v>Moderate</v>
      </c>
      <c r="AB43">
        <f t="shared" si="16"/>
        <v>0.17389760079763533</v>
      </c>
      <c r="AC43">
        <f t="shared" si="8"/>
        <v>0.40827208873317417</v>
      </c>
      <c r="AD43" t="str">
        <f t="shared" si="17"/>
        <v>Moderate</v>
      </c>
      <c r="AE43">
        <f t="shared" si="18"/>
        <v>9.5857715092770024E-3</v>
      </c>
      <c r="AF43">
        <f t="shared" si="9"/>
        <v>5.2438385852883587E-2</v>
      </c>
      <c r="AG43" t="s">
        <v>1176</v>
      </c>
    </row>
    <row r="44" spans="1:33" x14ac:dyDescent="0.3">
      <c r="A44">
        <v>200304</v>
      </c>
      <c r="B44" t="s">
        <v>10</v>
      </c>
      <c r="C44" s="1" t="s">
        <v>589</v>
      </c>
      <c r="D44" t="s">
        <v>588</v>
      </c>
      <c r="E44" s="4">
        <v>6</v>
      </c>
      <c r="F44" s="3">
        <f t="shared" si="22"/>
        <v>0.62222222222222223</v>
      </c>
      <c r="G44">
        <v>70.666560000000004</v>
      </c>
      <c r="H44">
        <f t="shared" si="10"/>
        <v>0.66699739719603934</v>
      </c>
      <c r="I44">
        <v>26.799999999999997</v>
      </c>
      <c r="J44" s="3">
        <f t="shared" si="0"/>
        <v>8.286951144094E-2</v>
      </c>
      <c r="K44">
        <v>0</v>
      </c>
      <c r="L44" s="3">
        <f t="shared" si="1"/>
        <v>0</v>
      </c>
      <c r="M44">
        <v>7538</v>
      </c>
      <c r="N44">
        <f t="shared" si="2"/>
        <v>3.4534641098068163E-2</v>
      </c>
      <c r="O44" s="15">
        <v>0.72628179500000001</v>
      </c>
      <c r="P44">
        <f t="shared" si="3"/>
        <v>0.74041122303847873</v>
      </c>
      <c r="Q44">
        <v>0.45079999999999998</v>
      </c>
      <c r="R44">
        <f t="shared" si="4"/>
        <v>0.9993349589891376</v>
      </c>
      <c r="S44">
        <f t="shared" si="11"/>
        <v>0.15337679880595043</v>
      </c>
      <c r="T44" s="14">
        <f t="shared" si="5"/>
        <v>0.25731169910823576</v>
      </c>
      <c r="U44" t="str">
        <f t="shared" si="12"/>
        <v>Low</v>
      </c>
      <c r="V44">
        <f t="shared" si="13"/>
        <v>0.1762036307687056</v>
      </c>
      <c r="W44">
        <f t="shared" si="6"/>
        <v>0.23682635207474093</v>
      </c>
      <c r="X44" t="s">
        <v>1175</v>
      </c>
      <c r="Y44">
        <f t="shared" si="14"/>
        <v>0.13054996684319528</v>
      </c>
      <c r="Z44">
        <f t="shared" si="7"/>
        <v>0.2615755952944015</v>
      </c>
      <c r="AA44" t="str">
        <f t="shared" si="15"/>
        <v>Low</v>
      </c>
      <c r="AB44">
        <f t="shared" si="16"/>
        <v>0.10296747336782218</v>
      </c>
      <c r="AC44">
        <f t="shared" si="8"/>
        <v>0.24174425196572286</v>
      </c>
      <c r="AD44" t="str">
        <f t="shared" si="17"/>
        <v>Low</v>
      </c>
      <c r="AE44">
        <f t="shared" si="18"/>
        <v>6.0891787023332894E-3</v>
      </c>
      <c r="AF44">
        <f t="shared" si="9"/>
        <v>3.3310485443043637E-2</v>
      </c>
      <c r="AG44" t="s">
        <v>1176</v>
      </c>
    </row>
    <row r="45" spans="1:33" x14ac:dyDescent="0.3">
      <c r="A45">
        <v>200314</v>
      </c>
      <c r="B45" t="s">
        <v>42</v>
      </c>
      <c r="C45" s="1" t="s">
        <v>589</v>
      </c>
      <c r="D45" t="s">
        <v>590</v>
      </c>
      <c r="E45" s="4">
        <v>7.6</v>
      </c>
      <c r="F45" s="3">
        <f t="shared" si="22"/>
        <v>0.97777777777777763</v>
      </c>
      <c r="G45">
        <v>60.630839999999999</v>
      </c>
      <c r="H45">
        <f t="shared" si="10"/>
        <v>0.57227368177833349</v>
      </c>
      <c r="I45">
        <v>30.299999999999994</v>
      </c>
      <c r="J45" s="3">
        <f t="shared" si="0"/>
        <v>9.3692022263450803E-2</v>
      </c>
      <c r="K45">
        <v>0</v>
      </c>
      <c r="L45" s="3">
        <f t="shared" si="1"/>
        <v>0</v>
      </c>
      <c r="M45">
        <v>10534</v>
      </c>
      <c r="N45">
        <f t="shared" si="2"/>
        <v>4.8709978093521268E-2</v>
      </c>
      <c r="O45" s="15">
        <v>0.83759044800000004</v>
      </c>
      <c r="P45">
        <f t="shared" si="3"/>
        <v>0.85388532698802855</v>
      </c>
      <c r="Q45">
        <v>0.4446</v>
      </c>
      <c r="R45">
        <f t="shared" si="4"/>
        <v>0.98559077809798268</v>
      </c>
      <c r="S45">
        <f t="shared" si="11"/>
        <v>0.22270959456459855</v>
      </c>
      <c r="T45" s="14">
        <f t="shared" si="5"/>
        <v>0.37362746276655184</v>
      </c>
      <c r="U45" t="str">
        <f t="shared" si="12"/>
        <v>Moderate</v>
      </c>
      <c r="V45">
        <f t="shared" si="13"/>
        <v>0.2386554758606613</v>
      </c>
      <c r="W45">
        <f t="shared" si="6"/>
        <v>0.32076470560889231</v>
      </c>
      <c r="X45" t="str">
        <f t="shared" si="19"/>
        <v>Moderate</v>
      </c>
      <c r="Y45">
        <f t="shared" si="14"/>
        <v>0.20676371326853576</v>
      </c>
      <c r="Z45">
        <f t="shared" si="7"/>
        <v>0.41428077456702356</v>
      </c>
      <c r="AA45" t="str">
        <f t="shared" si="15"/>
        <v>Moderate</v>
      </c>
      <c r="AB45">
        <f t="shared" si="16"/>
        <v>0.14968673073495053</v>
      </c>
      <c r="AC45">
        <f t="shared" si="8"/>
        <v>0.35143046213682716</v>
      </c>
      <c r="AD45" t="str">
        <f t="shared" si="17"/>
        <v>Moderate</v>
      </c>
      <c r="AE45">
        <f t="shared" si="18"/>
        <v>1.1794857723309597E-2</v>
      </c>
      <c r="AF45">
        <f t="shared" si="9"/>
        <v>6.452305897091247E-2</v>
      </c>
      <c r="AG45" t="s">
        <v>1175</v>
      </c>
    </row>
    <row r="46" spans="1:33" x14ac:dyDescent="0.3">
      <c r="A46">
        <v>200351</v>
      </c>
      <c r="B46" t="s">
        <v>301</v>
      </c>
      <c r="C46" s="1" t="s">
        <v>589</v>
      </c>
      <c r="D46" t="s">
        <v>591</v>
      </c>
      <c r="E46" s="4">
        <v>7.7</v>
      </c>
      <c r="F46" s="3">
        <f t="shared" si="22"/>
        <v>1</v>
      </c>
      <c r="G46">
        <v>60.630839999999999</v>
      </c>
      <c r="H46">
        <f t="shared" si="10"/>
        <v>0.57227368177833349</v>
      </c>
      <c r="I46">
        <v>27.400000000000002</v>
      </c>
      <c r="J46" s="3">
        <f t="shared" si="0"/>
        <v>8.4724799010513288E-2</v>
      </c>
      <c r="K46">
        <v>0</v>
      </c>
      <c r="L46" s="3">
        <f t="shared" si="1"/>
        <v>0</v>
      </c>
      <c r="M46">
        <v>14751</v>
      </c>
      <c r="N46">
        <f t="shared" si="2"/>
        <v>6.8662379999337594E-2</v>
      </c>
      <c r="O46" s="15">
        <v>0.20586184699999999</v>
      </c>
      <c r="P46">
        <f t="shared" si="3"/>
        <v>0.20986678030974212</v>
      </c>
      <c r="Q46">
        <v>0.4385</v>
      </c>
      <c r="R46">
        <f t="shared" si="4"/>
        <v>0.97206827754378189</v>
      </c>
      <c r="S46">
        <f t="shared" si="11"/>
        <v>0.14529198645815669</v>
      </c>
      <c r="T46" s="14">
        <f t="shared" si="5"/>
        <v>0.24374826045012404</v>
      </c>
      <c r="U46" t="str">
        <f t="shared" si="12"/>
        <v>Low</v>
      </c>
      <c r="V46">
        <f t="shared" si="13"/>
        <v>0.23898729473983979</v>
      </c>
      <c r="W46">
        <f t="shared" si="6"/>
        <v>0.32121068651384044</v>
      </c>
      <c r="X46" t="str">
        <f t="shared" si="19"/>
        <v>Moderate</v>
      </c>
      <c r="Y46">
        <f t="shared" si="14"/>
        <v>5.1596678176473613E-2</v>
      </c>
      <c r="Z46">
        <f t="shared" si="7"/>
        <v>0.10338134995802353</v>
      </c>
      <c r="AA46" t="str">
        <f t="shared" si="15"/>
        <v>No Impact</v>
      </c>
      <c r="AB46">
        <f t="shared" si="16"/>
        <v>0.10503288927630165</v>
      </c>
      <c r="AC46">
        <f t="shared" si="8"/>
        <v>0.24659337963160097</v>
      </c>
      <c r="AD46" t="str">
        <f t="shared" si="17"/>
        <v>Low</v>
      </c>
      <c r="AE46">
        <f t="shared" si="18"/>
        <v>1.6880950469759046E-2</v>
      </c>
      <c r="AF46">
        <f t="shared" si="9"/>
        <v>9.2346223091166441E-2</v>
      </c>
      <c r="AG46" t="s">
        <v>1175</v>
      </c>
    </row>
    <row r="47" spans="1:33" x14ac:dyDescent="0.3">
      <c r="A47">
        <v>200373</v>
      </c>
      <c r="B47" t="s">
        <v>362</v>
      </c>
      <c r="C47" s="1" t="s">
        <v>589</v>
      </c>
      <c r="D47" t="s">
        <v>592</v>
      </c>
      <c r="E47" s="4">
        <v>7.7</v>
      </c>
      <c r="F47" s="3">
        <f t="shared" si="22"/>
        <v>1</v>
      </c>
      <c r="G47">
        <v>63.630360000000003</v>
      </c>
      <c r="H47">
        <f t="shared" si="10"/>
        <v>0.60058512120367791</v>
      </c>
      <c r="I47">
        <v>28.299999999999997</v>
      </c>
      <c r="J47" s="3">
        <f t="shared" si="0"/>
        <v>8.7507730364873207E-2</v>
      </c>
      <c r="K47">
        <v>0</v>
      </c>
      <c r="L47" s="3">
        <f t="shared" si="1"/>
        <v>0</v>
      </c>
      <c r="M47">
        <v>12144</v>
      </c>
      <c r="N47">
        <f t="shared" si="2"/>
        <v>5.6327565731264753E-2</v>
      </c>
      <c r="O47" s="15">
        <v>0.14528135</v>
      </c>
      <c r="P47">
        <f t="shared" si="3"/>
        <v>0.14810772179437776</v>
      </c>
      <c r="Q47">
        <v>0.44340000000000002</v>
      </c>
      <c r="R47">
        <f t="shared" si="4"/>
        <v>0.98293061405453341</v>
      </c>
      <c r="S47">
        <f t="shared" si="11"/>
        <v>0.14575441897694505</v>
      </c>
      <c r="T47" s="14">
        <f t="shared" si="5"/>
        <v>0.24452405768972399</v>
      </c>
      <c r="U47" t="str">
        <f t="shared" si="12"/>
        <v>Low</v>
      </c>
      <c r="V47">
        <f t="shared" si="13"/>
        <v>0.25333620621911168</v>
      </c>
      <c r="W47">
        <f t="shared" si="6"/>
        <v>0.34049632976111266</v>
      </c>
      <c r="X47" t="str">
        <f t="shared" si="19"/>
        <v>Moderate</v>
      </c>
      <c r="Y47">
        <f t="shared" si="14"/>
        <v>3.8172631734778403E-2</v>
      </c>
      <c r="Z47">
        <f t="shared" si="7"/>
        <v>7.6484346273114942E-2</v>
      </c>
      <c r="AA47" t="str">
        <f t="shared" si="15"/>
        <v>No Impact</v>
      </c>
      <c r="AB47">
        <f t="shared" si="16"/>
        <v>0.10520062822236585</v>
      </c>
      <c r="AC47">
        <f t="shared" si="8"/>
        <v>0.24698719259714744</v>
      </c>
      <c r="AD47" t="str">
        <f t="shared" si="17"/>
        <v>Low</v>
      </c>
      <c r="AE47">
        <f t="shared" si="18"/>
        <v>1.451761864355215E-2</v>
      </c>
      <c r="AF47">
        <f t="shared" si="9"/>
        <v>7.9417758639338046E-2</v>
      </c>
      <c r="AG47" t="s">
        <v>1175</v>
      </c>
    </row>
    <row r="48" spans="1:33" x14ac:dyDescent="0.3">
      <c r="A48">
        <v>200389</v>
      </c>
      <c r="B48" t="s">
        <v>442</v>
      </c>
      <c r="C48" s="1" t="s">
        <v>589</v>
      </c>
      <c r="D48" t="s">
        <v>593</v>
      </c>
      <c r="E48" s="4">
        <v>5.9</v>
      </c>
      <c r="F48" s="3">
        <f t="shared" si="22"/>
        <v>0.60000000000000009</v>
      </c>
      <c r="G48">
        <v>59.635800000000003</v>
      </c>
      <c r="H48">
        <f t="shared" si="10"/>
        <v>0.56288184085518755</v>
      </c>
      <c r="I48">
        <v>32.699999999999996</v>
      </c>
      <c r="J48" s="3">
        <f t="shared" si="0"/>
        <v>0.10111317254174394</v>
      </c>
      <c r="K48">
        <v>0</v>
      </c>
      <c r="L48" s="3">
        <f t="shared" si="1"/>
        <v>0</v>
      </c>
      <c r="M48">
        <v>5632</v>
      </c>
      <c r="N48">
        <f t="shared" si="2"/>
        <v>2.5516552875994188E-2</v>
      </c>
      <c r="O48" s="15">
        <v>0.168862399</v>
      </c>
      <c r="P48">
        <f t="shared" si="3"/>
        <v>0.17214752762569463</v>
      </c>
      <c r="Q48">
        <v>0.45090000000000002</v>
      </c>
      <c r="R48">
        <f t="shared" si="4"/>
        <v>0.99955663932609184</v>
      </c>
      <c r="S48">
        <f t="shared" si="11"/>
        <v>8.6252203347834469E-2</v>
      </c>
      <c r="T48" s="14">
        <f t="shared" si="5"/>
        <v>0.14470050990788652</v>
      </c>
      <c r="U48" t="str">
        <f t="shared" si="12"/>
        <v>No Impact</v>
      </c>
      <c r="V48">
        <f t="shared" si="13"/>
        <v>0.1471599486363859</v>
      </c>
      <c r="W48">
        <f t="shared" si="6"/>
        <v>0.19779021382827966</v>
      </c>
      <c r="X48" t="s">
        <v>1175</v>
      </c>
      <c r="Y48">
        <f t="shared" si="14"/>
        <v>2.5344458059283044E-2</v>
      </c>
      <c r="Z48">
        <f t="shared" si="7"/>
        <v>5.0781259195827259E-2</v>
      </c>
      <c r="AA48" t="str">
        <f t="shared" si="15"/>
        <v>No Impact</v>
      </c>
      <c r="AB48">
        <f t="shared" si="16"/>
        <v>6.0424157501721996E-2</v>
      </c>
      <c r="AC48">
        <f t="shared" si="8"/>
        <v>0.14186220442384501</v>
      </c>
      <c r="AD48" t="str">
        <f t="shared" si="17"/>
        <v>No Impact</v>
      </c>
      <c r="AE48">
        <f t="shared" si="18"/>
        <v>3.7566801748629142E-3</v>
      </c>
      <c r="AF48">
        <f t="shared" si="9"/>
        <v>2.0550692695386164E-2</v>
      </c>
      <c r="AG48" t="s">
        <v>1176</v>
      </c>
    </row>
    <row r="49" spans="1:33" x14ac:dyDescent="0.3">
      <c r="A49">
        <v>200391</v>
      </c>
      <c r="B49" t="s">
        <v>446</v>
      </c>
      <c r="C49" s="1" t="s">
        <v>589</v>
      </c>
      <c r="D49" t="s">
        <v>594</v>
      </c>
      <c r="E49" s="4">
        <v>7.7</v>
      </c>
      <c r="F49" s="3">
        <f t="shared" si="22"/>
        <v>1</v>
      </c>
      <c r="G49">
        <v>70.666560000000004</v>
      </c>
      <c r="H49">
        <f t="shared" si="10"/>
        <v>0.66699739719603934</v>
      </c>
      <c r="I49">
        <v>27.5</v>
      </c>
      <c r="J49" s="3">
        <f t="shared" si="0"/>
        <v>8.5034013605442174E-2</v>
      </c>
      <c r="K49">
        <v>0</v>
      </c>
      <c r="L49" s="3">
        <f t="shared" si="1"/>
        <v>0</v>
      </c>
      <c r="M49">
        <v>2880</v>
      </c>
      <c r="N49">
        <f t="shared" si="2"/>
        <v>1.2495682578435131E-2</v>
      </c>
      <c r="O49" s="15">
        <v>0.29061267899999998</v>
      </c>
      <c r="P49">
        <f t="shared" si="3"/>
        <v>0.29626639490375606</v>
      </c>
      <c r="Q49">
        <v>0.45019999999999999</v>
      </c>
      <c r="R49">
        <f t="shared" si="4"/>
        <v>0.99800487696741291</v>
      </c>
      <c r="S49">
        <f t="shared" si="11"/>
        <v>0.18366082201487802</v>
      </c>
      <c r="T49" s="14">
        <f t="shared" si="5"/>
        <v>0.30811751542717752</v>
      </c>
      <c r="U49" t="str">
        <f t="shared" si="12"/>
        <v>Moderate</v>
      </c>
      <c r="V49">
        <f t="shared" si="13"/>
        <v>0.2832395341877561</v>
      </c>
      <c r="W49">
        <f t="shared" si="6"/>
        <v>0.38068787432130796</v>
      </c>
      <c r="X49" t="str">
        <f t="shared" si="19"/>
        <v>Moderate</v>
      </c>
      <c r="Y49">
        <f t="shared" si="14"/>
        <v>8.4082109841999958E-2</v>
      </c>
      <c r="Z49">
        <f t="shared" si="7"/>
        <v>0.16847057465703821</v>
      </c>
      <c r="AA49" t="str">
        <f t="shared" si="15"/>
        <v>Low</v>
      </c>
      <c r="AB49">
        <f t="shared" si="16"/>
        <v>0.12559969126712209</v>
      </c>
      <c r="AC49">
        <f t="shared" si="8"/>
        <v>0.29487956166539037</v>
      </c>
      <c r="AD49" t="str">
        <f t="shared" si="17"/>
        <v>Low</v>
      </c>
      <c r="AE49">
        <f t="shared" si="18"/>
        <v>3.5463467108784387E-3</v>
      </c>
      <c r="AF49">
        <f t="shared" si="9"/>
        <v>1.9400076145480165E-2</v>
      </c>
      <c r="AG49" t="s">
        <v>1176</v>
      </c>
    </row>
    <row r="50" spans="1:33" x14ac:dyDescent="0.3">
      <c r="A50">
        <v>200395</v>
      </c>
      <c r="B50" t="s">
        <v>522</v>
      </c>
      <c r="C50" s="1" t="s">
        <v>589</v>
      </c>
      <c r="D50" t="s">
        <v>595</v>
      </c>
      <c r="E50" s="4">
        <v>7.7</v>
      </c>
      <c r="F50" s="3">
        <f t="shared" si="22"/>
        <v>1</v>
      </c>
      <c r="G50">
        <v>70.666560000000004</v>
      </c>
      <c r="H50">
        <f t="shared" si="10"/>
        <v>0.66699739719603934</v>
      </c>
      <c r="I50">
        <v>31.299999999999994</v>
      </c>
      <c r="J50" s="3">
        <f t="shared" si="0"/>
        <v>9.6784168212739607E-2</v>
      </c>
      <c r="K50">
        <v>0</v>
      </c>
      <c r="L50" s="3">
        <f t="shared" si="1"/>
        <v>0</v>
      </c>
      <c r="M50">
        <v>2642</v>
      </c>
      <c r="N50">
        <f t="shared" si="2"/>
        <v>1.1369604405899136E-2</v>
      </c>
      <c r="O50" s="15">
        <v>9.5020465999999998E-2</v>
      </c>
      <c r="P50">
        <f t="shared" si="3"/>
        <v>9.6869038889713849E-2</v>
      </c>
      <c r="Q50">
        <v>0.4511</v>
      </c>
      <c r="R50">
        <f t="shared" si="4"/>
        <v>1</v>
      </c>
      <c r="S50">
        <f t="shared" si="11"/>
        <v>0.15693771455759689</v>
      </c>
      <c r="T50" s="14">
        <f t="shared" si="5"/>
        <v>0.26328564881621391</v>
      </c>
      <c r="U50" t="str">
        <f t="shared" si="12"/>
        <v>Low</v>
      </c>
      <c r="V50">
        <f t="shared" si="13"/>
        <v>0.28615579252096368</v>
      </c>
      <c r="W50">
        <f t="shared" si="6"/>
        <v>0.38460746905240456</v>
      </c>
      <c r="X50" t="str">
        <f t="shared" si="19"/>
        <v>Moderate</v>
      </c>
      <c r="Y50">
        <f t="shared" si="14"/>
        <v>2.7719636594230119E-2</v>
      </c>
      <c r="Z50">
        <f t="shared" si="7"/>
        <v>5.5540270279725128E-2</v>
      </c>
      <c r="AA50" t="str">
        <f t="shared" si="15"/>
        <v>No Impact</v>
      </c>
      <c r="AB50">
        <f t="shared" si="16"/>
        <v>0.10960913571640328</v>
      </c>
      <c r="AC50">
        <f t="shared" si="8"/>
        <v>0.25733736738122065</v>
      </c>
      <c r="AD50" t="str">
        <f t="shared" si="17"/>
        <v>Low</v>
      </c>
      <c r="AE50">
        <f t="shared" si="18"/>
        <v>3.2534781594199076E-3</v>
      </c>
      <c r="AF50">
        <f t="shared" si="9"/>
        <v>1.7797956369237356E-2</v>
      </c>
      <c r="AG50" t="s">
        <v>1176</v>
      </c>
    </row>
    <row r="51" spans="1:33" x14ac:dyDescent="0.3">
      <c r="A51">
        <v>201202</v>
      </c>
      <c r="B51" t="s">
        <v>6</v>
      </c>
      <c r="C51" s="1" t="s">
        <v>597</v>
      </c>
      <c r="D51" t="s">
        <v>596</v>
      </c>
      <c r="E51" s="4">
        <v>6</v>
      </c>
      <c r="F51" s="3">
        <f t="shared" si="22"/>
        <v>0.62222222222222223</v>
      </c>
      <c r="G51">
        <v>56.447279999999999</v>
      </c>
      <c r="H51">
        <f t="shared" si="10"/>
        <v>0.53278649532106903</v>
      </c>
      <c r="I51">
        <v>131.4</v>
      </c>
      <c r="J51" s="3">
        <f t="shared" si="0"/>
        <v>0.40630797773654914</v>
      </c>
      <c r="K51">
        <v>0</v>
      </c>
      <c r="L51" s="3">
        <f t="shared" si="1"/>
        <v>0</v>
      </c>
      <c r="M51">
        <v>17023</v>
      </c>
      <c r="N51">
        <f t="shared" si="2"/>
        <v>7.9412168268252634E-2</v>
      </c>
      <c r="O51" s="15">
        <v>0.13191842200000001</v>
      </c>
      <c r="P51">
        <f t="shared" si="3"/>
        <v>0.13448482510060183</v>
      </c>
      <c r="Q51">
        <v>0.3196</v>
      </c>
      <c r="R51">
        <f t="shared" si="4"/>
        <v>0.70849035690534246</v>
      </c>
      <c r="S51">
        <f t="shared" si="11"/>
        <v>7.7202790137517921E-2</v>
      </c>
      <c r="T51" s="14">
        <f t="shared" si="5"/>
        <v>0.12951881419375791</v>
      </c>
      <c r="U51" t="str">
        <f t="shared" si="12"/>
        <v>No Impact</v>
      </c>
      <c r="V51">
        <f t="shared" si="13"/>
        <v>0.12977234325798365</v>
      </c>
      <c r="W51">
        <f t="shared" si="6"/>
        <v>0.17442041642332465</v>
      </c>
      <c r="X51" t="s">
        <v>1176</v>
      </c>
      <c r="Y51">
        <f t="shared" si="14"/>
        <v>2.4633237017052185E-2</v>
      </c>
      <c r="Z51">
        <f t="shared" si="7"/>
        <v>4.9356225762223295E-2</v>
      </c>
      <c r="AA51" t="str">
        <f t="shared" si="15"/>
        <v>No Impact</v>
      </c>
      <c r="AB51">
        <f t="shared" si="16"/>
        <v>5.7901293643147375E-2</v>
      </c>
      <c r="AC51">
        <f t="shared" si="8"/>
        <v>0.13593909282020461</v>
      </c>
      <c r="AD51" t="str">
        <f t="shared" si="17"/>
        <v>No Impact</v>
      </c>
      <c r="AE51">
        <f t="shared" si="18"/>
        <v>1.4545721136392685E-2</v>
      </c>
      <c r="AF51">
        <f t="shared" si="9"/>
        <v>7.9571491634285146E-2</v>
      </c>
      <c r="AG51" t="s">
        <v>1175</v>
      </c>
    </row>
    <row r="52" spans="1:33" x14ac:dyDescent="0.3">
      <c r="A52">
        <v>201204</v>
      </c>
      <c r="B52" t="s">
        <v>40</v>
      </c>
      <c r="C52" s="1" t="s">
        <v>597</v>
      </c>
      <c r="D52" t="s">
        <v>598</v>
      </c>
      <c r="E52" s="4">
        <v>6</v>
      </c>
      <c r="F52" s="3">
        <f t="shared" si="22"/>
        <v>0.62222222222222223</v>
      </c>
      <c r="G52">
        <v>51.343920000000004</v>
      </c>
      <c r="H52">
        <f t="shared" si="10"/>
        <v>0.48461763246777079</v>
      </c>
      <c r="I52">
        <v>142.29999999999998</v>
      </c>
      <c r="J52" s="3">
        <f t="shared" si="0"/>
        <v>0.44001236858379705</v>
      </c>
      <c r="K52">
        <v>0</v>
      </c>
      <c r="L52" s="3">
        <f t="shared" si="1"/>
        <v>0</v>
      </c>
      <c r="M52">
        <v>40696</v>
      </c>
      <c r="N52">
        <f t="shared" si="2"/>
        <v>0.19141909506844001</v>
      </c>
      <c r="O52" s="15">
        <v>0.22193853699999999</v>
      </c>
      <c r="P52">
        <f t="shared" si="3"/>
        <v>0.22625623380734836</v>
      </c>
      <c r="Q52">
        <v>0.29659999999999997</v>
      </c>
      <c r="R52">
        <f t="shared" si="4"/>
        <v>0.65750387940589661</v>
      </c>
      <c r="S52">
        <f t="shared" si="11"/>
        <v>7.7493848328994128E-2</v>
      </c>
      <c r="T52" s="14">
        <f t="shared" si="5"/>
        <v>0.13000710628468143</v>
      </c>
      <c r="U52" t="str">
        <f t="shared" si="12"/>
        <v>No Impact</v>
      </c>
      <c r="V52">
        <f t="shared" si="13"/>
        <v>0.1153084533791611</v>
      </c>
      <c r="W52">
        <f t="shared" si="6"/>
        <v>0.15498023654809429</v>
      </c>
      <c r="X52" t="s">
        <v>1176</v>
      </c>
      <c r="Y52">
        <f t="shared" si="14"/>
        <v>3.9679243278827152E-2</v>
      </c>
      <c r="Z52">
        <f t="shared" si="7"/>
        <v>7.9503058732730642E-2</v>
      </c>
      <c r="AA52" t="str">
        <f t="shared" si="15"/>
        <v>No Impact</v>
      </c>
      <c r="AB52">
        <f t="shared" si="16"/>
        <v>6.4011143604172316E-2</v>
      </c>
      <c r="AC52">
        <f t="shared" si="8"/>
        <v>0.15028363348087068</v>
      </c>
      <c r="AD52" t="str">
        <f t="shared" si="17"/>
        <v>Low</v>
      </c>
      <c r="AE52">
        <f t="shared" si="18"/>
        <v>3.35697483937651E-2</v>
      </c>
      <c r="AF52">
        <f t="shared" si="9"/>
        <v>0.18364128725088355</v>
      </c>
      <c r="AG52" t="s">
        <v>1175</v>
      </c>
    </row>
    <row r="53" spans="1:33" x14ac:dyDescent="0.3">
      <c r="A53">
        <v>201207</v>
      </c>
      <c r="B53" t="s">
        <v>75</v>
      </c>
      <c r="C53" s="1" t="s">
        <v>597</v>
      </c>
      <c r="D53" t="s">
        <v>1123</v>
      </c>
      <c r="E53" s="4">
        <v>5.2</v>
      </c>
      <c r="F53" s="3">
        <f t="shared" si="22"/>
        <v>0.44444444444444442</v>
      </c>
      <c r="G53">
        <v>57.197879999999998</v>
      </c>
      <c r="H53">
        <f t="shared" si="10"/>
        <v>0.53987115101020045</v>
      </c>
      <c r="I53">
        <v>121.1</v>
      </c>
      <c r="J53" s="3">
        <f t="shared" si="0"/>
        <v>0.37445887445887438</v>
      </c>
      <c r="K53">
        <v>0</v>
      </c>
      <c r="L53" s="3">
        <f t="shared" si="1"/>
        <v>0</v>
      </c>
      <c r="M53">
        <v>16310</v>
      </c>
      <c r="N53">
        <f t="shared" si="2"/>
        <v>7.6038665171537664E-2</v>
      </c>
      <c r="O53" s="15">
        <v>0.34887293200000002</v>
      </c>
      <c r="P53">
        <f t="shared" si="3"/>
        <v>0.35566007029976571</v>
      </c>
      <c r="Q53">
        <v>0.26950000000000002</v>
      </c>
      <c r="R53">
        <f t="shared" si="4"/>
        <v>0.5974285080913323</v>
      </c>
      <c r="S53">
        <f t="shared" si="11"/>
        <v>6.1599223643790876E-2</v>
      </c>
      <c r="T53" s="14">
        <f t="shared" si="5"/>
        <v>0.10334158114478208</v>
      </c>
      <c r="U53" t="str">
        <f t="shared" si="12"/>
        <v>No Impact</v>
      </c>
      <c r="V53">
        <f t="shared" si="13"/>
        <v>7.7224999051437662E-2</v>
      </c>
      <c r="W53">
        <f t="shared" si="6"/>
        <v>0.10379419955502692</v>
      </c>
      <c r="X53" t="s">
        <v>1176</v>
      </c>
      <c r="Y53">
        <f t="shared" si="14"/>
        <v>4.597344823614409E-2</v>
      </c>
      <c r="Z53">
        <f t="shared" si="7"/>
        <v>9.2114401718306954E-2</v>
      </c>
      <c r="AA53" t="str">
        <f t="shared" si="15"/>
        <v>No Impact</v>
      </c>
      <c r="AB53">
        <f t="shared" si="16"/>
        <v>4.4260911314191055E-2</v>
      </c>
      <c r="AC53">
        <f t="shared" si="8"/>
        <v>0.10391457172837709</v>
      </c>
      <c r="AD53" t="str">
        <f t="shared" si="17"/>
        <v>No Impact</v>
      </c>
      <c r="AE53">
        <f t="shared" si="18"/>
        <v>9.8289347866990021E-3</v>
      </c>
      <c r="AF53">
        <f t="shared" si="9"/>
        <v>5.37685959204161E-2</v>
      </c>
      <c r="AG53" t="s">
        <v>1176</v>
      </c>
    </row>
    <row r="54" spans="1:33" x14ac:dyDescent="0.3">
      <c r="A54">
        <v>201213</v>
      </c>
      <c r="B54" t="s">
        <v>89</v>
      </c>
      <c r="C54" s="1" t="s">
        <v>597</v>
      </c>
      <c r="D54" t="s">
        <v>599</v>
      </c>
      <c r="E54" s="4">
        <v>6</v>
      </c>
      <c r="F54" s="3">
        <f t="shared" si="22"/>
        <v>0.62222222222222223</v>
      </c>
      <c r="G54">
        <v>57.197879999999998</v>
      </c>
      <c r="H54">
        <f t="shared" si="10"/>
        <v>0.53987115101020045</v>
      </c>
      <c r="I54">
        <v>128</v>
      </c>
      <c r="J54" s="3">
        <f t="shared" si="0"/>
        <v>0.39579468150896718</v>
      </c>
      <c r="K54">
        <v>0</v>
      </c>
      <c r="L54" s="3">
        <f t="shared" si="1"/>
        <v>0</v>
      </c>
      <c r="M54">
        <v>60378</v>
      </c>
      <c r="N54">
        <f t="shared" si="2"/>
        <v>0.28454292108463092</v>
      </c>
      <c r="O54" s="15">
        <v>0.60142980099999999</v>
      </c>
      <c r="P54">
        <f t="shared" si="3"/>
        <v>0.61313029955569642</v>
      </c>
      <c r="Q54">
        <v>0.31390000000000001</v>
      </c>
      <c r="R54">
        <f t="shared" si="4"/>
        <v>0.69585457769895809</v>
      </c>
      <c r="S54">
        <f t="shared" si="11"/>
        <v>0.12017945938568222</v>
      </c>
      <c r="T54" s="14">
        <f t="shared" si="5"/>
        <v>0.20161837470322394</v>
      </c>
      <c r="U54" t="str">
        <f t="shared" si="12"/>
        <v>Low</v>
      </c>
      <c r="V54">
        <f t="shared" si="13"/>
        <v>0.12777447381104284</v>
      </c>
      <c r="W54">
        <f t="shared" si="6"/>
        <v>0.17173518155627668</v>
      </c>
      <c r="X54" t="s">
        <v>1176</v>
      </c>
      <c r="Y54">
        <f t="shared" si="14"/>
        <v>0.11258444496032162</v>
      </c>
      <c r="Z54">
        <f t="shared" si="7"/>
        <v>0.22557909376382895</v>
      </c>
      <c r="AA54" t="str">
        <f t="shared" si="15"/>
        <v>Low</v>
      </c>
      <c r="AB54">
        <f t="shared" si="16"/>
        <v>9.6783356272744328E-2</v>
      </c>
      <c r="AC54">
        <f t="shared" si="8"/>
        <v>0.22722534893429991</v>
      </c>
      <c r="AD54" t="str">
        <f t="shared" si="17"/>
        <v>Low</v>
      </c>
      <c r="AE54">
        <f t="shared" si="18"/>
        <v>5.2248448430808163E-2</v>
      </c>
      <c r="AF54">
        <f t="shared" si="9"/>
        <v>0.28582199110187817</v>
      </c>
      <c r="AG54" t="s">
        <v>1175</v>
      </c>
    </row>
    <row r="55" spans="1:33" x14ac:dyDescent="0.3">
      <c r="A55">
        <v>201233</v>
      </c>
      <c r="B55" t="s">
        <v>13</v>
      </c>
      <c r="C55" s="1" t="s">
        <v>597</v>
      </c>
      <c r="D55" t="s">
        <v>600</v>
      </c>
      <c r="E55" s="4">
        <v>6</v>
      </c>
      <c r="F55" s="3">
        <f t="shared" si="22"/>
        <v>0.62222222222222223</v>
      </c>
      <c r="G55">
        <v>59.038919999999997</v>
      </c>
      <c r="H55">
        <f t="shared" si="10"/>
        <v>0.55724809546785903</v>
      </c>
      <c r="I55">
        <v>137.99999999999997</v>
      </c>
      <c r="J55" s="3">
        <f t="shared" si="0"/>
        <v>0.42671614100185518</v>
      </c>
      <c r="K55">
        <v>0</v>
      </c>
      <c r="L55" s="3">
        <f t="shared" si="1"/>
        <v>0</v>
      </c>
      <c r="M55">
        <v>21752</v>
      </c>
      <c r="N55">
        <f t="shared" si="2"/>
        <v>0.10178705767128926</v>
      </c>
      <c r="O55" s="15">
        <v>0.563137255</v>
      </c>
      <c r="P55">
        <f t="shared" si="3"/>
        <v>0.57409279233425048</v>
      </c>
      <c r="Q55">
        <v>0.34789999999999999</v>
      </c>
      <c r="R55">
        <f t="shared" si="4"/>
        <v>0.77122589226335625</v>
      </c>
      <c r="S55">
        <f t="shared" si="11"/>
        <v>0.12901290870768947</v>
      </c>
      <c r="T55" s="14">
        <f t="shared" si="5"/>
        <v>0.21643775984965585</v>
      </c>
      <c r="U55" t="str">
        <f t="shared" si="12"/>
        <v>Low</v>
      </c>
      <c r="V55">
        <f t="shared" si="13"/>
        <v>0.1479175109521938</v>
      </c>
      <c r="W55">
        <f t="shared" si="6"/>
        <v>0.19880841486613218</v>
      </c>
      <c r="X55" t="s">
        <v>1175</v>
      </c>
      <c r="Y55">
        <f t="shared" si="14"/>
        <v>0.11010830646318512</v>
      </c>
      <c r="Z55">
        <f t="shared" si="7"/>
        <v>0.22061779490576167</v>
      </c>
      <c r="AA55" t="str">
        <f t="shared" si="15"/>
        <v>Low</v>
      </c>
      <c r="AB55">
        <f t="shared" si="16"/>
        <v>9.1636418956416207E-2</v>
      </c>
      <c r="AC55">
        <f t="shared" si="8"/>
        <v>0.21514150856457945</v>
      </c>
      <c r="AD55" t="str">
        <f t="shared" si="17"/>
        <v>Low</v>
      </c>
      <c r="AE55">
        <f t="shared" si="18"/>
        <v>1.9522280526265316E-2</v>
      </c>
      <c r="AF55">
        <f t="shared" si="9"/>
        <v>0.10679546012272399</v>
      </c>
      <c r="AG55" t="s">
        <v>1175</v>
      </c>
    </row>
    <row r="56" spans="1:33" x14ac:dyDescent="0.3">
      <c r="A56">
        <v>201263</v>
      </c>
      <c r="B56" t="s">
        <v>260</v>
      </c>
      <c r="C56" s="1" t="s">
        <v>597</v>
      </c>
      <c r="D56" t="s">
        <v>601</v>
      </c>
      <c r="E56" s="4">
        <v>5.9</v>
      </c>
      <c r="F56" s="3">
        <f t="shared" si="22"/>
        <v>0.60000000000000009</v>
      </c>
      <c r="G56">
        <v>51.874200000000002</v>
      </c>
      <c r="H56">
        <f t="shared" si="10"/>
        <v>0.48962276332153121</v>
      </c>
      <c r="I56">
        <v>136.70000000000002</v>
      </c>
      <c r="J56" s="3">
        <f t="shared" si="0"/>
        <v>0.42269635126777982</v>
      </c>
      <c r="K56">
        <v>0</v>
      </c>
      <c r="L56" s="3">
        <f t="shared" si="1"/>
        <v>0</v>
      </c>
      <c r="M56">
        <v>28839</v>
      </c>
      <c r="N56">
        <f t="shared" si="2"/>
        <v>0.13531863754003964</v>
      </c>
      <c r="O56" s="15">
        <v>0.79572886200000004</v>
      </c>
      <c r="P56">
        <f t="shared" si="3"/>
        <v>0.81120934598179884</v>
      </c>
      <c r="Q56">
        <v>0.36149999999999999</v>
      </c>
      <c r="R56">
        <f t="shared" si="4"/>
        <v>0.80137441808911547</v>
      </c>
      <c r="S56">
        <f t="shared" si="11"/>
        <v>0.13564492262940678</v>
      </c>
      <c r="T56" s="14">
        <f t="shared" si="5"/>
        <v>0.22756391963387188</v>
      </c>
      <c r="U56" t="str">
        <f t="shared" si="12"/>
        <v>Low</v>
      </c>
      <c r="V56">
        <f t="shared" si="13"/>
        <v>0.13481764279266759</v>
      </c>
      <c r="W56">
        <f t="shared" si="6"/>
        <v>0.18120154731552526</v>
      </c>
      <c r="X56" t="s">
        <v>1175</v>
      </c>
      <c r="Y56">
        <f t="shared" si="14"/>
        <v>0.13647220246614591</v>
      </c>
      <c r="Z56">
        <f t="shared" si="7"/>
        <v>0.27344164433298668</v>
      </c>
      <c r="AA56" t="str">
        <f t="shared" si="15"/>
        <v>Low</v>
      </c>
      <c r="AB56">
        <f t="shared" si="16"/>
        <v>9.6095608040104655E-2</v>
      </c>
      <c r="AC56">
        <f t="shared" si="8"/>
        <v>0.22561067221550435</v>
      </c>
      <c r="AD56" t="str">
        <f t="shared" si="17"/>
        <v>Low</v>
      </c>
      <c r="AE56">
        <f t="shared" si="18"/>
        <v>2.2765063779506375E-2</v>
      </c>
      <c r="AF56">
        <f t="shared" si="9"/>
        <v>0.12453491065168297</v>
      </c>
      <c r="AG56" t="s">
        <v>1175</v>
      </c>
    </row>
    <row r="57" spans="1:33" x14ac:dyDescent="0.3">
      <c r="A57">
        <v>201285</v>
      </c>
      <c r="B57" t="s">
        <v>357</v>
      </c>
      <c r="C57" s="1" t="s">
        <v>597</v>
      </c>
      <c r="D57" t="s">
        <v>602</v>
      </c>
      <c r="E57" s="4">
        <v>6</v>
      </c>
      <c r="F57" s="3">
        <f t="shared" si="22"/>
        <v>0.62222222222222223</v>
      </c>
      <c r="G57">
        <v>56.43036</v>
      </c>
      <c r="H57">
        <f t="shared" si="10"/>
        <v>0.53262679325037887</v>
      </c>
      <c r="I57">
        <v>145.19999999999999</v>
      </c>
      <c r="J57" s="3">
        <f t="shared" si="0"/>
        <v>0.44897959183673464</v>
      </c>
      <c r="K57">
        <v>0</v>
      </c>
      <c r="L57" s="3">
        <f t="shared" si="1"/>
        <v>0</v>
      </c>
      <c r="M57">
        <v>31740</v>
      </c>
      <c r="N57">
        <f t="shared" si="2"/>
        <v>0.14904448955065697</v>
      </c>
      <c r="O57" s="15">
        <v>0.626450913</v>
      </c>
      <c r="P57">
        <f t="shared" si="3"/>
        <v>0.63863818405072592</v>
      </c>
      <c r="Q57">
        <v>0.30630000000000002</v>
      </c>
      <c r="R57">
        <f t="shared" si="4"/>
        <v>0.67900687209044563</v>
      </c>
      <c r="S57">
        <f t="shared" si="11"/>
        <v>0.12414713803528273</v>
      </c>
      <c r="T57" s="14">
        <f t="shared" si="5"/>
        <v>0.20827472783350304</v>
      </c>
      <c r="U57" t="str">
        <f t="shared" si="12"/>
        <v>Low</v>
      </c>
      <c r="V57">
        <f t="shared" si="13"/>
        <v>0.12795063356923739</v>
      </c>
      <c r="W57">
        <f t="shared" si="6"/>
        <v>0.17197194894145246</v>
      </c>
      <c r="X57" t="s">
        <v>1176</v>
      </c>
      <c r="Y57">
        <f t="shared" si="14"/>
        <v>0.1203436425013281</v>
      </c>
      <c r="Z57">
        <f t="shared" si="7"/>
        <v>0.24112575964872662</v>
      </c>
      <c r="AA57" t="str">
        <f t="shared" si="15"/>
        <v>Low</v>
      </c>
      <c r="AB57">
        <f t="shared" si="16"/>
        <v>9.0715785562007545E-2</v>
      </c>
      <c r="AC57">
        <f t="shared" si="8"/>
        <v>0.21298007035514643</v>
      </c>
      <c r="AD57" t="str">
        <f t="shared" si="17"/>
        <v>Low</v>
      </c>
      <c r="AE57">
        <f t="shared" si="18"/>
        <v>2.8085631606788682E-2</v>
      </c>
      <c r="AF57">
        <f t="shared" si="9"/>
        <v>0.15364075658317145</v>
      </c>
      <c r="AG57" t="s">
        <v>1175</v>
      </c>
    </row>
    <row r="58" spans="1:33" x14ac:dyDescent="0.3">
      <c r="A58">
        <v>201290</v>
      </c>
      <c r="B58" t="s">
        <v>375</v>
      </c>
      <c r="C58" s="1" t="s">
        <v>597</v>
      </c>
      <c r="D58" t="s">
        <v>603</v>
      </c>
      <c r="E58" s="4">
        <v>5.8</v>
      </c>
      <c r="F58" s="3">
        <f t="shared" si="22"/>
        <v>0.57777777777777772</v>
      </c>
      <c r="G58">
        <v>59.142600000000002</v>
      </c>
      <c r="H58">
        <f t="shared" si="10"/>
        <v>0.55822669539038661</v>
      </c>
      <c r="I58">
        <v>101.7</v>
      </c>
      <c r="J58" s="3">
        <f t="shared" si="0"/>
        <v>0.3144712430426716</v>
      </c>
      <c r="K58">
        <v>0</v>
      </c>
      <c r="L58" s="3">
        <f t="shared" si="1"/>
        <v>0</v>
      </c>
      <c r="M58">
        <v>31073</v>
      </c>
      <c r="N58">
        <f t="shared" si="2"/>
        <v>0.14588863181502038</v>
      </c>
      <c r="O58" s="15">
        <v>0.52601346000000004</v>
      </c>
      <c r="P58">
        <f t="shared" si="3"/>
        <v>0.5362467735451113</v>
      </c>
      <c r="Q58">
        <v>0.33950000000000002</v>
      </c>
      <c r="R58">
        <f t="shared" si="4"/>
        <v>0.75260474395921084</v>
      </c>
      <c r="S58">
        <f t="shared" si="11"/>
        <v>0.10655663117595389</v>
      </c>
      <c r="T58" s="14">
        <f t="shared" si="5"/>
        <v>0.17876411577622897</v>
      </c>
      <c r="U58" t="str">
        <f t="shared" si="12"/>
        <v>Low</v>
      </c>
      <c r="V58">
        <f t="shared" si="13"/>
        <v>0.12444416604112957</v>
      </c>
      <c r="W58">
        <f t="shared" si="6"/>
        <v>0.16725908400372386</v>
      </c>
      <c r="X58" t="s">
        <v>1176</v>
      </c>
      <c r="Y58">
        <f t="shared" si="14"/>
        <v>8.8669096310778212E-2</v>
      </c>
      <c r="Z58">
        <f t="shared" si="7"/>
        <v>0.17766126037830829</v>
      </c>
      <c r="AA58" t="str">
        <f t="shared" si="15"/>
        <v>Low</v>
      </c>
      <c r="AB58">
        <f t="shared" si="16"/>
        <v>7.859919277312255E-2</v>
      </c>
      <c r="AC58">
        <f t="shared" si="8"/>
        <v>0.18453306117527821</v>
      </c>
      <c r="AD58" t="str">
        <f t="shared" si="17"/>
        <v>Low</v>
      </c>
      <c r="AE58">
        <f t="shared" si="18"/>
        <v>2.4122873615696427E-2</v>
      </c>
      <c r="AF58">
        <f t="shared" si="9"/>
        <v>0.13196272760267819</v>
      </c>
      <c r="AG58" t="s">
        <v>1175</v>
      </c>
    </row>
    <row r="59" spans="1:33" x14ac:dyDescent="0.3">
      <c r="A59">
        <v>201294</v>
      </c>
      <c r="B59" t="s">
        <v>459</v>
      </c>
      <c r="C59" s="1" t="s">
        <v>597</v>
      </c>
      <c r="D59" t="s">
        <v>604</v>
      </c>
      <c r="E59" s="4">
        <v>5.5</v>
      </c>
      <c r="F59" s="3">
        <f t="shared" si="22"/>
        <v>0.51111111111111107</v>
      </c>
      <c r="G59">
        <v>59.142600000000002</v>
      </c>
      <c r="H59">
        <f t="shared" si="10"/>
        <v>0.55822669539038661</v>
      </c>
      <c r="I59">
        <v>125.89999999999998</v>
      </c>
      <c r="J59" s="3">
        <f t="shared" si="0"/>
        <v>0.38930117501546063</v>
      </c>
      <c r="K59">
        <v>0</v>
      </c>
      <c r="L59" s="3">
        <f t="shared" si="1"/>
        <v>0</v>
      </c>
      <c r="M59">
        <v>26913</v>
      </c>
      <c r="N59">
        <f t="shared" si="2"/>
        <v>0.12620592090010552</v>
      </c>
      <c r="O59" s="15">
        <v>0.72542477100000002</v>
      </c>
      <c r="P59">
        <f t="shared" si="3"/>
        <v>0.7395375260900191</v>
      </c>
      <c r="Q59">
        <v>0.31790000000000002</v>
      </c>
      <c r="R59">
        <f t="shared" si="4"/>
        <v>0.70472179117712264</v>
      </c>
      <c r="S59">
        <f t="shared" si="11"/>
        <v>0.11115133645973611</v>
      </c>
      <c r="T59" s="14">
        <f t="shared" si="5"/>
        <v>0.18647239651148792</v>
      </c>
      <c r="U59" t="str">
        <f t="shared" si="12"/>
        <v>Low</v>
      </c>
      <c r="V59">
        <f t="shared" si="13"/>
        <v>0.10847189003406314</v>
      </c>
      <c r="W59">
        <f t="shared" si="6"/>
        <v>0.14579155893297335</v>
      </c>
      <c r="X59" t="s">
        <v>1176</v>
      </c>
      <c r="Y59">
        <f t="shared" si="14"/>
        <v>0.11383078288540911</v>
      </c>
      <c r="Z59">
        <f t="shared" si="7"/>
        <v>0.22807631067300155</v>
      </c>
      <c r="AA59" t="str">
        <f t="shared" si="15"/>
        <v>Low</v>
      </c>
      <c r="AB59">
        <f t="shared" si="16"/>
        <v>7.8913431444603097E-2</v>
      </c>
      <c r="AC59">
        <f t="shared" si="8"/>
        <v>0.185270822237982</v>
      </c>
      <c r="AD59" t="str">
        <f t="shared" si="17"/>
        <v>Low</v>
      </c>
      <c r="AE59">
        <f t="shared" si="18"/>
        <v>1.9425814477309337E-2</v>
      </c>
      <c r="AF59">
        <f t="shared" si="9"/>
        <v>0.10626774841042612</v>
      </c>
      <c r="AG59" t="s">
        <v>1175</v>
      </c>
    </row>
    <row r="60" spans="1:33" x14ac:dyDescent="0.3">
      <c r="A60">
        <v>201322</v>
      </c>
      <c r="B60" t="s">
        <v>98</v>
      </c>
      <c r="C60" s="1" t="s">
        <v>606</v>
      </c>
      <c r="D60" t="s">
        <v>605</v>
      </c>
      <c r="E60" s="4">
        <v>6</v>
      </c>
      <c r="F60" s="3">
        <f t="shared" si="22"/>
        <v>0.62222222222222223</v>
      </c>
      <c r="G60">
        <v>59.729399999999998</v>
      </c>
      <c r="H60">
        <f t="shared" si="10"/>
        <v>0.56376529911858042</v>
      </c>
      <c r="I60">
        <v>112.49999999999999</v>
      </c>
      <c r="J60" s="3">
        <f t="shared" si="0"/>
        <v>0.34786641929499063</v>
      </c>
      <c r="K60">
        <v>0</v>
      </c>
      <c r="L60" s="3">
        <f t="shared" si="1"/>
        <v>0</v>
      </c>
      <c r="M60">
        <v>31606</v>
      </c>
      <c r="N60">
        <f t="shared" si="2"/>
        <v>0.14841047915099384</v>
      </c>
      <c r="O60" s="15">
        <v>0.66741325900000004</v>
      </c>
      <c r="P60">
        <f t="shared" si="3"/>
        <v>0.68039743081855297</v>
      </c>
      <c r="Q60">
        <v>0.36159999999999998</v>
      </c>
      <c r="R60">
        <f t="shared" si="4"/>
        <v>0.8015960984260696</v>
      </c>
      <c r="S60">
        <f t="shared" si="11"/>
        <v>0.13605068294529993</v>
      </c>
      <c r="T60" s="14">
        <f t="shared" si="5"/>
        <v>0.22824464108017911</v>
      </c>
      <c r="U60" t="str">
        <f t="shared" si="12"/>
        <v>Low</v>
      </c>
      <c r="V60">
        <f t="shared" si="13"/>
        <v>0.14717702133657998</v>
      </c>
      <c r="W60">
        <f t="shared" si="6"/>
        <v>0.19781316037761801</v>
      </c>
      <c r="X60" t="s">
        <v>1175</v>
      </c>
      <c r="Y60">
        <f t="shared" si="14"/>
        <v>0.12492434455401992</v>
      </c>
      <c r="Z60">
        <f t="shared" si="7"/>
        <v>0.25030385364041885</v>
      </c>
      <c r="AA60" t="str">
        <f t="shared" si="15"/>
        <v>Low</v>
      </c>
      <c r="AB60">
        <f t="shared" si="16"/>
        <v>9.8526375978173236E-2</v>
      </c>
      <c r="AC60">
        <f t="shared" si="8"/>
        <v>0.2313175635052569</v>
      </c>
      <c r="AD60" t="str">
        <f t="shared" si="17"/>
        <v>Low</v>
      </c>
      <c r="AE60">
        <f t="shared" si="18"/>
        <v>2.7248900411897904E-2</v>
      </c>
      <c r="AF60">
        <f t="shared" si="9"/>
        <v>0.14906346896366543</v>
      </c>
      <c r="AG60" t="s">
        <v>1175</v>
      </c>
    </row>
    <row r="61" spans="1:33" x14ac:dyDescent="0.3">
      <c r="A61">
        <v>201345</v>
      </c>
      <c r="B61" t="s">
        <v>162</v>
      </c>
      <c r="C61" s="1" t="s">
        <v>606</v>
      </c>
      <c r="D61" t="s">
        <v>607</v>
      </c>
      <c r="E61" s="4">
        <v>6</v>
      </c>
      <c r="F61" s="3">
        <f t="shared" si="22"/>
        <v>0.62222222222222223</v>
      </c>
      <c r="G61">
        <v>63.025200000000005</v>
      </c>
      <c r="H61">
        <f t="shared" si="10"/>
        <v>0.59487322373920315</v>
      </c>
      <c r="I61">
        <v>107.1</v>
      </c>
      <c r="J61" s="3">
        <f t="shared" si="0"/>
        <v>0.33116883116883111</v>
      </c>
      <c r="K61">
        <v>0</v>
      </c>
      <c r="L61" s="3">
        <f t="shared" si="1"/>
        <v>0</v>
      </c>
      <c r="M61">
        <v>25019</v>
      </c>
      <c r="N61">
        <f t="shared" si="2"/>
        <v>0.11724460972874765</v>
      </c>
      <c r="O61" s="15">
        <v>0.76227493000000002</v>
      </c>
      <c r="P61">
        <f t="shared" si="3"/>
        <v>0.77710458543556193</v>
      </c>
      <c r="Q61">
        <v>0.39350000000000002</v>
      </c>
      <c r="R61">
        <f t="shared" si="4"/>
        <v>0.87231212591443141</v>
      </c>
      <c r="S61">
        <f t="shared" si="11"/>
        <v>0.15609210257811551</v>
      </c>
      <c r="T61" s="14">
        <f t="shared" si="5"/>
        <v>0.26186701277138474</v>
      </c>
      <c r="U61" t="str">
        <f t="shared" si="12"/>
        <v>Low</v>
      </c>
      <c r="V61">
        <f t="shared" si="13"/>
        <v>0.16510204231764586</v>
      </c>
      <c r="W61">
        <f t="shared" si="6"/>
        <v>0.22190527080286457</v>
      </c>
      <c r="X61" t="s">
        <v>1175</v>
      </c>
      <c r="Y61">
        <f t="shared" si="14"/>
        <v>0.14708216283858516</v>
      </c>
      <c r="Z61">
        <f t="shared" si="7"/>
        <v>0.29470022269635193</v>
      </c>
      <c r="AA61" t="str">
        <f t="shared" si="15"/>
        <v>Low</v>
      </c>
      <c r="AB61">
        <f t="shared" si="16"/>
        <v>0.10967715192541716</v>
      </c>
      <c r="AC61">
        <f t="shared" si="8"/>
        <v>0.25749705399906031</v>
      </c>
      <c r="AD61" t="str">
        <f t="shared" si="17"/>
        <v>Low</v>
      </c>
      <c r="AE61">
        <f t="shared" si="18"/>
        <v>2.219082360761589E-2</v>
      </c>
      <c r="AF61">
        <f t="shared" si="9"/>
        <v>0.12139356436811287</v>
      </c>
      <c r="AG61" t="s">
        <v>1175</v>
      </c>
    </row>
    <row r="62" spans="1:33" x14ac:dyDescent="0.3">
      <c r="A62">
        <v>201347</v>
      </c>
      <c r="B62" t="s">
        <v>197</v>
      </c>
      <c r="C62" s="1" t="s">
        <v>606</v>
      </c>
      <c r="D62" t="s">
        <v>608</v>
      </c>
      <c r="E62" s="4">
        <v>6</v>
      </c>
      <c r="F62" s="3">
        <f t="shared" si="22"/>
        <v>0.62222222222222223</v>
      </c>
      <c r="G62">
        <v>63.025200000000005</v>
      </c>
      <c r="H62">
        <f t="shared" si="10"/>
        <v>0.59487322373920315</v>
      </c>
      <c r="I62">
        <v>101.1</v>
      </c>
      <c r="J62" s="3">
        <f t="shared" si="0"/>
        <v>0.31261595547309828</v>
      </c>
      <c r="K62">
        <v>0</v>
      </c>
      <c r="L62" s="3">
        <f t="shared" si="1"/>
        <v>0</v>
      </c>
      <c r="M62">
        <v>5413</v>
      </c>
      <c r="N62">
        <f t="shared" si="2"/>
        <v>2.4480371700425354E-2</v>
      </c>
      <c r="O62" s="15">
        <v>0.305467822</v>
      </c>
      <c r="P62">
        <f t="shared" si="3"/>
        <v>0.31141053685081055</v>
      </c>
      <c r="Q62">
        <v>0.30370000000000003</v>
      </c>
      <c r="R62">
        <f t="shared" si="4"/>
        <v>0.67324318332963873</v>
      </c>
      <c r="S62">
        <f t="shared" si="11"/>
        <v>9.2045752034471726E-2</v>
      </c>
      <c r="T62" s="14">
        <f t="shared" si="5"/>
        <v>0.15442002334166857</v>
      </c>
      <c r="U62" t="str">
        <f t="shared" si="12"/>
        <v>Low</v>
      </c>
      <c r="V62">
        <f t="shared" si="13"/>
        <v>0.12586998625324189</v>
      </c>
      <c r="W62">
        <f t="shared" si="6"/>
        <v>0.16917545654426611</v>
      </c>
      <c r="X62" t="s">
        <v>1176</v>
      </c>
      <c r="Y62">
        <f t="shared" si="14"/>
        <v>5.8221517815701569E-2</v>
      </c>
      <c r="Z62">
        <f t="shared" si="7"/>
        <v>0.11665516698198646</v>
      </c>
      <c r="AA62" t="str">
        <f t="shared" si="15"/>
        <v>No Impact</v>
      </c>
      <c r="AB62">
        <f t="shared" si="16"/>
        <v>6.3122853744542337E-2</v>
      </c>
      <c r="AC62">
        <f t="shared" si="8"/>
        <v>0.14819813054852338</v>
      </c>
      <c r="AD62" t="str">
        <f t="shared" si="17"/>
        <v>No Impact</v>
      </c>
      <c r="AE62">
        <f t="shared" si="18"/>
        <v>4.5768663177062994E-3</v>
      </c>
      <c r="AF62">
        <f t="shared" si="9"/>
        <v>2.5037471603895078E-2</v>
      </c>
      <c r="AG62" t="s">
        <v>1176</v>
      </c>
    </row>
    <row r="63" spans="1:33" x14ac:dyDescent="0.3">
      <c r="A63">
        <v>201349</v>
      </c>
      <c r="B63" t="s">
        <v>198</v>
      </c>
      <c r="C63" s="1" t="s">
        <v>606</v>
      </c>
      <c r="D63" t="s">
        <v>609</v>
      </c>
      <c r="E63" s="4">
        <v>4.5999999999999996</v>
      </c>
      <c r="F63" s="3">
        <f t="shared" si="22"/>
        <v>0.31111111111111101</v>
      </c>
      <c r="G63">
        <v>57.248280000000001</v>
      </c>
      <c r="H63">
        <f t="shared" si="10"/>
        <v>0.54034685930587367</v>
      </c>
      <c r="I63">
        <v>114.8</v>
      </c>
      <c r="J63" s="3">
        <f t="shared" si="0"/>
        <v>0.35497835497835495</v>
      </c>
      <c r="K63">
        <v>0</v>
      </c>
      <c r="L63" s="3">
        <f t="shared" si="1"/>
        <v>0</v>
      </c>
      <c r="M63">
        <v>29282</v>
      </c>
      <c r="N63">
        <f t="shared" si="2"/>
        <v>0.13741465699564237</v>
      </c>
      <c r="O63" s="15">
        <v>0.33133156899999999</v>
      </c>
      <c r="P63">
        <f t="shared" si="3"/>
        <v>0.33777744936391818</v>
      </c>
      <c r="Q63">
        <v>0.32740000000000002</v>
      </c>
      <c r="R63">
        <f t="shared" si="4"/>
        <v>0.72578142318776329</v>
      </c>
      <c r="S63">
        <f t="shared" si="11"/>
        <v>4.750423290484429E-2</v>
      </c>
      <c r="T63" s="14">
        <f t="shared" si="5"/>
        <v>7.9695201482485406E-2</v>
      </c>
      <c r="U63" t="str">
        <f t="shared" si="12"/>
        <v>No Impact</v>
      </c>
      <c r="V63">
        <f t="shared" si="13"/>
        <v>6.483456751651609E-2</v>
      </c>
      <c r="W63">
        <f t="shared" si="6"/>
        <v>8.7140849744663837E-2</v>
      </c>
      <c r="X63" t="s">
        <v>1176</v>
      </c>
      <c r="Y63">
        <f t="shared" si="14"/>
        <v>3.0173898293172484E-2</v>
      </c>
      <c r="Z63">
        <f t="shared" si="7"/>
        <v>6.0457735832820055E-2</v>
      </c>
      <c r="AA63" t="str">
        <f t="shared" si="15"/>
        <v>No Impact</v>
      </c>
      <c r="AB63">
        <f t="shared" si="16"/>
        <v>3.6040640070723357E-2</v>
      </c>
      <c r="AC63">
        <f t="shared" si="8"/>
        <v>8.4615241000811123E-2</v>
      </c>
      <c r="AD63" t="str">
        <f t="shared" si="17"/>
        <v>No Impact</v>
      </c>
      <c r="AE63">
        <f t="shared" si="18"/>
        <v>1.227534843425996E-2</v>
      </c>
      <c r="AF63">
        <f t="shared" si="9"/>
        <v>6.7151554473351374E-2</v>
      </c>
      <c r="AG63" t="s">
        <v>1175</v>
      </c>
    </row>
    <row r="64" spans="1:33" x14ac:dyDescent="0.3">
      <c r="A64">
        <v>201358</v>
      </c>
      <c r="B64" t="s">
        <v>231</v>
      </c>
      <c r="C64" s="1" t="s">
        <v>606</v>
      </c>
      <c r="D64" t="s">
        <v>1124</v>
      </c>
      <c r="E64" s="4">
        <v>5.6</v>
      </c>
      <c r="F64" s="3">
        <f t="shared" si="22"/>
        <v>0.53333333333333321</v>
      </c>
      <c r="G64">
        <v>54.342000000000006</v>
      </c>
      <c r="H64">
        <f t="shared" si="10"/>
        <v>0.51291548022752453</v>
      </c>
      <c r="I64">
        <v>112.69999999999999</v>
      </c>
      <c r="J64" s="3">
        <f t="shared" si="0"/>
        <v>0.3484848484848484</v>
      </c>
      <c r="K64">
        <v>0</v>
      </c>
      <c r="L64" s="3">
        <f t="shared" si="1"/>
        <v>0</v>
      </c>
      <c r="M64">
        <v>41920</v>
      </c>
      <c r="N64">
        <f t="shared" si="2"/>
        <v>0.19721035424148226</v>
      </c>
      <c r="O64" s="15">
        <v>0.48636347000000002</v>
      </c>
      <c r="P64">
        <f t="shared" si="3"/>
        <v>0.49582541396888308</v>
      </c>
      <c r="Q64">
        <v>0.3377</v>
      </c>
      <c r="R64">
        <f t="shared" si="4"/>
        <v>0.74861449789403678</v>
      </c>
      <c r="S64">
        <f t="shared" si="11"/>
        <v>9.1213517021279125E-2</v>
      </c>
      <c r="T64" s="14">
        <f t="shared" si="5"/>
        <v>0.15302382908693724</v>
      </c>
      <c r="U64" t="str">
        <f t="shared" si="12"/>
        <v>Low</v>
      </c>
      <c r="V64">
        <f t="shared" si="13"/>
        <v>0.10974215885412034</v>
      </c>
      <c r="W64">
        <f t="shared" si="6"/>
        <v>0.14749886274672575</v>
      </c>
      <c r="X64" t="s">
        <v>1176</v>
      </c>
      <c r="Y64">
        <f t="shared" si="14"/>
        <v>7.2684875188437872E-2</v>
      </c>
      <c r="Z64">
        <f t="shared" si="7"/>
        <v>0.14563457928067572</v>
      </c>
      <c r="AA64" t="str">
        <f t="shared" si="15"/>
        <v>No Impact</v>
      </c>
      <c r="AB64">
        <f t="shared" si="16"/>
        <v>7.0333645636246514E-2</v>
      </c>
      <c r="AC64">
        <f t="shared" si="8"/>
        <v>0.16512743292844634</v>
      </c>
      <c r="AD64" t="str">
        <f t="shared" si="17"/>
        <v>Low</v>
      </c>
      <c r="AE64">
        <f t="shared" si="18"/>
        <v>2.8909792802208685E-2</v>
      </c>
      <c r="AF64">
        <f t="shared" si="9"/>
        <v>0.15814928077745066</v>
      </c>
      <c r="AG64" t="s">
        <v>1175</v>
      </c>
    </row>
    <row r="65" spans="1:33" x14ac:dyDescent="0.3">
      <c r="A65">
        <v>201376</v>
      </c>
      <c r="B65" t="s">
        <v>327</v>
      </c>
      <c r="C65" s="1" t="s">
        <v>606</v>
      </c>
      <c r="D65" t="s">
        <v>610</v>
      </c>
      <c r="E65" s="4">
        <v>6</v>
      </c>
      <c r="F65" s="3">
        <f t="shared" si="22"/>
        <v>0.62222222222222223</v>
      </c>
      <c r="G65">
        <v>53.945639999999997</v>
      </c>
      <c r="H65">
        <f t="shared" si="10"/>
        <v>0.50917437427369527</v>
      </c>
      <c r="I65">
        <v>111.80000000000001</v>
      </c>
      <c r="J65" s="3">
        <f t="shared" si="0"/>
        <v>0.34570191713048853</v>
      </c>
      <c r="K65">
        <v>0</v>
      </c>
      <c r="L65" s="3">
        <f t="shared" si="1"/>
        <v>0</v>
      </c>
      <c r="M65">
        <v>14716</v>
      </c>
      <c r="N65">
        <f t="shared" si="2"/>
        <v>6.8496780268082313E-2</v>
      </c>
      <c r="O65" s="15">
        <v>0.37338610500000002</v>
      </c>
      <c r="P65">
        <f t="shared" si="3"/>
        <v>0.38065013411030613</v>
      </c>
      <c r="Q65">
        <v>0.33529999999999999</v>
      </c>
      <c r="R65">
        <f t="shared" si="4"/>
        <v>0.74329416980713803</v>
      </c>
      <c r="S65">
        <f t="shared" si="11"/>
        <v>9.5393945169814684E-2</v>
      </c>
      <c r="T65" s="14">
        <f t="shared" si="5"/>
        <v>0.16003710018317716</v>
      </c>
      <c r="U65" t="str">
        <f t="shared" si="12"/>
        <v>Low</v>
      </c>
      <c r="V65">
        <f t="shared" si="13"/>
        <v>0.12617309066381141</v>
      </c>
      <c r="W65">
        <f t="shared" si="6"/>
        <v>0.16958284379014626</v>
      </c>
      <c r="X65" t="s">
        <v>1176</v>
      </c>
      <c r="Y65">
        <f t="shared" si="14"/>
        <v>6.4614799675817944E-2</v>
      </c>
      <c r="Z65">
        <f t="shared" si="7"/>
        <v>0.12946502476198485</v>
      </c>
      <c r="AA65" t="str">
        <f t="shared" si="15"/>
        <v>No Impact</v>
      </c>
      <c r="AB65">
        <f t="shared" si="16"/>
        <v>6.7614551286058922E-2</v>
      </c>
      <c r="AC65">
        <f t="shared" si="8"/>
        <v>0.15874361667841352</v>
      </c>
      <c r="AD65" t="str">
        <f t="shared" si="17"/>
        <v>Low</v>
      </c>
      <c r="AE65">
        <f t="shared" si="18"/>
        <v>1.1627227574227265E-2</v>
      </c>
      <c r="AF65">
        <f t="shared" si="9"/>
        <v>6.3606048333881476E-2</v>
      </c>
      <c r="AG65" t="s">
        <v>1175</v>
      </c>
    </row>
    <row r="66" spans="1:33" x14ac:dyDescent="0.3">
      <c r="A66">
        <v>201379</v>
      </c>
      <c r="B66" t="s">
        <v>328</v>
      </c>
      <c r="C66" s="1" t="s">
        <v>606</v>
      </c>
      <c r="D66" t="s">
        <v>1125</v>
      </c>
      <c r="E66" s="4">
        <v>5.3</v>
      </c>
      <c r="F66" s="3">
        <f t="shared" si="22"/>
        <v>0.46666666666666656</v>
      </c>
      <c r="G66">
        <v>58.457160000000002</v>
      </c>
      <c r="H66">
        <f t="shared" si="10"/>
        <v>0.55175706256923251</v>
      </c>
      <c r="I66">
        <v>116.9</v>
      </c>
      <c r="J66" s="3">
        <f t="shared" ref="J66:J129" si="23">(I66-$AJ$7)/$AK$7</f>
        <v>0.36147186147186144</v>
      </c>
      <c r="K66">
        <v>0</v>
      </c>
      <c r="L66" s="3">
        <f t="shared" ref="L66:L129" si="24">(K66-$AJ$8)/$AK$8</f>
        <v>0</v>
      </c>
      <c r="M66">
        <v>26290</v>
      </c>
      <c r="N66">
        <f t="shared" ref="N66:N129" si="25">(M66-$AJ$9)/$AK$9</f>
        <v>0.12325824568376129</v>
      </c>
      <c r="O66" s="15">
        <v>0.41072800700000001</v>
      </c>
      <c r="P66">
        <f t="shared" ref="P66:P129" si="26">(O66-$AJ$11)/$AK$11</f>
        <v>0.41871850305572766</v>
      </c>
      <c r="Q66">
        <v>0.35780000000000001</v>
      </c>
      <c r="R66">
        <f t="shared" ref="R66:R129" si="27">(Q66-$AJ$12)/$AK$12</f>
        <v>0.79317224562181332</v>
      </c>
      <c r="S66">
        <f t="shared" si="11"/>
        <v>8.2852138325380395E-2</v>
      </c>
      <c r="T66" s="14">
        <f t="shared" ref="T66:T129" si="28">(S66-$AJ$10)/$AK$10</f>
        <v>0.13899641049508671</v>
      </c>
      <c r="U66" t="str">
        <f t="shared" si="12"/>
        <v>No Impact</v>
      </c>
      <c r="V66">
        <f t="shared" si="13"/>
        <v>0.108452047648392</v>
      </c>
      <c r="W66">
        <f t="shared" ref="W66:W129" si="29">(V66-$AJ$13)/$AK$13</f>
        <v>0.14576488979003654</v>
      </c>
      <c r="X66" t="s">
        <v>1176</v>
      </c>
      <c r="Y66">
        <f t="shared" si="14"/>
        <v>5.7252229002368787E-2</v>
      </c>
      <c r="Z66">
        <f t="shared" ref="Z66:Z129" si="30">(Y66-$AJ$14)/$AK$14</f>
        <v>0.11471305773071212</v>
      </c>
      <c r="AA66" t="str">
        <f t="shared" si="15"/>
        <v>No Impact</v>
      </c>
      <c r="AB66">
        <f t="shared" si="16"/>
        <v>6.103255773123669E-2</v>
      </c>
      <c r="AC66">
        <f t="shared" ref="AC66:AC129" si="31">(AB66-$AJ$15)/$AK$15</f>
        <v>0.14329059004475278</v>
      </c>
      <c r="AD66" t="str">
        <f t="shared" si="17"/>
        <v>No Impact</v>
      </c>
      <c r="AE66">
        <f t="shared" si="18"/>
        <v>1.6853349581682414E-2</v>
      </c>
      <c r="AF66">
        <f t="shared" ref="AF66:AF129" si="32">(AE66-$AJ$16)/$AK$16</f>
        <v>9.2195234094877107E-2</v>
      </c>
      <c r="AG66" t="s">
        <v>1175</v>
      </c>
    </row>
    <row r="67" spans="1:33" x14ac:dyDescent="0.3">
      <c r="A67">
        <v>201395</v>
      </c>
      <c r="B67" t="s">
        <v>473</v>
      </c>
      <c r="C67" s="1" t="s">
        <v>606</v>
      </c>
      <c r="D67" t="s">
        <v>611</v>
      </c>
      <c r="E67" s="4">
        <v>6</v>
      </c>
      <c r="F67" s="3">
        <f t="shared" si="22"/>
        <v>0.62222222222222223</v>
      </c>
      <c r="G67">
        <v>57.248280000000001</v>
      </c>
      <c r="H67">
        <f t="shared" ref="H67:H130" si="33">(G67-$AJ$6)/$AK$6</f>
        <v>0.54034685930587367</v>
      </c>
      <c r="I67">
        <v>118.1</v>
      </c>
      <c r="J67" s="3">
        <f t="shared" si="23"/>
        <v>0.36518243661100797</v>
      </c>
      <c r="K67">
        <v>0</v>
      </c>
      <c r="L67" s="3">
        <f t="shared" si="24"/>
        <v>0</v>
      </c>
      <c r="M67">
        <v>14024</v>
      </c>
      <c r="N67">
        <f t="shared" si="25"/>
        <v>6.5222637010120516E-2</v>
      </c>
      <c r="O67" s="15">
        <v>0.39793395799999998</v>
      </c>
      <c r="P67">
        <f t="shared" si="26"/>
        <v>0.40567555260189692</v>
      </c>
      <c r="Q67">
        <v>0.3231</v>
      </c>
      <c r="R67">
        <f t="shared" si="27"/>
        <v>0.71624916869873645</v>
      </c>
      <c r="S67">
        <f t="shared" ref="S67:S130" si="34">F67*(R67*0.5+P67*0.5)*(H67*0.4+J67*0.2+L67*0.4)</f>
        <v>0.10093466148786352</v>
      </c>
      <c r="T67" s="14">
        <f t="shared" si="28"/>
        <v>0.16933245085663615</v>
      </c>
      <c r="U67" t="str">
        <f t="shared" ref="U67:U130" si="35">IF(T67&gt;0.7,"High",IF(T67&gt;0.3,"Moderate",IF(T67&gt;0.15,"Low","No Impact")))</f>
        <v>Low</v>
      </c>
      <c r="V67">
        <f t="shared" ref="V67:V130" si="36">F67*(R67*1)*(H67*0.4+J67*0.2+L67*0.4)</f>
        <v>0.12887561172510872</v>
      </c>
      <c r="W67">
        <f t="shared" si="29"/>
        <v>0.17321516510815776</v>
      </c>
      <c r="X67" t="s">
        <v>1176</v>
      </c>
      <c r="Y67">
        <f t="shared" ref="Y67:Y130" si="37">F67*(P67*1)*(H67*0.4+J67*0.2+L67*0.4)</f>
        <v>7.2993711250618334E-2</v>
      </c>
      <c r="Z67">
        <f t="shared" si="30"/>
        <v>0.14625337665586205</v>
      </c>
      <c r="AA67" t="str">
        <f t="shared" ref="AA67:AA130" si="38">IF(Z67&gt;0.7,"High",IF(Z67&gt;0.3,"Moderate",IF(Z67&gt;0.15,"Low","No Impact")))</f>
        <v>No Impact</v>
      </c>
      <c r="AB67">
        <f t="shared" ref="AB67:AB130" si="39">F67*(R67*0.35+P67*0.3+N67*0.35)*(H67*0.4+J67*0.2+L67*0.4)</f>
        <v>7.1112034302129506E-2</v>
      </c>
      <c r="AC67">
        <f t="shared" si="31"/>
        <v>0.16695491280745914</v>
      </c>
      <c r="AD67" t="str">
        <f t="shared" ref="AD67:AD130" si="40">IF(AC67&gt;0.7,"High",IF(AC67&gt;0.3,"Moderate",IF(AC67&gt;0.15,"Low","No Impact")))</f>
        <v>Low</v>
      </c>
      <c r="AE67">
        <f t="shared" ref="AE67:AE130" si="41">F67*(N67*1)*(H67*0.4+J67*0.2+L67*0.4)</f>
        <v>1.1735590923302704E-2</v>
      </c>
      <c r="AF67">
        <f t="shared" si="32"/>
        <v>6.4198843510110043E-2</v>
      </c>
      <c r="AG67" t="s">
        <v>1175</v>
      </c>
    </row>
    <row r="68" spans="1:33" x14ac:dyDescent="0.3">
      <c r="A68">
        <v>201504</v>
      </c>
      <c r="B68" t="s">
        <v>11</v>
      </c>
      <c r="C68" t="s">
        <v>1165</v>
      </c>
      <c r="D68" t="s">
        <v>612</v>
      </c>
      <c r="E68" s="4">
        <v>5.2</v>
      </c>
      <c r="F68" s="3">
        <f t="shared" si="22"/>
        <v>0.44444444444444442</v>
      </c>
      <c r="G68">
        <v>74.99736</v>
      </c>
      <c r="H68">
        <f t="shared" si="33"/>
        <v>0.70787433145994871</v>
      </c>
      <c r="I68">
        <v>45.199999999999996</v>
      </c>
      <c r="J68" s="3">
        <f t="shared" si="23"/>
        <v>0.13976499690785402</v>
      </c>
      <c r="K68">
        <v>0.1</v>
      </c>
      <c r="L68" s="3">
        <f t="shared" si="24"/>
        <v>0.05</v>
      </c>
      <c r="M68">
        <v>33279</v>
      </c>
      <c r="N68">
        <f t="shared" si="25"/>
        <v>0.15632614630499686</v>
      </c>
      <c r="O68" s="15">
        <v>0.555129125</v>
      </c>
      <c r="P68">
        <f t="shared" si="26"/>
        <v>0.56592886840228529</v>
      </c>
      <c r="Q68">
        <v>0.39140000000000003</v>
      </c>
      <c r="R68">
        <f t="shared" si="27"/>
        <v>0.86765683883839506</v>
      </c>
      <c r="S68">
        <f t="shared" si="34"/>
        <v>0.10548092092758997</v>
      </c>
      <c r="T68" s="14">
        <f t="shared" si="28"/>
        <v>0.17695945670191321</v>
      </c>
      <c r="U68" t="str">
        <f t="shared" si="35"/>
        <v>Low</v>
      </c>
      <c r="V68">
        <f t="shared" si="36"/>
        <v>0.12768157766577148</v>
      </c>
      <c r="W68">
        <f t="shared" si="29"/>
        <v>0.17161032456490571</v>
      </c>
      <c r="X68" t="s">
        <v>1176</v>
      </c>
      <c r="Y68">
        <f t="shared" si="37"/>
        <v>8.3280264189408468E-2</v>
      </c>
      <c r="Z68">
        <f t="shared" si="30"/>
        <v>0.1668639618099988</v>
      </c>
      <c r="AA68" t="str">
        <f t="shared" si="38"/>
        <v>Low</v>
      </c>
      <c r="AB68">
        <f t="shared" si="39"/>
        <v>7.7724189191722901E-2</v>
      </c>
      <c r="AC68">
        <f t="shared" si="31"/>
        <v>0.18247875140798728</v>
      </c>
      <c r="AD68" t="str">
        <f t="shared" si="40"/>
        <v>Low</v>
      </c>
      <c r="AE68">
        <f t="shared" si="41"/>
        <v>2.3004450719658127E-2</v>
      </c>
      <c r="AF68">
        <f t="shared" si="32"/>
        <v>0.1258444624935634</v>
      </c>
      <c r="AG68" t="s">
        <v>1175</v>
      </c>
    </row>
    <row r="69" spans="1:33" x14ac:dyDescent="0.3">
      <c r="A69">
        <v>201506</v>
      </c>
      <c r="B69" t="s">
        <v>56</v>
      </c>
      <c r="C69" t="s">
        <v>1165</v>
      </c>
      <c r="D69" t="s">
        <v>613</v>
      </c>
      <c r="E69" s="4">
        <v>5.3</v>
      </c>
      <c r="F69" s="3">
        <f t="shared" si="22"/>
        <v>0.46666666666666656</v>
      </c>
      <c r="G69">
        <v>66.056759999999997</v>
      </c>
      <c r="H69">
        <f t="shared" si="33"/>
        <v>0.62348707772393963</v>
      </c>
      <c r="I69">
        <v>51.199999999999996</v>
      </c>
      <c r="J69" s="3">
        <f t="shared" si="23"/>
        <v>0.15831787260358687</v>
      </c>
      <c r="K69">
        <v>0</v>
      </c>
      <c r="L69" s="3">
        <f t="shared" si="24"/>
        <v>0</v>
      </c>
      <c r="M69">
        <v>20965</v>
      </c>
      <c r="N69">
        <f t="shared" si="25"/>
        <v>9.8063429428491666E-2</v>
      </c>
      <c r="O69" s="15">
        <v>0.49964676200000002</v>
      </c>
      <c r="P69">
        <f t="shared" si="26"/>
        <v>0.50936712538641526</v>
      </c>
      <c r="Q69">
        <v>0.38469999999999999</v>
      </c>
      <c r="R69">
        <f t="shared" si="27"/>
        <v>0.85280425626246947</v>
      </c>
      <c r="S69">
        <f t="shared" si="34"/>
        <v>8.933160056198132E-2</v>
      </c>
      <c r="T69" s="14">
        <f t="shared" si="28"/>
        <v>0.14986664282740181</v>
      </c>
      <c r="U69" t="str">
        <f t="shared" si="35"/>
        <v>No Impact</v>
      </c>
      <c r="V69">
        <f t="shared" si="36"/>
        <v>0.11185430879597405</v>
      </c>
      <c r="W69">
        <f t="shared" si="29"/>
        <v>0.15033769622354951</v>
      </c>
      <c r="X69" t="s">
        <v>1176</v>
      </c>
      <c r="Y69">
        <f t="shared" si="37"/>
        <v>6.6808892327988603E-2</v>
      </c>
      <c r="Z69">
        <f t="shared" si="30"/>
        <v>0.13386120429002682</v>
      </c>
      <c r="AA69" t="str">
        <f t="shared" si="38"/>
        <v>No Impact</v>
      </c>
      <c r="AB69">
        <f t="shared" si="39"/>
        <v>6.3693395793882876E-2</v>
      </c>
      <c r="AC69">
        <f t="shared" si="31"/>
        <v>0.14953763375688239</v>
      </c>
      <c r="AD69" t="str">
        <f t="shared" si="40"/>
        <v>No Impact</v>
      </c>
      <c r="AE69">
        <f t="shared" si="41"/>
        <v>1.2862057191129705E-2</v>
      </c>
      <c r="AF69">
        <f t="shared" si="32"/>
        <v>7.0361109400278884E-2</v>
      </c>
      <c r="AG69" t="s">
        <v>1175</v>
      </c>
    </row>
    <row r="70" spans="1:33" s="15" customFormat="1" x14ac:dyDescent="0.3">
      <c r="A70" s="15">
        <v>201508</v>
      </c>
      <c r="B70" s="15" t="s">
        <v>45</v>
      </c>
      <c r="C70" t="s">
        <v>1165</v>
      </c>
      <c r="D70" s="15" t="s">
        <v>614</v>
      </c>
      <c r="E70" s="17">
        <v>5.7</v>
      </c>
      <c r="F70" s="3">
        <f t="shared" ref="F70:F133" si="42">(E70-$AJ$5)/$AK$5</f>
        <v>0.55555555555555558</v>
      </c>
      <c r="G70" s="15">
        <v>77.769359999999992</v>
      </c>
      <c r="H70">
        <f t="shared" si="33"/>
        <v>0.73403828772196877</v>
      </c>
      <c r="I70" s="15">
        <v>48.2</v>
      </c>
      <c r="J70" s="3">
        <f t="shared" si="23"/>
        <v>0.14904143475572046</v>
      </c>
      <c r="K70" s="15">
        <v>0.1</v>
      </c>
      <c r="L70" s="3">
        <f t="shared" si="24"/>
        <v>0.05</v>
      </c>
      <c r="M70" s="15">
        <v>56891</v>
      </c>
      <c r="N70">
        <f t="shared" si="25"/>
        <v>0.26804445643071073</v>
      </c>
      <c r="O70" s="15">
        <v>0.38601412499999999</v>
      </c>
      <c r="P70">
        <f t="shared" si="26"/>
        <v>0.39352382555778942</v>
      </c>
      <c r="Q70" s="15">
        <v>0.39129999999999998</v>
      </c>
      <c r="R70">
        <f t="shared" si="27"/>
        <v>0.86743515850144093</v>
      </c>
      <c r="S70">
        <f t="shared" si="34"/>
        <v>0.1202897434250649</v>
      </c>
      <c r="T70" s="14">
        <f t="shared" si="28"/>
        <v>0.20180339208381212</v>
      </c>
      <c r="U70" t="str">
        <f t="shared" si="35"/>
        <v>Low</v>
      </c>
      <c r="V70">
        <f t="shared" si="36"/>
        <v>0.16549872592702436</v>
      </c>
      <c r="W70">
        <f t="shared" si="29"/>
        <v>0.22243843309768849</v>
      </c>
      <c r="X70" t="s">
        <v>1175</v>
      </c>
      <c r="Y70">
        <f t="shared" si="37"/>
        <v>7.5080760923105422E-2</v>
      </c>
      <c r="Z70">
        <f t="shared" si="30"/>
        <v>0.15043508021114144</v>
      </c>
      <c r="AA70" t="str">
        <f t="shared" si="38"/>
        <v>Low</v>
      </c>
      <c r="AB70">
        <f t="shared" si="39"/>
        <v>9.83479364941649E-2</v>
      </c>
      <c r="AC70">
        <f t="shared" si="31"/>
        <v>0.23089862810583564</v>
      </c>
      <c r="AD70" t="str">
        <f t="shared" si="40"/>
        <v>Low</v>
      </c>
      <c r="AE70">
        <f t="shared" si="41"/>
        <v>5.1140440407927888E-2</v>
      </c>
      <c r="AF70">
        <f t="shared" si="32"/>
        <v>0.279760699929263</v>
      </c>
      <c r="AG70" t="s">
        <v>1175</v>
      </c>
    </row>
    <row r="71" spans="1:33" x14ac:dyDescent="0.3">
      <c r="A71">
        <v>201510</v>
      </c>
      <c r="B71" t="s">
        <v>32</v>
      </c>
      <c r="C71" t="s">
        <v>1165</v>
      </c>
      <c r="D71" t="s">
        <v>615</v>
      </c>
      <c r="E71" s="4">
        <v>5.6</v>
      </c>
      <c r="F71" s="3">
        <f t="shared" si="42"/>
        <v>0.53333333333333321</v>
      </c>
      <c r="G71">
        <v>69.042959999999994</v>
      </c>
      <c r="H71">
        <f t="shared" si="33"/>
        <v>0.65167279424257041</v>
      </c>
      <c r="I71">
        <v>43.9</v>
      </c>
      <c r="J71" s="3">
        <f t="shared" si="23"/>
        <v>0.13574520717377858</v>
      </c>
      <c r="K71">
        <v>0</v>
      </c>
      <c r="L71" s="3">
        <f t="shared" si="24"/>
        <v>0</v>
      </c>
      <c r="M71">
        <v>9263</v>
      </c>
      <c r="N71">
        <f t="shared" si="25"/>
        <v>4.2696342138507613E-2</v>
      </c>
      <c r="O71" s="15">
        <v>0.210712714</v>
      </c>
      <c r="P71">
        <f t="shared" si="26"/>
        <v>0.214812018360583</v>
      </c>
      <c r="Q71">
        <v>0.2064</v>
      </c>
      <c r="R71">
        <f t="shared" si="27"/>
        <v>0.4575482154732875</v>
      </c>
      <c r="S71">
        <f t="shared" si="34"/>
        <v>5.1604662606794756E-2</v>
      </c>
      <c r="T71" s="14">
        <f t="shared" si="28"/>
        <v>8.6574263647667446E-2</v>
      </c>
      <c r="U71" t="str">
        <f t="shared" si="35"/>
        <v>No Impact</v>
      </c>
      <c r="V71">
        <f t="shared" si="36"/>
        <v>7.0235032048828999E-2</v>
      </c>
      <c r="W71">
        <f t="shared" si="29"/>
        <v>9.4399339874050206E-2</v>
      </c>
      <c r="X71" t="s">
        <v>1176</v>
      </c>
      <c r="Y71">
        <f t="shared" si="37"/>
        <v>3.2974293164760506E-2</v>
      </c>
      <c r="Z71">
        <f t="shared" si="30"/>
        <v>6.6068728874854724E-2</v>
      </c>
      <c r="AA71" t="str">
        <f t="shared" si="38"/>
        <v>No Impact</v>
      </c>
      <c r="AB71">
        <f t="shared" si="39"/>
        <v>3.6768455251098633E-2</v>
      </c>
      <c r="AC71">
        <f t="shared" si="31"/>
        <v>8.6323985816959076E-2</v>
      </c>
      <c r="AD71" t="str">
        <f t="shared" si="40"/>
        <v>No Impact</v>
      </c>
      <c r="AE71">
        <f t="shared" si="41"/>
        <v>6.5540173845152387E-3</v>
      </c>
      <c r="AF71">
        <f t="shared" si="32"/>
        <v>3.585335746456144E-2</v>
      </c>
      <c r="AG71" t="s">
        <v>1176</v>
      </c>
    </row>
    <row r="72" spans="1:33" x14ac:dyDescent="0.3">
      <c r="A72">
        <v>201512</v>
      </c>
      <c r="B72" t="s">
        <v>83</v>
      </c>
      <c r="C72" t="s">
        <v>1165</v>
      </c>
      <c r="D72" t="s">
        <v>616</v>
      </c>
      <c r="E72" s="4">
        <v>5.8</v>
      </c>
      <c r="F72" s="3">
        <f t="shared" si="42"/>
        <v>0.57777777777777772</v>
      </c>
      <c r="G72">
        <v>69.042959999999994</v>
      </c>
      <c r="H72">
        <f t="shared" si="33"/>
        <v>0.65167279424257041</v>
      </c>
      <c r="I72">
        <v>43.9</v>
      </c>
      <c r="J72" s="3">
        <f t="shared" si="23"/>
        <v>0.13574520717377858</v>
      </c>
      <c r="K72">
        <v>0</v>
      </c>
      <c r="L72" s="3">
        <f t="shared" si="24"/>
        <v>0</v>
      </c>
      <c r="M72">
        <v>21163</v>
      </c>
      <c r="N72">
        <f t="shared" si="25"/>
        <v>9.9000250765307329E-2</v>
      </c>
      <c r="O72" s="15">
        <v>0.37150071699999998</v>
      </c>
      <c r="P72">
        <f t="shared" si="26"/>
        <v>0.37872806688434446</v>
      </c>
      <c r="Q72">
        <v>0.41760000000000003</v>
      </c>
      <c r="R72">
        <f t="shared" si="27"/>
        <v>0.9257370871203725</v>
      </c>
      <c r="S72">
        <f t="shared" si="34"/>
        <v>0.10846297490230124</v>
      </c>
      <c r="T72" s="14">
        <f t="shared" si="28"/>
        <v>0.18196228229899861</v>
      </c>
      <c r="U72" t="str">
        <f t="shared" si="35"/>
        <v>Low</v>
      </c>
      <c r="V72">
        <f t="shared" si="36"/>
        <v>0.15394539001400312</v>
      </c>
      <c r="W72">
        <f t="shared" si="29"/>
        <v>0.20691018100300543</v>
      </c>
      <c r="X72" t="s">
        <v>1175</v>
      </c>
      <c r="Y72">
        <f t="shared" si="37"/>
        <v>6.2980559790599328E-2</v>
      </c>
      <c r="Z72">
        <f t="shared" si="30"/>
        <v>0.1261905906034273</v>
      </c>
      <c r="AA72" t="str">
        <f t="shared" si="38"/>
        <v>No Impact</v>
      </c>
      <c r="AB72">
        <f t="shared" si="39"/>
        <v>7.8537188583249484E-2</v>
      </c>
      <c r="AC72">
        <f t="shared" si="31"/>
        <v>0.18438748941354274</v>
      </c>
      <c r="AD72" t="str">
        <f t="shared" si="40"/>
        <v>Low</v>
      </c>
      <c r="AE72">
        <f t="shared" si="41"/>
        <v>1.6463240403338866E-2</v>
      </c>
      <c r="AF72">
        <f t="shared" si="32"/>
        <v>9.0061165324415327E-2</v>
      </c>
      <c r="AG72" t="s">
        <v>1175</v>
      </c>
    </row>
    <row r="73" spans="1:33" x14ac:dyDescent="0.3">
      <c r="A73">
        <v>201518</v>
      </c>
      <c r="B73" t="s">
        <v>95</v>
      </c>
      <c r="C73" t="s">
        <v>1165</v>
      </c>
      <c r="D73" t="s">
        <v>617</v>
      </c>
      <c r="E73" s="4">
        <v>5.7</v>
      </c>
      <c r="F73" s="3">
        <f t="shared" si="42"/>
        <v>0.55555555555555558</v>
      </c>
      <c r="G73">
        <v>63.264240000000001</v>
      </c>
      <c r="H73">
        <f t="shared" si="33"/>
        <v>0.59712944022725267</v>
      </c>
      <c r="I73">
        <v>39.300000000000004</v>
      </c>
      <c r="J73" s="3">
        <f t="shared" si="23"/>
        <v>0.12152133580705009</v>
      </c>
      <c r="K73">
        <v>0</v>
      </c>
      <c r="L73" s="3">
        <f t="shared" si="24"/>
        <v>0</v>
      </c>
      <c r="M73">
        <v>25017</v>
      </c>
      <c r="N73">
        <f t="shared" si="25"/>
        <v>0.11723514688696163</v>
      </c>
      <c r="O73" s="15">
        <v>0.11223617399999999</v>
      </c>
      <c r="P73">
        <f t="shared" si="26"/>
        <v>0.11441966937984381</v>
      </c>
      <c r="Q73">
        <v>0.4078</v>
      </c>
      <c r="R73">
        <f t="shared" si="27"/>
        <v>0.90401241409886945</v>
      </c>
      <c r="S73">
        <f t="shared" si="34"/>
        <v>7.4446265947073778E-2</v>
      </c>
      <c r="T73" s="14">
        <f t="shared" si="28"/>
        <v>0.12489434733437645</v>
      </c>
      <c r="U73" t="str">
        <f t="shared" si="35"/>
        <v>No Impact</v>
      </c>
      <c r="V73">
        <f t="shared" si="36"/>
        <v>0.13216462774734905</v>
      </c>
      <c r="W73">
        <f t="shared" si="29"/>
        <v>0.17763576451955704</v>
      </c>
      <c r="X73" t="s">
        <v>1175</v>
      </c>
      <c r="Y73">
        <f t="shared" si="37"/>
        <v>1.6727904146798509E-2</v>
      </c>
      <c r="Z73">
        <f t="shared" si="30"/>
        <v>3.3516756771620575E-2</v>
      </c>
      <c r="AA73" t="str">
        <f t="shared" si="38"/>
        <v>No Impact</v>
      </c>
      <c r="AB73">
        <f t="shared" si="39"/>
        <v>5.7274823224893225E-2</v>
      </c>
      <c r="AC73">
        <f t="shared" si="31"/>
        <v>0.13446828249840032</v>
      </c>
      <c r="AD73" t="str">
        <f t="shared" si="40"/>
        <v>No Impact</v>
      </c>
      <c r="AE73">
        <f t="shared" si="41"/>
        <v>1.7139520769375735E-2</v>
      </c>
      <c r="AF73">
        <f t="shared" si="32"/>
        <v>9.3760716345911085E-2</v>
      </c>
      <c r="AG73" t="s">
        <v>1175</v>
      </c>
    </row>
    <row r="74" spans="1:33" x14ac:dyDescent="0.3">
      <c r="A74">
        <v>201519</v>
      </c>
      <c r="B74" t="s">
        <v>96</v>
      </c>
      <c r="C74" t="s">
        <v>1165</v>
      </c>
      <c r="D74" t="s">
        <v>618</v>
      </c>
      <c r="E74" s="4">
        <v>5.7</v>
      </c>
      <c r="F74" s="3">
        <f t="shared" si="42"/>
        <v>0.55555555555555558</v>
      </c>
      <c r="G74">
        <v>69.042959999999994</v>
      </c>
      <c r="H74">
        <f t="shared" si="33"/>
        <v>0.65167279424257041</v>
      </c>
      <c r="I74">
        <v>50.899999999999991</v>
      </c>
      <c r="J74" s="3">
        <f t="shared" si="23"/>
        <v>0.15739022881880022</v>
      </c>
      <c r="K74">
        <v>0</v>
      </c>
      <c r="L74" s="3">
        <f t="shared" si="24"/>
        <v>0</v>
      </c>
      <c r="M74">
        <v>16713</v>
      </c>
      <c r="N74">
        <f t="shared" si="25"/>
        <v>7.7945427791420038E-2</v>
      </c>
      <c r="O74" s="15">
        <v>0.20052567099999999</v>
      </c>
      <c r="P74">
        <f t="shared" si="26"/>
        <v>0.20442679182908832</v>
      </c>
      <c r="Q74">
        <v>0.26090000000000002</v>
      </c>
      <c r="R74">
        <f t="shared" si="27"/>
        <v>0.57836399911327874</v>
      </c>
      <c r="S74">
        <f t="shared" si="34"/>
        <v>6.3525030321399834E-2</v>
      </c>
      <c r="T74" s="14">
        <f t="shared" si="28"/>
        <v>0.10657239957512685</v>
      </c>
      <c r="U74" t="str">
        <f t="shared" si="35"/>
        <v>No Impact</v>
      </c>
      <c r="V74">
        <f t="shared" si="36"/>
        <v>9.3870778771545677E-2</v>
      </c>
      <c r="W74">
        <f t="shared" si="29"/>
        <v>0.12616694676434848</v>
      </c>
      <c r="X74" t="s">
        <v>1176</v>
      </c>
      <c r="Y74">
        <f t="shared" si="37"/>
        <v>3.3179281871253997E-2</v>
      </c>
      <c r="Z74">
        <f t="shared" si="30"/>
        <v>6.6479453168596353E-2</v>
      </c>
      <c r="AA74" t="str">
        <f t="shared" si="38"/>
        <v>No Impact</v>
      </c>
      <c r="AB74">
        <f t="shared" si="39"/>
        <v>4.7236355726917381E-2</v>
      </c>
      <c r="AC74">
        <f t="shared" si="31"/>
        <v>0.11090023972909253</v>
      </c>
      <c r="AD74" t="str">
        <f t="shared" si="40"/>
        <v>No Impact</v>
      </c>
      <c r="AE74">
        <f t="shared" si="41"/>
        <v>1.2650853130000587E-2</v>
      </c>
      <c r="AF74">
        <f t="shared" si="32"/>
        <v>6.9205730301114432E-2</v>
      </c>
      <c r="AG74" t="s">
        <v>1175</v>
      </c>
    </row>
    <row r="75" spans="1:33" x14ac:dyDescent="0.3">
      <c r="A75">
        <v>201520</v>
      </c>
      <c r="B75" t="s">
        <v>113</v>
      </c>
      <c r="C75" t="s">
        <v>1165</v>
      </c>
      <c r="D75" t="s">
        <v>619</v>
      </c>
      <c r="E75" s="4">
        <v>5.5</v>
      </c>
      <c r="F75" s="3">
        <f t="shared" si="42"/>
        <v>0.51111111111111107</v>
      </c>
      <c r="G75">
        <v>69.042959999999994</v>
      </c>
      <c r="H75">
        <f t="shared" si="33"/>
        <v>0.65167279424257041</v>
      </c>
      <c r="I75">
        <v>43.9</v>
      </c>
      <c r="J75" s="3">
        <f t="shared" si="23"/>
        <v>0.13574520717377858</v>
      </c>
      <c r="K75">
        <v>0</v>
      </c>
      <c r="L75" s="3">
        <f t="shared" si="24"/>
        <v>0</v>
      </c>
      <c r="M75">
        <v>10040</v>
      </c>
      <c r="N75">
        <f t="shared" si="25"/>
        <v>4.6372656172375126E-2</v>
      </c>
      <c r="O75" s="15">
        <v>0.277051145</v>
      </c>
      <c r="P75">
        <f t="shared" si="26"/>
        <v>0.2824410284353347</v>
      </c>
      <c r="Q75">
        <v>0.159</v>
      </c>
      <c r="R75">
        <f t="shared" si="27"/>
        <v>0.35247173575703833</v>
      </c>
      <c r="S75">
        <f t="shared" si="34"/>
        <v>4.6700074766442085E-2</v>
      </c>
      <c r="T75" s="14">
        <f t="shared" si="28"/>
        <v>7.8346110234298785E-2</v>
      </c>
      <c r="U75" t="str">
        <f t="shared" si="35"/>
        <v>No Impact</v>
      </c>
      <c r="V75">
        <f t="shared" si="36"/>
        <v>5.1851080467249615E-2</v>
      </c>
      <c r="W75">
        <f t="shared" si="29"/>
        <v>6.9690404134246139E-2</v>
      </c>
      <c r="X75" t="s">
        <v>1176</v>
      </c>
      <c r="Y75">
        <f t="shared" si="37"/>
        <v>4.1549069065634547E-2</v>
      </c>
      <c r="Z75">
        <f t="shared" si="30"/>
        <v>8.3249523056757854E-2</v>
      </c>
      <c r="AA75" t="str">
        <f t="shared" si="38"/>
        <v>No Impact</v>
      </c>
      <c r="AB75">
        <f t="shared" si="39"/>
        <v>3.3000209658680002E-2</v>
      </c>
      <c r="AC75">
        <f t="shared" si="31"/>
        <v>7.7477000626711118E-2</v>
      </c>
      <c r="AD75" t="str">
        <f t="shared" si="40"/>
        <v>No Impact</v>
      </c>
      <c r="AE75">
        <f t="shared" si="41"/>
        <v>6.8217450727207944E-3</v>
      </c>
      <c r="AF75">
        <f t="shared" si="32"/>
        <v>3.7317945662187102E-2</v>
      </c>
      <c r="AG75" t="s">
        <v>1176</v>
      </c>
    </row>
    <row r="76" spans="1:33" x14ac:dyDescent="0.3">
      <c r="A76">
        <v>201528</v>
      </c>
      <c r="B76" t="s">
        <v>155</v>
      </c>
      <c r="C76" t="s">
        <v>1165</v>
      </c>
      <c r="D76" t="s">
        <v>620</v>
      </c>
      <c r="E76" s="4">
        <v>5.7</v>
      </c>
      <c r="F76" s="3">
        <f t="shared" si="42"/>
        <v>0.55555555555555558</v>
      </c>
      <c r="G76">
        <v>69.042959999999994</v>
      </c>
      <c r="H76">
        <f t="shared" si="33"/>
        <v>0.65167279424257041</v>
      </c>
      <c r="I76">
        <v>43.9</v>
      </c>
      <c r="J76" s="3">
        <f t="shared" si="23"/>
        <v>0.13574520717377858</v>
      </c>
      <c r="K76">
        <v>0</v>
      </c>
      <c r="L76" s="3">
        <f t="shared" si="24"/>
        <v>0</v>
      </c>
      <c r="M76">
        <v>11215</v>
      </c>
      <c r="N76">
        <f t="shared" si="25"/>
        <v>5.1932075721659969E-2</v>
      </c>
      <c r="O76" s="15">
        <v>0.190884791</v>
      </c>
      <c r="P76">
        <f t="shared" si="26"/>
        <v>0.19459835360977815</v>
      </c>
      <c r="Q76">
        <v>0.14499999999999999</v>
      </c>
      <c r="R76">
        <f t="shared" si="27"/>
        <v>0.32143648858346263</v>
      </c>
      <c r="S76">
        <f t="shared" si="34"/>
        <v>4.125672175775532E-2</v>
      </c>
      <c r="T76" s="14">
        <f t="shared" si="28"/>
        <v>6.921410055346576E-2</v>
      </c>
      <c r="U76" t="str">
        <f t="shared" si="35"/>
        <v>No Impact</v>
      </c>
      <c r="V76">
        <f t="shared" si="36"/>
        <v>5.1397365789931607E-2</v>
      </c>
      <c r="W76">
        <f t="shared" si="29"/>
        <v>6.9080589277178639E-2</v>
      </c>
      <c r="X76" t="s">
        <v>1176</v>
      </c>
      <c r="Y76">
        <f t="shared" si="37"/>
        <v>3.1116077725579044E-2</v>
      </c>
      <c r="Z76">
        <f t="shared" si="30"/>
        <v>6.2345527548630313E-2</v>
      </c>
      <c r="AA76" t="str">
        <f t="shared" si="38"/>
        <v>No Impact</v>
      </c>
      <c r="AB76">
        <f t="shared" si="39"/>
        <v>3.0230261373002661E-2</v>
      </c>
      <c r="AC76">
        <f t="shared" si="31"/>
        <v>7.0973790880922955E-2</v>
      </c>
      <c r="AD76" t="str">
        <f t="shared" si="40"/>
        <v>No Impact</v>
      </c>
      <c r="AE76">
        <f t="shared" si="41"/>
        <v>8.3038857967225443E-3</v>
      </c>
      <c r="AF76">
        <f t="shared" si="32"/>
        <v>4.5425907248613236E-2</v>
      </c>
      <c r="AG76" t="s">
        <v>1176</v>
      </c>
    </row>
    <row r="77" spans="1:33" x14ac:dyDescent="0.3">
      <c r="A77">
        <v>201533</v>
      </c>
      <c r="B77" t="s">
        <v>165</v>
      </c>
      <c r="C77" t="s">
        <v>1165</v>
      </c>
      <c r="D77" t="s">
        <v>621</v>
      </c>
      <c r="E77" s="4">
        <v>5.6</v>
      </c>
      <c r="F77" s="3">
        <f t="shared" si="42"/>
        <v>0.53333333333333321</v>
      </c>
      <c r="G77">
        <v>70.956000000000003</v>
      </c>
      <c r="H77">
        <f t="shared" si="33"/>
        <v>0.66972932197976198</v>
      </c>
      <c r="I77">
        <v>66.5</v>
      </c>
      <c r="J77" s="3">
        <f t="shared" si="23"/>
        <v>0.2056277056277056</v>
      </c>
      <c r="K77">
        <v>0</v>
      </c>
      <c r="L77" s="3">
        <f t="shared" si="24"/>
        <v>0</v>
      </c>
      <c r="M77">
        <v>78242</v>
      </c>
      <c r="N77">
        <f t="shared" si="25"/>
        <v>0.36906502391733259</v>
      </c>
      <c r="O77" s="15">
        <v>0.233890562</v>
      </c>
      <c r="P77">
        <f t="shared" si="26"/>
        <v>0.23844077912978273</v>
      </c>
      <c r="Q77">
        <v>0.41439999999999999</v>
      </c>
      <c r="R77">
        <f t="shared" si="27"/>
        <v>0.9186433163378408</v>
      </c>
      <c r="S77">
        <f t="shared" si="34"/>
        <v>9.5349058199013959E-2</v>
      </c>
      <c r="T77" s="14">
        <f t="shared" si="28"/>
        <v>0.15996179581632067</v>
      </c>
      <c r="U77" t="str">
        <f t="shared" si="35"/>
        <v>Low</v>
      </c>
      <c r="V77">
        <f t="shared" si="36"/>
        <v>0.15140087980940167</v>
      </c>
      <c r="W77">
        <f t="shared" si="29"/>
        <v>0.20349023405330988</v>
      </c>
      <c r="X77" t="s">
        <v>1175</v>
      </c>
      <c r="Y77">
        <f t="shared" si="37"/>
        <v>3.9297236588626223E-2</v>
      </c>
      <c r="Z77">
        <f t="shared" si="30"/>
        <v>7.8737653502748681E-2</v>
      </c>
      <c r="AA77" t="str">
        <f t="shared" si="38"/>
        <v>No Impact</v>
      </c>
      <c r="AB77">
        <f t="shared" si="39"/>
        <v>8.6068339250962633E-2</v>
      </c>
      <c r="AC77">
        <f t="shared" si="31"/>
        <v>0.20206892147222641</v>
      </c>
      <c r="AD77" t="str">
        <f t="shared" si="40"/>
        <v>Low</v>
      </c>
      <c r="AE77">
        <f t="shared" si="41"/>
        <v>6.0825315260240528E-2</v>
      </c>
      <c r="AF77">
        <f t="shared" si="32"/>
        <v>0.33274122465290773</v>
      </c>
      <c r="AG77" t="str">
        <f t="shared" ref="AG77:AG122" si="43">IF(AF77&gt;0.7,"High",IF(AF77&gt;0.3,"Moderate",IF(AF77&gt;0.15,"Low","No Impact")))</f>
        <v>Moderate</v>
      </c>
    </row>
    <row r="78" spans="1:33" x14ac:dyDescent="0.3">
      <c r="A78">
        <v>201535</v>
      </c>
      <c r="B78" t="s">
        <v>200</v>
      </c>
      <c r="C78" t="s">
        <v>1165</v>
      </c>
      <c r="D78" t="s">
        <v>622</v>
      </c>
      <c r="E78" s="4">
        <v>5.7</v>
      </c>
      <c r="F78" s="3">
        <f t="shared" si="42"/>
        <v>0.55555555555555558</v>
      </c>
      <c r="G78">
        <v>69.042959999999994</v>
      </c>
      <c r="H78">
        <f t="shared" si="33"/>
        <v>0.65167279424257041</v>
      </c>
      <c r="I78">
        <v>43.9</v>
      </c>
      <c r="J78" s="3">
        <f t="shared" si="23"/>
        <v>0.13574520717377858</v>
      </c>
      <c r="K78">
        <v>0</v>
      </c>
      <c r="L78" s="3">
        <f t="shared" si="24"/>
        <v>0</v>
      </c>
      <c r="M78">
        <v>11544</v>
      </c>
      <c r="N78">
        <f t="shared" si="25"/>
        <v>5.3488713195459732E-2</v>
      </c>
      <c r="O78" s="15">
        <v>0.12595626600000001</v>
      </c>
      <c r="P78">
        <f t="shared" si="26"/>
        <v>0.12840667851026055</v>
      </c>
      <c r="Q78">
        <v>0.20810000000000001</v>
      </c>
      <c r="R78">
        <f t="shared" si="27"/>
        <v>0.46131678120150743</v>
      </c>
      <c r="S78">
        <f t="shared" si="34"/>
        <v>4.7148089047518833E-2</v>
      </c>
      <c r="T78" s="14">
        <f t="shared" si="28"/>
        <v>7.9097718800823003E-2</v>
      </c>
      <c r="U78" t="str">
        <f t="shared" si="35"/>
        <v>No Impact</v>
      </c>
      <c r="V78">
        <f t="shared" si="36"/>
        <v>7.3764081523343225E-2</v>
      </c>
      <c r="W78">
        <f t="shared" si="29"/>
        <v>9.9142556059178447E-2</v>
      </c>
      <c r="X78" t="s">
        <v>1176</v>
      </c>
      <c r="Y78">
        <f t="shared" si="37"/>
        <v>2.0532096571694438E-2</v>
      </c>
      <c r="Z78">
        <f t="shared" si="30"/>
        <v>4.113900227821507E-2</v>
      </c>
      <c r="AA78" t="str">
        <f t="shared" si="38"/>
        <v>No Impact</v>
      </c>
      <c r="AB78">
        <f t="shared" si="39"/>
        <v>3.4970534192559459E-2</v>
      </c>
      <c r="AC78">
        <f t="shared" si="31"/>
        <v>8.2102875332511677E-2</v>
      </c>
      <c r="AD78" t="str">
        <f t="shared" si="40"/>
        <v>No Impact</v>
      </c>
      <c r="AE78">
        <f t="shared" si="41"/>
        <v>8.5527905368028775E-3</v>
      </c>
      <c r="AF78">
        <f t="shared" si="32"/>
        <v>4.6787525641907142E-2</v>
      </c>
      <c r="AG78" t="s">
        <v>1176</v>
      </c>
    </row>
    <row r="79" spans="1:33" x14ac:dyDescent="0.3">
      <c r="A79">
        <v>201537</v>
      </c>
      <c r="B79" t="s">
        <v>205</v>
      </c>
      <c r="C79" t="s">
        <v>1165</v>
      </c>
      <c r="D79" t="s">
        <v>623</v>
      </c>
      <c r="E79" s="4">
        <v>5.8</v>
      </c>
      <c r="F79" s="3">
        <f t="shared" si="42"/>
        <v>0.57777777777777772</v>
      </c>
      <c r="G79">
        <v>70.956000000000003</v>
      </c>
      <c r="H79">
        <f t="shared" si="33"/>
        <v>0.66972932197976198</v>
      </c>
      <c r="I79">
        <v>68.200000000000017</v>
      </c>
      <c r="J79" s="3">
        <f t="shared" si="23"/>
        <v>0.21088435374149664</v>
      </c>
      <c r="K79">
        <v>0</v>
      </c>
      <c r="L79" s="3">
        <f t="shared" si="24"/>
        <v>0</v>
      </c>
      <c r="M79">
        <v>46431</v>
      </c>
      <c r="N79">
        <f t="shared" si="25"/>
        <v>0.21855379388984306</v>
      </c>
      <c r="O79" s="15">
        <v>0.207994137</v>
      </c>
      <c r="P79">
        <f t="shared" si="26"/>
        <v>0.21204055288347534</v>
      </c>
      <c r="Q79">
        <v>0.41110000000000002</v>
      </c>
      <c r="R79">
        <f t="shared" si="27"/>
        <v>0.91132786521835518</v>
      </c>
      <c r="S79">
        <f t="shared" si="34"/>
        <v>0.10062614529313064</v>
      </c>
      <c r="T79" s="14">
        <f t="shared" si="28"/>
        <v>0.16881487044755772</v>
      </c>
      <c r="U79" t="str">
        <f t="shared" si="35"/>
        <v>Low</v>
      </c>
      <c r="V79">
        <f t="shared" si="36"/>
        <v>0.1632650672699045</v>
      </c>
      <c r="W79">
        <f t="shared" si="29"/>
        <v>0.21943628592717848</v>
      </c>
      <c r="X79" t="s">
        <v>1175</v>
      </c>
      <c r="Y79">
        <f t="shared" si="37"/>
        <v>3.7987223316356768E-2</v>
      </c>
      <c r="Z79">
        <f t="shared" si="30"/>
        <v>7.6112853896717139E-2</v>
      </c>
      <c r="AA79" t="str">
        <f t="shared" si="38"/>
        <v>No Impact</v>
      </c>
      <c r="AB79">
        <f t="shared" si="39"/>
        <v>8.2242866895821609E-2</v>
      </c>
      <c r="AC79">
        <f t="shared" si="31"/>
        <v>0.19308758083462932</v>
      </c>
      <c r="AD79" t="str">
        <f t="shared" si="40"/>
        <v>Low</v>
      </c>
      <c r="AE79">
        <f t="shared" si="41"/>
        <v>3.9154075304137191E-2</v>
      </c>
      <c r="AF79">
        <f t="shared" si="32"/>
        <v>0.21419001136467369</v>
      </c>
      <c r="AG79" t="s">
        <v>1175</v>
      </c>
    </row>
    <row r="80" spans="1:33" x14ac:dyDescent="0.3">
      <c r="A80">
        <v>201539</v>
      </c>
      <c r="B80" t="s">
        <v>1164</v>
      </c>
      <c r="C80" t="s">
        <v>1165</v>
      </c>
      <c r="D80" s="15" t="s">
        <v>1166</v>
      </c>
      <c r="E80" s="4">
        <v>5.6</v>
      </c>
      <c r="F80" s="3">
        <f t="shared" si="42"/>
        <v>0.53333333333333321</v>
      </c>
      <c r="G80">
        <v>69.042959999999994</v>
      </c>
      <c r="H80">
        <f t="shared" si="33"/>
        <v>0.65167279424257041</v>
      </c>
      <c r="I80">
        <v>43.9</v>
      </c>
      <c r="J80" s="3">
        <f t="shared" si="23"/>
        <v>0.13574520717377858</v>
      </c>
      <c r="K80">
        <v>0</v>
      </c>
      <c r="L80" s="3">
        <f t="shared" si="24"/>
        <v>0</v>
      </c>
      <c r="M80">
        <v>12037</v>
      </c>
      <c r="N80">
        <f t="shared" si="25"/>
        <v>5.5821303695712858E-2</v>
      </c>
      <c r="O80" s="15">
        <v>0.207994137</v>
      </c>
      <c r="P80">
        <f t="shared" si="26"/>
        <v>0.21204055288347534</v>
      </c>
      <c r="Q80">
        <v>0.41110000000000002</v>
      </c>
      <c r="R80">
        <f t="shared" si="27"/>
        <v>0.91132786521835518</v>
      </c>
      <c r="S80">
        <f t="shared" si="34"/>
        <v>8.622022136662745E-2</v>
      </c>
      <c r="T80" s="14">
        <f t="shared" si="28"/>
        <v>0.14464685552215614</v>
      </c>
      <c r="U80" t="str">
        <f t="shared" si="35"/>
        <v>No Impact</v>
      </c>
      <c r="V80">
        <f t="shared" si="36"/>
        <v>0.13989157788407755</v>
      </c>
      <c r="W80">
        <f t="shared" si="29"/>
        <v>0.18802116580533937</v>
      </c>
      <c r="X80" t="s">
        <v>1175</v>
      </c>
      <c r="Y80">
        <f t="shared" si="37"/>
        <v>3.254886484917735E-2</v>
      </c>
      <c r="Z80">
        <f t="shared" si="30"/>
        <v>6.5216322186483683E-2</v>
      </c>
      <c r="AA80" t="str">
        <f t="shared" si="38"/>
        <v>No Impact</v>
      </c>
      <c r="AB80">
        <f t="shared" si="39"/>
        <v>6.1725770223253783E-2</v>
      </c>
      <c r="AC80">
        <f t="shared" si="31"/>
        <v>0.14491809560407962</v>
      </c>
      <c r="AD80" t="str">
        <f t="shared" si="40"/>
        <v>No Impact</v>
      </c>
      <c r="AE80">
        <f t="shared" si="41"/>
        <v>8.5687385973527014E-3</v>
      </c>
      <c r="AF80">
        <f t="shared" si="32"/>
        <v>4.6874768546863455E-2</v>
      </c>
      <c r="AG80" t="s">
        <v>1176</v>
      </c>
    </row>
    <row r="81" spans="1:33" x14ac:dyDescent="0.3">
      <c r="A81">
        <v>201541</v>
      </c>
      <c r="B81" t="s">
        <v>283</v>
      </c>
      <c r="C81" t="s">
        <v>1165</v>
      </c>
      <c r="D81" t="s">
        <v>1126</v>
      </c>
      <c r="E81" s="4">
        <v>5.7</v>
      </c>
      <c r="F81" s="3">
        <f t="shared" si="42"/>
        <v>0.55555555555555558</v>
      </c>
      <c r="G81">
        <v>69.042959999999994</v>
      </c>
      <c r="H81">
        <f t="shared" si="33"/>
        <v>0.65167279424257041</v>
      </c>
      <c r="I81">
        <v>43.9</v>
      </c>
      <c r="J81" s="3">
        <f t="shared" si="23"/>
        <v>0.13574520717377858</v>
      </c>
      <c r="K81">
        <v>0</v>
      </c>
      <c r="L81" s="3">
        <f t="shared" si="24"/>
        <v>0</v>
      </c>
      <c r="M81">
        <v>9508</v>
      </c>
      <c r="N81">
        <f t="shared" si="25"/>
        <v>4.385554025729467E-2</v>
      </c>
      <c r="O81" s="15">
        <v>0.20142516799999999</v>
      </c>
      <c r="P81">
        <f t="shared" si="26"/>
        <v>0.20534378806729012</v>
      </c>
      <c r="Q81">
        <v>0.37430000000000002</v>
      </c>
      <c r="R81">
        <f t="shared" si="27"/>
        <v>0.82974950121924185</v>
      </c>
      <c r="S81">
        <f t="shared" si="34"/>
        <v>8.2755179181142405E-2</v>
      </c>
      <c r="T81" s="14">
        <f t="shared" si="28"/>
        <v>0.13883374754774275</v>
      </c>
      <c r="U81" t="str">
        <f t="shared" si="35"/>
        <v>No Impact</v>
      </c>
      <c r="V81">
        <f t="shared" si="36"/>
        <v>0.13267609665635449</v>
      </c>
      <c r="W81">
        <f t="shared" si="29"/>
        <v>0.17832320390653769</v>
      </c>
      <c r="X81" t="s">
        <v>1175</v>
      </c>
      <c r="Y81">
        <f t="shared" si="37"/>
        <v>3.2834261705930338E-2</v>
      </c>
      <c r="Z81">
        <f t="shared" si="30"/>
        <v>6.5788155749566701E-2</v>
      </c>
      <c r="AA81" t="str">
        <f t="shared" si="38"/>
        <v>No Impact</v>
      </c>
      <c r="AB81">
        <f t="shared" si="39"/>
        <v>5.8741271954061244E-2</v>
      </c>
      <c r="AC81">
        <f t="shared" si="31"/>
        <v>0.13791117120377269</v>
      </c>
      <c r="AD81" t="str">
        <f t="shared" si="40"/>
        <v>No Impact</v>
      </c>
      <c r="AE81">
        <f t="shared" si="41"/>
        <v>7.0124560358802174E-3</v>
      </c>
      <c r="AF81">
        <f t="shared" si="32"/>
        <v>3.8361218502860436E-2</v>
      </c>
      <c r="AG81" t="s">
        <v>1176</v>
      </c>
    </row>
    <row r="82" spans="1:33" x14ac:dyDescent="0.3">
      <c r="A82">
        <v>201543</v>
      </c>
      <c r="B82" t="s">
        <v>278</v>
      </c>
      <c r="C82" t="s">
        <v>1165</v>
      </c>
      <c r="D82" t="s">
        <v>624</v>
      </c>
      <c r="E82" s="4">
        <v>5.3</v>
      </c>
      <c r="F82" s="3">
        <f t="shared" si="42"/>
        <v>0.46666666666666656</v>
      </c>
      <c r="G82">
        <v>69.042959999999994</v>
      </c>
      <c r="H82">
        <f t="shared" si="33"/>
        <v>0.65167279424257041</v>
      </c>
      <c r="I82">
        <v>50.899999999999991</v>
      </c>
      <c r="J82" s="3">
        <f t="shared" si="23"/>
        <v>0.15739022881880022</v>
      </c>
      <c r="K82">
        <v>0</v>
      </c>
      <c r="L82" s="3">
        <f t="shared" si="24"/>
        <v>0</v>
      </c>
      <c r="M82">
        <v>12037</v>
      </c>
      <c r="N82">
        <f t="shared" si="25"/>
        <v>5.5821303695712858E-2</v>
      </c>
      <c r="O82" s="15">
        <v>0.19820426099999999</v>
      </c>
      <c r="P82">
        <f t="shared" si="26"/>
        <v>0.20206022002582047</v>
      </c>
      <c r="Q82">
        <v>0.35189999999999999</v>
      </c>
      <c r="R82">
        <f t="shared" si="27"/>
        <v>0.78009310574152069</v>
      </c>
      <c r="S82">
        <f t="shared" si="34"/>
        <v>6.6951105248185233E-2</v>
      </c>
      <c r="T82" s="14">
        <f t="shared" si="28"/>
        <v>0.11232013435343983</v>
      </c>
      <c r="U82" t="str">
        <f t="shared" si="35"/>
        <v>No Impact</v>
      </c>
      <c r="V82">
        <f t="shared" si="36"/>
        <v>0.10635426110292757</v>
      </c>
      <c r="W82">
        <f t="shared" si="29"/>
        <v>0.14294536142489206</v>
      </c>
      <c r="X82" t="s">
        <v>1176</v>
      </c>
      <c r="Y82">
        <f t="shared" si="37"/>
        <v>2.7547949393442892E-2</v>
      </c>
      <c r="Z82">
        <f t="shared" si="30"/>
        <v>5.5196270332147281E-2</v>
      </c>
      <c r="AA82" t="str">
        <f t="shared" si="38"/>
        <v>No Impact</v>
      </c>
      <c r="AB82">
        <f t="shared" si="39"/>
        <v>4.8152022008170516E-2</v>
      </c>
      <c r="AC82">
        <f t="shared" si="31"/>
        <v>0.11305001628446201</v>
      </c>
      <c r="AD82" t="str">
        <f t="shared" si="40"/>
        <v>No Impact</v>
      </c>
      <c r="AE82">
        <f t="shared" si="41"/>
        <v>7.6104165831800035E-3</v>
      </c>
      <c r="AF82">
        <f t="shared" si="32"/>
        <v>4.1632325671830769E-2</v>
      </c>
      <c r="AG82" t="s">
        <v>1176</v>
      </c>
    </row>
    <row r="83" spans="1:33" x14ac:dyDescent="0.3">
      <c r="A83">
        <v>201547</v>
      </c>
      <c r="B83" t="s">
        <v>303</v>
      </c>
      <c r="C83" t="s">
        <v>1165</v>
      </c>
      <c r="D83" t="s">
        <v>1127</v>
      </c>
      <c r="E83" s="4">
        <v>5.7</v>
      </c>
      <c r="F83" s="3">
        <f t="shared" si="42"/>
        <v>0.55555555555555558</v>
      </c>
      <c r="G83">
        <v>60.301439999999999</v>
      </c>
      <c r="H83">
        <f t="shared" si="33"/>
        <v>0.56916458827447003</v>
      </c>
      <c r="I83">
        <v>37.699999999999996</v>
      </c>
      <c r="J83" s="3">
        <f t="shared" si="23"/>
        <v>0.11657390228818798</v>
      </c>
      <c r="K83">
        <v>0</v>
      </c>
      <c r="L83" s="3">
        <f t="shared" si="24"/>
        <v>0</v>
      </c>
      <c r="M83">
        <v>21502</v>
      </c>
      <c r="N83">
        <f t="shared" si="25"/>
        <v>0.10060420244803717</v>
      </c>
      <c r="O83" s="15">
        <v>0.13164079000000001</v>
      </c>
      <c r="P83">
        <f t="shared" si="26"/>
        <v>0.13420179191693982</v>
      </c>
      <c r="Q83">
        <v>0.33029999999999998</v>
      </c>
      <c r="R83">
        <f t="shared" si="27"/>
        <v>0.73221015295943248</v>
      </c>
      <c r="S83">
        <f t="shared" si="34"/>
        <v>6.0403500953701311E-2</v>
      </c>
      <c r="T83" s="14">
        <f t="shared" si="28"/>
        <v>0.10133558389197411</v>
      </c>
      <c r="U83" t="str">
        <f t="shared" si="35"/>
        <v>No Impact</v>
      </c>
      <c r="V83">
        <f t="shared" si="36"/>
        <v>0.10209475281162181</v>
      </c>
      <c r="W83">
        <f t="shared" si="29"/>
        <v>0.13722037263855871</v>
      </c>
      <c r="X83" t="s">
        <v>1176</v>
      </c>
      <c r="Y83">
        <f t="shared" si="37"/>
        <v>1.8712249095780821E-2</v>
      </c>
      <c r="Z83">
        <f t="shared" si="30"/>
        <v>3.7492676673024534E-2</v>
      </c>
      <c r="AA83" t="str">
        <f t="shared" si="38"/>
        <v>No Impact</v>
      </c>
      <c r="AB83">
        <f t="shared" si="39"/>
        <v>4.6256503011535041E-2</v>
      </c>
      <c r="AC83">
        <f t="shared" si="31"/>
        <v>0.10859976799788358</v>
      </c>
      <c r="AD83" t="str">
        <f t="shared" si="40"/>
        <v>No Impact</v>
      </c>
      <c r="AE83">
        <f t="shared" si="41"/>
        <v>1.4027613710666175E-2</v>
      </c>
      <c r="AF83">
        <f t="shared" si="32"/>
        <v>7.6737216158680774E-2</v>
      </c>
      <c r="AG83" t="s">
        <v>1175</v>
      </c>
    </row>
    <row r="84" spans="1:33" x14ac:dyDescent="0.3">
      <c r="A84">
        <v>201553</v>
      </c>
      <c r="B84" t="s">
        <v>336</v>
      </c>
      <c r="C84" t="s">
        <v>1165</v>
      </c>
      <c r="D84" t="s">
        <v>625</v>
      </c>
      <c r="E84" s="4">
        <v>5.8</v>
      </c>
      <c r="F84" s="3">
        <f t="shared" si="42"/>
        <v>0.57777777777777772</v>
      </c>
      <c r="G84">
        <v>80.841239999999999</v>
      </c>
      <c r="H84">
        <f t="shared" si="33"/>
        <v>0.76303270834324388</v>
      </c>
      <c r="I84">
        <v>78.300000000000011</v>
      </c>
      <c r="J84" s="3">
        <f t="shared" si="23"/>
        <v>0.24211502782931354</v>
      </c>
      <c r="K84">
        <v>0.3</v>
      </c>
      <c r="L84" s="3">
        <f t="shared" si="24"/>
        <v>0.15</v>
      </c>
      <c r="M84">
        <v>64375</v>
      </c>
      <c r="N84">
        <f t="shared" si="25"/>
        <v>0.30345441039398541</v>
      </c>
      <c r="O84" s="18">
        <v>5.5681485000000003E-2</v>
      </c>
      <c r="P84">
        <f t="shared" si="26"/>
        <v>5.6764738829022568E-2</v>
      </c>
      <c r="Q84">
        <v>0.40210000000000001</v>
      </c>
      <c r="R84">
        <f t="shared" si="27"/>
        <v>0.89137663489248509</v>
      </c>
      <c r="S84">
        <f t="shared" si="34"/>
        <v>0.11329803031543649</v>
      </c>
      <c r="T84" s="14">
        <f t="shared" si="28"/>
        <v>0.19007378503814717</v>
      </c>
      <c r="U84" t="str">
        <f t="shared" si="35"/>
        <v>Low</v>
      </c>
      <c r="V84">
        <f t="shared" si="36"/>
        <v>0.21302987044247296</v>
      </c>
      <c r="W84">
        <f t="shared" si="29"/>
        <v>0.28632263069579067</v>
      </c>
      <c r="X84" t="s">
        <v>1175</v>
      </c>
      <c r="Y84">
        <f t="shared" si="37"/>
        <v>1.3566190188400057E-2</v>
      </c>
      <c r="Z84">
        <f t="shared" si="30"/>
        <v>2.7181809082112211E-2</v>
      </c>
      <c r="AA84" t="str">
        <f t="shared" si="38"/>
        <v>No Impact</v>
      </c>
      <c r="AB84">
        <f t="shared" si="39"/>
        <v>0.1040131834631549</v>
      </c>
      <c r="AC84">
        <f t="shared" si="31"/>
        <v>0.24419934187422412</v>
      </c>
      <c r="AD84" t="str">
        <f t="shared" si="40"/>
        <v>Low</v>
      </c>
      <c r="AE84">
        <f t="shared" si="41"/>
        <v>7.2522490719341068E-2</v>
      </c>
      <c r="AF84">
        <f t="shared" si="32"/>
        <v>0.39672991867921237</v>
      </c>
      <c r="AG84" t="str">
        <f t="shared" si="43"/>
        <v>Moderate</v>
      </c>
    </row>
    <row r="85" spans="1:33" x14ac:dyDescent="0.3">
      <c r="A85">
        <v>201555</v>
      </c>
      <c r="B85" t="s">
        <v>390</v>
      </c>
      <c r="C85" t="s">
        <v>1165</v>
      </c>
      <c r="D85" t="s">
        <v>626</v>
      </c>
      <c r="E85" s="4">
        <v>5.8</v>
      </c>
      <c r="F85" s="3">
        <f t="shared" si="42"/>
        <v>0.57777777777777772</v>
      </c>
      <c r="G85">
        <v>81.098640000000003</v>
      </c>
      <c r="H85">
        <f t="shared" si="33"/>
        <v>0.76546221856757435</v>
      </c>
      <c r="I85">
        <v>46.699999999999996</v>
      </c>
      <c r="J85" s="3">
        <f t="shared" si="23"/>
        <v>0.14440321583178722</v>
      </c>
      <c r="K85">
        <v>0</v>
      </c>
      <c r="L85" s="3">
        <f t="shared" si="24"/>
        <v>0</v>
      </c>
      <c r="M85">
        <v>9603</v>
      </c>
      <c r="N85">
        <f t="shared" si="25"/>
        <v>4.4305025242130466E-2</v>
      </c>
      <c r="O85" s="15">
        <v>0.25788607899999999</v>
      </c>
      <c r="P85">
        <f t="shared" si="26"/>
        <v>0.26290311621674028</v>
      </c>
      <c r="Q85">
        <v>0.28000000000000003</v>
      </c>
      <c r="R85">
        <f t="shared" si="27"/>
        <v>0.62070494347151417</v>
      </c>
      <c r="S85">
        <f t="shared" si="34"/>
        <v>8.553035208063331E-2</v>
      </c>
      <c r="T85" s="14">
        <f t="shared" si="28"/>
        <v>0.14348950030595867</v>
      </c>
      <c r="U85" t="str">
        <f t="shared" si="35"/>
        <v>No Impact</v>
      </c>
      <c r="V85">
        <f t="shared" si="36"/>
        <v>0.12016439137515009</v>
      </c>
      <c r="W85">
        <f t="shared" si="29"/>
        <v>0.16150685621236652</v>
      </c>
      <c r="X85" t="s">
        <v>1176</v>
      </c>
      <c r="Y85">
        <f t="shared" si="37"/>
        <v>5.0896312786116504E-2</v>
      </c>
      <c r="Z85">
        <f t="shared" si="30"/>
        <v>0.10197806738096782</v>
      </c>
      <c r="AA85" t="str">
        <f t="shared" si="38"/>
        <v>No Impact</v>
      </c>
      <c r="AB85">
        <f t="shared" si="39"/>
        <v>6.0328437257036176E-2</v>
      </c>
      <c r="AC85">
        <f t="shared" si="31"/>
        <v>0.141637475019571</v>
      </c>
      <c r="AD85" t="str">
        <f t="shared" si="40"/>
        <v>No Impact</v>
      </c>
      <c r="AE85">
        <f t="shared" si="41"/>
        <v>8.577161256853429E-3</v>
      </c>
      <c r="AF85">
        <f t="shared" si="32"/>
        <v>4.6920844198508102E-2</v>
      </c>
      <c r="AG85" t="s">
        <v>1176</v>
      </c>
    </row>
    <row r="86" spans="1:33" x14ac:dyDescent="0.3">
      <c r="A86">
        <v>201557</v>
      </c>
      <c r="B86" t="s">
        <v>400</v>
      </c>
      <c r="C86" t="s">
        <v>1165</v>
      </c>
      <c r="D86" t="s">
        <v>627</v>
      </c>
      <c r="E86" s="4">
        <v>5.7</v>
      </c>
      <c r="F86" s="3">
        <f t="shared" si="42"/>
        <v>0.55555555555555558</v>
      </c>
      <c r="G86">
        <v>69.042959999999994</v>
      </c>
      <c r="H86">
        <f t="shared" si="33"/>
        <v>0.65167279424257041</v>
      </c>
      <c r="I86">
        <v>50.899999999999991</v>
      </c>
      <c r="J86" s="3">
        <f t="shared" si="23"/>
        <v>0.15739022881880022</v>
      </c>
      <c r="K86">
        <v>0</v>
      </c>
      <c r="L86" s="3">
        <f t="shared" si="24"/>
        <v>0</v>
      </c>
      <c r="M86">
        <v>8383</v>
      </c>
      <c r="N86">
        <f t="shared" si="25"/>
        <v>3.8532691752660241E-2</v>
      </c>
      <c r="O86" s="15">
        <v>0.21318184000000001</v>
      </c>
      <c r="P86">
        <f t="shared" si="26"/>
        <v>0.21732917990047279</v>
      </c>
      <c r="Q86">
        <v>0.28000000000000003</v>
      </c>
      <c r="R86">
        <f t="shared" si="27"/>
        <v>0.62070494347151417</v>
      </c>
      <c r="S86">
        <f t="shared" si="34"/>
        <v>6.8008136674020628E-2</v>
      </c>
      <c r="T86" s="14">
        <f t="shared" si="28"/>
        <v>0.1140934570092127</v>
      </c>
      <c r="U86" t="str">
        <f t="shared" si="35"/>
        <v>No Impact</v>
      </c>
      <c r="V86">
        <f t="shared" si="36"/>
        <v>0.1007428825451621</v>
      </c>
      <c r="W86">
        <f t="shared" si="29"/>
        <v>0.13540339246461316</v>
      </c>
      <c r="X86" t="s">
        <v>1176</v>
      </c>
      <c r="Y86">
        <f t="shared" si="37"/>
        <v>3.5273390802879154E-2</v>
      </c>
      <c r="Z86">
        <f t="shared" si="30"/>
        <v>7.0675300962714155E-2</v>
      </c>
      <c r="AA86" t="str">
        <f t="shared" si="38"/>
        <v>No Impact</v>
      </c>
      <c r="AB86">
        <f t="shared" si="39"/>
        <v>4.8030929358679926E-2</v>
      </c>
      <c r="AC86">
        <f t="shared" si="31"/>
        <v>0.1127657182337069</v>
      </c>
      <c r="AD86" t="str">
        <f t="shared" si="40"/>
        <v>No Impact</v>
      </c>
      <c r="AE86">
        <f t="shared" si="41"/>
        <v>6.2540092200269988E-3</v>
      </c>
      <c r="AF86">
        <f t="shared" si="32"/>
        <v>3.4212180865137547E-2</v>
      </c>
      <c r="AG86" t="s">
        <v>1176</v>
      </c>
    </row>
    <row r="87" spans="1:33" x14ac:dyDescent="0.3">
      <c r="A87">
        <v>201561</v>
      </c>
      <c r="B87" t="s">
        <v>407</v>
      </c>
      <c r="C87" t="s">
        <v>1165</v>
      </c>
      <c r="D87" t="s">
        <v>628</v>
      </c>
      <c r="E87" s="4">
        <v>5.0999999999999996</v>
      </c>
      <c r="F87" s="3">
        <f t="shared" si="42"/>
        <v>0.42222222222222211</v>
      </c>
      <c r="G87">
        <v>72.159840000000003</v>
      </c>
      <c r="H87">
        <f t="shared" si="33"/>
        <v>0.68109195441355364</v>
      </c>
      <c r="I87">
        <v>41.600000000000009</v>
      </c>
      <c r="J87" s="3">
        <f t="shared" si="23"/>
        <v>0.12863327149041437</v>
      </c>
      <c r="K87">
        <v>0.1</v>
      </c>
      <c r="L87" s="3">
        <f t="shared" si="24"/>
        <v>0.05</v>
      </c>
      <c r="M87">
        <v>61378</v>
      </c>
      <c r="N87">
        <f t="shared" si="25"/>
        <v>0.28927434197763929</v>
      </c>
      <c r="O87" s="15">
        <v>0.13048842899999999</v>
      </c>
      <c r="P87">
        <f t="shared" si="26"/>
        <v>0.13302701234341099</v>
      </c>
      <c r="Q87">
        <v>0.40579999999999999</v>
      </c>
      <c r="R87">
        <f t="shared" si="27"/>
        <v>0.89957880735978712</v>
      </c>
      <c r="S87">
        <f t="shared" si="34"/>
        <v>6.9357898869143078E-2</v>
      </c>
      <c r="T87" s="14">
        <f t="shared" si="28"/>
        <v>0.11635787774639622</v>
      </c>
      <c r="U87" t="str">
        <f t="shared" si="35"/>
        <v>No Impact</v>
      </c>
      <c r="V87">
        <f t="shared" si="36"/>
        <v>0.12084552450734404</v>
      </c>
      <c r="W87">
        <f t="shared" si="29"/>
        <v>0.16242233266578013</v>
      </c>
      <c r="X87" t="s">
        <v>1176</v>
      </c>
      <c r="Y87">
        <f t="shared" si="37"/>
        <v>1.7870273230942108E-2</v>
      </c>
      <c r="Z87">
        <f t="shared" si="30"/>
        <v>3.5805657186200483E-2</v>
      </c>
      <c r="AA87" t="str">
        <f t="shared" si="38"/>
        <v>No Impact</v>
      </c>
      <c r="AB87">
        <f t="shared" si="39"/>
        <v>6.1257967741237235E-2</v>
      </c>
      <c r="AC87">
        <f t="shared" si="31"/>
        <v>0.14381980157603425</v>
      </c>
      <c r="AD87" t="str">
        <f t="shared" si="40"/>
        <v>No Impact</v>
      </c>
      <c r="AE87">
        <f t="shared" si="41"/>
        <v>3.8859863412526292E-2</v>
      </c>
      <c r="AF87">
        <f t="shared" si="32"/>
        <v>0.21258054292701398</v>
      </c>
      <c r="AG87" t="s">
        <v>1175</v>
      </c>
    </row>
    <row r="88" spans="1:33" x14ac:dyDescent="0.3">
      <c r="A88">
        <v>201565</v>
      </c>
      <c r="B88" t="s">
        <v>404</v>
      </c>
      <c r="C88" t="s">
        <v>1165</v>
      </c>
      <c r="D88" t="s">
        <v>629</v>
      </c>
      <c r="E88" s="4">
        <v>4.0999999999999996</v>
      </c>
      <c r="F88" s="3">
        <f t="shared" si="42"/>
        <v>0.19999999999999987</v>
      </c>
      <c r="G88">
        <v>72.159840000000003</v>
      </c>
      <c r="H88">
        <f t="shared" si="33"/>
        <v>0.68109195441355364</v>
      </c>
      <c r="I88">
        <v>41.600000000000009</v>
      </c>
      <c r="J88" s="3">
        <f t="shared" si="23"/>
        <v>0.12863327149041437</v>
      </c>
      <c r="K88">
        <v>0</v>
      </c>
      <c r="L88" s="3">
        <f t="shared" si="24"/>
        <v>0</v>
      </c>
      <c r="M88">
        <v>13802</v>
      </c>
      <c r="N88">
        <f t="shared" si="25"/>
        <v>6.4172261571872655E-2</v>
      </c>
      <c r="O88" s="15">
        <v>3.7292502999999998E-2</v>
      </c>
      <c r="P88">
        <f t="shared" si="26"/>
        <v>3.8018008914014065E-2</v>
      </c>
      <c r="Q88">
        <v>0.21010000000000001</v>
      </c>
      <c r="R88">
        <f t="shared" si="27"/>
        <v>0.46575038794058971</v>
      </c>
      <c r="S88">
        <f t="shared" si="34"/>
        <v>1.5020531618637161E-2</v>
      </c>
      <c r="T88" s="14">
        <f t="shared" si="28"/>
        <v>2.5199107964108593E-2</v>
      </c>
      <c r="U88" t="str">
        <f t="shared" si="35"/>
        <v>No Impact</v>
      </c>
      <c r="V88">
        <f t="shared" si="36"/>
        <v>2.7773947203255253E-2</v>
      </c>
      <c r="W88">
        <f t="shared" si="29"/>
        <v>3.7329552008479955E-2</v>
      </c>
      <c r="X88" t="s">
        <v>1176</v>
      </c>
      <c r="Y88">
        <f t="shared" si="37"/>
        <v>2.2671160340190727E-3</v>
      </c>
      <c r="Z88">
        <f t="shared" si="30"/>
        <v>4.5424923539988775E-3</v>
      </c>
      <c r="AA88" t="str">
        <f t="shared" si="38"/>
        <v>No Impact</v>
      </c>
      <c r="AB88">
        <f t="shared" si="39"/>
        <v>1.1740383872061546E-2</v>
      </c>
      <c r="AC88">
        <f t="shared" si="31"/>
        <v>2.7563756049479766E-2</v>
      </c>
      <c r="AD88" t="str">
        <f t="shared" si="40"/>
        <v>No Impact</v>
      </c>
      <c r="AE88">
        <f t="shared" si="41"/>
        <v>3.8267644020471029E-3</v>
      </c>
      <c r="AF88">
        <f t="shared" si="32"/>
        <v>2.0934084240211627E-2</v>
      </c>
      <c r="AG88" t="s">
        <v>1176</v>
      </c>
    </row>
    <row r="89" spans="1:33" x14ac:dyDescent="0.3">
      <c r="A89">
        <v>201570</v>
      </c>
      <c r="B89" t="s">
        <v>437</v>
      </c>
      <c r="C89" t="s">
        <v>1165</v>
      </c>
      <c r="D89" t="s">
        <v>630</v>
      </c>
      <c r="E89" s="4">
        <v>5.7</v>
      </c>
      <c r="F89" s="3">
        <f t="shared" si="42"/>
        <v>0.55555555555555558</v>
      </c>
      <c r="G89">
        <v>58.965480000000007</v>
      </c>
      <c r="H89">
        <f t="shared" si="33"/>
        <v>0.55655492052273547</v>
      </c>
      <c r="I89">
        <v>44.699999999999996</v>
      </c>
      <c r="J89" s="3">
        <f t="shared" si="23"/>
        <v>0.13821892393320961</v>
      </c>
      <c r="K89">
        <v>0</v>
      </c>
      <c r="L89" s="3">
        <f t="shared" si="24"/>
        <v>0</v>
      </c>
      <c r="M89">
        <v>39341</v>
      </c>
      <c r="N89">
        <f t="shared" si="25"/>
        <v>0.18500801975841366</v>
      </c>
      <c r="O89" s="15">
        <v>0.216305678</v>
      </c>
      <c r="P89">
        <f t="shared" si="26"/>
        <v>0.22051379051590761</v>
      </c>
      <c r="Q89">
        <v>0.4138</v>
      </c>
      <c r="R89">
        <f t="shared" si="27"/>
        <v>0.91731323431611611</v>
      </c>
      <c r="S89">
        <f t="shared" si="34"/>
        <v>7.9099760319023493E-2</v>
      </c>
      <c r="T89" s="14">
        <f t="shared" si="28"/>
        <v>0.13270125524325724</v>
      </c>
      <c r="U89" t="str">
        <f t="shared" si="35"/>
        <v>No Impact</v>
      </c>
      <c r="V89">
        <f t="shared" si="36"/>
        <v>0.1275400485105983</v>
      </c>
      <c r="W89">
        <f t="shared" si="29"/>
        <v>0.17142010241462619</v>
      </c>
      <c r="X89" t="s">
        <v>1176</v>
      </c>
      <c r="Y89">
        <f t="shared" si="37"/>
        <v>3.0659472127448684E-2</v>
      </c>
      <c r="Z89">
        <f t="shared" si="30"/>
        <v>6.1430652700066299E-2</v>
      </c>
      <c r="AA89" t="str">
        <f t="shared" si="38"/>
        <v>No Impact</v>
      </c>
      <c r="AB89">
        <f t="shared" si="39"/>
        <v>6.2839864162100287E-2</v>
      </c>
      <c r="AC89">
        <f t="shared" si="31"/>
        <v>0.14753373525276656</v>
      </c>
      <c r="AD89" t="str">
        <f t="shared" si="40"/>
        <v>No Impact</v>
      </c>
      <c r="AE89">
        <f t="shared" si="41"/>
        <v>2.5722872986160789E-2</v>
      </c>
      <c r="AF89">
        <f t="shared" si="32"/>
        <v>0.14071542781794852</v>
      </c>
      <c r="AG89" t="s">
        <v>1175</v>
      </c>
    </row>
    <row r="90" spans="1:33" x14ac:dyDescent="0.3">
      <c r="A90">
        <v>201574</v>
      </c>
      <c r="B90" t="s">
        <v>440</v>
      </c>
      <c r="C90" t="s">
        <v>1165</v>
      </c>
      <c r="D90" t="s">
        <v>631</v>
      </c>
      <c r="E90" s="4">
        <v>5.5</v>
      </c>
      <c r="F90" s="3">
        <f t="shared" si="42"/>
        <v>0.51111111111111107</v>
      </c>
      <c r="G90">
        <v>66.056759999999997</v>
      </c>
      <c r="H90">
        <f t="shared" si="33"/>
        <v>0.62348707772393963</v>
      </c>
      <c r="I90">
        <v>54.8</v>
      </c>
      <c r="J90" s="3">
        <f t="shared" si="23"/>
        <v>0.16944959802102658</v>
      </c>
      <c r="K90">
        <v>0</v>
      </c>
      <c r="L90" s="3">
        <f t="shared" si="24"/>
        <v>0</v>
      </c>
      <c r="M90">
        <v>34140</v>
      </c>
      <c r="N90">
        <f t="shared" si="25"/>
        <v>0.16039989969387708</v>
      </c>
      <c r="O90" s="15">
        <v>0.22320835999999999</v>
      </c>
      <c r="P90">
        <f t="shared" si="26"/>
        <v>0.22755076054193682</v>
      </c>
      <c r="Q90">
        <v>0.41060000000000002</v>
      </c>
      <c r="R90">
        <f t="shared" si="27"/>
        <v>0.91021946353358463</v>
      </c>
      <c r="S90">
        <f t="shared" si="34"/>
        <v>8.2368866092255077E-2</v>
      </c>
      <c r="T90" s="14">
        <f t="shared" si="28"/>
        <v>0.13818565162930391</v>
      </c>
      <c r="U90" t="str">
        <f t="shared" si="35"/>
        <v>No Impact</v>
      </c>
      <c r="V90">
        <f t="shared" si="36"/>
        <v>0.13179066127746647</v>
      </c>
      <c r="W90">
        <f t="shared" si="29"/>
        <v>0.17713313517829893</v>
      </c>
      <c r="X90" t="s">
        <v>1175</v>
      </c>
      <c r="Y90">
        <f t="shared" si="37"/>
        <v>3.2947070907043685E-2</v>
      </c>
      <c r="Z90">
        <f t="shared" si="30"/>
        <v>6.6014185174540441E-2</v>
      </c>
      <c r="AA90" t="str">
        <f t="shared" si="38"/>
        <v>No Impact</v>
      </c>
      <c r="AB90">
        <f t="shared" si="39"/>
        <v>6.4139357320304249E-2</v>
      </c>
      <c r="AC90">
        <f t="shared" si="31"/>
        <v>0.15058465017948713</v>
      </c>
      <c r="AD90" t="str">
        <f t="shared" si="40"/>
        <v>Low</v>
      </c>
      <c r="AE90">
        <f t="shared" si="41"/>
        <v>2.3224298860222488E-2</v>
      </c>
      <c r="AF90">
        <f t="shared" si="32"/>
        <v>0.12704712850879191</v>
      </c>
      <c r="AG90" t="s">
        <v>1175</v>
      </c>
    </row>
    <row r="91" spans="1:33" x14ac:dyDescent="0.3">
      <c r="A91">
        <v>201578</v>
      </c>
      <c r="B91" t="s">
        <v>456</v>
      </c>
      <c r="C91" t="s">
        <v>1165</v>
      </c>
      <c r="D91" t="s">
        <v>632</v>
      </c>
      <c r="E91" s="4">
        <v>5.8</v>
      </c>
      <c r="F91" s="3">
        <f t="shared" si="42"/>
        <v>0.57777777777777772</v>
      </c>
      <c r="G91">
        <v>90.955439999999996</v>
      </c>
      <c r="H91">
        <f t="shared" si="33"/>
        <v>0.8584971695356407</v>
      </c>
      <c r="I91">
        <v>88.300000000000011</v>
      </c>
      <c r="J91" s="3">
        <f t="shared" si="23"/>
        <v>0.27303648732220159</v>
      </c>
      <c r="K91">
        <v>0.3</v>
      </c>
      <c r="L91" s="3">
        <f t="shared" si="24"/>
        <v>0.15</v>
      </c>
      <c r="M91">
        <v>39476</v>
      </c>
      <c r="N91">
        <f t="shared" si="25"/>
        <v>0.18564676157896978</v>
      </c>
      <c r="O91" s="15">
        <v>0.19747442500000001</v>
      </c>
      <c r="P91">
        <f t="shared" si="26"/>
        <v>0.2013161854526043</v>
      </c>
      <c r="Q91">
        <v>0.3498</v>
      </c>
      <c r="R91">
        <f t="shared" si="27"/>
        <v>0.77543781866548434</v>
      </c>
      <c r="S91">
        <f t="shared" si="34"/>
        <v>0.12923714724461322</v>
      </c>
      <c r="T91" s="14">
        <f t="shared" si="28"/>
        <v>0.21681395233372508</v>
      </c>
      <c r="U91" t="str">
        <f t="shared" si="35"/>
        <v>Low</v>
      </c>
      <c r="V91">
        <f t="shared" si="36"/>
        <v>0.20520084100478778</v>
      </c>
      <c r="W91">
        <f t="shared" si="29"/>
        <v>0.27580002980542329</v>
      </c>
      <c r="X91" t="s">
        <v>1175</v>
      </c>
      <c r="Y91">
        <f t="shared" si="37"/>
        <v>5.327345348443862E-2</v>
      </c>
      <c r="Z91">
        <f t="shared" si="30"/>
        <v>0.10674100994080017</v>
      </c>
      <c r="AA91" t="str">
        <f t="shared" si="38"/>
        <v>No Impact</v>
      </c>
      <c r="AB91">
        <f t="shared" si="39"/>
        <v>0.10499675236237288</v>
      </c>
      <c r="AC91">
        <f t="shared" si="31"/>
        <v>0.24650853836143738</v>
      </c>
      <c r="AD91" t="str">
        <f t="shared" si="40"/>
        <v>Low</v>
      </c>
      <c r="AE91">
        <f t="shared" si="41"/>
        <v>4.9126919901044508E-2</v>
      </c>
      <c r="AF91">
        <f t="shared" si="32"/>
        <v>0.26874585723658462</v>
      </c>
      <c r="AG91" t="s">
        <v>1175</v>
      </c>
    </row>
    <row r="92" spans="1:33" x14ac:dyDescent="0.3">
      <c r="A92">
        <v>201582</v>
      </c>
      <c r="B92" t="s">
        <v>463</v>
      </c>
      <c r="C92" t="s">
        <v>1165</v>
      </c>
      <c r="D92" t="s">
        <v>633</v>
      </c>
      <c r="E92" s="4">
        <v>5.7</v>
      </c>
      <c r="F92" s="3">
        <f t="shared" si="42"/>
        <v>0.55555555555555558</v>
      </c>
      <c r="G92">
        <v>63.264240000000001</v>
      </c>
      <c r="H92">
        <f t="shared" si="33"/>
        <v>0.59712944022725267</v>
      </c>
      <c r="I92">
        <v>39.300000000000004</v>
      </c>
      <c r="J92" s="3">
        <f t="shared" si="23"/>
        <v>0.12152133580705009</v>
      </c>
      <c r="K92">
        <v>0</v>
      </c>
      <c r="L92" s="3">
        <f t="shared" si="24"/>
        <v>0</v>
      </c>
      <c r="M92">
        <v>40219</v>
      </c>
      <c r="N92">
        <f t="shared" si="25"/>
        <v>0.18916220730247502</v>
      </c>
      <c r="O92" s="15">
        <v>0.28359237300000001</v>
      </c>
      <c r="P92">
        <f t="shared" si="26"/>
        <v>0.28910951256504297</v>
      </c>
      <c r="Q92">
        <v>0.4027</v>
      </c>
      <c r="R92">
        <f t="shared" si="27"/>
        <v>0.89270671691420966</v>
      </c>
      <c r="S92">
        <f t="shared" si="34"/>
        <v>8.6389467444757076E-2</v>
      </c>
      <c r="T92" s="14">
        <f t="shared" si="28"/>
        <v>0.14493079022590516</v>
      </c>
      <c r="U92" t="str">
        <f t="shared" si="35"/>
        <v>No Impact</v>
      </c>
      <c r="V92">
        <f t="shared" si="36"/>
        <v>0.13051175967105802</v>
      </c>
      <c r="W92">
        <f t="shared" si="29"/>
        <v>0.17541422847480531</v>
      </c>
      <c r="X92" t="s">
        <v>1176</v>
      </c>
      <c r="Y92">
        <f t="shared" si="37"/>
        <v>4.2267175218456132E-2</v>
      </c>
      <c r="Z92">
        <f t="shared" si="30"/>
        <v>8.4688351797591571E-2</v>
      </c>
      <c r="AA92" t="str">
        <f t="shared" si="38"/>
        <v>No Impact</v>
      </c>
      <c r="AB92">
        <f t="shared" si="39"/>
        <v>6.8038553062800197E-2</v>
      </c>
      <c r="AC92">
        <f t="shared" si="31"/>
        <v>0.15973907659403469</v>
      </c>
      <c r="AD92" t="str">
        <f t="shared" si="40"/>
        <v>Low</v>
      </c>
      <c r="AE92">
        <f t="shared" si="41"/>
        <v>2.7655098892551532E-2</v>
      </c>
      <c r="AF92">
        <f t="shared" si="32"/>
        <v>0.15128555329362842</v>
      </c>
      <c r="AG92" t="s">
        <v>1175</v>
      </c>
    </row>
    <row r="93" spans="1:33" x14ac:dyDescent="0.3">
      <c r="A93">
        <v>201586</v>
      </c>
      <c r="B93" t="s">
        <v>491</v>
      </c>
      <c r="C93" t="s">
        <v>1165</v>
      </c>
      <c r="D93" t="s">
        <v>634</v>
      </c>
      <c r="E93" s="4">
        <v>5.8</v>
      </c>
      <c r="F93" s="3">
        <f t="shared" si="42"/>
        <v>0.57777777777777772</v>
      </c>
      <c r="G93">
        <v>81.098640000000003</v>
      </c>
      <c r="H93">
        <f t="shared" si="33"/>
        <v>0.76546221856757435</v>
      </c>
      <c r="I93">
        <v>66.099999999999994</v>
      </c>
      <c r="J93" s="3">
        <f t="shared" si="23"/>
        <v>0.20439084724799006</v>
      </c>
      <c r="K93">
        <v>0.3</v>
      </c>
      <c r="L93" s="3">
        <f t="shared" si="24"/>
        <v>0.15</v>
      </c>
      <c r="M93">
        <v>54977</v>
      </c>
      <c r="N93">
        <f t="shared" si="25"/>
        <v>0.25898851684149266</v>
      </c>
      <c r="O93" s="15">
        <v>0.34025681699999999</v>
      </c>
      <c r="P93">
        <f t="shared" si="26"/>
        <v>0.34687633334131668</v>
      </c>
      <c r="Q93">
        <v>0.3952</v>
      </c>
      <c r="R93">
        <f t="shared" si="27"/>
        <v>0.87608069164265123</v>
      </c>
      <c r="S93">
        <f t="shared" si="34"/>
        <v>0.14381484722763033</v>
      </c>
      <c r="T93" s="14">
        <f t="shared" si="28"/>
        <v>0.24127014636647409</v>
      </c>
      <c r="U93" t="str">
        <f t="shared" si="35"/>
        <v>Low</v>
      </c>
      <c r="V93">
        <f t="shared" si="36"/>
        <v>0.20604715988170766</v>
      </c>
      <c r="W93">
        <f t="shared" si="29"/>
        <v>0.27693752402979616</v>
      </c>
      <c r="X93" t="s">
        <v>1175</v>
      </c>
      <c r="Y93">
        <f t="shared" si="37"/>
        <v>8.1582534573552967E-2</v>
      </c>
      <c r="Z93">
        <f t="shared" si="30"/>
        <v>0.16346231686397034</v>
      </c>
      <c r="AA93" t="str">
        <f t="shared" si="38"/>
        <v>Low</v>
      </c>
      <c r="AB93">
        <f t="shared" si="39"/>
        <v>0.1179104748193107</v>
      </c>
      <c r="AC93">
        <f t="shared" si="31"/>
        <v>0.27682702703886253</v>
      </c>
      <c r="AD93" t="str">
        <f t="shared" si="40"/>
        <v>Low</v>
      </c>
      <c r="AE93">
        <f t="shared" si="41"/>
        <v>6.0912024253277595E-2</v>
      </c>
      <c r="AF93">
        <f t="shared" si="32"/>
        <v>0.33321556097830335</v>
      </c>
      <c r="AG93" t="str">
        <f t="shared" si="43"/>
        <v>Moderate</v>
      </c>
    </row>
    <row r="94" spans="1:33" x14ac:dyDescent="0.3">
      <c r="A94">
        <v>201909</v>
      </c>
      <c r="B94" t="s">
        <v>52</v>
      </c>
      <c r="C94" s="1" t="s">
        <v>1168</v>
      </c>
      <c r="D94" t="s">
        <v>635</v>
      </c>
      <c r="E94" s="4">
        <v>4.4000000000000004</v>
      </c>
      <c r="F94" s="3">
        <f t="shared" si="42"/>
        <v>0.26666666666666672</v>
      </c>
      <c r="G94">
        <v>55.076039999999999</v>
      </c>
      <c r="H94">
        <f t="shared" si="33"/>
        <v>0.51984383176236326</v>
      </c>
      <c r="I94">
        <v>118.1</v>
      </c>
      <c r="J94" s="3">
        <f t="shared" si="23"/>
        <v>0.36518243661100797</v>
      </c>
      <c r="K94">
        <v>0</v>
      </c>
      <c r="L94" s="3">
        <f t="shared" si="24"/>
        <v>0</v>
      </c>
      <c r="M94">
        <v>52813</v>
      </c>
      <c r="N94">
        <f t="shared" si="25"/>
        <v>0.24874972202902254</v>
      </c>
      <c r="O94" s="15">
        <v>0.22227117499999999</v>
      </c>
      <c r="P94">
        <f t="shared" si="26"/>
        <v>0.22659534310363613</v>
      </c>
      <c r="Q94">
        <v>0.36870000000000003</v>
      </c>
      <c r="R94">
        <f t="shared" si="27"/>
        <v>0.81733540234981161</v>
      </c>
      <c r="S94">
        <f t="shared" si="34"/>
        <v>3.9108989090665527E-2</v>
      </c>
      <c r="T94" s="14">
        <f t="shared" si="28"/>
        <v>6.5610969270889427E-2</v>
      </c>
      <c r="U94" t="str">
        <f t="shared" si="35"/>
        <v>No Impact</v>
      </c>
      <c r="V94">
        <f t="shared" si="36"/>
        <v>6.1240003655661908E-2</v>
      </c>
      <c r="W94">
        <f t="shared" si="29"/>
        <v>8.2309578999833169E-2</v>
      </c>
      <c r="X94" t="s">
        <v>1176</v>
      </c>
      <c r="Y94">
        <f t="shared" si="37"/>
        <v>1.6977974525669143E-2</v>
      </c>
      <c r="Z94">
        <f t="shared" si="30"/>
        <v>3.4017808666158014E-2</v>
      </c>
      <c r="AA94" t="str">
        <f t="shared" si="38"/>
        <v>No Impact</v>
      </c>
      <c r="AB94">
        <f t="shared" si="39"/>
        <v>3.3050666512567856E-2</v>
      </c>
      <c r="AC94">
        <f t="shared" si="31"/>
        <v>7.759546186501004E-2</v>
      </c>
      <c r="AD94" t="str">
        <f t="shared" si="40"/>
        <v>No Impact</v>
      </c>
      <c r="AE94">
        <f t="shared" si="41"/>
        <v>1.8637922501101283E-2</v>
      </c>
      <c r="AF94">
        <f t="shared" si="32"/>
        <v>0.10195763279596526</v>
      </c>
      <c r="AG94" t="s">
        <v>1175</v>
      </c>
    </row>
    <row r="95" spans="1:33" x14ac:dyDescent="0.3">
      <c r="A95">
        <v>201915</v>
      </c>
      <c r="B95" t="s">
        <v>88</v>
      </c>
      <c r="C95" s="1" t="s">
        <v>1168</v>
      </c>
      <c r="D95" t="s">
        <v>636</v>
      </c>
      <c r="E95" s="4">
        <v>4.4000000000000004</v>
      </c>
      <c r="F95" s="3">
        <f t="shared" si="42"/>
        <v>0.26666666666666672</v>
      </c>
      <c r="G95">
        <v>50.949359999999999</v>
      </c>
      <c r="H95">
        <f t="shared" si="33"/>
        <v>0.48089351609592995</v>
      </c>
      <c r="I95">
        <v>134.90000000000003</v>
      </c>
      <c r="J95" s="3">
        <f t="shared" si="23"/>
        <v>0.41713048855906004</v>
      </c>
      <c r="K95">
        <v>0</v>
      </c>
      <c r="L95" s="3">
        <f t="shared" si="24"/>
        <v>0</v>
      </c>
      <c r="M95">
        <v>14956</v>
      </c>
      <c r="N95">
        <f t="shared" si="25"/>
        <v>6.9632321282404319E-2</v>
      </c>
      <c r="O95" s="15">
        <v>0.150074077</v>
      </c>
      <c r="P95">
        <f t="shared" si="26"/>
        <v>0.15299368876228109</v>
      </c>
      <c r="Q95">
        <v>0.35060000000000002</v>
      </c>
      <c r="R95">
        <f t="shared" si="27"/>
        <v>0.77721126136111729</v>
      </c>
      <c r="S95">
        <f t="shared" si="34"/>
        <v>3.4204690763050397E-2</v>
      </c>
      <c r="T95" s="14">
        <f t="shared" si="28"/>
        <v>5.7383301556889837E-2</v>
      </c>
      <c r="U95" t="str">
        <f t="shared" si="35"/>
        <v>No Impact</v>
      </c>
      <c r="V95">
        <f t="shared" si="36"/>
        <v>5.7157878699507586E-2</v>
      </c>
      <c r="W95">
        <f t="shared" si="29"/>
        <v>7.6823002146327216E-2</v>
      </c>
      <c r="X95" t="s">
        <v>1176</v>
      </c>
      <c r="Y95">
        <f t="shared" si="37"/>
        <v>1.1251502826593204E-2</v>
      </c>
      <c r="Z95">
        <f t="shared" si="30"/>
        <v>2.2544000745383291E-2</v>
      </c>
      <c r="AA95" t="str">
        <f t="shared" si="38"/>
        <v>No Impact</v>
      </c>
      <c r="AB95">
        <f t="shared" si="39"/>
        <v>2.5173029978907087E-2</v>
      </c>
      <c r="AC95">
        <f t="shared" si="31"/>
        <v>5.9100559651717524E-2</v>
      </c>
      <c r="AD95" t="str">
        <f t="shared" si="40"/>
        <v>No Impact</v>
      </c>
      <c r="AE95">
        <f t="shared" si="41"/>
        <v>5.1209188174327737E-3</v>
      </c>
      <c r="AF95">
        <f t="shared" si="32"/>
        <v>2.8013678044584014E-2</v>
      </c>
      <c r="AG95" t="s">
        <v>1176</v>
      </c>
    </row>
    <row r="96" spans="1:33" x14ac:dyDescent="0.3">
      <c r="A96">
        <v>201918</v>
      </c>
      <c r="B96" t="s">
        <v>91</v>
      </c>
      <c r="C96" s="1" t="s">
        <v>1168</v>
      </c>
      <c r="D96" t="s">
        <v>637</v>
      </c>
      <c r="E96" s="4">
        <v>4.3</v>
      </c>
      <c r="F96" s="3">
        <f t="shared" si="42"/>
        <v>0.24444444444444435</v>
      </c>
      <c r="G96">
        <v>51.136559999999996</v>
      </c>
      <c r="H96">
        <f t="shared" si="33"/>
        <v>0.48266043262271568</v>
      </c>
      <c r="I96">
        <v>126.5</v>
      </c>
      <c r="J96" s="3">
        <f t="shared" si="23"/>
        <v>0.39115646258503395</v>
      </c>
      <c r="K96">
        <v>0</v>
      </c>
      <c r="L96" s="3">
        <f t="shared" si="24"/>
        <v>0</v>
      </c>
      <c r="M96">
        <v>36049</v>
      </c>
      <c r="N96">
        <f t="shared" si="25"/>
        <v>0.16943218217863007</v>
      </c>
      <c r="O96" s="15">
        <v>0.40571206599999998</v>
      </c>
      <c r="P96">
        <f t="shared" si="26"/>
        <v>0.41360497957755915</v>
      </c>
      <c r="Q96">
        <v>0.35720000000000002</v>
      </c>
      <c r="R96">
        <f t="shared" si="27"/>
        <v>0.79184216360008874</v>
      </c>
      <c r="S96">
        <f t="shared" si="34"/>
        <v>3.997061981289627E-2</v>
      </c>
      <c r="T96" s="14">
        <f t="shared" si="28"/>
        <v>6.7056479066810698E-2</v>
      </c>
      <c r="U96" t="str">
        <f t="shared" si="35"/>
        <v>No Impact</v>
      </c>
      <c r="V96">
        <f t="shared" si="36"/>
        <v>5.2512334949249617E-2</v>
      </c>
      <c r="W96">
        <f t="shared" si="29"/>
        <v>7.0579162703419421E-2</v>
      </c>
      <c r="X96" t="s">
        <v>1176</v>
      </c>
      <c r="Y96">
        <f t="shared" si="37"/>
        <v>2.7428904676542912E-2</v>
      </c>
      <c r="Z96">
        <f t="shared" si="30"/>
        <v>5.4957747156364575E-2</v>
      </c>
      <c r="AA96" t="str">
        <f t="shared" si="38"/>
        <v>No Impact</v>
      </c>
      <c r="AB96">
        <f t="shared" si="39"/>
        <v>3.0540650936805074E-2</v>
      </c>
      <c r="AC96">
        <f t="shared" si="31"/>
        <v>7.1702515112616397E-2</v>
      </c>
      <c r="AD96" t="str">
        <f t="shared" si="40"/>
        <v>No Impact</v>
      </c>
      <c r="AE96">
        <f t="shared" si="41"/>
        <v>1.123617800458524E-2</v>
      </c>
      <c r="AF96">
        <f t="shared" si="32"/>
        <v>6.1466835209445209E-2</v>
      </c>
      <c r="AG96" t="s">
        <v>1175</v>
      </c>
    </row>
    <row r="97" spans="1:33" x14ac:dyDescent="0.3">
      <c r="A97">
        <v>201927</v>
      </c>
      <c r="B97" t="s">
        <v>97</v>
      </c>
      <c r="C97" s="1" t="s">
        <v>1168</v>
      </c>
      <c r="D97" t="s">
        <v>638</v>
      </c>
      <c r="E97" s="4">
        <v>3.8</v>
      </c>
      <c r="F97" s="3">
        <f t="shared" si="42"/>
        <v>0.13333333333333325</v>
      </c>
      <c r="G97">
        <v>54.342000000000006</v>
      </c>
      <c r="H97">
        <f t="shared" si="33"/>
        <v>0.51291548022752453</v>
      </c>
      <c r="I97">
        <v>126</v>
      </c>
      <c r="J97" s="3">
        <f t="shared" si="23"/>
        <v>0.38961038961038957</v>
      </c>
      <c r="K97">
        <v>0</v>
      </c>
      <c r="L97" s="3">
        <f t="shared" si="24"/>
        <v>0</v>
      </c>
      <c r="M97">
        <v>52969</v>
      </c>
      <c r="N97">
        <f t="shared" si="25"/>
        <v>0.24948782368833183</v>
      </c>
      <c r="O97" s="15">
        <v>0.594475317</v>
      </c>
      <c r="P97">
        <f t="shared" si="26"/>
        <v>0.60604051974916617</v>
      </c>
      <c r="Q97">
        <v>0.34720000000000001</v>
      </c>
      <c r="R97">
        <f t="shared" si="27"/>
        <v>0.76967412990467743</v>
      </c>
      <c r="S97">
        <f t="shared" si="34"/>
        <v>2.5963245346811166E-2</v>
      </c>
      <c r="T97" s="14">
        <f t="shared" si="28"/>
        <v>4.3557088337749253E-2</v>
      </c>
      <c r="U97" t="str">
        <f t="shared" si="35"/>
        <v>No Impact</v>
      </c>
      <c r="V97">
        <f t="shared" si="36"/>
        <v>2.9051429054472475E-2</v>
      </c>
      <c r="W97">
        <f t="shared" si="29"/>
        <v>3.9046550491119589E-2</v>
      </c>
      <c r="X97" t="s">
        <v>1176</v>
      </c>
      <c r="Y97">
        <f t="shared" si="37"/>
        <v>2.2875061639149853E-2</v>
      </c>
      <c r="Z97">
        <f t="shared" si="30"/>
        <v>4.583346905666897E-2</v>
      </c>
      <c r="AA97" t="str">
        <f t="shared" si="38"/>
        <v>No Impact</v>
      </c>
      <c r="AB97">
        <f t="shared" si="39"/>
        <v>2.032644889268246E-2</v>
      </c>
      <c r="AC97">
        <f t="shared" si="31"/>
        <v>4.7721887523915908E-2</v>
      </c>
      <c r="AD97" t="str">
        <f t="shared" si="40"/>
        <v>No Impact</v>
      </c>
      <c r="AE97">
        <f t="shared" si="41"/>
        <v>9.4169435196346778E-3</v>
      </c>
      <c r="AF97">
        <f t="shared" si="32"/>
        <v>5.1514822501194789E-2</v>
      </c>
      <c r="AG97" t="s">
        <v>1176</v>
      </c>
    </row>
    <row r="98" spans="1:33" x14ac:dyDescent="0.3">
      <c r="A98">
        <v>201931</v>
      </c>
      <c r="B98" t="s">
        <v>105</v>
      </c>
      <c r="C98" s="1" t="s">
        <v>1168</v>
      </c>
      <c r="D98" t="s">
        <v>639</v>
      </c>
      <c r="E98" s="4">
        <v>4.5</v>
      </c>
      <c r="F98" s="3">
        <f t="shared" si="42"/>
        <v>0.28888888888888886</v>
      </c>
      <c r="G98">
        <v>59.070599999999999</v>
      </c>
      <c r="H98">
        <f t="shared" si="33"/>
        <v>0.55754711211085362</v>
      </c>
      <c r="I98">
        <v>106.69999999999999</v>
      </c>
      <c r="J98" s="3">
        <f t="shared" si="23"/>
        <v>0.32993197278911557</v>
      </c>
      <c r="K98">
        <v>0</v>
      </c>
      <c r="L98" s="3">
        <f t="shared" si="24"/>
        <v>0</v>
      </c>
      <c r="M98">
        <v>58877</v>
      </c>
      <c r="N98">
        <f t="shared" si="25"/>
        <v>0.27744105832422533</v>
      </c>
      <c r="O98" s="15">
        <v>0.48047816199999999</v>
      </c>
      <c r="P98">
        <f t="shared" si="26"/>
        <v>0.48982561041572065</v>
      </c>
      <c r="Q98">
        <v>0.39079999999999998</v>
      </c>
      <c r="R98">
        <f t="shared" si="27"/>
        <v>0.86632675681667026</v>
      </c>
      <c r="S98">
        <f t="shared" si="34"/>
        <v>5.6612853491683567E-2</v>
      </c>
      <c r="T98" s="14">
        <f t="shared" si="28"/>
        <v>9.4976226109274919E-2</v>
      </c>
      <c r="U98" t="str">
        <f t="shared" si="35"/>
        <v>No Impact</v>
      </c>
      <c r="V98">
        <f t="shared" si="36"/>
        <v>7.2329969617909634E-2</v>
      </c>
      <c r="W98">
        <f t="shared" si="29"/>
        <v>9.7215039074715071E-2</v>
      </c>
      <c r="X98" t="s">
        <v>1176</v>
      </c>
      <c r="Y98">
        <f t="shared" si="37"/>
        <v>4.0895737365457499E-2</v>
      </c>
      <c r="Z98">
        <f t="shared" si="30"/>
        <v>8.194047922832258E-2</v>
      </c>
      <c r="AA98" t="str">
        <f t="shared" si="38"/>
        <v>No Impact</v>
      </c>
      <c r="AB98">
        <f t="shared" si="39"/>
        <v>4.5691493545649414E-2</v>
      </c>
      <c r="AC98">
        <f t="shared" si="31"/>
        <v>0.10727325403947895</v>
      </c>
      <c r="AD98" t="str">
        <f t="shared" si="40"/>
        <v>No Impact</v>
      </c>
      <c r="AE98">
        <f t="shared" si="41"/>
        <v>2.3163665627839426E-2</v>
      </c>
      <c r="AF98">
        <f t="shared" si="32"/>
        <v>0.12671543806195271</v>
      </c>
      <c r="AG98" t="s">
        <v>1175</v>
      </c>
    </row>
    <row r="99" spans="1:33" x14ac:dyDescent="0.3">
      <c r="A99">
        <v>201933</v>
      </c>
      <c r="B99" t="s">
        <v>117</v>
      </c>
      <c r="C99" s="1" t="s">
        <v>1168</v>
      </c>
      <c r="D99" t="s">
        <v>640</v>
      </c>
      <c r="E99" s="4">
        <v>4.4000000000000004</v>
      </c>
      <c r="F99" s="3">
        <f t="shared" si="42"/>
        <v>0.26666666666666672</v>
      </c>
      <c r="G99">
        <v>54.863640000000004</v>
      </c>
      <c r="H99">
        <f t="shared" si="33"/>
        <v>0.51783906108774103</v>
      </c>
      <c r="I99">
        <v>111.60000000000001</v>
      </c>
      <c r="J99" s="3">
        <f t="shared" si="23"/>
        <v>0.34508348794063076</v>
      </c>
      <c r="K99">
        <v>0</v>
      </c>
      <c r="L99" s="3">
        <f t="shared" si="24"/>
        <v>0</v>
      </c>
      <c r="M99">
        <v>63237</v>
      </c>
      <c r="N99">
        <f t="shared" si="25"/>
        <v>0.2980700534177419</v>
      </c>
      <c r="O99" s="15">
        <v>0.59946928899999996</v>
      </c>
      <c r="P99">
        <f t="shared" si="26"/>
        <v>0.61113164683206367</v>
      </c>
      <c r="Q99">
        <v>0.38969999999999999</v>
      </c>
      <c r="R99">
        <f t="shared" si="27"/>
        <v>0.86388827311017513</v>
      </c>
      <c r="S99">
        <f t="shared" si="34"/>
        <v>5.4310690123007634E-2</v>
      </c>
      <c r="T99" s="14">
        <f t="shared" si="28"/>
        <v>9.1114015053688838E-2</v>
      </c>
      <c r="U99" t="str">
        <f t="shared" si="35"/>
        <v>No Impact</v>
      </c>
      <c r="V99">
        <f t="shared" si="36"/>
        <v>6.3617267356801815E-2</v>
      </c>
      <c r="W99">
        <f t="shared" si="29"/>
        <v>8.5504738417403206E-2</v>
      </c>
      <c r="X99" t="s">
        <v>1176</v>
      </c>
      <c r="Y99">
        <f t="shared" si="37"/>
        <v>4.5004112889213445E-2</v>
      </c>
      <c r="Z99">
        <f t="shared" si="30"/>
        <v>9.0172199230290725E-2</v>
      </c>
      <c r="AA99" t="str">
        <f t="shared" si="38"/>
        <v>No Impact</v>
      </c>
      <c r="AB99">
        <f t="shared" si="39"/>
        <v>4.3449799596821576E-2</v>
      </c>
      <c r="AC99">
        <f t="shared" si="31"/>
        <v>0.10201026555320591</v>
      </c>
      <c r="AD99" t="str">
        <f t="shared" si="40"/>
        <v>No Impact</v>
      </c>
      <c r="AE99">
        <f t="shared" si="41"/>
        <v>2.1950063300505449E-2</v>
      </c>
      <c r="AF99">
        <f t="shared" si="32"/>
        <v>0.12007649960497956</v>
      </c>
      <c r="AG99" t="s">
        <v>1175</v>
      </c>
    </row>
    <row r="100" spans="1:33" x14ac:dyDescent="0.3">
      <c r="A100">
        <v>201936</v>
      </c>
      <c r="B100" t="s">
        <v>130</v>
      </c>
      <c r="C100" s="1" t="s">
        <v>1168</v>
      </c>
      <c r="D100" t="s">
        <v>641</v>
      </c>
      <c r="E100" s="4">
        <v>4.3</v>
      </c>
      <c r="F100" s="3">
        <f t="shared" si="42"/>
        <v>0.24444444444444435</v>
      </c>
      <c r="G100">
        <v>58.457160000000002</v>
      </c>
      <c r="H100">
        <f t="shared" si="33"/>
        <v>0.55175706256923251</v>
      </c>
      <c r="I100">
        <v>129.1</v>
      </c>
      <c r="J100" s="3">
        <f t="shared" si="23"/>
        <v>0.39919604205318487</v>
      </c>
      <c r="K100">
        <v>0</v>
      </c>
      <c r="L100" s="3">
        <f t="shared" si="24"/>
        <v>0</v>
      </c>
      <c r="M100">
        <v>46512</v>
      </c>
      <c r="N100">
        <f t="shared" si="25"/>
        <v>0.21893703898217673</v>
      </c>
      <c r="O100" s="15">
        <v>0.45133930100000003</v>
      </c>
      <c r="P100">
        <f t="shared" si="26"/>
        <v>0.4601198682926399</v>
      </c>
      <c r="Q100">
        <v>0.29849999999999999</v>
      </c>
      <c r="R100">
        <f t="shared" si="27"/>
        <v>0.6617158058080248</v>
      </c>
      <c r="S100">
        <f t="shared" si="34"/>
        <v>4.1208294682851185E-2</v>
      </c>
      <c r="T100" s="14">
        <f t="shared" si="28"/>
        <v>6.9132857151442559E-2</v>
      </c>
      <c r="U100" t="str">
        <f t="shared" si="35"/>
        <v>No Impact</v>
      </c>
      <c r="V100">
        <f t="shared" si="36"/>
        <v>4.8613501159868767E-2</v>
      </c>
      <c r="W100">
        <f t="shared" si="29"/>
        <v>6.5338938199210203E-2</v>
      </c>
      <c r="X100" t="s">
        <v>1176</v>
      </c>
      <c r="Y100">
        <f t="shared" si="37"/>
        <v>3.3803088205833588E-2</v>
      </c>
      <c r="Z100">
        <f t="shared" si="30"/>
        <v>6.7729338689533056E-2</v>
      </c>
      <c r="AA100" t="str">
        <f t="shared" si="38"/>
        <v>No Impact</v>
      </c>
      <c r="AB100">
        <f t="shared" si="39"/>
        <v>3.2785188848350376E-2</v>
      </c>
      <c r="AC100">
        <f t="shared" si="31"/>
        <v>7.6972180577718416E-2</v>
      </c>
      <c r="AD100" t="str">
        <f t="shared" si="40"/>
        <v>No Impact</v>
      </c>
      <c r="AE100">
        <f t="shared" si="41"/>
        <v>1.608439137327496E-2</v>
      </c>
      <c r="AF100">
        <f t="shared" si="32"/>
        <v>8.7988694517109362E-2</v>
      </c>
      <c r="AG100" t="s">
        <v>1175</v>
      </c>
    </row>
    <row r="101" spans="1:33" x14ac:dyDescent="0.3">
      <c r="A101">
        <v>201940</v>
      </c>
      <c r="B101" t="s">
        <v>135</v>
      </c>
      <c r="C101" s="1" t="s">
        <v>1168</v>
      </c>
      <c r="D101" t="s">
        <v>642</v>
      </c>
      <c r="E101" s="4">
        <v>4.4000000000000004</v>
      </c>
      <c r="F101" s="3">
        <f t="shared" si="42"/>
        <v>0.26666666666666672</v>
      </c>
      <c r="G101">
        <v>51.379200000000004</v>
      </c>
      <c r="H101">
        <f t="shared" si="33"/>
        <v>0.48495062827474195</v>
      </c>
      <c r="I101">
        <v>131</v>
      </c>
      <c r="J101" s="3">
        <f t="shared" si="23"/>
        <v>0.4050711193568336</v>
      </c>
      <c r="K101">
        <v>0</v>
      </c>
      <c r="L101" s="3">
        <f t="shared" si="24"/>
        <v>0</v>
      </c>
      <c r="M101">
        <v>53195</v>
      </c>
      <c r="N101">
        <f t="shared" si="25"/>
        <v>0.25055712481015174</v>
      </c>
      <c r="O101" s="15">
        <v>0.47338841999999998</v>
      </c>
      <c r="P101">
        <f t="shared" si="26"/>
        <v>0.48259794123636685</v>
      </c>
      <c r="Q101">
        <v>0.35599999999999998</v>
      </c>
      <c r="R101">
        <f t="shared" si="27"/>
        <v>0.78918199955663926</v>
      </c>
      <c r="S101">
        <f t="shared" si="34"/>
        <v>4.6630994315257489E-2</v>
      </c>
      <c r="T101" s="14">
        <f t="shared" si="28"/>
        <v>7.8230217815055111E-2</v>
      </c>
      <c r="U101" t="str">
        <f t="shared" si="35"/>
        <v>No Impact</v>
      </c>
      <c r="V101">
        <f t="shared" si="36"/>
        <v>5.7872183944154186E-2</v>
      </c>
      <c r="W101">
        <f t="shared" si="29"/>
        <v>7.778306355152928E-2</v>
      </c>
      <c r="X101" t="s">
        <v>1176</v>
      </c>
      <c r="Y101">
        <f t="shared" si="37"/>
        <v>3.5389804686360798E-2</v>
      </c>
      <c r="Z101">
        <f t="shared" si="30"/>
        <v>7.0908552886162129E-2</v>
      </c>
      <c r="AA101" t="str">
        <f t="shared" si="38"/>
        <v>No Impact</v>
      </c>
      <c r="AB101">
        <f t="shared" si="39"/>
        <v>3.730304279010431E-2</v>
      </c>
      <c r="AC101">
        <f t="shared" si="31"/>
        <v>8.7579075997384057E-2</v>
      </c>
      <c r="AD101" t="str">
        <f t="shared" si="40"/>
        <v>No Impact</v>
      </c>
      <c r="AE101">
        <f t="shared" si="41"/>
        <v>1.8373820010691745E-2</v>
      </c>
      <c r="AF101">
        <f t="shared" si="32"/>
        <v>0.10051287602459846</v>
      </c>
      <c r="AG101" t="s">
        <v>1175</v>
      </c>
    </row>
    <row r="102" spans="1:33" x14ac:dyDescent="0.3">
      <c r="A102">
        <v>201954</v>
      </c>
      <c r="B102" t="s">
        <v>210</v>
      </c>
      <c r="C102" s="1" t="s">
        <v>1168</v>
      </c>
      <c r="D102" t="s">
        <v>643</v>
      </c>
      <c r="E102" s="4">
        <v>4.4000000000000004</v>
      </c>
      <c r="F102" s="3">
        <f t="shared" si="42"/>
        <v>0.26666666666666672</v>
      </c>
      <c r="G102">
        <v>51.343920000000004</v>
      </c>
      <c r="H102">
        <f t="shared" si="33"/>
        <v>0.48461763246777079</v>
      </c>
      <c r="I102">
        <v>133.5</v>
      </c>
      <c r="J102" s="3">
        <f t="shared" si="23"/>
        <v>0.41280148423005564</v>
      </c>
      <c r="K102">
        <v>0</v>
      </c>
      <c r="L102" s="3">
        <f t="shared" si="24"/>
        <v>0</v>
      </c>
      <c r="M102">
        <v>23236</v>
      </c>
      <c r="N102">
        <f t="shared" si="25"/>
        <v>0.1088084862765137</v>
      </c>
      <c r="O102" s="15">
        <v>0.61484375000000002</v>
      </c>
      <c r="P102">
        <f t="shared" si="26"/>
        <v>0.62680520983603161</v>
      </c>
      <c r="Q102">
        <v>0.30049999999999999</v>
      </c>
      <c r="R102">
        <f t="shared" si="27"/>
        <v>0.66614941254710702</v>
      </c>
      <c r="S102">
        <f t="shared" si="34"/>
        <v>4.7650954750320683E-2</v>
      </c>
      <c r="T102" s="14">
        <f t="shared" si="28"/>
        <v>7.9941348537644591E-2</v>
      </c>
      <c r="U102" t="str">
        <f t="shared" si="35"/>
        <v>No Impact</v>
      </c>
      <c r="V102">
        <f t="shared" si="36"/>
        <v>4.9100958324009403E-2</v>
      </c>
      <c r="W102">
        <f t="shared" si="29"/>
        <v>6.5994104619291866E-2</v>
      </c>
      <c r="X102" t="s">
        <v>1176</v>
      </c>
      <c r="Y102">
        <f t="shared" si="37"/>
        <v>4.6200951176631963E-2</v>
      </c>
      <c r="Z102">
        <f t="shared" si="30"/>
        <v>9.2570236511132442E-2</v>
      </c>
      <c r="AA102" t="str">
        <f t="shared" si="38"/>
        <v>No Impact</v>
      </c>
      <c r="AB102">
        <f t="shared" si="39"/>
        <v>3.3852664197290362E-2</v>
      </c>
      <c r="AC102">
        <f t="shared" si="31"/>
        <v>7.9478370360578421E-2</v>
      </c>
      <c r="AD102" t="str">
        <f t="shared" si="40"/>
        <v>No Impact</v>
      </c>
      <c r="AE102">
        <f t="shared" si="41"/>
        <v>8.0201240882785338E-3</v>
      </c>
      <c r="AF102">
        <f t="shared" si="32"/>
        <v>4.3873605908730497E-2</v>
      </c>
      <c r="AG102" t="s">
        <v>1176</v>
      </c>
    </row>
    <row r="103" spans="1:33" x14ac:dyDescent="0.3">
      <c r="A103">
        <v>201967</v>
      </c>
      <c r="B103" t="s">
        <v>116</v>
      </c>
      <c r="C103" s="1" t="s">
        <v>1168</v>
      </c>
      <c r="D103" t="s">
        <v>644</v>
      </c>
      <c r="E103" s="4">
        <v>4.4000000000000004</v>
      </c>
      <c r="F103" s="3">
        <f t="shared" si="42"/>
        <v>0.26666666666666672</v>
      </c>
      <c r="G103">
        <v>51.721920000000004</v>
      </c>
      <c r="H103">
        <f t="shared" si="33"/>
        <v>0.48818544468531899</v>
      </c>
      <c r="I103">
        <v>120.8</v>
      </c>
      <c r="J103" s="3">
        <f t="shared" si="23"/>
        <v>0.37353123067408778</v>
      </c>
      <c r="K103">
        <v>0</v>
      </c>
      <c r="L103" s="3">
        <f t="shared" si="24"/>
        <v>0</v>
      </c>
      <c r="M103">
        <v>64652</v>
      </c>
      <c r="N103">
        <f t="shared" si="25"/>
        <v>0.30476501398134875</v>
      </c>
      <c r="O103" s="15">
        <v>0.66842768200000002</v>
      </c>
      <c r="P103">
        <f t="shared" si="26"/>
        <v>0.6814315888812762</v>
      </c>
      <c r="Q103">
        <v>0.36059999999999998</v>
      </c>
      <c r="R103">
        <f t="shared" si="27"/>
        <v>0.79937929505652838</v>
      </c>
      <c r="S103">
        <f t="shared" si="34"/>
        <v>5.3305326709678601E-2</v>
      </c>
      <c r="T103" s="14">
        <f t="shared" si="28"/>
        <v>8.9427372940156138E-2</v>
      </c>
      <c r="U103" t="str">
        <f t="shared" si="35"/>
        <v>No Impact</v>
      </c>
      <c r="V103">
        <f t="shared" si="36"/>
        <v>5.7551136272888874E-2</v>
      </c>
      <c r="W103">
        <f t="shared" si="29"/>
        <v>7.735155968014959E-2</v>
      </c>
      <c r="X103" t="s">
        <v>1176</v>
      </c>
      <c r="Y103">
        <f t="shared" si="37"/>
        <v>4.9059517146468321E-2</v>
      </c>
      <c r="Z103">
        <f t="shared" si="30"/>
        <v>9.8297783697309585E-2</v>
      </c>
      <c r="AA103" t="str">
        <f t="shared" si="38"/>
        <v>No Impact</v>
      </c>
      <c r="AB103">
        <f t="shared" si="39"/>
        <v>4.2540274357910753E-2</v>
      </c>
      <c r="AC103">
        <f t="shared" si="31"/>
        <v>9.9874906771127134E-2</v>
      </c>
      <c r="AD103" t="str">
        <f t="shared" si="40"/>
        <v>No Impact</v>
      </c>
      <c r="AE103">
        <f t="shared" si="41"/>
        <v>2.1941490052740441E-2</v>
      </c>
      <c r="AF103">
        <f t="shared" si="32"/>
        <v>0.12002960016930254</v>
      </c>
      <c r="AG103" t="s">
        <v>1175</v>
      </c>
    </row>
    <row r="104" spans="1:33" x14ac:dyDescent="0.3">
      <c r="A104">
        <v>201972</v>
      </c>
      <c r="B104" t="s">
        <v>294</v>
      </c>
      <c r="C104" s="1" t="s">
        <v>1168</v>
      </c>
      <c r="D104" t="s">
        <v>645</v>
      </c>
      <c r="E104" s="4">
        <v>4.4000000000000004</v>
      </c>
      <c r="F104" s="3">
        <f t="shared" si="42"/>
        <v>0.26666666666666672</v>
      </c>
      <c r="G104">
        <v>55.076039999999999</v>
      </c>
      <c r="H104">
        <f t="shared" si="33"/>
        <v>0.51984383176236326</v>
      </c>
      <c r="I104">
        <v>114.99999999999999</v>
      </c>
      <c r="J104" s="3">
        <f t="shared" si="23"/>
        <v>0.35559678416821267</v>
      </c>
      <c r="K104">
        <v>0</v>
      </c>
      <c r="L104" s="3">
        <f t="shared" si="24"/>
        <v>0</v>
      </c>
      <c r="M104">
        <v>22886</v>
      </c>
      <c r="N104">
        <f t="shared" si="25"/>
        <v>0.10715248896396076</v>
      </c>
      <c r="O104" s="15">
        <v>0.54074714300000004</v>
      </c>
      <c r="P104">
        <f t="shared" si="26"/>
        <v>0.55126709255213147</v>
      </c>
      <c r="Q104">
        <v>0.33650000000000002</v>
      </c>
      <c r="R104">
        <f t="shared" si="27"/>
        <v>0.74595433385058751</v>
      </c>
      <c r="S104">
        <f t="shared" si="34"/>
        <v>4.8266476839300403E-2</v>
      </c>
      <c r="T104" s="14">
        <f t="shared" si="28"/>
        <v>8.0973975608929355E-2</v>
      </c>
      <c r="U104" t="str">
        <f t="shared" si="35"/>
        <v>No Impact</v>
      </c>
      <c r="V104">
        <f t="shared" si="36"/>
        <v>5.5510318971246489E-2</v>
      </c>
      <c r="W104">
        <f t="shared" si="29"/>
        <v>7.4608600782591947E-2</v>
      </c>
      <c r="X104" t="s">
        <v>1176</v>
      </c>
      <c r="Y104">
        <f t="shared" si="37"/>
        <v>4.1022634707354309E-2</v>
      </c>
      <c r="Z104">
        <f t="shared" si="30"/>
        <v>8.2194736265306767E-2</v>
      </c>
      <c r="AA104" t="str">
        <f t="shared" si="38"/>
        <v>No Impact</v>
      </c>
      <c r="AB104">
        <f t="shared" si="39"/>
        <v>3.4526221811291967E-2</v>
      </c>
      <c r="AC104">
        <f t="shared" si="31"/>
        <v>8.1059730728342091E-2</v>
      </c>
      <c r="AD104" t="str">
        <f t="shared" si="40"/>
        <v>No Impact</v>
      </c>
      <c r="AE104">
        <f t="shared" si="41"/>
        <v>7.9737707404268689E-3</v>
      </c>
      <c r="AF104">
        <f t="shared" si="32"/>
        <v>4.3620032710384789E-2</v>
      </c>
      <c r="AG104" t="s">
        <v>1176</v>
      </c>
    </row>
    <row r="105" spans="1:33" x14ac:dyDescent="0.3">
      <c r="A105">
        <v>201973</v>
      </c>
      <c r="B105" t="s">
        <v>1167</v>
      </c>
      <c r="C105" s="1" t="s">
        <v>1168</v>
      </c>
      <c r="D105" s="15" t="s">
        <v>1169</v>
      </c>
      <c r="E105" s="4">
        <v>4.4000000000000004</v>
      </c>
      <c r="F105" s="3">
        <f t="shared" si="42"/>
        <v>0.26666666666666672</v>
      </c>
      <c r="G105">
        <v>55.076039999999999</v>
      </c>
      <c r="H105">
        <f t="shared" si="33"/>
        <v>0.51984383176236326</v>
      </c>
      <c r="I105">
        <v>114.99999999999999</v>
      </c>
      <c r="J105" s="3">
        <f t="shared" si="23"/>
        <v>0.35559678416821267</v>
      </c>
      <c r="K105">
        <v>0</v>
      </c>
      <c r="L105" s="3">
        <f t="shared" si="24"/>
        <v>0</v>
      </c>
      <c r="M105">
        <v>22886</v>
      </c>
      <c r="N105">
        <f t="shared" si="25"/>
        <v>0.10715248896396076</v>
      </c>
      <c r="O105" s="15">
        <v>0.54074714300000004</v>
      </c>
      <c r="P105">
        <f t="shared" si="26"/>
        <v>0.55126709255213147</v>
      </c>
      <c r="Q105">
        <v>0.33650000000000002</v>
      </c>
      <c r="R105">
        <f t="shared" si="27"/>
        <v>0.74595433385058751</v>
      </c>
      <c r="S105">
        <f t="shared" si="34"/>
        <v>4.8266476839300403E-2</v>
      </c>
      <c r="T105" s="14">
        <f t="shared" si="28"/>
        <v>8.0973975608929355E-2</v>
      </c>
      <c r="U105" t="str">
        <f t="shared" si="35"/>
        <v>No Impact</v>
      </c>
      <c r="V105">
        <f t="shared" si="36"/>
        <v>5.5510318971246489E-2</v>
      </c>
      <c r="W105">
        <f t="shared" si="29"/>
        <v>7.4608600782591947E-2</v>
      </c>
      <c r="X105" t="s">
        <v>1176</v>
      </c>
      <c r="Y105">
        <f t="shared" si="37"/>
        <v>4.1022634707354309E-2</v>
      </c>
      <c r="Z105">
        <f t="shared" si="30"/>
        <v>8.2194736265306767E-2</v>
      </c>
      <c r="AA105" t="str">
        <f t="shared" si="38"/>
        <v>No Impact</v>
      </c>
      <c r="AB105">
        <f t="shared" si="39"/>
        <v>3.4526221811291967E-2</v>
      </c>
      <c r="AC105">
        <f t="shared" si="31"/>
        <v>8.1059730728342091E-2</v>
      </c>
      <c r="AD105" t="str">
        <f t="shared" si="40"/>
        <v>No Impact</v>
      </c>
      <c r="AE105">
        <f t="shared" si="41"/>
        <v>7.9737707404268689E-3</v>
      </c>
      <c r="AF105">
        <f t="shared" si="32"/>
        <v>4.3620032710384789E-2</v>
      </c>
      <c r="AG105" t="s">
        <v>1176</v>
      </c>
    </row>
    <row r="106" spans="1:33" x14ac:dyDescent="0.3">
      <c r="A106">
        <v>201974</v>
      </c>
      <c r="B106" t="s">
        <v>322</v>
      </c>
      <c r="C106" s="1" t="s">
        <v>1168</v>
      </c>
      <c r="D106" t="s">
        <v>646</v>
      </c>
      <c r="E106" s="4">
        <v>4.4000000000000004</v>
      </c>
      <c r="F106" s="3">
        <f t="shared" si="42"/>
        <v>0.26666666666666672</v>
      </c>
      <c r="G106">
        <v>57.771360000000001</v>
      </c>
      <c r="H106">
        <f t="shared" si="33"/>
        <v>0.54528403183168084</v>
      </c>
      <c r="I106">
        <v>119.5</v>
      </c>
      <c r="J106" s="3">
        <f t="shared" si="23"/>
        <v>0.36951144094001231</v>
      </c>
      <c r="K106">
        <v>0</v>
      </c>
      <c r="L106" s="3">
        <f t="shared" si="24"/>
        <v>0</v>
      </c>
      <c r="M106">
        <v>12259</v>
      </c>
      <c r="N106">
        <f t="shared" si="25"/>
        <v>5.6871679133960719E-2</v>
      </c>
      <c r="O106" s="15">
        <v>0.38828520700000002</v>
      </c>
      <c r="P106">
        <f t="shared" si="26"/>
        <v>0.39583909025644637</v>
      </c>
      <c r="Q106">
        <v>0.31230000000000002</v>
      </c>
      <c r="R106">
        <f t="shared" si="27"/>
        <v>0.6923076923076924</v>
      </c>
      <c r="S106">
        <f t="shared" si="34"/>
        <v>4.2367488405920098E-2</v>
      </c>
      <c r="T106" s="14">
        <f t="shared" si="28"/>
        <v>7.1077571794077879E-2</v>
      </c>
      <c r="U106" t="str">
        <f t="shared" si="35"/>
        <v>No Impact</v>
      </c>
      <c r="V106">
        <f t="shared" si="36"/>
        <v>5.3910627862278446E-2</v>
      </c>
      <c r="W106">
        <f t="shared" si="29"/>
        <v>7.245853719916559E-2</v>
      </c>
      <c r="X106" t="s">
        <v>1176</v>
      </c>
      <c r="Y106">
        <f t="shared" si="37"/>
        <v>3.082434894956174E-2</v>
      </c>
      <c r="Z106">
        <f t="shared" si="30"/>
        <v>6.1761007076534834E-2</v>
      </c>
      <c r="AA106" t="str">
        <f t="shared" si="38"/>
        <v>No Impact</v>
      </c>
      <c r="AB106">
        <f t="shared" si="39"/>
        <v>2.9666051667788986E-2</v>
      </c>
      <c r="AC106">
        <f t="shared" si="31"/>
        <v>6.9649154579015743E-2</v>
      </c>
      <c r="AD106" t="str">
        <f t="shared" si="40"/>
        <v>No Impact</v>
      </c>
      <c r="AE106">
        <f t="shared" si="41"/>
        <v>4.4286492317800229E-3</v>
      </c>
      <c r="AF106">
        <f t="shared" si="32"/>
        <v>2.422665895993938E-2</v>
      </c>
      <c r="AG106" t="s">
        <v>1176</v>
      </c>
    </row>
    <row r="107" spans="1:33" x14ac:dyDescent="0.3">
      <c r="A107">
        <v>201975</v>
      </c>
      <c r="B107" t="s">
        <v>330</v>
      </c>
      <c r="C107" s="1" t="s">
        <v>1168</v>
      </c>
      <c r="D107" t="s">
        <v>647</v>
      </c>
      <c r="E107" s="4">
        <v>3.2</v>
      </c>
      <c r="F107" s="3">
        <f t="shared" si="42"/>
        <v>0</v>
      </c>
      <c r="G107">
        <v>58.457160000000002</v>
      </c>
      <c r="H107">
        <f t="shared" si="33"/>
        <v>0.55175706256923251</v>
      </c>
      <c r="I107">
        <v>118.1</v>
      </c>
      <c r="J107" s="3">
        <f t="shared" si="23"/>
        <v>0.36518243661100797</v>
      </c>
      <c r="K107">
        <v>0</v>
      </c>
      <c r="L107" s="3">
        <f t="shared" si="24"/>
        <v>0</v>
      </c>
      <c r="M107">
        <v>18727</v>
      </c>
      <c r="N107">
        <f t="shared" si="25"/>
        <v>8.7474509469938913E-2</v>
      </c>
      <c r="O107" s="15">
        <v>0.62193120599999996</v>
      </c>
      <c r="P107">
        <f t="shared" si="26"/>
        <v>0.63403054854246488</v>
      </c>
      <c r="Q107">
        <v>0.27110000000000001</v>
      </c>
      <c r="R107">
        <f t="shared" si="27"/>
        <v>0.6009753934825981</v>
      </c>
      <c r="S107">
        <f t="shared" si="34"/>
        <v>0</v>
      </c>
      <c r="T107" s="14">
        <f t="shared" si="28"/>
        <v>0</v>
      </c>
      <c r="U107" t="str">
        <f t="shared" si="35"/>
        <v>No Impact</v>
      </c>
      <c r="V107">
        <f t="shared" si="36"/>
        <v>0</v>
      </c>
      <c r="W107">
        <f t="shared" si="29"/>
        <v>0</v>
      </c>
      <c r="X107" t="s">
        <v>1176</v>
      </c>
      <c r="Y107">
        <f t="shared" si="37"/>
        <v>0</v>
      </c>
      <c r="Z107">
        <f t="shared" si="30"/>
        <v>0</v>
      </c>
      <c r="AA107" t="str">
        <f t="shared" si="38"/>
        <v>No Impact</v>
      </c>
      <c r="AB107">
        <f t="shared" si="39"/>
        <v>0</v>
      </c>
      <c r="AC107">
        <f t="shared" si="31"/>
        <v>0</v>
      </c>
      <c r="AD107" t="str">
        <f t="shared" si="40"/>
        <v>No Impact</v>
      </c>
      <c r="AE107">
        <f t="shared" si="41"/>
        <v>0</v>
      </c>
      <c r="AF107">
        <f t="shared" si="32"/>
        <v>0</v>
      </c>
      <c r="AG107" t="s">
        <v>1176</v>
      </c>
    </row>
    <row r="108" spans="1:33" x14ac:dyDescent="0.3">
      <c r="A108">
        <v>201981</v>
      </c>
      <c r="B108" t="s">
        <v>354</v>
      </c>
      <c r="C108" s="1" t="s">
        <v>1168</v>
      </c>
      <c r="D108" t="s">
        <v>648</v>
      </c>
      <c r="E108" s="4">
        <v>4.4000000000000004</v>
      </c>
      <c r="F108" s="3">
        <f t="shared" si="42"/>
        <v>0.26666666666666672</v>
      </c>
      <c r="G108">
        <v>51.343920000000004</v>
      </c>
      <c r="H108">
        <f t="shared" si="33"/>
        <v>0.48461763246777079</v>
      </c>
      <c r="I108">
        <v>141.6</v>
      </c>
      <c r="J108" s="3">
        <f t="shared" si="23"/>
        <v>0.43784786641929491</v>
      </c>
      <c r="K108">
        <v>0</v>
      </c>
      <c r="L108" s="3">
        <f t="shared" si="24"/>
        <v>0</v>
      </c>
      <c r="M108">
        <v>60123</v>
      </c>
      <c r="N108">
        <f t="shared" si="25"/>
        <v>0.28333640875691379</v>
      </c>
      <c r="O108" s="15">
        <v>0.38679064000000002</v>
      </c>
      <c r="P108">
        <f t="shared" si="26"/>
        <v>0.39431544724625234</v>
      </c>
      <c r="Q108">
        <v>0.31879999999999997</v>
      </c>
      <c r="R108">
        <f t="shared" si="27"/>
        <v>0.7067169142097095</v>
      </c>
      <c r="S108">
        <f t="shared" si="34"/>
        <v>4.1313175010145739E-2</v>
      </c>
      <c r="T108" s="14">
        <f t="shared" si="28"/>
        <v>6.9308809025710919E-2</v>
      </c>
      <c r="U108" t="str">
        <f t="shared" si="35"/>
        <v>No Impact</v>
      </c>
      <c r="V108">
        <f t="shared" si="36"/>
        <v>5.3035170593473367E-2</v>
      </c>
      <c r="W108">
        <f t="shared" si="29"/>
        <v>7.1281879541977039E-2</v>
      </c>
      <c r="X108" t="s">
        <v>1176</v>
      </c>
      <c r="Y108">
        <f t="shared" si="37"/>
        <v>2.9591179426818114E-2</v>
      </c>
      <c r="Z108">
        <f t="shared" si="30"/>
        <v>5.9290174951406718E-2</v>
      </c>
      <c r="AA108" t="str">
        <f t="shared" si="38"/>
        <v>No Impact</v>
      </c>
      <c r="AB108">
        <f t="shared" si="39"/>
        <v>3.4881650652624011E-2</v>
      </c>
      <c r="AC108">
        <f t="shared" si="31"/>
        <v>8.1894196958934379E-2</v>
      </c>
      <c r="AD108" t="str">
        <f t="shared" si="40"/>
        <v>No Impact</v>
      </c>
      <c r="AE108">
        <f t="shared" si="41"/>
        <v>2.1262820333893987E-2</v>
      </c>
      <c r="AF108">
        <f t="shared" si="32"/>
        <v>0.11631697833713218</v>
      </c>
      <c r="AG108" t="s">
        <v>1175</v>
      </c>
    </row>
    <row r="109" spans="1:33" x14ac:dyDescent="0.3">
      <c r="A109">
        <v>201987</v>
      </c>
      <c r="B109" t="s">
        <v>368</v>
      </c>
      <c r="C109" s="1" t="s">
        <v>1168</v>
      </c>
      <c r="D109" t="s">
        <v>649</v>
      </c>
      <c r="E109" s="4">
        <v>4.4000000000000004</v>
      </c>
      <c r="F109" s="3">
        <f t="shared" si="42"/>
        <v>0.26666666666666672</v>
      </c>
      <c r="G109">
        <v>59.070599999999999</v>
      </c>
      <c r="H109">
        <f t="shared" si="33"/>
        <v>0.55754711211085362</v>
      </c>
      <c r="I109">
        <v>112.49999999999999</v>
      </c>
      <c r="J109" s="3">
        <f t="shared" si="23"/>
        <v>0.34786641929499063</v>
      </c>
      <c r="K109">
        <v>0</v>
      </c>
      <c r="L109" s="3">
        <f t="shared" si="24"/>
        <v>0</v>
      </c>
      <c r="M109">
        <v>33417</v>
      </c>
      <c r="N109">
        <f t="shared" si="25"/>
        <v>0.15697908238823202</v>
      </c>
      <c r="O109" s="15">
        <v>0.54291955700000005</v>
      </c>
      <c r="P109">
        <f t="shared" si="26"/>
        <v>0.55348176971705465</v>
      </c>
      <c r="Q109">
        <v>0.3619</v>
      </c>
      <c r="R109">
        <f t="shared" si="27"/>
        <v>0.80226113943693189</v>
      </c>
      <c r="S109">
        <f t="shared" si="34"/>
        <v>5.2890627168509778E-2</v>
      </c>
      <c r="T109" s="14">
        <f t="shared" si="28"/>
        <v>8.8731654654285799E-2</v>
      </c>
      <c r="U109" t="str">
        <f t="shared" si="35"/>
        <v>No Impact</v>
      </c>
      <c r="V109">
        <f t="shared" si="36"/>
        <v>6.2596078550351639E-2</v>
      </c>
      <c r="W109">
        <f t="shared" si="29"/>
        <v>8.4132210401061627E-2</v>
      </c>
      <c r="X109" t="s">
        <v>1176</v>
      </c>
      <c r="Y109">
        <f t="shared" si="37"/>
        <v>4.3185175786667897E-2</v>
      </c>
      <c r="Z109">
        <f t="shared" si="30"/>
        <v>8.6527697688801253E-2</v>
      </c>
      <c r="AA109" t="str">
        <f t="shared" si="38"/>
        <v>No Impact</v>
      </c>
      <c r="AB109">
        <f t="shared" si="39"/>
        <v>3.9151058990557958E-2</v>
      </c>
      <c r="AC109">
        <f t="shared" si="31"/>
        <v>9.1917798502532122E-2</v>
      </c>
      <c r="AD109" t="str">
        <f t="shared" si="40"/>
        <v>No Impact</v>
      </c>
      <c r="AE109">
        <f t="shared" si="41"/>
        <v>1.2248225034098597E-2</v>
      </c>
      <c r="AF109">
        <f t="shared" si="32"/>
        <v>6.7003177545951503E-2</v>
      </c>
      <c r="AG109" t="s">
        <v>1175</v>
      </c>
    </row>
    <row r="110" spans="1:33" x14ac:dyDescent="0.3">
      <c r="A110">
        <v>201994</v>
      </c>
      <c r="B110" t="s">
        <v>523</v>
      </c>
      <c r="C110" s="1" t="s">
        <v>1168</v>
      </c>
      <c r="D110" t="s">
        <v>650</v>
      </c>
      <c r="E110" s="4">
        <v>4.3</v>
      </c>
      <c r="F110" s="3">
        <f t="shared" si="42"/>
        <v>0.24444444444444435</v>
      </c>
      <c r="G110">
        <v>58.457160000000002</v>
      </c>
      <c r="H110">
        <f t="shared" si="33"/>
        <v>0.55175706256923251</v>
      </c>
      <c r="I110">
        <v>120.10000000000001</v>
      </c>
      <c r="J110" s="3">
        <f t="shared" si="23"/>
        <v>0.37136672850958563</v>
      </c>
      <c r="K110">
        <v>0</v>
      </c>
      <c r="L110" s="3">
        <f t="shared" si="24"/>
        <v>0</v>
      </c>
      <c r="M110">
        <v>27825</v>
      </c>
      <c r="N110">
        <f t="shared" si="25"/>
        <v>0.13052097675452914</v>
      </c>
      <c r="O110" s="15">
        <v>0.61333753099999999</v>
      </c>
      <c r="P110">
        <f t="shared" si="26"/>
        <v>0.62526968814234263</v>
      </c>
      <c r="Q110">
        <v>0.3034</v>
      </c>
      <c r="R110">
        <f t="shared" si="27"/>
        <v>0.67257814231877633</v>
      </c>
      <c r="S110">
        <f t="shared" si="34"/>
        <v>4.6790844615674253E-2</v>
      </c>
      <c r="T110" s="14">
        <f t="shared" si="28"/>
        <v>7.8498389746686298E-2</v>
      </c>
      <c r="U110" t="str">
        <f t="shared" si="35"/>
        <v>No Impact</v>
      </c>
      <c r="V110">
        <f t="shared" si="36"/>
        <v>4.8496439429197784E-2</v>
      </c>
      <c r="W110">
        <f t="shared" si="29"/>
        <v>6.5181601471689776E-2</v>
      </c>
      <c r="X110" t="s">
        <v>1176</v>
      </c>
      <c r="Y110">
        <f t="shared" si="37"/>
        <v>4.5085249802150722E-2</v>
      </c>
      <c r="Z110">
        <f t="shared" si="30"/>
        <v>9.0334768680250144E-2</v>
      </c>
      <c r="AA110" t="str">
        <f t="shared" si="38"/>
        <v>No Impact</v>
      </c>
      <c r="AB110">
        <f t="shared" si="39"/>
        <v>3.379326707427148E-2</v>
      </c>
      <c r="AC110">
        <f t="shared" si="31"/>
        <v>7.9338919399964652E-2</v>
      </c>
      <c r="AD110" t="str">
        <f t="shared" si="40"/>
        <v>No Impact</v>
      </c>
      <c r="AE110">
        <f t="shared" si="41"/>
        <v>9.4112523811629763E-3</v>
      </c>
      <c r="AF110">
        <f t="shared" si="32"/>
        <v>5.1483689470866199E-2</v>
      </c>
      <c r="AG110" t="s">
        <v>1176</v>
      </c>
    </row>
    <row r="111" spans="1:33" x14ac:dyDescent="0.3">
      <c r="A111">
        <v>202216</v>
      </c>
      <c r="B111" t="s">
        <v>94</v>
      </c>
      <c r="C111" s="1" t="s">
        <v>652</v>
      </c>
      <c r="D111" t="s">
        <v>651</v>
      </c>
      <c r="E111" s="4">
        <v>7.1</v>
      </c>
      <c r="F111" s="3">
        <f t="shared" si="42"/>
        <v>0.86666666666666659</v>
      </c>
      <c r="G111">
        <v>65.709000000000003</v>
      </c>
      <c r="H111">
        <f t="shared" si="33"/>
        <v>0.62020469048379534</v>
      </c>
      <c r="I111">
        <v>36.300000000000004</v>
      </c>
      <c r="J111" s="3">
        <f t="shared" si="23"/>
        <v>0.11224489795918367</v>
      </c>
      <c r="K111">
        <v>0</v>
      </c>
      <c r="L111" s="3">
        <f t="shared" si="24"/>
        <v>0</v>
      </c>
      <c r="M111">
        <v>58413</v>
      </c>
      <c r="N111">
        <f t="shared" si="25"/>
        <v>0.27524567902986946</v>
      </c>
      <c r="O111" s="15">
        <v>0.39566949200000001</v>
      </c>
      <c r="P111">
        <f t="shared" si="26"/>
        <v>0.40336703261401946</v>
      </c>
      <c r="Q111">
        <v>0.3775</v>
      </c>
      <c r="R111">
        <f t="shared" si="27"/>
        <v>0.83684327200177344</v>
      </c>
      <c r="S111">
        <f t="shared" si="34"/>
        <v>0.14538990052666131</v>
      </c>
      <c r="T111" s="14">
        <f t="shared" si="28"/>
        <v>0.2439125254206389</v>
      </c>
      <c r="U111" t="str">
        <f t="shared" si="35"/>
        <v>Low</v>
      </c>
      <c r="V111">
        <f t="shared" si="36"/>
        <v>0.19620633632847545</v>
      </c>
      <c r="W111">
        <f t="shared" si="29"/>
        <v>0.26371097283243516</v>
      </c>
      <c r="X111" t="s">
        <v>1175</v>
      </c>
      <c r="Y111">
        <f t="shared" si="37"/>
        <v>9.4573464724847192E-2</v>
      </c>
      <c r="Z111">
        <f t="shared" si="30"/>
        <v>0.18949150989957086</v>
      </c>
      <c r="AA111" t="str">
        <f t="shared" si="38"/>
        <v>Low</v>
      </c>
      <c r="AB111">
        <f t="shared" si="39"/>
        <v>0.11963120002583597</v>
      </c>
      <c r="AC111">
        <f t="shared" si="31"/>
        <v>0.28086689918765323</v>
      </c>
      <c r="AD111" t="str">
        <f t="shared" si="40"/>
        <v>Low</v>
      </c>
      <c r="AE111">
        <f t="shared" si="41"/>
        <v>6.4534122552615467E-2</v>
      </c>
      <c r="AF111">
        <f t="shared" si="32"/>
        <v>0.35303003162721602</v>
      </c>
      <c r="AG111" t="str">
        <f t="shared" si="43"/>
        <v>Moderate</v>
      </c>
    </row>
    <row r="112" spans="1:33" x14ac:dyDescent="0.3">
      <c r="A112">
        <v>202224</v>
      </c>
      <c r="B112" t="s">
        <v>120</v>
      </c>
      <c r="C112" s="1" t="s">
        <v>652</v>
      </c>
      <c r="D112" t="s">
        <v>653</v>
      </c>
      <c r="E112" s="4">
        <v>7.1</v>
      </c>
      <c r="F112" s="3">
        <f t="shared" si="42"/>
        <v>0.86666666666666659</v>
      </c>
      <c r="G112">
        <v>70.47936</v>
      </c>
      <c r="H112">
        <f t="shared" si="33"/>
        <v>0.66523048066925361</v>
      </c>
      <c r="I112">
        <v>46.000000000000007</v>
      </c>
      <c r="J112" s="3">
        <f t="shared" si="23"/>
        <v>0.1422387136672851</v>
      </c>
      <c r="K112">
        <v>0</v>
      </c>
      <c r="L112" s="3">
        <f t="shared" si="24"/>
        <v>0</v>
      </c>
      <c r="M112">
        <v>22156.5</v>
      </c>
      <c r="N112">
        <f t="shared" si="25"/>
        <v>0.10370091742251115</v>
      </c>
      <c r="O112" s="15">
        <v>0.60906580499999996</v>
      </c>
      <c r="P112">
        <f t="shared" si="26"/>
        <v>0.62091485797322721</v>
      </c>
      <c r="Q112">
        <v>0.372</v>
      </c>
      <c r="R112">
        <f t="shared" si="27"/>
        <v>0.82465085346929723</v>
      </c>
      <c r="S112">
        <f t="shared" si="34"/>
        <v>0.18450329329821333</v>
      </c>
      <c r="T112" s="14">
        <f t="shared" si="28"/>
        <v>0.30953088250128868</v>
      </c>
      <c r="U112" t="str">
        <f t="shared" si="35"/>
        <v>Moderate</v>
      </c>
      <c r="V112">
        <f t="shared" si="36"/>
        <v>0.21050692760889711</v>
      </c>
      <c r="W112">
        <f t="shared" si="29"/>
        <v>0.28293167135424796</v>
      </c>
      <c r="X112" t="s">
        <v>1175</v>
      </c>
      <c r="Y112">
        <f t="shared" si="37"/>
        <v>0.15849965898752949</v>
      </c>
      <c r="Z112">
        <f t="shared" si="30"/>
        <v>0.3175768148866725</v>
      </c>
      <c r="AA112" t="str">
        <f t="shared" si="38"/>
        <v>Moderate</v>
      </c>
      <c r="AB112">
        <f t="shared" si="39"/>
        <v>0.13049235434078621</v>
      </c>
      <c r="AC112">
        <f t="shared" si="31"/>
        <v>0.30636642383824497</v>
      </c>
      <c r="AD112" t="str">
        <f t="shared" si="40"/>
        <v>Moderate</v>
      </c>
      <c r="AE112">
        <f t="shared" si="41"/>
        <v>2.6471519946895346E-2</v>
      </c>
      <c r="AF112">
        <f t="shared" si="32"/>
        <v>0.14481085593832399</v>
      </c>
      <c r="AG112" t="s">
        <v>1175</v>
      </c>
    </row>
    <row r="113" spans="1:33" x14ac:dyDescent="0.3">
      <c r="A113">
        <v>202232</v>
      </c>
      <c r="B113" t="s">
        <v>1170</v>
      </c>
      <c r="C113" t="s">
        <v>652</v>
      </c>
      <c r="D113" s="15" t="s">
        <v>1171</v>
      </c>
      <c r="E113" s="4">
        <v>7.1</v>
      </c>
      <c r="F113" s="3">
        <f t="shared" si="42"/>
        <v>0.86666666666666659</v>
      </c>
      <c r="G113">
        <v>70.47936</v>
      </c>
      <c r="H113">
        <f t="shared" si="33"/>
        <v>0.66523048066925361</v>
      </c>
      <c r="I113">
        <v>46.000000000000007</v>
      </c>
      <c r="J113" s="3">
        <f t="shared" si="23"/>
        <v>0.1422387136672851</v>
      </c>
      <c r="K113">
        <v>0</v>
      </c>
      <c r="L113" s="3">
        <f t="shared" si="24"/>
        <v>0</v>
      </c>
      <c r="M113">
        <v>22156.5</v>
      </c>
      <c r="N113">
        <f t="shared" si="25"/>
        <v>0.10370091742251115</v>
      </c>
      <c r="O113" s="15">
        <v>0.60906580499999996</v>
      </c>
      <c r="P113">
        <f t="shared" si="26"/>
        <v>0.62091485797322721</v>
      </c>
      <c r="Q113">
        <v>0.372</v>
      </c>
      <c r="R113">
        <f t="shared" si="27"/>
        <v>0.82465085346929723</v>
      </c>
      <c r="S113">
        <f t="shared" si="34"/>
        <v>0.18450329329821333</v>
      </c>
      <c r="T113" s="14">
        <f t="shared" si="28"/>
        <v>0.30953088250128868</v>
      </c>
      <c r="U113" t="str">
        <f t="shared" si="35"/>
        <v>Moderate</v>
      </c>
      <c r="V113">
        <f t="shared" si="36"/>
        <v>0.21050692760889711</v>
      </c>
      <c r="W113">
        <f t="shared" si="29"/>
        <v>0.28293167135424796</v>
      </c>
      <c r="X113" t="s">
        <v>1175</v>
      </c>
      <c r="Y113">
        <f t="shared" si="37"/>
        <v>0.15849965898752949</v>
      </c>
      <c r="Z113">
        <f t="shared" si="30"/>
        <v>0.3175768148866725</v>
      </c>
      <c r="AA113" t="str">
        <f t="shared" si="38"/>
        <v>Moderate</v>
      </c>
      <c r="AB113">
        <f t="shared" si="39"/>
        <v>0.13049235434078621</v>
      </c>
      <c r="AC113">
        <f t="shared" si="31"/>
        <v>0.30636642383824497</v>
      </c>
      <c r="AD113" t="str">
        <f t="shared" si="40"/>
        <v>Moderate</v>
      </c>
      <c r="AE113">
        <f t="shared" si="41"/>
        <v>2.6471519946895346E-2</v>
      </c>
      <c r="AF113">
        <f t="shared" si="32"/>
        <v>0.14481085593832399</v>
      </c>
      <c r="AG113" t="s">
        <v>1175</v>
      </c>
    </row>
    <row r="114" spans="1:33" x14ac:dyDescent="0.3">
      <c r="A114">
        <v>202245</v>
      </c>
      <c r="B114" t="s">
        <v>292</v>
      </c>
      <c r="C114" s="1" t="s">
        <v>652</v>
      </c>
      <c r="D114" t="s">
        <v>654</v>
      </c>
      <c r="E114" s="4">
        <v>6.2</v>
      </c>
      <c r="F114" s="3">
        <f t="shared" si="42"/>
        <v>0.66666666666666663</v>
      </c>
      <c r="G114">
        <v>77.769359999999992</v>
      </c>
      <c r="H114">
        <f t="shared" si="33"/>
        <v>0.73403828772196877</v>
      </c>
      <c r="I114">
        <v>46.8</v>
      </c>
      <c r="J114" s="3">
        <f t="shared" si="23"/>
        <v>0.14471243042671611</v>
      </c>
      <c r="K114">
        <v>0</v>
      </c>
      <c r="L114" s="3">
        <f t="shared" si="24"/>
        <v>0</v>
      </c>
      <c r="M114">
        <v>10526</v>
      </c>
      <c r="N114">
        <f t="shared" si="25"/>
        <v>4.8672126726377198E-2</v>
      </c>
      <c r="O114" s="15">
        <v>0.47861640100000002</v>
      </c>
      <c r="P114">
        <f t="shared" si="26"/>
        <v>0.48792762984054278</v>
      </c>
      <c r="Q114">
        <v>0.24179999999999999</v>
      </c>
      <c r="R114">
        <f t="shared" si="27"/>
        <v>0.53602305475504319</v>
      </c>
      <c r="S114">
        <f t="shared" si="34"/>
        <v>0.11009442711129935</v>
      </c>
      <c r="T114" s="14">
        <f t="shared" si="28"/>
        <v>0.18469927865815655</v>
      </c>
      <c r="U114" t="str">
        <f t="shared" si="35"/>
        <v>Low</v>
      </c>
      <c r="V114">
        <f t="shared" si="36"/>
        <v>0.1152656119469516</v>
      </c>
      <c r="W114">
        <f t="shared" si="29"/>
        <v>0.15492265555465182</v>
      </c>
      <c r="X114" t="s">
        <v>1176</v>
      </c>
      <c r="Y114">
        <f t="shared" si="37"/>
        <v>0.10492324227564709</v>
      </c>
      <c r="Z114">
        <f t="shared" si="30"/>
        <v>0.21022877463795886</v>
      </c>
      <c r="AA114" t="str">
        <f t="shared" si="38"/>
        <v>Low</v>
      </c>
      <c r="AB114">
        <f t="shared" si="39"/>
        <v>7.5483170838370597E-2</v>
      </c>
      <c r="AC114">
        <f t="shared" si="31"/>
        <v>0.17721734906651826</v>
      </c>
      <c r="AD114" t="str">
        <f t="shared" si="40"/>
        <v>Low</v>
      </c>
      <c r="AE114">
        <f t="shared" si="41"/>
        <v>1.0466382783552578E-2</v>
      </c>
      <c r="AF114">
        <f t="shared" si="32"/>
        <v>5.7255716804510359E-2</v>
      </c>
      <c r="AG114" t="s">
        <v>1176</v>
      </c>
    </row>
    <row r="115" spans="1:33" x14ac:dyDescent="0.3">
      <c r="A115">
        <v>202249</v>
      </c>
      <c r="B115" t="s">
        <v>315</v>
      </c>
      <c r="C115" s="1" t="s">
        <v>652</v>
      </c>
      <c r="D115" t="s">
        <v>655</v>
      </c>
      <c r="E115" s="4">
        <v>6.2</v>
      </c>
      <c r="F115" s="3">
        <f t="shared" si="42"/>
        <v>0.66666666666666663</v>
      </c>
      <c r="G115">
        <v>82.105199999999996</v>
      </c>
      <c r="H115">
        <f t="shared" si="33"/>
        <v>0.77496279281544544</v>
      </c>
      <c r="I115">
        <v>51.8</v>
      </c>
      <c r="J115" s="3">
        <f t="shared" si="23"/>
        <v>0.16017316017316013</v>
      </c>
      <c r="K115">
        <v>0</v>
      </c>
      <c r="L115" s="3">
        <f t="shared" si="24"/>
        <v>0</v>
      </c>
      <c r="M115">
        <v>24265</v>
      </c>
      <c r="N115">
        <f t="shared" si="25"/>
        <v>0.11367711837541933</v>
      </c>
      <c r="O115" s="15">
        <v>0.411262301</v>
      </c>
      <c r="P115">
        <f t="shared" si="26"/>
        <v>0.41926319146279711</v>
      </c>
      <c r="Q115">
        <v>0.37619999999999998</v>
      </c>
      <c r="R115">
        <f t="shared" si="27"/>
        <v>0.83396142762136993</v>
      </c>
      <c r="S115">
        <f t="shared" si="34"/>
        <v>0.14287585662043956</v>
      </c>
      <c r="T115" s="14">
        <f t="shared" si="28"/>
        <v>0.23969485420713899</v>
      </c>
      <c r="U115" t="str">
        <f t="shared" si="35"/>
        <v>Low</v>
      </c>
      <c r="V115">
        <f t="shared" si="36"/>
        <v>0.19015418552323476</v>
      </c>
      <c r="W115">
        <f t="shared" si="29"/>
        <v>0.25557658427779295</v>
      </c>
      <c r="X115" t="s">
        <v>1175</v>
      </c>
      <c r="Y115">
        <f t="shared" si="37"/>
        <v>9.5597527717644404E-2</v>
      </c>
      <c r="Z115">
        <f t="shared" si="30"/>
        <v>0.19154336708067329</v>
      </c>
      <c r="AA115" t="str">
        <f t="shared" si="38"/>
        <v>Low</v>
      </c>
      <c r="AB115">
        <f t="shared" si="39"/>
        <v>0.10430518113457857</v>
      </c>
      <c r="AC115">
        <f t="shared" si="31"/>
        <v>0.24488488611790862</v>
      </c>
      <c r="AD115" t="str">
        <f t="shared" si="40"/>
        <v>Low</v>
      </c>
      <c r="AE115">
        <f t="shared" si="41"/>
        <v>2.59198796747231E-2</v>
      </c>
      <c r="AF115">
        <f t="shared" si="32"/>
        <v>0.14179314104535345</v>
      </c>
      <c r="AG115" t="s">
        <v>1175</v>
      </c>
    </row>
    <row r="116" spans="1:33" x14ac:dyDescent="0.3">
      <c r="A116">
        <v>202256</v>
      </c>
      <c r="B116" t="s">
        <v>410</v>
      </c>
      <c r="C116" s="1" t="s">
        <v>652</v>
      </c>
      <c r="D116" t="s">
        <v>656</v>
      </c>
      <c r="E116" s="4">
        <v>7</v>
      </c>
      <c r="F116" s="3">
        <f t="shared" si="42"/>
        <v>0.84444444444444444</v>
      </c>
      <c r="G116">
        <v>65.709000000000003</v>
      </c>
      <c r="H116">
        <f t="shared" si="33"/>
        <v>0.62020469048379534</v>
      </c>
      <c r="I116">
        <v>36.300000000000004</v>
      </c>
      <c r="J116" s="3">
        <f t="shared" si="23"/>
        <v>0.11224489795918367</v>
      </c>
      <c r="K116">
        <v>0</v>
      </c>
      <c r="L116" s="3">
        <f t="shared" si="24"/>
        <v>0</v>
      </c>
      <c r="M116">
        <v>24564</v>
      </c>
      <c r="N116">
        <f t="shared" si="25"/>
        <v>0.11509181322242883</v>
      </c>
      <c r="O116" s="15">
        <v>0.48826736199999998</v>
      </c>
      <c r="P116">
        <f t="shared" si="26"/>
        <v>0.49776634518037399</v>
      </c>
      <c r="Q116">
        <v>0.34560000000000002</v>
      </c>
      <c r="R116">
        <f t="shared" si="27"/>
        <v>0.76612724451341174</v>
      </c>
      <c r="S116">
        <f t="shared" si="34"/>
        <v>0.14436715720862661</v>
      </c>
      <c r="T116" s="14">
        <f t="shared" si="28"/>
        <v>0.24219672601053352</v>
      </c>
      <c r="U116" t="str">
        <f t="shared" si="35"/>
        <v>Low</v>
      </c>
      <c r="V116">
        <f t="shared" si="36"/>
        <v>0.17502044990555971</v>
      </c>
      <c r="W116">
        <f t="shared" si="29"/>
        <v>0.23523609876133844</v>
      </c>
      <c r="X116" t="s">
        <v>1175</v>
      </c>
      <c r="Y116">
        <f t="shared" si="37"/>
        <v>0.1137138645116935</v>
      </c>
      <c r="Z116">
        <f t="shared" si="30"/>
        <v>0.22784204793096466</v>
      </c>
      <c r="AA116" t="str">
        <f t="shared" si="38"/>
        <v>Low</v>
      </c>
      <c r="AB116">
        <f t="shared" si="39"/>
        <v>0.10457370111916195</v>
      </c>
      <c r="AC116">
        <f t="shared" si="31"/>
        <v>0.24551531008275695</v>
      </c>
      <c r="AD116" t="str">
        <f t="shared" si="40"/>
        <v>Low</v>
      </c>
      <c r="AE116">
        <f t="shared" si="41"/>
        <v>2.6292526567737159E-2</v>
      </c>
      <c r="AF116">
        <f t="shared" si="32"/>
        <v>0.14383168343537786</v>
      </c>
      <c r="AG116" t="s">
        <v>1175</v>
      </c>
    </row>
    <row r="117" spans="1:33" x14ac:dyDescent="0.3">
      <c r="A117">
        <v>202266</v>
      </c>
      <c r="B117" t="s">
        <v>434</v>
      </c>
      <c r="C117" s="1" t="s">
        <v>652</v>
      </c>
      <c r="D117" t="s">
        <v>657</v>
      </c>
      <c r="E117" s="4">
        <v>7</v>
      </c>
      <c r="F117" s="3">
        <f t="shared" si="42"/>
        <v>0.84444444444444444</v>
      </c>
      <c r="G117">
        <v>70.088040000000007</v>
      </c>
      <c r="H117">
        <f t="shared" si="33"/>
        <v>0.66153694554499187</v>
      </c>
      <c r="I117">
        <v>46.000000000000007</v>
      </c>
      <c r="J117" s="3">
        <f t="shared" si="23"/>
        <v>0.1422387136672851</v>
      </c>
      <c r="K117">
        <v>0</v>
      </c>
      <c r="L117" s="3">
        <f t="shared" si="24"/>
        <v>0</v>
      </c>
      <c r="M117">
        <v>42505</v>
      </c>
      <c r="N117">
        <f t="shared" si="25"/>
        <v>0.19997823546389215</v>
      </c>
      <c r="O117" s="15">
        <v>0.45057568599999998</v>
      </c>
      <c r="P117">
        <f t="shared" si="26"/>
        <v>0.45934139756685149</v>
      </c>
      <c r="Q117">
        <v>0.4153</v>
      </c>
      <c r="R117">
        <f t="shared" si="27"/>
        <v>0.92063843937042789</v>
      </c>
      <c r="S117">
        <f t="shared" si="34"/>
        <v>0.17075526728056198</v>
      </c>
      <c r="T117" s="14">
        <f t="shared" si="28"/>
        <v>0.28646658619620208</v>
      </c>
      <c r="U117" t="str">
        <f t="shared" si="35"/>
        <v>Low</v>
      </c>
      <c r="V117">
        <f t="shared" si="36"/>
        <v>0.2278350140714438</v>
      </c>
      <c r="W117">
        <f t="shared" si="29"/>
        <v>0.30622147240691433</v>
      </c>
      <c r="X117" t="str">
        <f t="shared" ref="X117:X119" si="44">IF(W117&gt;0.7,"High",IF(W117&gt;0.3,"Moderate",IF(W117&gt;0.15,"Low","No Impact")))</f>
        <v>Moderate</v>
      </c>
      <c r="Y117">
        <f t="shared" si="37"/>
        <v>0.11367552048968019</v>
      </c>
      <c r="Z117">
        <f t="shared" si="30"/>
        <v>0.2277652201796703</v>
      </c>
      <c r="AA117" t="str">
        <f t="shared" si="38"/>
        <v>Low</v>
      </c>
      <c r="AB117">
        <f t="shared" si="39"/>
        <v>0.13116627714773765</v>
      </c>
      <c r="AC117">
        <f t="shared" si="31"/>
        <v>0.30794864159614938</v>
      </c>
      <c r="AD117" t="str">
        <f t="shared" si="40"/>
        <v>Moderate</v>
      </c>
      <c r="AE117">
        <f t="shared" si="41"/>
        <v>4.9489617359509394E-2</v>
      </c>
      <c r="AF117">
        <f t="shared" si="32"/>
        <v>0.27072997184399367</v>
      </c>
      <c r="AG117" t="s">
        <v>1175</v>
      </c>
    </row>
    <row r="118" spans="1:33" x14ac:dyDescent="0.3">
      <c r="A118">
        <v>202290</v>
      </c>
      <c r="B118" t="s">
        <v>518</v>
      </c>
      <c r="C118" s="1" t="s">
        <v>652</v>
      </c>
      <c r="D118" t="s">
        <v>658</v>
      </c>
      <c r="E118" s="4">
        <v>7.2</v>
      </c>
      <c r="F118" s="3">
        <f t="shared" si="42"/>
        <v>0.88888888888888884</v>
      </c>
      <c r="G118">
        <v>95.438159999999996</v>
      </c>
      <c r="H118">
        <f t="shared" si="33"/>
        <v>0.90080802451936459</v>
      </c>
      <c r="I118">
        <v>130.30000000000001</v>
      </c>
      <c r="J118" s="3">
        <f t="shared" si="23"/>
        <v>0.40290661719233145</v>
      </c>
      <c r="K118">
        <v>0</v>
      </c>
      <c r="L118" s="3">
        <f t="shared" si="24"/>
        <v>0</v>
      </c>
      <c r="M118">
        <v>42859</v>
      </c>
      <c r="N118">
        <f t="shared" si="25"/>
        <v>0.20165315846001713</v>
      </c>
      <c r="O118" s="15">
        <v>0.35459809799999997</v>
      </c>
      <c r="P118">
        <f t="shared" si="26"/>
        <v>0.36149661637505082</v>
      </c>
      <c r="Q118">
        <v>0.41170000000000001</v>
      </c>
      <c r="R118">
        <f t="shared" si="27"/>
        <v>0.91265794724007987</v>
      </c>
      <c r="S118">
        <f t="shared" si="34"/>
        <v>0.24968023251300459</v>
      </c>
      <c r="T118" s="14">
        <f t="shared" si="28"/>
        <v>0.41887459747378752</v>
      </c>
      <c r="U118" t="str">
        <f t="shared" si="35"/>
        <v>Moderate</v>
      </c>
      <c r="V118">
        <f t="shared" si="36"/>
        <v>0.35768446777007418</v>
      </c>
      <c r="W118">
        <f t="shared" si="29"/>
        <v>0.48074552905765977</v>
      </c>
      <c r="X118" t="str">
        <f t="shared" si="44"/>
        <v>Moderate</v>
      </c>
      <c r="Y118">
        <f t="shared" si="37"/>
        <v>0.14167599725593491</v>
      </c>
      <c r="Z118">
        <f t="shared" si="30"/>
        <v>0.28386819405064301</v>
      </c>
      <c r="AA118" t="str">
        <f t="shared" si="38"/>
        <v>Low</v>
      </c>
      <c r="AB118">
        <f t="shared" si="39"/>
        <v>0.19535318698337614</v>
      </c>
      <c r="AC118">
        <f t="shared" si="31"/>
        <v>0.45864493428634956</v>
      </c>
      <c r="AD118" t="str">
        <f t="shared" si="40"/>
        <v>Moderate</v>
      </c>
      <c r="AE118">
        <f t="shared" si="41"/>
        <v>7.9030925963056275E-2</v>
      </c>
      <c r="AF118">
        <f t="shared" si="32"/>
        <v>0.43233392178716734</v>
      </c>
      <c r="AG118" t="str">
        <f t="shared" si="43"/>
        <v>Moderate</v>
      </c>
    </row>
    <row r="119" spans="1:33" x14ac:dyDescent="0.3">
      <c r="A119">
        <v>202294</v>
      </c>
      <c r="B119" t="s">
        <v>528</v>
      </c>
      <c r="C119" s="1" t="s">
        <v>652</v>
      </c>
      <c r="D119" t="s">
        <v>659</v>
      </c>
      <c r="E119" s="4">
        <v>7</v>
      </c>
      <c r="F119" s="3">
        <f t="shared" si="42"/>
        <v>0.84444444444444444</v>
      </c>
      <c r="G119">
        <v>78.067080000000004</v>
      </c>
      <c r="H119">
        <f t="shared" si="33"/>
        <v>0.73684836458283776</v>
      </c>
      <c r="I119">
        <v>80.700000000000017</v>
      </c>
      <c r="J119" s="3">
        <f t="shared" si="23"/>
        <v>0.2495361781076067</v>
      </c>
      <c r="K119">
        <v>0</v>
      </c>
      <c r="L119" s="3">
        <f t="shared" si="24"/>
        <v>0</v>
      </c>
      <c r="M119">
        <v>79128</v>
      </c>
      <c r="N119">
        <f t="shared" si="25"/>
        <v>0.37325706282853804</v>
      </c>
      <c r="O119" s="15">
        <v>0.30767318199999999</v>
      </c>
      <c r="P119">
        <f t="shared" si="26"/>
        <v>0.31365880096273163</v>
      </c>
      <c r="Q119">
        <v>0.40610000000000002</v>
      </c>
      <c r="R119">
        <f t="shared" si="27"/>
        <v>0.90024384837064952</v>
      </c>
      <c r="S119">
        <f t="shared" si="34"/>
        <v>0.17664401262041127</v>
      </c>
      <c r="T119" s="14">
        <f t="shared" si="28"/>
        <v>0.29634580574445579</v>
      </c>
      <c r="U119" t="str">
        <f t="shared" si="35"/>
        <v>Low</v>
      </c>
      <c r="V119">
        <f t="shared" si="36"/>
        <v>0.2620023702895129</v>
      </c>
      <c r="W119">
        <f t="shared" si="29"/>
        <v>0.35214408079961634</v>
      </c>
      <c r="X119" t="str">
        <f t="shared" si="44"/>
        <v>Moderate</v>
      </c>
      <c r="Y119">
        <f t="shared" si="37"/>
        <v>9.1285654951309636E-2</v>
      </c>
      <c r="Z119">
        <f t="shared" si="30"/>
        <v>0.18290391114697366</v>
      </c>
      <c r="AA119" t="str">
        <f t="shared" si="38"/>
        <v>Low</v>
      </c>
      <c r="AB119">
        <f t="shared" si="39"/>
        <v>0.15710731609587572</v>
      </c>
      <c r="AC119">
        <f t="shared" si="31"/>
        <v>0.36885231195552198</v>
      </c>
      <c r="AD119" t="str">
        <f t="shared" si="40"/>
        <v>Moderate</v>
      </c>
      <c r="AE119">
        <f t="shared" si="41"/>
        <v>0.10863082859758086</v>
      </c>
      <c r="AF119">
        <f t="shared" si="32"/>
        <v>0.5942584068486787</v>
      </c>
      <c r="AG119" t="str">
        <f t="shared" si="43"/>
        <v>Moderate</v>
      </c>
    </row>
    <row r="120" spans="1:33" x14ac:dyDescent="0.3">
      <c r="A120">
        <v>203014</v>
      </c>
      <c r="B120" t="s">
        <v>108</v>
      </c>
      <c r="C120" s="1" t="s">
        <v>661</v>
      </c>
      <c r="D120" t="s">
        <v>660</v>
      </c>
      <c r="E120" s="4">
        <v>5.5</v>
      </c>
      <c r="F120" s="3">
        <f t="shared" si="42"/>
        <v>0.51111111111111107</v>
      </c>
      <c r="G120">
        <v>61.555320000000002</v>
      </c>
      <c r="H120">
        <f t="shared" si="33"/>
        <v>0.5809995310875371</v>
      </c>
      <c r="I120">
        <v>74.800000000000011</v>
      </c>
      <c r="J120" s="3">
        <f t="shared" si="23"/>
        <v>0.23129251700680273</v>
      </c>
      <c r="K120">
        <v>0</v>
      </c>
      <c r="L120" s="3">
        <f t="shared" si="24"/>
        <v>0</v>
      </c>
      <c r="M120">
        <v>24400</v>
      </c>
      <c r="N120">
        <f t="shared" si="25"/>
        <v>0.11431586019597545</v>
      </c>
      <c r="O120" s="15">
        <v>0.241093057</v>
      </c>
      <c r="P120">
        <f t="shared" si="26"/>
        <v>0.24578339485909276</v>
      </c>
      <c r="Q120">
        <v>0.39889999999999998</v>
      </c>
      <c r="R120">
        <f t="shared" si="27"/>
        <v>0.88428286410995338</v>
      </c>
      <c r="S120">
        <f t="shared" si="34"/>
        <v>8.0475047685333728E-2</v>
      </c>
      <c r="T120" s="14">
        <f t="shared" si="28"/>
        <v>0.13500849813620025</v>
      </c>
      <c r="U120" t="str">
        <f t="shared" si="35"/>
        <v>No Impact</v>
      </c>
      <c r="V120">
        <f t="shared" si="36"/>
        <v>0.12594430652498795</v>
      </c>
      <c r="W120">
        <f t="shared" si="29"/>
        <v>0.16927534664735897</v>
      </c>
      <c r="X120" t="s">
        <v>1176</v>
      </c>
      <c r="Y120">
        <f t="shared" si="37"/>
        <v>3.5005788845679502E-2</v>
      </c>
      <c r="Z120">
        <f t="shared" si="30"/>
        <v>7.0139122034836521E-2</v>
      </c>
      <c r="AA120" t="str">
        <f t="shared" si="38"/>
        <v>No Impact</v>
      </c>
      <c r="AB120">
        <f t="shared" si="39"/>
        <v>6.0280761134306443E-2</v>
      </c>
      <c r="AC120">
        <f t="shared" si="31"/>
        <v>0.14152554230675446</v>
      </c>
      <c r="AD120" t="str">
        <f t="shared" si="40"/>
        <v>No Impact</v>
      </c>
      <c r="AE120">
        <f t="shared" si="41"/>
        <v>1.6281477705305164E-2</v>
      </c>
      <c r="AF120">
        <f t="shared" si="32"/>
        <v>8.9066843429309844E-2</v>
      </c>
      <c r="AG120" t="s">
        <v>1175</v>
      </c>
    </row>
    <row r="121" spans="1:33" x14ac:dyDescent="0.3">
      <c r="A121">
        <v>203025</v>
      </c>
      <c r="B121" t="s">
        <v>122</v>
      </c>
      <c r="C121" s="1" t="s">
        <v>661</v>
      </c>
      <c r="D121" t="s">
        <v>662</v>
      </c>
      <c r="E121" s="4">
        <v>5.6</v>
      </c>
      <c r="F121" s="3">
        <f t="shared" si="42"/>
        <v>0.53333333333333321</v>
      </c>
      <c r="G121">
        <v>67.158720000000002</v>
      </c>
      <c r="H121">
        <f t="shared" si="33"/>
        <v>0.63388809981719207</v>
      </c>
      <c r="I121">
        <v>115.1</v>
      </c>
      <c r="J121" s="3">
        <f t="shared" si="23"/>
        <v>0.35590599876314155</v>
      </c>
      <c r="K121">
        <v>0</v>
      </c>
      <c r="L121" s="3">
        <f t="shared" si="24"/>
        <v>0</v>
      </c>
      <c r="M121">
        <v>37243</v>
      </c>
      <c r="N121">
        <f t="shared" si="25"/>
        <v>0.17508149872488207</v>
      </c>
      <c r="O121" s="15">
        <v>0.34948955999999998</v>
      </c>
      <c r="P121">
        <f t="shared" si="26"/>
        <v>0.3562886944712414</v>
      </c>
      <c r="Q121">
        <v>0.40089999999999998</v>
      </c>
      <c r="R121">
        <f t="shared" si="27"/>
        <v>0.8887164708490356</v>
      </c>
      <c r="S121">
        <f t="shared" si="34"/>
        <v>0.10781294527165343</v>
      </c>
      <c r="T121" s="14">
        <f t="shared" si="28"/>
        <v>0.18087176385008832</v>
      </c>
      <c r="U121" t="str">
        <f t="shared" si="35"/>
        <v>Low</v>
      </c>
      <c r="V121">
        <f t="shared" si="36"/>
        <v>0.15391926540162693</v>
      </c>
      <c r="W121">
        <f t="shared" si="29"/>
        <v>0.20687506823818083</v>
      </c>
      <c r="X121" t="s">
        <v>1175</v>
      </c>
      <c r="Y121">
        <f t="shared" si="37"/>
        <v>6.1706625141679947E-2</v>
      </c>
      <c r="Z121">
        <f t="shared" si="30"/>
        <v>0.12363807969733495</v>
      </c>
      <c r="AA121" t="str">
        <f t="shared" si="38"/>
        <v>No Impact</v>
      </c>
      <c r="AB121">
        <f t="shared" si="39"/>
        <v>8.29967277090118E-2</v>
      </c>
      <c r="AC121">
        <f t="shared" si="31"/>
        <v>0.19485747488379113</v>
      </c>
      <c r="AD121" t="str">
        <f t="shared" si="40"/>
        <v>Low</v>
      </c>
      <c r="AE121">
        <f t="shared" si="41"/>
        <v>3.032284935982401E-2</v>
      </c>
      <c r="AF121">
        <f t="shared" si="32"/>
        <v>0.16587932159142879</v>
      </c>
      <c r="AG121" t="s">
        <v>1175</v>
      </c>
    </row>
    <row r="122" spans="1:33" x14ac:dyDescent="0.3">
      <c r="A122">
        <v>203029</v>
      </c>
      <c r="B122" t="s">
        <v>167</v>
      </c>
      <c r="C122" s="1" t="s">
        <v>661</v>
      </c>
      <c r="D122" t="s">
        <v>663</v>
      </c>
      <c r="E122" s="4">
        <v>5.6</v>
      </c>
      <c r="F122" s="3">
        <f t="shared" si="42"/>
        <v>0.53333333333333321</v>
      </c>
      <c r="G122">
        <v>66.633480000000006</v>
      </c>
      <c r="H122">
        <f t="shared" si="33"/>
        <v>0.62893053979299895</v>
      </c>
      <c r="I122">
        <v>107.49999999999999</v>
      </c>
      <c r="J122" s="3">
        <f t="shared" si="23"/>
        <v>0.3324056895485466</v>
      </c>
      <c r="K122">
        <v>0.1</v>
      </c>
      <c r="L122" s="3">
        <f t="shared" si="24"/>
        <v>0.05</v>
      </c>
      <c r="M122">
        <v>65689</v>
      </c>
      <c r="N122">
        <f t="shared" si="25"/>
        <v>0.30967149744739841</v>
      </c>
      <c r="O122" s="15">
        <v>0.25805936600000001</v>
      </c>
      <c r="P122">
        <f t="shared" si="26"/>
        <v>0.26307977442363734</v>
      </c>
      <c r="Q122">
        <v>0.40189999999999998</v>
      </c>
      <c r="R122">
        <f t="shared" si="27"/>
        <v>0.89093327421857671</v>
      </c>
      <c r="S122">
        <f t="shared" si="34"/>
        <v>0.10403146172093763</v>
      </c>
      <c r="T122" s="14">
        <f t="shared" si="28"/>
        <v>0.17452777985016424</v>
      </c>
      <c r="U122" t="str">
        <f t="shared" si="35"/>
        <v>Low</v>
      </c>
      <c r="V122">
        <f t="shared" si="36"/>
        <v>0.16063092340564208</v>
      </c>
      <c r="W122">
        <f t="shared" si="29"/>
        <v>0.21589586692734408</v>
      </c>
      <c r="X122" t="s">
        <v>1175</v>
      </c>
      <c r="Y122">
        <f t="shared" si="37"/>
        <v>4.7432000036233192E-2</v>
      </c>
      <c r="Z122">
        <f t="shared" si="30"/>
        <v>9.5036819583294047E-2</v>
      </c>
      <c r="AA122" t="str">
        <f t="shared" si="38"/>
        <v>No Impact</v>
      </c>
      <c r="AB122">
        <f t="shared" si="39"/>
        <v>8.999171435156092E-2</v>
      </c>
      <c r="AC122">
        <f t="shared" si="31"/>
        <v>0.21128011553044124</v>
      </c>
      <c r="AD122" t="str">
        <f t="shared" si="40"/>
        <v>Low</v>
      </c>
      <c r="AE122">
        <f t="shared" si="41"/>
        <v>5.583226042490351E-2</v>
      </c>
      <c r="AF122">
        <f t="shared" si="32"/>
        <v>0.30542701882329715</v>
      </c>
      <c r="AG122" t="str">
        <f t="shared" si="43"/>
        <v>Moderate</v>
      </c>
    </row>
    <row r="123" spans="1:33" x14ac:dyDescent="0.3">
      <c r="A123">
        <v>203041</v>
      </c>
      <c r="B123" t="s">
        <v>171</v>
      </c>
      <c r="C123" s="1" t="s">
        <v>661</v>
      </c>
      <c r="D123" t="s">
        <v>664</v>
      </c>
      <c r="E123" s="4">
        <v>5.5</v>
      </c>
      <c r="F123" s="3">
        <f t="shared" si="42"/>
        <v>0.51111111111111107</v>
      </c>
      <c r="G123">
        <v>61.555320000000002</v>
      </c>
      <c r="H123">
        <f t="shared" si="33"/>
        <v>0.5809995310875371</v>
      </c>
      <c r="I123">
        <v>78.699999999999989</v>
      </c>
      <c r="J123" s="3">
        <f t="shared" si="23"/>
        <v>0.24335188620902901</v>
      </c>
      <c r="K123">
        <v>0.1</v>
      </c>
      <c r="L123" s="3">
        <f t="shared" si="24"/>
        <v>0.05</v>
      </c>
      <c r="M123">
        <v>9161</v>
      </c>
      <c r="N123">
        <f t="shared" si="25"/>
        <v>4.2213737207420762E-2</v>
      </c>
      <c r="O123" s="15">
        <v>8.9392804000000006E-2</v>
      </c>
      <c r="P123">
        <f t="shared" si="26"/>
        <v>9.1131893703158315E-2</v>
      </c>
      <c r="Q123">
        <v>0.40550000000000003</v>
      </c>
      <c r="R123">
        <f t="shared" si="27"/>
        <v>0.89891376634892495</v>
      </c>
      <c r="S123">
        <f t="shared" si="34"/>
        <v>7.6174271079929523E-2</v>
      </c>
      <c r="T123" s="14">
        <f t="shared" si="28"/>
        <v>0.12779332514760758</v>
      </c>
      <c r="U123" t="str">
        <f t="shared" si="35"/>
        <v>No Impact</v>
      </c>
      <c r="V123">
        <f t="shared" si="36"/>
        <v>0.13832513727041887</v>
      </c>
      <c r="W123">
        <f t="shared" si="29"/>
        <v>0.18591579252411869</v>
      </c>
      <c r="X123" t="s">
        <v>1175</v>
      </c>
      <c r="Y123">
        <f t="shared" si="37"/>
        <v>1.4023404889440174E-2</v>
      </c>
      <c r="Z123">
        <f t="shared" si="30"/>
        <v>2.8097904355775274E-2</v>
      </c>
      <c r="AA123" t="str">
        <f t="shared" si="38"/>
        <v>No Impact</v>
      </c>
      <c r="AB123">
        <f t="shared" si="39"/>
        <v>5.4894371685644108E-2</v>
      </c>
      <c r="AC123">
        <f t="shared" si="31"/>
        <v>0.12887952269033198</v>
      </c>
      <c r="AD123" t="str">
        <f t="shared" si="40"/>
        <v>No Impact</v>
      </c>
      <c r="AE123">
        <f t="shared" si="41"/>
        <v>6.495863354758432E-3</v>
      </c>
      <c r="AF123">
        <f t="shared" si="32"/>
        <v>3.5535229346408799E-2</v>
      </c>
      <c r="AG123" t="s">
        <v>1176</v>
      </c>
    </row>
    <row r="124" spans="1:33" x14ac:dyDescent="0.3">
      <c r="A124">
        <v>203051</v>
      </c>
      <c r="B124" t="s">
        <v>403</v>
      </c>
      <c r="C124" s="1" t="s">
        <v>661</v>
      </c>
      <c r="D124" t="s">
        <v>665</v>
      </c>
      <c r="E124" s="4">
        <v>5.7</v>
      </c>
      <c r="F124" s="3">
        <f t="shared" si="42"/>
        <v>0.55555555555555558</v>
      </c>
      <c r="G124">
        <v>59.26464</v>
      </c>
      <c r="H124">
        <f t="shared" si="33"/>
        <v>0.55937858904919502</v>
      </c>
      <c r="I124">
        <v>79.900000000000006</v>
      </c>
      <c r="J124" s="3">
        <f t="shared" si="23"/>
        <v>0.24706246134817564</v>
      </c>
      <c r="K124">
        <v>0</v>
      </c>
      <c r="L124" s="3">
        <f t="shared" si="24"/>
        <v>0</v>
      </c>
      <c r="M124">
        <v>14970</v>
      </c>
      <c r="N124">
        <f t="shared" si="25"/>
        <v>6.9698561174906443E-2</v>
      </c>
      <c r="O124" s="15">
        <v>0.378791936</v>
      </c>
      <c r="P124">
        <f t="shared" si="26"/>
        <v>0.3861611326921297</v>
      </c>
      <c r="Q124">
        <v>0.40710000000000002</v>
      </c>
      <c r="R124">
        <f t="shared" si="27"/>
        <v>0.90246065174019063</v>
      </c>
      <c r="S124">
        <f t="shared" si="34"/>
        <v>9.7779163388685669E-2</v>
      </c>
      <c r="T124" s="14">
        <f t="shared" si="28"/>
        <v>0.16403864772765364</v>
      </c>
      <c r="U124" t="str">
        <f t="shared" si="35"/>
        <v>Low</v>
      </c>
      <c r="V124">
        <f t="shared" si="36"/>
        <v>0.13695538688605557</v>
      </c>
      <c r="W124">
        <f t="shared" si="29"/>
        <v>0.18407478059169405</v>
      </c>
      <c r="X124" t="s">
        <v>1175</v>
      </c>
      <c r="Y124">
        <f t="shared" si="37"/>
        <v>5.8602939891315785E-2</v>
      </c>
      <c r="Z124">
        <f t="shared" si="30"/>
        <v>0.11741940085273918</v>
      </c>
      <c r="AA124" t="str">
        <f t="shared" si="38"/>
        <v>No Impact</v>
      </c>
      <c r="AB124">
        <f t="shared" si="39"/>
        <v>6.921732096560855E-2</v>
      </c>
      <c r="AC124">
        <f t="shared" si="31"/>
        <v>0.16250655602792999</v>
      </c>
      <c r="AD124" t="str">
        <f t="shared" si="40"/>
        <v>Low</v>
      </c>
      <c r="AE124">
        <f t="shared" si="41"/>
        <v>1.0577295965983903E-2</v>
      </c>
      <c r="AF124">
        <f t="shared" si="32"/>
        <v>5.7862460690579029E-2</v>
      </c>
      <c r="AG124" t="s">
        <v>1176</v>
      </c>
    </row>
    <row r="125" spans="1:33" x14ac:dyDescent="0.3">
      <c r="A125">
        <v>203094</v>
      </c>
      <c r="B125" t="s">
        <v>492</v>
      </c>
      <c r="C125" s="1" t="s">
        <v>661</v>
      </c>
      <c r="D125" t="s">
        <v>666</v>
      </c>
      <c r="E125" s="4">
        <v>5.4</v>
      </c>
      <c r="F125" s="3">
        <f t="shared" si="42"/>
        <v>0.48888888888888893</v>
      </c>
      <c r="G125">
        <v>79.167240000000007</v>
      </c>
      <c r="H125">
        <f t="shared" si="33"/>
        <v>0.74723239709410194</v>
      </c>
      <c r="I125">
        <v>104.6</v>
      </c>
      <c r="J125" s="3">
        <f t="shared" si="23"/>
        <v>0.32343846629560913</v>
      </c>
      <c r="K125">
        <v>0.5</v>
      </c>
      <c r="L125" s="3">
        <f t="shared" si="24"/>
        <v>0.25</v>
      </c>
      <c r="M125">
        <v>40135</v>
      </c>
      <c r="N125">
        <f t="shared" si="25"/>
        <v>0.1887647679474623</v>
      </c>
      <c r="O125" s="15">
        <v>0.28440849099999999</v>
      </c>
      <c r="P125">
        <f t="shared" si="26"/>
        <v>0.28994150770891641</v>
      </c>
      <c r="Q125">
        <v>0.38740000000000002</v>
      </c>
      <c r="R125">
        <f t="shared" si="27"/>
        <v>0.85878962536023062</v>
      </c>
      <c r="S125">
        <f t="shared" si="34"/>
        <v>0.13017388456161177</v>
      </c>
      <c r="T125" s="14">
        <f t="shared" si="28"/>
        <v>0.21838546427380631</v>
      </c>
      <c r="U125" t="str">
        <f t="shared" si="35"/>
        <v>Low</v>
      </c>
      <c r="V125">
        <f t="shared" si="36"/>
        <v>0.19463559110767698</v>
      </c>
      <c r="W125">
        <f t="shared" si="29"/>
        <v>0.26159981394735615</v>
      </c>
      <c r="X125" t="s">
        <v>1175</v>
      </c>
      <c r="Y125">
        <f t="shared" si="37"/>
        <v>6.5712178015546574E-2</v>
      </c>
      <c r="Z125">
        <f t="shared" si="30"/>
        <v>0.13166377976299129</v>
      </c>
      <c r="AA125" t="str">
        <f t="shared" si="38"/>
        <v>No Impact</v>
      </c>
      <c r="AB125">
        <f t="shared" si="39"/>
        <v>0.10280964908076058</v>
      </c>
      <c r="AC125">
        <f t="shared" si="31"/>
        <v>0.24137371636870536</v>
      </c>
      <c r="AD125" t="str">
        <f t="shared" si="40"/>
        <v>Low</v>
      </c>
      <c r="AE125">
        <f t="shared" si="41"/>
        <v>4.2781539395456231E-2</v>
      </c>
      <c r="AF125">
        <f t="shared" si="32"/>
        <v>0.23403383525552862</v>
      </c>
      <c r="AG125" t="s">
        <v>1175</v>
      </c>
    </row>
    <row r="126" spans="1:33" x14ac:dyDescent="0.3">
      <c r="A126">
        <v>204643</v>
      </c>
      <c r="B126" t="s">
        <v>150</v>
      </c>
      <c r="C126" s="1" t="s">
        <v>668</v>
      </c>
      <c r="D126" t="s">
        <v>667</v>
      </c>
      <c r="E126" s="4">
        <v>6.2</v>
      </c>
      <c r="F126" s="3">
        <f t="shared" si="42"/>
        <v>0.66666666666666663</v>
      </c>
      <c r="G126">
        <v>57.749759999999995</v>
      </c>
      <c r="H126">
        <f t="shared" si="33"/>
        <v>0.54508015684782085</v>
      </c>
      <c r="I126">
        <v>78.800000000000011</v>
      </c>
      <c r="J126" s="3">
        <f t="shared" si="23"/>
        <v>0.24366110080395795</v>
      </c>
      <c r="K126">
        <v>0</v>
      </c>
      <c r="L126" s="3">
        <f t="shared" si="24"/>
        <v>0</v>
      </c>
      <c r="M126">
        <v>15793</v>
      </c>
      <c r="N126">
        <f t="shared" si="25"/>
        <v>7.3592520569852327E-2</v>
      </c>
      <c r="O126" s="15">
        <v>0.44197655800000002</v>
      </c>
      <c r="P126">
        <f t="shared" si="26"/>
        <v>0.45057497808149954</v>
      </c>
      <c r="Q126">
        <v>0.43959999999999999</v>
      </c>
      <c r="R126">
        <f t="shared" si="27"/>
        <v>0.97450676125027713</v>
      </c>
      <c r="S126">
        <f t="shared" si="34"/>
        <v>0.12672030275553736</v>
      </c>
      <c r="T126" s="14">
        <f t="shared" si="28"/>
        <v>0.2125915827386036</v>
      </c>
      <c r="U126" t="str">
        <f t="shared" si="35"/>
        <v>Low</v>
      </c>
      <c r="V126">
        <f t="shared" si="36"/>
        <v>0.17330906489736911</v>
      </c>
      <c r="W126">
        <f t="shared" si="29"/>
        <v>0.23293591308005018</v>
      </c>
      <c r="X126" t="s">
        <v>1175</v>
      </c>
      <c r="Y126">
        <f t="shared" si="37"/>
        <v>8.0131540613705574E-2</v>
      </c>
      <c r="Z126">
        <f t="shared" si="30"/>
        <v>0.1605550422166199</v>
      </c>
      <c r="AA126" t="str">
        <f t="shared" si="38"/>
        <v>Low</v>
      </c>
      <c r="AB126">
        <f t="shared" si="39"/>
        <v>8.9278401292734191E-2</v>
      </c>
      <c r="AC126">
        <f t="shared" si="31"/>
        <v>0.20960541840344213</v>
      </c>
      <c r="AD126" t="str">
        <f t="shared" si="40"/>
        <v>Low</v>
      </c>
      <c r="AE126">
        <f t="shared" si="41"/>
        <v>1.3087903984409508E-2</v>
      </c>
      <c r="AF126">
        <f t="shared" si="32"/>
        <v>7.1596590683989977E-2</v>
      </c>
      <c r="AG126" t="s">
        <v>1175</v>
      </c>
    </row>
    <row r="127" spans="1:33" x14ac:dyDescent="0.3">
      <c r="A127">
        <v>204649</v>
      </c>
      <c r="B127" t="s">
        <v>270</v>
      </c>
      <c r="C127" s="1" t="s">
        <v>668</v>
      </c>
      <c r="D127" t="s">
        <v>669</v>
      </c>
      <c r="E127" s="4">
        <v>6.2</v>
      </c>
      <c r="F127" s="3">
        <f t="shared" si="42"/>
        <v>0.66666666666666663</v>
      </c>
      <c r="G127">
        <v>58.156199999999998</v>
      </c>
      <c r="H127">
        <f t="shared" si="33"/>
        <v>0.5489164044607846</v>
      </c>
      <c r="I127">
        <v>68.3</v>
      </c>
      <c r="J127" s="3">
        <f t="shared" si="23"/>
        <v>0.21119356833642544</v>
      </c>
      <c r="K127">
        <v>0</v>
      </c>
      <c r="L127" s="3">
        <f t="shared" si="24"/>
        <v>0</v>
      </c>
      <c r="M127">
        <v>15837</v>
      </c>
      <c r="N127">
        <f t="shared" si="25"/>
        <v>7.3800703089144701E-2</v>
      </c>
      <c r="O127" s="15">
        <v>0.284034648</v>
      </c>
      <c r="P127">
        <f t="shared" si="26"/>
        <v>0.28956039179115567</v>
      </c>
      <c r="Q127">
        <v>0.41620000000000001</v>
      </c>
      <c r="R127">
        <f t="shared" si="27"/>
        <v>0.92263356240301486</v>
      </c>
      <c r="S127">
        <f t="shared" si="34"/>
        <v>0.10578625735952256</v>
      </c>
      <c r="T127" s="14">
        <f t="shared" si="28"/>
        <v>0.17747170260032724</v>
      </c>
      <c r="U127" t="str">
        <f t="shared" si="35"/>
        <v>Low</v>
      </c>
      <c r="V127">
        <f t="shared" si="36"/>
        <v>0.16103355596387417</v>
      </c>
      <c r="W127">
        <f t="shared" si="29"/>
        <v>0.21643702490222028</v>
      </c>
      <c r="X127" t="s">
        <v>1175</v>
      </c>
      <c r="Y127">
        <f t="shared" si="37"/>
        <v>5.0538958755170942E-2</v>
      </c>
      <c r="Z127">
        <f t="shared" si="30"/>
        <v>0.10126205729199006</v>
      </c>
      <c r="AA127" t="str">
        <f t="shared" si="38"/>
        <v>No Impact</v>
      </c>
      <c r="AB127">
        <f t="shared" si="39"/>
        <v>7.6031762007421455E-2</v>
      </c>
      <c r="AC127">
        <f t="shared" si="31"/>
        <v>0.17850531659120888</v>
      </c>
      <c r="AD127" t="str">
        <f t="shared" si="40"/>
        <v>Low</v>
      </c>
      <c r="AE127">
        <f t="shared" si="41"/>
        <v>1.2880942267183464E-2</v>
      </c>
      <c r="AF127">
        <f t="shared" si="32"/>
        <v>7.0464419071702783E-2</v>
      </c>
      <c r="AG127" t="s">
        <v>1175</v>
      </c>
    </row>
    <row r="128" spans="1:33" x14ac:dyDescent="0.3">
      <c r="A128">
        <v>204661</v>
      </c>
      <c r="B128" t="s">
        <v>295</v>
      </c>
      <c r="C128" s="1" t="s">
        <v>668</v>
      </c>
      <c r="D128" t="s">
        <v>670</v>
      </c>
      <c r="E128" s="4">
        <v>5</v>
      </c>
      <c r="F128" s="3">
        <f t="shared" si="42"/>
        <v>0.39999999999999997</v>
      </c>
      <c r="G128">
        <v>62.172359999999998</v>
      </c>
      <c r="H128">
        <f t="shared" si="33"/>
        <v>0.58682355979313483</v>
      </c>
      <c r="I128">
        <v>73.5</v>
      </c>
      <c r="J128" s="3">
        <f t="shared" si="23"/>
        <v>0.22727272727272724</v>
      </c>
      <c r="K128">
        <v>0</v>
      </c>
      <c r="L128" s="3">
        <f t="shared" si="24"/>
        <v>0</v>
      </c>
      <c r="M128">
        <v>2349</v>
      </c>
      <c r="N128">
        <f t="shared" si="25"/>
        <v>9.9832980842476798E-3</v>
      </c>
      <c r="O128" s="15">
        <v>0.494612828</v>
      </c>
      <c r="P128">
        <f t="shared" si="26"/>
        <v>0.50423525886395204</v>
      </c>
      <c r="Q128">
        <v>0.44579999999999997</v>
      </c>
      <c r="R128">
        <f t="shared" si="27"/>
        <v>0.98825094214143194</v>
      </c>
      <c r="S128">
        <f t="shared" si="34"/>
        <v>8.3634141606065138E-2</v>
      </c>
      <c r="T128" s="14">
        <f t="shared" si="28"/>
        <v>0.14030833377440735</v>
      </c>
      <c r="U128" t="str">
        <f t="shared" si="35"/>
        <v>No Impact</v>
      </c>
      <c r="V128">
        <f t="shared" si="36"/>
        <v>0.11075682868184275</v>
      </c>
      <c r="W128">
        <f t="shared" si="29"/>
        <v>0.14886262893480867</v>
      </c>
      <c r="X128" t="s">
        <v>1176</v>
      </c>
      <c r="Y128">
        <f t="shared" si="37"/>
        <v>5.6511454530287546E-2</v>
      </c>
      <c r="Z128">
        <f t="shared" si="30"/>
        <v>0.11322880975885102</v>
      </c>
      <c r="AA128" t="str">
        <f t="shared" si="38"/>
        <v>No Impact</v>
      </c>
      <c r="AB128">
        <f t="shared" si="39"/>
        <v>5.6109928809584521E-2</v>
      </c>
      <c r="AC128">
        <f t="shared" si="31"/>
        <v>0.1317333748636185</v>
      </c>
      <c r="AD128" t="str">
        <f t="shared" si="40"/>
        <v>No Impact</v>
      </c>
      <c r="AE128">
        <f t="shared" si="41"/>
        <v>1.1188640338665582E-3</v>
      </c>
      <c r="AF128">
        <f t="shared" si="32"/>
        <v>6.120678327041996E-3</v>
      </c>
      <c r="AG128" t="s">
        <v>1176</v>
      </c>
    </row>
    <row r="129" spans="1:33" x14ac:dyDescent="0.3">
      <c r="A129">
        <v>204665</v>
      </c>
      <c r="B129" t="s">
        <v>314</v>
      </c>
      <c r="C129" s="1" t="s">
        <v>668</v>
      </c>
      <c r="D129" t="s">
        <v>671</v>
      </c>
      <c r="E129" s="4">
        <v>6</v>
      </c>
      <c r="F129" s="3">
        <f t="shared" si="42"/>
        <v>0.62222222222222223</v>
      </c>
      <c r="G129">
        <v>62.080559999999998</v>
      </c>
      <c r="H129">
        <f t="shared" si="33"/>
        <v>0.58595709111173022</v>
      </c>
      <c r="I129">
        <v>59.8</v>
      </c>
      <c r="J129" s="3">
        <f t="shared" si="23"/>
        <v>0.1849103277674706</v>
      </c>
      <c r="K129">
        <v>0</v>
      </c>
      <c r="L129" s="3">
        <f t="shared" si="24"/>
        <v>0</v>
      </c>
      <c r="M129">
        <v>8061</v>
      </c>
      <c r="N129">
        <f t="shared" si="25"/>
        <v>3.7009174225111546E-2</v>
      </c>
      <c r="O129" s="15">
        <v>0.303539897</v>
      </c>
      <c r="P129">
        <f t="shared" si="26"/>
        <v>0.30944510509002071</v>
      </c>
      <c r="Q129">
        <v>0.42320000000000002</v>
      </c>
      <c r="R129">
        <f t="shared" si="27"/>
        <v>0.93815118598980274</v>
      </c>
      <c r="S129">
        <f t="shared" si="34"/>
        <v>0.10532786297045503</v>
      </c>
      <c r="T129" s="14">
        <f t="shared" si="28"/>
        <v>0.17670267990568958</v>
      </c>
      <c r="U129" t="str">
        <f t="shared" si="35"/>
        <v>Low</v>
      </c>
      <c r="V129">
        <f t="shared" si="36"/>
        <v>0.15840614511282089</v>
      </c>
      <c r="W129">
        <f t="shared" si="29"/>
        <v>0.2129056554035218</v>
      </c>
      <c r="X129" t="s">
        <v>1175</v>
      </c>
      <c r="Y129">
        <f t="shared" si="37"/>
        <v>5.2249580828089177E-2</v>
      </c>
      <c r="Z129">
        <f t="shared" si="30"/>
        <v>0.1046895341260882</v>
      </c>
      <c r="AA129" t="str">
        <f t="shared" si="38"/>
        <v>No Impact</v>
      </c>
      <c r="AB129">
        <f t="shared" si="39"/>
        <v>7.3304165286335959E-2</v>
      </c>
      <c r="AC129">
        <f t="shared" si="31"/>
        <v>0.17210153870450168</v>
      </c>
      <c r="AD129" t="str">
        <f t="shared" si="40"/>
        <v>Low</v>
      </c>
      <c r="AE129">
        <f t="shared" si="41"/>
        <v>6.2489721383482983E-3</v>
      </c>
      <c r="AF129">
        <f t="shared" si="32"/>
        <v>3.4184625813112303E-2</v>
      </c>
      <c r="AG129" t="s">
        <v>1176</v>
      </c>
    </row>
    <row r="130" spans="1:33" x14ac:dyDescent="0.3">
      <c r="A130">
        <v>204667</v>
      </c>
      <c r="B130" t="s">
        <v>318</v>
      </c>
      <c r="C130" s="1" t="s">
        <v>668</v>
      </c>
      <c r="D130" t="s">
        <v>672</v>
      </c>
      <c r="E130" s="4">
        <v>6.2</v>
      </c>
      <c r="F130" s="3">
        <f t="shared" si="42"/>
        <v>0.66666666666666663</v>
      </c>
      <c r="G130">
        <v>62.172359999999998</v>
      </c>
      <c r="H130">
        <f t="shared" si="33"/>
        <v>0.58682355979313483</v>
      </c>
      <c r="I130">
        <v>73.099999999999994</v>
      </c>
      <c r="J130" s="3">
        <f t="shared" ref="J130:J193" si="45">(I130-$AJ$7)/$AK$7</f>
        <v>0.22603586889301172</v>
      </c>
      <c r="K130">
        <v>0</v>
      </c>
      <c r="L130" s="3">
        <f t="shared" ref="L130:L193" si="46">(K130-$AJ$8)/$AK$8</f>
        <v>0</v>
      </c>
      <c r="M130">
        <v>12067</v>
      </c>
      <c r="N130">
        <f t="shared" ref="N130:N193" si="47">(M130-$AJ$9)/$AK$9</f>
        <v>5.5963246322503109E-2</v>
      </c>
      <c r="O130" s="15">
        <v>4.6147929999999997E-2</v>
      </c>
      <c r="P130">
        <f t="shared" ref="P130:P193" si="48">(O130-$AJ$11)/$AK$11</f>
        <v>4.7045713560800596E-2</v>
      </c>
      <c r="Q130">
        <v>0.41760000000000003</v>
      </c>
      <c r="R130">
        <f t="shared" ref="R130:R193" si="49">(Q130-$AJ$12)/$AK$12</f>
        <v>0.9257370871203725</v>
      </c>
      <c r="S130">
        <f t="shared" si="34"/>
        <v>9.0772502506577951E-2</v>
      </c>
      <c r="T130" s="14">
        <f t="shared" ref="T130:T193" si="50">(S130-$AJ$10)/$AK$10</f>
        <v>0.1522839636379737</v>
      </c>
      <c r="U130" t="str">
        <f t="shared" si="35"/>
        <v>Low</v>
      </c>
      <c r="V130">
        <f t="shared" si="36"/>
        <v>0.17276512701956637</v>
      </c>
      <c r="W130">
        <f t="shared" ref="W130:W193" si="51">(V130-$AJ$13)/$AK$13</f>
        <v>0.23220483380096088</v>
      </c>
      <c r="X130" t="s">
        <v>1175</v>
      </c>
      <c r="Y130">
        <f t="shared" si="37"/>
        <v>8.7798779935895511E-3</v>
      </c>
      <c r="Z130">
        <f t="shared" ref="Z130:Z193" si="52">(Y130-$AJ$14)/$AK$14</f>
        <v>1.7591745661213923E-2</v>
      </c>
      <c r="AA130" t="str">
        <f t="shared" si="38"/>
        <v>No Impact</v>
      </c>
      <c r="AB130">
        <f t="shared" si="39"/>
        <v>6.6757195368283645E-2</v>
      </c>
      <c r="AC130">
        <f t="shared" ref="AC130:AC193" si="53">(AB130-$AJ$15)/$AK$15</f>
        <v>0.15673073961896983</v>
      </c>
      <c r="AD130" t="str">
        <f t="shared" si="40"/>
        <v>Low</v>
      </c>
      <c r="AE130">
        <f t="shared" si="41"/>
        <v>1.0444107181024441E-2</v>
      </c>
      <c r="AF130">
        <f t="shared" ref="AF130:AF193" si="54">(AE130-$AJ$16)/$AK$16</f>
        <v>5.7133859462162331E-2</v>
      </c>
      <c r="AG130" t="s">
        <v>1176</v>
      </c>
    </row>
    <row r="131" spans="1:33" x14ac:dyDescent="0.3">
      <c r="A131">
        <v>204670</v>
      </c>
      <c r="B131" t="s">
        <v>326</v>
      </c>
      <c r="C131" s="1" t="s">
        <v>668</v>
      </c>
      <c r="D131" t="s">
        <v>673</v>
      </c>
      <c r="E131" s="4">
        <v>6.2</v>
      </c>
      <c r="F131" s="3">
        <f t="shared" si="42"/>
        <v>0.66666666666666663</v>
      </c>
      <c r="G131">
        <v>61.453440000000001</v>
      </c>
      <c r="H131">
        <f t="shared" ref="H131:H194" si="55">(G131-$AJ$6)/$AK$6</f>
        <v>0.58003792074699789</v>
      </c>
      <c r="I131">
        <v>75.3</v>
      </c>
      <c r="J131" s="3">
        <f t="shared" si="45"/>
        <v>0.2328385899814471</v>
      </c>
      <c r="K131">
        <v>0</v>
      </c>
      <c r="L131" s="3">
        <f t="shared" si="46"/>
        <v>0</v>
      </c>
      <c r="M131">
        <v>9838</v>
      </c>
      <c r="N131">
        <f t="shared" si="47"/>
        <v>4.5416909151987435E-2</v>
      </c>
      <c r="O131" s="15">
        <v>0.169536242</v>
      </c>
      <c r="P131">
        <f t="shared" si="48"/>
        <v>0.17283447988472231</v>
      </c>
      <c r="Q131">
        <v>0.41909999999999997</v>
      </c>
      <c r="R131">
        <f t="shared" si="49"/>
        <v>0.92906229217468406</v>
      </c>
      <c r="S131">
        <f t="shared" ref="S131:S194" si="56">F131*(R131*0.5+P131*0.5)*(H131*0.4+J131*0.2+L131*0.4)</f>
        <v>0.10232319438651692</v>
      </c>
      <c r="T131" s="14">
        <f t="shared" si="50"/>
        <v>0.17166191504027856</v>
      </c>
      <c r="U131" t="str">
        <f t="shared" ref="U131:U194" si="57">IF(T131&gt;0.7,"High",IF(T131&gt;0.3,"Moderate",IF(T131&gt;0.15,"Low","No Impact")))</f>
        <v>Low</v>
      </c>
      <c r="V131">
        <f t="shared" ref="V131:V194" si="58">F131*(R131*1)*(H131*0.4+J131*0.2+L131*0.4)</f>
        <v>0.17254723660130292</v>
      </c>
      <c r="W131">
        <f t="shared" si="51"/>
        <v>0.23191197835476915</v>
      </c>
      <c r="X131" t="s">
        <v>1175</v>
      </c>
      <c r="Y131">
        <f t="shared" ref="Y131:Y194" si="59">F131*(P131*1)*(H131*0.4+J131*0.2+L131*0.4)</f>
        <v>3.2099152171730913E-2</v>
      </c>
      <c r="Z131">
        <f t="shared" si="52"/>
        <v>6.431525829379206E-2</v>
      </c>
      <c r="AA131" t="str">
        <f t="shared" ref="AA131:AA194" si="60">IF(Z131&gt;0.7,"High",IF(Z131&gt;0.3,"Moderate",IF(Z131&gt;0.15,"Low","No Impact")))</f>
        <v>No Impact</v>
      </c>
      <c r="AB131">
        <f t="shared" ref="AB131:AB194" si="61">F131*(R131*0.35+P131*0.3+N131*0.35)*(H131*0.4+J131*0.2+L131*0.4)</f>
        <v>7.2973498977546528E-2</v>
      </c>
      <c r="AC131">
        <f t="shared" si="53"/>
        <v>0.17132520927877112</v>
      </c>
      <c r="AD131" t="str">
        <f t="shared" ref="AD131:AD194" si="62">IF(AC131&gt;0.7,"High",IF(AC131&gt;0.3,"Moderate",IF(AC131&gt;0.15,"Low","No Impact")))</f>
        <v>Low</v>
      </c>
      <c r="AE131">
        <f t="shared" ref="AE131:AE194" si="63">F131*(N131*1)*(H131*0.4+J131*0.2+L131*0.4)</f>
        <v>8.4349157587749884E-3</v>
      </c>
      <c r="AF131">
        <f t="shared" si="54"/>
        <v>4.6142698766306424E-2</v>
      </c>
      <c r="AG131" t="s">
        <v>1176</v>
      </c>
    </row>
    <row r="132" spans="1:33" x14ac:dyDescent="0.3">
      <c r="A132">
        <v>204677</v>
      </c>
      <c r="B132" t="s">
        <v>399</v>
      </c>
      <c r="C132" s="1" t="s">
        <v>668</v>
      </c>
      <c r="D132" t="s">
        <v>674</v>
      </c>
      <c r="E132" s="4">
        <v>6.2</v>
      </c>
      <c r="F132" s="3">
        <f t="shared" si="42"/>
        <v>0.66666666666666663</v>
      </c>
      <c r="G132">
        <v>58.716359999999995</v>
      </c>
      <c r="H132">
        <f t="shared" si="55"/>
        <v>0.55420356237555124</v>
      </c>
      <c r="I132">
        <v>73.099999999999994</v>
      </c>
      <c r="J132" s="3">
        <f t="shared" si="45"/>
        <v>0.22603586889301172</v>
      </c>
      <c r="K132">
        <v>0</v>
      </c>
      <c r="L132" s="3">
        <f t="shared" si="46"/>
        <v>0</v>
      </c>
      <c r="M132">
        <v>7474</v>
      </c>
      <c r="N132">
        <f t="shared" si="47"/>
        <v>3.4231830160915626E-2</v>
      </c>
      <c r="O132" s="15">
        <v>0.17171610000000001</v>
      </c>
      <c r="P132">
        <f t="shared" si="48"/>
        <v>0.17505674586872677</v>
      </c>
      <c r="Q132">
        <v>0.43209999999999998</v>
      </c>
      <c r="R132">
        <f t="shared" si="49"/>
        <v>0.9578807359787187</v>
      </c>
      <c r="S132">
        <f t="shared" si="56"/>
        <v>0.10078936565920865</v>
      </c>
      <c r="T132" s="14">
        <f t="shared" si="50"/>
        <v>0.16908869615034694</v>
      </c>
      <c r="U132" t="str">
        <f t="shared" si="57"/>
        <v>Low</v>
      </c>
      <c r="V132">
        <f t="shared" si="58"/>
        <v>0.17043163158312916</v>
      </c>
      <c r="W132">
        <f t="shared" si="51"/>
        <v>0.22906850108532067</v>
      </c>
      <c r="X132" t="s">
        <v>1175</v>
      </c>
      <c r="Y132">
        <f t="shared" si="59"/>
        <v>3.1147099735288092E-2</v>
      </c>
      <c r="Z132">
        <f t="shared" si="52"/>
        <v>6.2407684597407038E-2</v>
      </c>
      <c r="AA132" t="str">
        <f t="shared" si="60"/>
        <v>No Impact</v>
      </c>
      <c r="AB132">
        <f t="shared" si="61"/>
        <v>7.112695418418126E-2</v>
      </c>
      <c r="AC132">
        <f t="shared" si="53"/>
        <v>0.16698994130343023</v>
      </c>
      <c r="AD132" t="str">
        <f t="shared" si="62"/>
        <v>Low</v>
      </c>
      <c r="AE132">
        <f t="shared" si="63"/>
        <v>6.0907234557132173E-3</v>
      </c>
      <c r="AF132">
        <f t="shared" si="54"/>
        <v>3.3318935923394209E-2</v>
      </c>
      <c r="AG132" t="s">
        <v>1176</v>
      </c>
    </row>
    <row r="133" spans="1:33" x14ac:dyDescent="0.3">
      <c r="A133">
        <v>204680</v>
      </c>
      <c r="B133" t="s">
        <v>429</v>
      </c>
      <c r="C133" s="1" t="s">
        <v>668</v>
      </c>
      <c r="D133" t="s">
        <v>675</v>
      </c>
      <c r="E133" s="4">
        <v>6.2</v>
      </c>
      <c r="F133" s="3">
        <f t="shared" si="42"/>
        <v>0.66666666666666663</v>
      </c>
      <c r="G133">
        <v>61.453440000000001</v>
      </c>
      <c r="H133">
        <f t="shared" si="55"/>
        <v>0.58003792074699789</v>
      </c>
      <c r="I133">
        <v>73.099999999999994</v>
      </c>
      <c r="J133" s="3">
        <f t="shared" si="45"/>
        <v>0.22603586889301172</v>
      </c>
      <c r="K133">
        <v>0</v>
      </c>
      <c r="L133" s="3">
        <f t="shared" si="46"/>
        <v>0</v>
      </c>
      <c r="M133">
        <v>11497</v>
      </c>
      <c r="N133">
        <f t="shared" si="47"/>
        <v>5.3266336413488331E-2</v>
      </c>
      <c r="O133" s="18">
        <v>0.27002685100000001</v>
      </c>
      <c r="P133">
        <f t="shared" si="48"/>
        <v>0.27528008051219166</v>
      </c>
      <c r="Q133">
        <v>0.42199999999999999</v>
      </c>
      <c r="R133">
        <f t="shared" si="49"/>
        <v>0.93549102194635336</v>
      </c>
      <c r="S133">
        <f t="shared" si="56"/>
        <v>0.11188426691439844</v>
      </c>
      <c r="T133" s="14">
        <f t="shared" si="50"/>
        <v>0.18770199304815796</v>
      </c>
      <c r="U133" t="str">
        <f t="shared" si="57"/>
        <v>Low</v>
      </c>
      <c r="V133">
        <f t="shared" si="58"/>
        <v>0.17289267473089995</v>
      </c>
      <c r="W133">
        <f t="shared" si="51"/>
        <v>0.23237626420258675</v>
      </c>
      <c r="X133" t="s">
        <v>1175</v>
      </c>
      <c r="Y133">
        <f t="shared" si="59"/>
        <v>5.087585909789695E-2</v>
      </c>
      <c r="Z133">
        <f t="shared" si="52"/>
        <v>0.1019370854810764</v>
      </c>
      <c r="AA133" t="str">
        <f t="shared" si="60"/>
        <v>No Impact</v>
      </c>
      <c r="AB133">
        <f t="shared" si="61"/>
        <v>7.9220738209884387E-2</v>
      </c>
      <c r="AC133">
        <f t="shared" si="53"/>
        <v>0.18599230875859957</v>
      </c>
      <c r="AD133" t="str">
        <f t="shared" si="62"/>
        <v>Low</v>
      </c>
      <c r="AE133">
        <f t="shared" si="63"/>
        <v>9.8444123562866741E-3</v>
      </c>
      <c r="AF133">
        <f t="shared" si="54"/>
        <v>5.3853265032893664E-2</v>
      </c>
      <c r="AG133" t="s">
        <v>1176</v>
      </c>
    </row>
    <row r="134" spans="1:33" x14ac:dyDescent="0.3">
      <c r="A134">
        <v>205133</v>
      </c>
      <c r="B134" t="s">
        <v>252</v>
      </c>
      <c r="C134" s="1" t="s">
        <v>677</v>
      </c>
      <c r="D134" t="s">
        <v>676</v>
      </c>
      <c r="E134" s="4">
        <v>6.5</v>
      </c>
      <c r="F134" s="3">
        <f t="shared" ref="F134:F197" si="64">(E134-$AJ$5)/$AK$5</f>
        <v>0.73333333333333328</v>
      </c>
      <c r="G134">
        <v>69.760440000000003</v>
      </c>
      <c r="H134">
        <f t="shared" si="55"/>
        <v>0.65844484162311667</v>
      </c>
      <c r="I134">
        <v>99.600000000000009</v>
      </c>
      <c r="J134" s="3">
        <f t="shared" si="45"/>
        <v>0.3079777365491651</v>
      </c>
      <c r="K134">
        <v>1.5</v>
      </c>
      <c r="L134" s="3">
        <f t="shared" si="46"/>
        <v>0.75</v>
      </c>
      <c r="M134">
        <v>17191</v>
      </c>
      <c r="N134">
        <f t="shared" si="47"/>
        <v>8.0207046978278046E-2</v>
      </c>
      <c r="O134" s="15">
        <v>0.32089121399999998</v>
      </c>
      <c r="P134">
        <f t="shared" si="48"/>
        <v>0.32713398278149347</v>
      </c>
      <c r="Q134">
        <v>0.37519999999999998</v>
      </c>
      <c r="R134">
        <f t="shared" si="49"/>
        <v>0.83174462425182882</v>
      </c>
      <c r="S134">
        <f t="shared" si="56"/>
        <v>0.26556508019186226</v>
      </c>
      <c r="T134" s="14">
        <f t="shared" si="50"/>
        <v>0.44552372027555909</v>
      </c>
      <c r="U134" t="str">
        <f t="shared" si="57"/>
        <v>Moderate</v>
      </c>
      <c r="V134">
        <f t="shared" si="58"/>
        <v>0.38120011276079413</v>
      </c>
      <c r="W134">
        <f t="shared" si="51"/>
        <v>0.51235171330903428</v>
      </c>
      <c r="X134" t="str">
        <f t="shared" ref="X134:X147" si="65">IF(W134&gt;0.7,"High",IF(W134&gt;0.3,"Moderate",IF(W134&gt;0.15,"Low","No Impact")))</f>
        <v>Moderate</v>
      </c>
      <c r="Y134">
        <f t="shared" si="59"/>
        <v>0.14993004762293033</v>
      </c>
      <c r="Z134">
        <f t="shared" si="52"/>
        <v>0.30040636859441799</v>
      </c>
      <c r="AA134" t="str">
        <f t="shared" si="60"/>
        <v>Moderate</v>
      </c>
      <c r="AB134">
        <f t="shared" si="61"/>
        <v>0.19126505500076524</v>
      </c>
      <c r="AC134">
        <f t="shared" si="53"/>
        <v>0.44904692847199829</v>
      </c>
      <c r="AD134" t="str">
        <f t="shared" si="62"/>
        <v>Moderate</v>
      </c>
      <c r="AE134">
        <f t="shared" si="63"/>
        <v>3.6760003564594933E-2</v>
      </c>
      <c r="AF134">
        <f t="shared" si="54"/>
        <v>0.20109338606788837</v>
      </c>
      <c r="AG134" t="s">
        <v>1175</v>
      </c>
    </row>
    <row r="135" spans="1:33" x14ac:dyDescent="0.3">
      <c r="A135">
        <v>205143</v>
      </c>
      <c r="B135" t="s">
        <v>296</v>
      </c>
      <c r="C135" s="1" t="s">
        <v>677</v>
      </c>
      <c r="D135" t="s">
        <v>678</v>
      </c>
      <c r="E135" s="4">
        <v>6.5</v>
      </c>
      <c r="F135" s="3">
        <f t="shared" si="64"/>
        <v>0.73333333333333328</v>
      </c>
      <c r="G135">
        <v>61.313040000000008</v>
      </c>
      <c r="H135">
        <f t="shared" si="55"/>
        <v>0.57871273335190865</v>
      </c>
      <c r="I135">
        <v>102.1</v>
      </c>
      <c r="J135" s="3">
        <f t="shared" si="45"/>
        <v>0.31570810142238709</v>
      </c>
      <c r="K135">
        <v>1.5</v>
      </c>
      <c r="L135" s="3">
        <f t="shared" si="46"/>
        <v>0.75</v>
      </c>
      <c r="M135">
        <v>40462</v>
      </c>
      <c r="N135">
        <f t="shared" si="47"/>
        <v>0.19031194257947603</v>
      </c>
      <c r="O135" s="15">
        <v>0.14849758499999999</v>
      </c>
      <c r="P135">
        <f t="shared" si="48"/>
        <v>0.15138652694455937</v>
      </c>
      <c r="Q135">
        <v>0.40550000000000003</v>
      </c>
      <c r="R135">
        <f t="shared" si="49"/>
        <v>0.89891376634892495</v>
      </c>
      <c r="S135">
        <f t="shared" si="56"/>
        <v>0.22899675763093483</v>
      </c>
      <c r="T135" s="14">
        <f t="shared" si="50"/>
        <v>0.3841750855084784</v>
      </c>
      <c r="U135" t="str">
        <f t="shared" si="57"/>
        <v>Moderate</v>
      </c>
      <c r="V135">
        <f t="shared" si="58"/>
        <v>0.39197996839213589</v>
      </c>
      <c r="W135">
        <f t="shared" si="51"/>
        <v>0.52684036983628912</v>
      </c>
      <c r="X135" t="str">
        <f t="shared" si="65"/>
        <v>Moderate</v>
      </c>
      <c r="Y135">
        <f t="shared" si="59"/>
        <v>6.6013546869733708E-2</v>
      </c>
      <c r="Z135">
        <f t="shared" si="52"/>
        <v>0.13226761551525826</v>
      </c>
      <c r="AA135" t="str">
        <f t="shared" si="60"/>
        <v>No Impact</v>
      </c>
      <c r="AB135">
        <f t="shared" si="61"/>
        <v>0.1860426246762828</v>
      </c>
      <c r="AC135">
        <f t="shared" si="53"/>
        <v>0.43678584765742667</v>
      </c>
      <c r="AD135" t="str">
        <f t="shared" si="62"/>
        <v>Moderate</v>
      </c>
      <c r="AE135">
        <f t="shared" si="63"/>
        <v>8.2987347651757554E-2</v>
      </c>
      <c r="AF135">
        <f t="shared" si="54"/>
        <v>0.45397728840695889</v>
      </c>
      <c r="AG135" t="str">
        <f t="shared" ref="AG135:AG193" si="66">IF(AF135&gt;0.7,"High",IF(AF135&gt;0.3,"Moderate",IF(AF135&gt;0.15,"Low","No Impact")))</f>
        <v>Moderate</v>
      </c>
    </row>
    <row r="136" spans="1:33" x14ac:dyDescent="0.3">
      <c r="A136">
        <v>205158</v>
      </c>
      <c r="B136" t="s">
        <v>444</v>
      </c>
      <c r="C136" s="1" t="s">
        <v>677</v>
      </c>
      <c r="D136" t="s">
        <v>679</v>
      </c>
      <c r="E136" s="4">
        <v>5</v>
      </c>
      <c r="F136" s="3">
        <f t="shared" si="64"/>
        <v>0.39999999999999997</v>
      </c>
      <c r="G136">
        <v>63.025200000000005</v>
      </c>
      <c r="H136">
        <f t="shared" si="55"/>
        <v>0.59487322373920315</v>
      </c>
      <c r="I136">
        <v>100</v>
      </c>
      <c r="J136" s="3">
        <f t="shared" si="45"/>
        <v>0.30921459492888059</v>
      </c>
      <c r="K136">
        <v>0.1</v>
      </c>
      <c r="L136" s="3">
        <f t="shared" si="46"/>
        <v>0.05</v>
      </c>
      <c r="M136">
        <v>15111</v>
      </c>
      <c r="N136">
        <f t="shared" si="47"/>
        <v>7.0365691520820617E-2</v>
      </c>
      <c r="O136" s="15">
        <v>0.255421907</v>
      </c>
      <c r="P136">
        <f t="shared" si="48"/>
        <v>0.2603910050542993</v>
      </c>
      <c r="Q136">
        <v>0.41510000000000002</v>
      </c>
      <c r="R136">
        <f t="shared" si="49"/>
        <v>0.92019507869651962</v>
      </c>
      <c r="S136">
        <f t="shared" si="56"/>
        <v>7.5508446205029833E-2</v>
      </c>
      <c r="T136" s="14">
        <f t="shared" si="50"/>
        <v>0.12667630789856638</v>
      </c>
      <c r="U136" t="str">
        <f t="shared" si="57"/>
        <v>No Impact</v>
      </c>
      <c r="V136">
        <f t="shared" si="58"/>
        <v>0.11770848658005138</v>
      </c>
      <c r="W136">
        <f t="shared" si="51"/>
        <v>0.15820599929398918</v>
      </c>
      <c r="X136" t="s">
        <v>1176</v>
      </c>
      <c r="Y136">
        <f t="shared" si="59"/>
        <v>3.3308405830008277E-2</v>
      </c>
      <c r="Z136">
        <f t="shared" si="52"/>
        <v>6.673817155202183E-2</v>
      </c>
      <c r="AA136" t="str">
        <f t="shared" si="60"/>
        <v>No Impact</v>
      </c>
      <c r="AB136">
        <f t="shared" si="61"/>
        <v>5.4340828037008022E-2</v>
      </c>
      <c r="AC136">
        <f t="shared" si="53"/>
        <v>0.12757992786787881</v>
      </c>
      <c r="AD136" t="str">
        <f t="shared" si="62"/>
        <v>No Impact</v>
      </c>
      <c r="AE136">
        <f t="shared" si="63"/>
        <v>9.000959957107273E-3</v>
      </c>
      <c r="AF136">
        <f t="shared" si="54"/>
        <v>4.923920947003102E-2</v>
      </c>
      <c r="AG136" t="s">
        <v>1176</v>
      </c>
    </row>
    <row r="137" spans="1:33" x14ac:dyDescent="0.3">
      <c r="A137">
        <v>205165</v>
      </c>
      <c r="B137" t="s">
        <v>428</v>
      </c>
      <c r="C137" s="1" t="s">
        <v>677</v>
      </c>
      <c r="D137" t="s">
        <v>680</v>
      </c>
      <c r="E137" s="4">
        <v>6.5</v>
      </c>
      <c r="F137" s="3">
        <f t="shared" si="64"/>
        <v>0.73333333333333328</v>
      </c>
      <c r="G137">
        <v>60.044039999999995</v>
      </c>
      <c r="H137">
        <f t="shared" si="55"/>
        <v>0.56673507805013956</v>
      </c>
      <c r="I137">
        <v>109.60000000000001</v>
      </c>
      <c r="J137" s="3">
        <f t="shared" si="45"/>
        <v>0.33889919604205315</v>
      </c>
      <c r="K137">
        <v>0</v>
      </c>
      <c r="L137" s="3">
        <f t="shared" si="46"/>
        <v>0</v>
      </c>
      <c r="M137">
        <v>18858</v>
      </c>
      <c r="N137">
        <f t="shared" si="47"/>
        <v>8.8094325606923013E-2</v>
      </c>
      <c r="O137" s="15">
        <v>0.35055857899999998</v>
      </c>
      <c r="P137">
        <f t="shared" si="48"/>
        <v>0.35737851067025733</v>
      </c>
      <c r="Q137">
        <v>0.37490000000000001</v>
      </c>
      <c r="R137">
        <f t="shared" si="49"/>
        <v>0.83107958324096654</v>
      </c>
      <c r="S137">
        <f t="shared" si="56"/>
        <v>0.12832228007722785</v>
      </c>
      <c r="T137" s="14">
        <f t="shared" si="50"/>
        <v>0.21527913072360594</v>
      </c>
      <c r="U137" t="str">
        <f t="shared" si="57"/>
        <v>Low</v>
      </c>
      <c r="V137">
        <f t="shared" si="58"/>
        <v>0.17946956244143245</v>
      </c>
      <c r="W137">
        <f t="shared" si="51"/>
        <v>0.24121592498423755</v>
      </c>
      <c r="X137" t="s">
        <v>1175</v>
      </c>
      <c r="Y137">
        <f t="shared" si="59"/>
        <v>7.7174997713023219E-2</v>
      </c>
      <c r="Z137">
        <f t="shared" si="52"/>
        <v>0.15463118418769897</v>
      </c>
      <c r="AA137" t="str">
        <f t="shared" si="60"/>
        <v>Low</v>
      </c>
      <c r="AB137">
        <f t="shared" si="61"/>
        <v>9.2625158604634092E-2</v>
      </c>
      <c r="AC137">
        <f t="shared" si="53"/>
        <v>0.21746284479658978</v>
      </c>
      <c r="AD137" t="str">
        <f t="shared" si="62"/>
        <v>Low</v>
      </c>
      <c r="AE137">
        <f t="shared" si="63"/>
        <v>1.9023749817787865E-2</v>
      </c>
      <c r="AF137">
        <f t="shared" si="54"/>
        <v>0.10406827790005659</v>
      </c>
      <c r="AG137" t="s">
        <v>1175</v>
      </c>
    </row>
    <row r="138" spans="1:33" s="19" customFormat="1" x14ac:dyDescent="0.3">
      <c r="A138" s="19">
        <v>205173</v>
      </c>
      <c r="B138" s="19" t="s">
        <v>430</v>
      </c>
      <c r="C138" s="20" t="s">
        <v>677</v>
      </c>
      <c r="D138" s="19" t="s">
        <v>681</v>
      </c>
      <c r="E138" s="21">
        <v>6.5</v>
      </c>
      <c r="F138" s="3">
        <f t="shared" si="64"/>
        <v>0.73333333333333328</v>
      </c>
      <c r="G138" s="19">
        <v>73.81331999999999</v>
      </c>
      <c r="H138">
        <f t="shared" si="55"/>
        <v>0.69669858442802857</v>
      </c>
      <c r="I138" s="19">
        <v>94.7</v>
      </c>
      <c r="J138" s="3">
        <f t="shared" si="45"/>
        <v>0.29282622139764997</v>
      </c>
      <c r="K138" s="19">
        <v>1.5</v>
      </c>
      <c r="L138" s="3">
        <f t="shared" si="46"/>
        <v>0.75</v>
      </c>
      <c r="M138" s="19">
        <v>8289</v>
      </c>
      <c r="N138">
        <f t="shared" si="47"/>
        <v>3.8087938188717453E-2</v>
      </c>
      <c r="O138" s="19">
        <v>0.40593255900000003</v>
      </c>
      <c r="P138">
        <f t="shared" si="48"/>
        <v>0.41382976215220901</v>
      </c>
      <c r="Q138" s="19">
        <v>0.38540000000000002</v>
      </c>
      <c r="R138">
        <f t="shared" si="49"/>
        <v>0.85435601862114829</v>
      </c>
      <c r="S138">
        <f t="shared" si="56"/>
        <v>0.29631970117839701</v>
      </c>
      <c r="T138" s="14">
        <f t="shared" si="50"/>
        <v>0.49711903223331555</v>
      </c>
      <c r="U138" t="str">
        <f t="shared" si="57"/>
        <v>Moderate</v>
      </c>
      <c r="V138">
        <f t="shared" si="58"/>
        <v>0.39925147241976106</v>
      </c>
      <c r="W138">
        <f t="shared" si="51"/>
        <v>0.53661362913546762</v>
      </c>
      <c r="X138" t="str">
        <f t="shared" si="65"/>
        <v>Moderate</v>
      </c>
      <c r="Y138">
        <f t="shared" si="59"/>
        <v>0.19338792993703283</v>
      </c>
      <c r="Z138">
        <f t="shared" si="52"/>
        <v>0.38748047295017807</v>
      </c>
      <c r="AA138" t="str">
        <f t="shared" si="60"/>
        <v>Moderate</v>
      </c>
      <c r="AB138">
        <f t="shared" si="61"/>
        <v>0.20398403721125555</v>
      </c>
      <c r="AC138">
        <f t="shared" si="53"/>
        <v>0.47890821126036653</v>
      </c>
      <c r="AD138" t="str">
        <f t="shared" si="62"/>
        <v>Moderate</v>
      </c>
      <c r="AE138">
        <f t="shared" si="63"/>
        <v>1.7798979666369581E-2</v>
      </c>
      <c r="AF138">
        <f t="shared" si="54"/>
        <v>9.7368246533879071E-2</v>
      </c>
      <c r="AG138" t="s">
        <v>1175</v>
      </c>
    </row>
    <row r="139" spans="1:33" x14ac:dyDescent="0.3">
      <c r="A139">
        <v>207507</v>
      </c>
      <c r="B139" t="s">
        <v>58</v>
      </c>
      <c r="C139" s="1" t="s">
        <v>683</v>
      </c>
      <c r="D139" t="s">
        <v>682</v>
      </c>
      <c r="E139" s="4">
        <v>6.6</v>
      </c>
      <c r="F139" s="3">
        <f t="shared" si="64"/>
        <v>0.75555555555555542</v>
      </c>
      <c r="G139">
        <v>67.158720000000002</v>
      </c>
      <c r="H139">
        <f t="shared" si="55"/>
        <v>0.63388809981719207</v>
      </c>
      <c r="I139">
        <v>112.3</v>
      </c>
      <c r="J139" s="3">
        <f t="shared" si="45"/>
        <v>0.34724799010513291</v>
      </c>
      <c r="K139">
        <v>0.2</v>
      </c>
      <c r="L139" s="3">
        <f t="shared" si="46"/>
        <v>0.1</v>
      </c>
      <c r="M139">
        <v>35521</v>
      </c>
      <c r="N139">
        <f t="shared" si="47"/>
        <v>0.16693399194712163</v>
      </c>
      <c r="O139" s="15">
        <v>0.58295748300000005</v>
      </c>
      <c r="P139">
        <f t="shared" si="48"/>
        <v>0.59429861238290194</v>
      </c>
      <c r="Q139">
        <v>0.33900000000000002</v>
      </c>
      <c r="R139">
        <f t="shared" si="49"/>
        <v>0.75149634227444029</v>
      </c>
      <c r="S139">
        <f t="shared" si="56"/>
        <v>0.18455580778334235</v>
      </c>
      <c r="T139" s="14">
        <f t="shared" si="50"/>
        <v>0.30961898312342673</v>
      </c>
      <c r="U139" t="str">
        <f t="shared" si="57"/>
        <v>Moderate</v>
      </c>
      <c r="V139">
        <f t="shared" si="58"/>
        <v>0.20611314378125245</v>
      </c>
      <c r="W139">
        <f t="shared" si="51"/>
        <v>0.27702620963835417</v>
      </c>
      <c r="X139" t="s">
        <v>1175</v>
      </c>
      <c r="Y139">
        <f t="shared" si="59"/>
        <v>0.16299847178543223</v>
      </c>
      <c r="Z139">
        <f t="shared" si="52"/>
        <v>0.32659083200352801</v>
      </c>
      <c r="AA139" t="str">
        <f t="shared" si="60"/>
        <v>Moderate</v>
      </c>
      <c r="AB139">
        <f t="shared" si="61"/>
        <v>0.13706390576279384</v>
      </c>
      <c r="AC139">
        <f t="shared" si="53"/>
        <v>0.3217949347146124</v>
      </c>
      <c r="AD139" t="str">
        <f t="shared" si="62"/>
        <v>Moderate</v>
      </c>
      <c r="AE139">
        <f t="shared" si="63"/>
        <v>4.5785039724930907E-2</v>
      </c>
      <c r="AF139">
        <f t="shared" si="54"/>
        <v>0.25046430295798017</v>
      </c>
      <c r="AG139" t="s">
        <v>1175</v>
      </c>
    </row>
    <row r="140" spans="1:33" x14ac:dyDescent="0.3">
      <c r="A140">
        <v>207510</v>
      </c>
      <c r="B140" t="s">
        <v>103</v>
      </c>
      <c r="C140" s="1" t="s">
        <v>683</v>
      </c>
      <c r="D140" t="s">
        <v>684</v>
      </c>
      <c r="E140" s="4">
        <v>6.5</v>
      </c>
      <c r="F140" s="3">
        <f t="shared" si="64"/>
        <v>0.73333333333333328</v>
      </c>
      <c r="G140">
        <v>59.657760000000003</v>
      </c>
      <c r="H140">
        <f t="shared" si="55"/>
        <v>0.56308911375544513</v>
      </c>
      <c r="I140">
        <v>112.6</v>
      </c>
      <c r="J140" s="3">
        <f t="shared" si="45"/>
        <v>0.34817563388991957</v>
      </c>
      <c r="K140">
        <v>0</v>
      </c>
      <c r="L140" s="3">
        <f t="shared" si="46"/>
        <v>0</v>
      </c>
      <c r="M140">
        <v>14588</v>
      </c>
      <c r="N140">
        <f t="shared" si="47"/>
        <v>6.789115839377724E-2</v>
      </c>
      <c r="O140" s="15">
        <v>0.44027176299999998</v>
      </c>
      <c r="P140">
        <f t="shared" si="48"/>
        <v>0.44883701719679925</v>
      </c>
      <c r="Q140">
        <v>0.38009999999999999</v>
      </c>
      <c r="R140">
        <f t="shared" si="49"/>
        <v>0.84260696076258035</v>
      </c>
      <c r="S140">
        <f t="shared" si="56"/>
        <v>0.13962999715039714</v>
      </c>
      <c r="T140" s="14">
        <f t="shared" si="50"/>
        <v>0.23424945684713902</v>
      </c>
      <c r="U140" t="str">
        <f t="shared" si="57"/>
        <v>Low</v>
      </c>
      <c r="V140">
        <f t="shared" si="58"/>
        <v>0.18220412118238163</v>
      </c>
      <c r="W140">
        <f t="shared" si="51"/>
        <v>0.24489130652051921</v>
      </c>
      <c r="X140" t="s">
        <v>1175</v>
      </c>
      <c r="Y140">
        <f t="shared" si="59"/>
        <v>9.7055873118412669E-2</v>
      </c>
      <c r="Z140">
        <f t="shared" si="52"/>
        <v>0.19446537139499837</v>
      </c>
      <c r="AA140" t="str">
        <f t="shared" si="60"/>
        <v>Low</v>
      </c>
      <c r="AB140">
        <f t="shared" si="61"/>
        <v>9.8026444714709782E-2</v>
      </c>
      <c r="AC140">
        <f t="shared" si="53"/>
        <v>0.2301438383921959</v>
      </c>
      <c r="AD140" t="str">
        <f t="shared" si="62"/>
        <v>Low</v>
      </c>
      <c r="AE140">
        <f t="shared" si="63"/>
        <v>1.468068675814979E-2</v>
      </c>
      <c r="AF140">
        <f t="shared" si="54"/>
        <v>8.0309812941414579E-2</v>
      </c>
      <c r="AG140" t="s">
        <v>1175</v>
      </c>
    </row>
    <row r="141" spans="1:33" x14ac:dyDescent="0.3">
      <c r="A141">
        <v>207521</v>
      </c>
      <c r="B141" t="s">
        <v>118</v>
      </c>
      <c r="C141" s="1" t="s">
        <v>683</v>
      </c>
      <c r="D141" t="s">
        <v>1128</v>
      </c>
      <c r="E141" s="4">
        <v>6.4</v>
      </c>
      <c r="F141" s="3">
        <f t="shared" si="64"/>
        <v>0.71111111111111114</v>
      </c>
      <c r="G141">
        <v>79.167240000000007</v>
      </c>
      <c r="H141">
        <f t="shared" si="55"/>
        <v>0.74723239709410194</v>
      </c>
      <c r="I141">
        <v>102.8</v>
      </c>
      <c r="J141" s="3">
        <f t="shared" si="45"/>
        <v>0.31787260358688924</v>
      </c>
      <c r="K141">
        <v>1</v>
      </c>
      <c r="L141" s="3">
        <f t="shared" si="46"/>
        <v>0.5</v>
      </c>
      <c r="M141">
        <v>38608</v>
      </c>
      <c r="N141">
        <f t="shared" si="47"/>
        <v>0.18153988824383852</v>
      </c>
      <c r="O141" s="15">
        <v>0.182490601</v>
      </c>
      <c r="P141">
        <f t="shared" si="48"/>
        <v>0.18604085908478132</v>
      </c>
      <c r="Q141">
        <v>0.36930000000000002</v>
      </c>
      <c r="R141">
        <f t="shared" si="49"/>
        <v>0.8186654843715363</v>
      </c>
      <c r="S141">
        <f t="shared" si="56"/>
        <v>0.20092965144775607</v>
      </c>
      <c r="T141" s="14">
        <f t="shared" si="50"/>
        <v>0.33708846721112995</v>
      </c>
      <c r="U141" t="str">
        <f t="shared" si="57"/>
        <v>Moderate</v>
      </c>
      <c r="V141">
        <f t="shared" si="58"/>
        <v>0.32744726157734866</v>
      </c>
      <c r="W141">
        <f t="shared" si="51"/>
        <v>0.4401052357316112</v>
      </c>
      <c r="X141" t="str">
        <f t="shared" si="65"/>
        <v>Moderate</v>
      </c>
      <c r="Y141">
        <f t="shared" si="59"/>
        <v>7.4412041318163438E-2</v>
      </c>
      <c r="Z141">
        <f t="shared" si="52"/>
        <v>0.1490952045070148</v>
      </c>
      <c r="AA141" t="str">
        <f t="shared" si="60"/>
        <v>No Impact</v>
      </c>
      <c r="AB141">
        <f t="shared" si="61"/>
        <v>0.16234426892190262</v>
      </c>
      <c r="AC141">
        <f t="shared" si="53"/>
        <v>0.38114748830684619</v>
      </c>
      <c r="AD141" t="str">
        <f t="shared" si="62"/>
        <v>Moderate</v>
      </c>
      <c r="AE141">
        <f t="shared" si="63"/>
        <v>7.2611757069661595E-2</v>
      </c>
      <c r="AF141">
        <f t="shared" si="54"/>
        <v>0.39721824487364088</v>
      </c>
      <c r="AG141" t="str">
        <f t="shared" si="66"/>
        <v>Moderate</v>
      </c>
    </row>
    <row r="142" spans="1:33" x14ac:dyDescent="0.3">
      <c r="A142">
        <v>207536</v>
      </c>
      <c r="B142" t="s">
        <v>207</v>
      </c>
      <c r="C142" s="1" t="s">
        <v>683</v>
      </c>
      <c r="D142" t="s">
        <v>685</v>
      </c>
      <c r="E142" s="4">
        <v>6.5</v>
      </c>
      <c r="F142" s="3">
        <f t="shared" si="64"/>
        <v>0.73333333333333328</v>
      </c>
      <c r="G142">
        <v>94.336560000000006</v>
      </c>
      <c r="H142">
        <f t="shared" si="55"/>
        <v>0.89041040034250996</v>
      </c>
      <c r="I142">
        <v>102.70000000000002</v>
      </c>
      <c r="J142" s="3">
        <f t="shared" si="45"/>
        <v>0.31756338899196046</v>
      </c>
      <c r="K142">
        <v>2</v>
      </c>
      <c r="L142" s="3">
        <f t="shared" si="46"/>
        <v>1</v>
      </c>
      <c r="M142">
        <v>64514</v>
      </c>
      <c r="N142">
        <f t="shared" si="47"/>
        <v>0.30411207789811356</v>
      </c>
      <c r="O142" s="15">
        <v>0.33186585699999999</v>
      </c>
      <c r="P142">
        <f t="shared" si="48"/>
        <v>0.33832213165426084</v>
      </c>
      <c r="Q142">
        <v>0.37269999999999998</v>
      </c>
      <c r="R142">
        <f t="shared" si="49"/>
        <v>0.82620261582797605</v>
      </c>
      <c r="S142">
        <f t="shared" si="56"/>
        <v>0.34999578632837702</v>
      </c>
      <c r="T142" s="14">
        <f t="shared" si="50"/>
        <v>0.58716840592570652</v>
      </c>
      <c r="U142" t="str">
        <f t="shared" si="57"/>
        <v>Moderate</v>
      </c>
      <c r="V142">
        <f t="shared" si="58"/>
        <v>0.49662737493294073</v>
      </c>
      <c r="W142">
        <f t="shared" si="51"/>
        <v>0.66749163472238593</v>
      </c>
      <c r="X142" t="str">
        <f t="shared" si="65"/>
        <v>Moderate</v>
      </c>
      <c r="Y142">
        <f t="shared" si="59"/>
        <v>0.20336419772381334</v>
      </c>
      <c r="Z142">
        <f t="shared" si="52"/>
        <v>0.4074693572696802</v>
      </c>
      <c r="AA142" t="str">
        <f t="shared" si="60"/>
        <v>Moderate</v>
      </c>
      <c r="AB142">
        <f t="shared" si="61"/>
        <v>0.29880907131697526</v>
      </c>
      <c r="AC142">
        <f t="shared" si="53"/>
        <v>0.70153586432148396</v>
      </c>
      <c r="AD142" t="str">
        <f t="shared" si="62"/>
        <v>High</v>
      </c>
      <c r="AE142">
        <f t="shared" si="63"/>
        <v>0.18280065935229164</v>
      </c>
      <c r="AF142">
        <f t="shared" si="54"/>
        <v>1</v>
      </c>
      <c r="AG142" t="str">
        <f t="shared" si="66"/>
        <v>High</v>
      </c>
    </row>
    <row r="143" spans="1:33" x14ac:dyDescent="0.3">
      <c r="A143">
        <v>207547</v>
      </c>
      <c r="B143" t="s">
        <v>230</v>
      </c>
      <c r="C143" s="1" t="s">
        <v>683</v>
      </c>
      <c r="D143" t="s">
        <v>686</v>
      </c>
      <c r="E143" s="4">
        <v>6.5</v>
      </c>
      <c r="F143" s="3">
        <f t="shared" si="64"/>
        <v>0.73333333333333328</v>
      </c>
      <c r="G143">
        <v>78.734160000000003</v>
      </c>
      <c r="H143">
        <f t="shared" si="55"/>
        <v>0.7431447036677109</v>
      </c>
      <c r="I143">
        <v>102.8</v>
      </c>
      <c r="J143" s="3">
        <f t="shared" si="45"/>
        <v>0.31787260358688924</v>
      </c>
      <c r="K143">
        <v>0.1</v>
      </c>
      <c r="L143" s="3">
        <f t="shared" si="46"/>
        <v>0.05</v>
      </c>
      <c r="M143">
        <v>22882</v>
      </c>
      <c r="N143">
        <f t="shared" si="47"/>
        <v>0.10713356328038873</v>
      </c>
      <c r="O143" s="15">
        <v>0.20355066799999999</v>
      </c>
      <c r="P143">
        <f t="shared" si="48"/>
        <v>0.20751063854516597</v>
      </c>
      <c r="Q143">
        <v>0.38979999999999998</v>
      </c>
      <c r="R143">
        <f t="shared" si="49"/>
        <v>0.86410995344712915</v>
      </c>
      <c r="S143">
        <f t="shared" si="56"/>
        <v>0.14963954290221246</v>
      </c>
      <c r="T143" s="14">
        <f t="shared" si="50"/>
        <v>0.25104191336437137</v>
      </c>
      <c r="U143" t="str">
        <f t="shared" si="57"/>
        <v>Low</v>
      </c>
      <c r="V143">
        <f t="shared" si="58"/>
        <v>0.2413261175033676</v>
      </c>
      <c r="W143">
        <f t="shared" si="51"/>
        <v>0.32435417941928874</v>
      </c>
      <c r="X143" t="str">
        <f t="shared" si="65"/>
        <v>Moderate</v>
      </c>
      <c r="Y143">
        <f t="shared" si="59"/>
        <v>5.7952968301057291E-2</v>
      </c>
      <c r="Z143">
        <f t="shared" si="52"/>
        <v>0.11611708948677366</v>
      </c>
      <c r="AA143" t="str">
        <f t="shared" si="60"/>
        <v>No Impact</v>
      </c>
      <c r="AB143">
        <f t="shared" si="61"/>
        <v>0.11232201422954974</v>
      </c>
      <c r="AC143">
        <f t="shared" si="53"/>
        <v>0.26370659025698967</v>
      </c>
      <c r="AD143" t="str">
        <f t="shared" si="62"/>
        <v>Low</v>
      </c>
      <c r="AE143">
        <f t="shared" si="63"/>
        <v>2.9919950323011122E-2</v>
      </c>
      <c r="AF143">
        <f t="shared" si="54"/>
        <v>0.16367528667032696</v>
      </c>
      <c r="AG143" t="s">
        <v>1175</v>
      </c>
    </row>
    <row r="144" spans="1:33" x14ac:dyDescent="0.3">
      <c r="A144">
        <v>207580</v>
      </c>
      <c r="B144" t="s">
        <v>467</v>
      </c>
      <c r="C144" s="1" t="s">
        <v>683</v>
      </c>
      <c r="D144" t="s">
        <v>687</v>
      </c>
      <c r="E144" s="4">
        <v>6.6</v>
      </c>
      <c r="F144" s="3">
        <f t="shared" si="64"/>
        <v>0.75555555555555542</v>
      </c>
      <c r="G144">
        <v>67.158720000000002</v>
      </c>
      <c r="H144">
        <f t="shared" si="55"/>
        <v>0.63388809981719207</v>
      </c>
      <c r="I144">
        <v>115.39999999999999</v>
      </c>
      <c r="J144" s="3">
        <f t="shared" si="45"/>
        <v>0.35683364254792821</v>
      </c>
      <c r="K144">
        <v>0</v>
      </c>
      <c r="L144" s="3">
        <f t="shared" si="46"/>
        <v>0</v>
      </c>
      <c r="M144">
        <v>19359</v>
      </c>
      <c r="N144">
        <f t="shared" si="47"/>
        <v>9.046476747432021E-2</v>
      </c>
      <c r="O144" s="15">
        <v>0.43192493700000001</v>
      </c>
      <c r="P144">
        <f t="shared" si="48"/>
        <v>0.44032780811336164</v>
      </c>
      <c r="Q144">
        <v>0.36969999999999997</v>
      </c>
      <c r="R144">
        <f t="shared" si="49"/>
        <v>0.81955220571935261</v>
      </c>
      <c r="S144">
        <f t="shared" si="56"/>
        <v>0.1546481288777958</v>
      </c>
      <c r="T144" s="14">
        <f t="shared" si="50"/>
        <v>0.25944453864759665</v>
      </c>
      <c r="U144" t="str">
        <f t="shared" si="57"/>
        <v>Low</v>
      </c>
      <c r="V144">
        <f t="shared" si="58"/>
        <v>0.2011972786941868</v>
      </c>
      <c r="W144">
        <f t="shared" si="51"/>
        <v>0.27041904501420672</v>
      </c>
      <c r="X144" t="s">
        <v>1175</v>
      </c>
      <c r="Y144">
        <f t="shared" si="59"/>
        <v>0.10809897906140481</v>
      </c>
      <c r="Z144">
        <f t="shared" si="52"/>
        <v>0.21659181907465841</v>
      </c>
      <c r="AA144" t="str">
        <f t="shared" si="60"/>
        <v>Low</v>
      </c>
      <c r="AB144">
        <f t="shared" si="61"/>
        <v>0.11062181870206783</v>
      </c>
      <c r="AC144">
        <f t="shared" si="53"/>
        <v>0.25971491713397971</v>
      </c>
      <c r="AD144" t="str">
        <f t="shared" si="62"/>
        <v>Low</v>
      </c>
      <c r="AE144">
        <f t="shared" si="63"/>
        <v>2.2208792687660031E-2</v>
      </c>
      <c r="AF144">
        <f t="shared" si="54"/>
        <v>0.12149186313852109</v>
      </c>
      <c r="AG144" t="s">
        <v>1175</v>
      </c>
    </row>
    <row r="145" spans="1:33" x14ac:dyDescent="0.3">
      <c r="A145">
        <v>207583</v>
      </c>
      <c r="B145" t="s">
        <v>493</v>
      </c>
      <c r="C145" s="1" t="s">
        <v>683</v>
      </c>
      <c r="D145" t="s">
        <v>688</v>
      </c>
      <c r="E145" s="4">
        <v>6.5</v>
      </c>
      <c r="F145" s="3">
        <f t="shared" si="64"/>
        <v>0.73333333333333328</v>
      </c>
      <c r="G145">
        <v>67.158720000000002</v>
      </c>
      <c r="H145">
        <f t="shared" si="55"/>
        <v>0.63388809981719207</v>
      </c>
      <c r="I145">
        <v>112.6</v>
      </c>
      <c r="J145" s="3">
        <f t="shared" si="45"/>
        <v>0.34817563388991957</v>
      </c>
      <c r="K145">
        <v>0</v>
      </c>
      <c r="L145" s="3">
        <f t="shared" si="46"/>
        <v>0</v>
      </c>
      <c r="M145">
        <v>20762</v>
      </c>
      <c r="N145">
        <f t="shared" si="47"/>
        <v>9.7102950987210973E-2</v>
      </c>
      <c r="O145" s="15">
        <v>2.2319696999999999E-2</v>
      </c>
      <c r="P145">
        <f t="shared" si="48"/>
        <v>2.2753914895551338E-2</v>
      </c>
      <c r="Q145">
        <v>0.33700000000000002</v>
      </c>
      <c r="R145">
        <f t="shared" si="49"/>
        <v>0.74706273553535807</v>
      </c>
      <c r="S145">
        <f t="shared" si="56"/>
        <v>9.1225686034366857E-2</v>
      </c>
      <c r="T145" s="14">
        <f t="shared" si="50"/>
        <v>0.15304424436133629</v>
      </c>
      <c r="U145" t="str">
        <f t="shared" si="57"/>
        <v>Low</v>
      </c>
      <c r="V145">
        <f t="shared" si="58"/>
        <v>0.17705855159608647</v>
      </c>
      <c r="W145">
        <f t="shared" si="51"/>
        <v>0.23797540774390077</v>
      </c>
      <c r="X145" t="s">
        <v>1175</v>
      </c>
      <c r="Y145">
        <f t="shared" si="59"/>
        <v>5.3928204726472499E-3</v>
      </c>
      <c r="Z145">
        <f t="shared" si="52"/>
        <v>1.0805289802508035E-2</v>
      </c>
      <c r="AA145" t="str">
        <f t="shared" si="60"/>
        <v>No Impact</v>
      </c>
      <c r="AB145">
        <f t="shared" si="61"/>
        <v>7.1643242040429184E-2</v>
      </c>
      <c r="AC145">
        <f t="shared" si="53"/>
        <v>0.16820206798310308</v>
      </c>
      <c r="AD145" t="str">
        <f t="shared" si="62"/>
        <v>Low</v>
      </c>
      <c r="AE145">
        <f t="shared" si="63"/>
        <v>2.3014008114299277E-2</v>
      </c>
      <c r="AF145">
        <f t="shared" si="54"/>
        <v>0.12589674564546785</v>
      </c>
      <c r="AG145" t="s">
        <v>1175</v>
      </c>
    </row>
    <row r="146" spans="1:33" x14ac:dyDescent="0.3">
      <c r="A146">
        <v>207585</v>
      </c>
      <c r="B146" t="s">
        <v>501</v>
      </c>
      <c r="C146" s="1" t="s">
        <v>683</v>
      </c>
      <c r="D146" t="s">
        <v>689</v>
      </c>
      <c r="E146" s="4">
        <v>6.5</v>
      </c>
      <c r="F146" s="3">
        <f t="shared" si="64"/>
        <v>0.73333333333333328</v>
      </c>
      <c r="G146">
        <v>82.805760000000006</v>
      </c>
      <c r="H146">
        <f t="shared" si="55"/>
        <v>0.78157513812530155</v>
      </c>
      <c r="I146">
        <v>93.399999999999991</v>
      </c>
      <c r="J146" s="3">
        <f t="shared" si="45"/>
        <v>0.28880643166357445</v>
      </c>
      <c r="K146">
        <v>1.5</v>
      </c>
      <c r="L146" s="3">
        <f t="shared" si="46"/>
        <v>0.75</v>
      </c>
      <c r="M146">
        <v>36232</v>
      </c>
      <c r="N146">
        <f t="shared" si="47"/>
        <v>0.17029803220205059</v>
      </c>
      <c r="O146" s="15">
        <v>6.5754930000000003E-2</v>
      </c>
      <c r="P146">
        <f t="shared" si="48"/>
        <v>6.7034157371533121E-2</v>
      </c>
      <c r="Q146">
        <v>0.3962</v>
      </c>
      <c r="R146">
        <f t="shared" si="49"/>
        <v>0.87829749501219245</v>
      </c>
      <c r="S146">
        <f t="shared" si="56"/>
        <v>0.23237212338348964</v>
      </c>
      <c r="T146" s="14">
        <f t="shared" si="50"/>
        <v>0.38983774833403695</v>
      </c>
      <c r="U146" t="str">
        <f t="shared" si="57"/>
        <v>Moderate</v>
      </c>
      <c r="V146">
        <f t="shared" si="58"/>
        <v>0.43178889305938278</v>
      </c>
      <c r="W146">
        <f t="shared" si="51"/>
        <v>0.58034552388920246</v>
      </c>
      <c r="X146" t="str">
        <f t="shared" si="65"/>
        <v>Moderate</v>
      </c>
      <c r="Y146">
        <f t="shared" si="59"/>
        <v>3.2955353707596474E-2</v>
      </c>
      <c r="Z146">
        <f t="shared" si="52"/>
        <v>6.6030780954207724E-2</v>
      </c>
      <c r="AA146" t="str">
        <f t="shared" si="60"/>
        <v>No Impact</v>
      </c>
      <c r="AB146">
        <f t="shared" si="61"/>
        <v>0.19031540909412098</v>
      </c>
      <c r="AC146">
        <f t="shared" si="53"/>
        <v>0.44681737547020761</v>
      </c>
      <c r="AD146" t="str">
        <f t="shared" si="62"/>
        <v>Moderate</v>
      </c>
      <c r="AE146">
        <f t="shared" si="63"/>
        <v>8.3721972603023054E-2</v>
      </c>
      <c r="AF146">
        <f t="shared" si="54"/>
        <v>0.45799600996884199</v>
      </c>
      <c r="AG146" t="str">
        <f t="shared" si="66"/>
        <v>Moderate</v>
      </c>
    </row>
    <row r="147" spans="1:33" x14ac:dyDescent="0.3">
      <c r="A147">
        <v>207587</v>
      </c>
      <c r="B147" t="s">
        <v>387</v>
      </c>
      <c r="C147" s="1" t="s">
        <v>683</v>
      </c>
      <c r="D147" t="s">
        <v>1129</v>
      </c>
      <c r="E147" s="4">
        <v>6.6</v>
      </c>
      <c r="F147" s="3">
        <f t="shared" si="64"/>
        <v>0.75555555555555542</v>
      </c>
      <c r="G147">
        <v>68.780519999999996</v>
      </c>
      <c r="H147">
        <f t="shared" si="55"/>
        <v>0.64919571318867264</v>
      </c>
      <c r="I147">
        <v>102.8</v>
      </c>
      <c r="J147" s="3">
        <f t="shared" si="45"/>
        <v>0.31787260358688924</v>
      </c>
      <c r="K147">
        <v>1</v>
      </c>
      <c r="L147" s="3">
        <f t="shared" si="46"/>
        <v>0.5</v>
      </c>
      <c r="M147">
        <v>46149</v>
      </c>
      <c r="N147">
        <f t="shared" si="47"/>
        <v>0.21721953319801471</v>
      </c>
      <c r="O147" s="15">
        <v>0.19779561400000001</v>
      </c>
      <c r="P147">
        <f t="shared" si="48"/>
        <v>0.20164362301465488</v>
      </c>
      <c r="Q147">
        <v>0.40210000000000001</v>
      </c>
      <c r="R147">
        <f t="shared" si="49"/>
        <v>0.89137663489248509</v>
      </c>
      <c r="S147">
        <f t="shared" si="56"/>
        <v>0.21606090196150921</v>
      </c>
      <c r="T147" s="14">
        <f t="shared" si="50"/>
        <v>0.36247332208903171</v>
      </c>
      <c r="U147" t="str">
        <f t="shared" si="57"/>
        <v>Moderate</v>
      </c>
      <c r="V147">
        <f t="shared" si="58"/>
        <v>0.35240269030520982</v>
      </c>
      <c r="W147">
        <f t="shared" si="51"/>
        <v>0.47364656018841811</v>
      </c>
      <c r="X147" t="str">
        <f t="shared" si="65"/>
        <v>Moderate</v>
      </c>
      <c r="Y147">
        <f t="shared" si="59"/>
        <v>7.9719113617808604E-2</v>
      </c>
      <c r="Z147">
        <f t="shared" si="52"/>
        <v>0.15972868553820874</v>
      </c>
      <c r="AA147" t="str">
        <f t="shared" si="60"/>
        <v>Low</v>
      </c>
      <c r="AB147">
        <f t="shared" si="61"/>
        <v>0.17731362436153442</v>
      </c>
      <c r="AC147">
        <f t="shared" si="53"/>
        <v>0.41629213656130837</v>
      </c>
      <c r="AD147" t="str">
        <f t="shared" si="62"/>
        <v>Moderate</v>
      </c>
      <c r="AE147">
        <f t="shared" si="63"/>
        <v>8.5876996198195485E-2</v>
      </c>
      <c r="AF147">
        <f t="shared" si="54"/>
        <v>0.46978493678567196</v>
      </c>
      <c r="AG147" t="str">
        <f t="shared" si="66"/>
        <v>Moderate</v>
      </c>
    </row>
    <row r="148" spans="1:33" x14ac:dyDescent="0.3">
      <c r="A148">
        <v>208407</v>
      </c>
      <c r="B148" t="s">
        <v>27</v>
      </c>
      <c r="C148" s="1" t="s">
        <v>691</v>
      </c>
      <c r="D148" t="s">
        <v>690</v>
      </c>
      <c r="E148" s="4">
        <v>6.2</v>
      </c>
      <c r="F148" s="3">
        <f t="shared" si="64"/>
        <v>0.66666666666666663</v>
      </c>
      <c r="G148">
        <v>57.796560000000007</v>
      </c>
      <c r="H148">
        <f t="shared" si="55"/>
        <v>0.54552188597951734</v>
      </c>
      <c r="I148">
        <v>77.100000000000009</v>
      </c>
      <c r="J148" s="3">
        <f t="shared" si="45"/>
        <v>0.23840445269016697</v>
      </c>
      <c r="K148">
        <v>0</v>
      </c>
      <c r="L148" s="3">
        <f t="shared" si="46"/>
        <v>0</v>
      </c>
      <c r="M148">
        <v>3903</v>
      </c>
      <c r="N148">
        <f t="shared" si="47"/>
        <v>1.7335926151982702E-2</v>
      </c>
      <c r="O148" s="15">
        <v>0.28577507000000002</v>
      </c>
      <c r="P148">
        <f t="shared" si="48"/>
        <v>0.29133467278029029</v>
      </c>
      <c r="Q148">
        <v>0.44579999999999997</v>
      </c>
      <c r="R148">
        <f t="shared" si="49"/>
        <v>0.98825094214143194</v>
      </c>
      <c r="S148">
        <f t="shared" si="56"/>
        <v>0.11340952160295603</v>
      </c>
      <c r="T148" s="14">
        <f t="shared" si="50"/>
        <v>0.19026082775158723</v>
      </c>
      <c r="U148" t="str">
        <f t="shared" si="57"/>
        <v>Low</v>
      </c>
      <c r="V148">
        <f t="shared" si="58"/>
        <v>0.17517712807171035</v>
      </c>
      <c r="W148">
        <f t="shared" si="51"/>
        <v>0.23544668192796978</v>
      </c>
      <c r="X148" t="s">
        <v>1175</v>
      </c>
      <c r="Y148">
        <f t="shared" si="59"/>
        <v>5.1641915134201744E-2</v>
      </c>
      <c r="Z148">
        <f t="shared" si="52"/>
        <v>0.10347198869530683</v>
      </c>
      <c r="AA148" t="str">
        <f t="shared" si="60"/>
        <v>No Impact</v>
      </c>
      <c r="AB148">
        <f t="shared" si="61"/>
        <v>7.7880106123477941E-2</v>
      </c>
      <c r="AC148">
        <f t="shared" si="53"/>
        <v>0.18284480896774957</v>
      </c>
      <c r="AD148" t="str">
        <f t="shared" si="62"/>
        <v>Low</v>
      </c>
      <c r="AE148">
        <f t="shared" si="63"/>
        <v>3.0729621660537426E-3</v>
      </c>
      <c r="AF148">
        <f t="shared" si="54"/>
        <v>1.6810454496947739E-2</v>
      </c>
      <c r="AG148" t="s">
        <v>1176</v>
      </c>
    </row>
    <row r="149" spans="1:33" x14ac:dyDescent="0.3">
      <c r="A149">
        <v>208421</v>
      </c>
      <c r="B149" t="s">
        <v>50</v>
      </c>
      <c r="C149" s="1" t="s">
        <v>691</v>
      </c>
      <c r="D149" t="s">
        <v>692</v>
      </c>
      <c r="E149" s="4">
        <v>6.2</v>
      </c>
      <c r="F149" s="3">
        <f t="shared" si="64"/>
        <v>0.66666666666666663</v>
      </c>
      <c r="G149">
        <v>57.796560000000007</v>
      </c>
      <c r="H149">
        <f t="shared" si="55"/>
        <v>0.54552188597951734</v>
      </c>
      <c r="I149">
        <v>54.699999999999996</v>
      </c>
      <c r="J149" s="3">
        <f t="shared" si="45"/>
        <v>0.16914038342609769</v>
      </c>
      <c r="K149">
        <v>0</v>
      </c>
      <c r="L149" s="3">
        <f t="shared" si="46"/>
        <v>0</v>
      </c>
      <c r="M149">
        <v>239</v>
      </c>
      <c r="N149">
        <f t="shared" si="47"/>
        <v>0</v>
      </c>
      <c r="O149" s="15">
        <v>7.9232238999999996E-2</v>
      </c>
      <c r="P149">
        <f t="shared" si="48"/>
        <v>8.0773660287143847E-2</v>
      </c>
      <c r="Q149">
        <v>0.44700000000000001</v>
      </c>
      <c r="R149">
        <f t="shared" si="49"/>
        <v>0.99091110618488143</v>
      </c>
      <c r="S149">
        <f t="shared" si="56"/>
        <v>9.0034677485044137E-2</v>
      </c>
      <c r="T149" s="14">
        <f t="shared" si="50"/>
        <v>0.15104615575951072</v>
      </c>
      <c r="U149" t="str">
        <f t="shared" si="57"/>
        <v>Low</v>
      </c>
      <c r="V149">
        <f t="shared" si="58"/>
        <v>0.16649739672124561</v>
      </c>
      <c r="W149">
        <f t="shared" si="51"/>
        <v>0.22378069579731164</v>
      </c>
      <c r="X149" t="s">
        <v>1175</v>
      </c>
      <c r="Y149">
        <f t="shared" si="59"/>
        <v>1.3571958248842666E-2</v>
      </c>
      <c r="Z149">
        <f t="shared" si="52"/>
        <v>2.7193366219049532E-2</v>
      </c>
      <c r="AA149" t="str">
        <f t="shared" si="60"/>
        <v>No Impact</v>
      </c>
      <c r="AB149">
        <f t="shared" si="61"/>
        <v>6.2345676327088762E-2</v>
      </c>
      <c r="AC149">
        <f t="shared" si="53"/>
        <v>0.14637349440584727</v>
      </c>
      <c r="AD149" t="str">
        <f t="shared" si="62"/>
        <v>No Impact</v>
      </c>
      <c r="AE149">
        <f t="shared" si="63"/>
        <v>0</v>
      </c>
      <c r="AF149">
        <f t="shared" si="54"/>
        <v>0</v>
      </c>
      <c r="AG149" t="s">
        <v>1176</v>
      </c>
    </row>
    <row r="150" spans="1:33" x14ac:dyDescent="0.3">
      <c r="A150">
        <v>208425</v>
      </c>
      <c r="B150" t="s">
        <v>265</v>
      </c>
      <c r="C150" s="1" t="s">
        <v>691</v>
      </c>
      <c r="D150" t="s">
        <v>1130</v>
      </c>
      <c r="E150" s="4">
        <v>6.3</v>
      </c>
      <c r="F150" s="3">
        <f t="shared" si="64"/>
        <v>0.68888888888888877</v>
      </c>
      <c r="G150">
        <v>59.652720000000002</v>
      </c>
      <c r="H150">
        <f t="shared" si="55"/>
        <v>0.56304154292587782</v>
      </c>
      <c r="I150">
        <v>45.900000000000006</v>
      </c>
      <c r="J150" s="3">
        <f t="shared" si="45"/>
        <v>0.14192949907235622</v>
      </c>
      <c r="K150">
        <v>0</v>
      </c>
      <c r="L150" s="3">
        <f t="shared" si="46"/>
        <v>0</v>
      </c>
      <c r="M150">
        <v>5340</v>
      </c>
      <c r="N150">
        <f t="shared" si="47"/>
        <v>2.4134977975235745E-2</v>
      </c>
      <c r="O150" s="15">
        <v>0.38217277700000002</v>
      </c>
      <c r="P150">
        <f t="shared" si="48"/>
        <v>0.38960774616494664</v>
      </c>
      <c r="Q150">
        <v>0.44450000000000001</v>
      </c>
      <c r="R150">
        <f t="shared" si="49"/>
        <v>0.98536909776102866</v>
      </c>
      <c r="S150">
        <f t="shared" si="56"/>
        <v>0.12010694712088568</v>
      </c>
      <c r="T150" s="14">
        <f t="shared" si="50"/>
        <v>0.20149672492173001</v>
      </c>
      <c r="U150" t="str">
        <f t="shared" si="57"/>
        <v>Low</v>
      </c>
      <c r="V150">
        <f t="shared" si="58"/>
        <v>0.17214787964197933</v>
      </c>
      <c r="W150">
        <f t="shared" si="51"/>
        <v>0.23137522294604315</v>
      </c>
      <c r="X150" t="s">
        <v>1175</v>
      </c>
      <c r="Y150">
        <f t="shared" si="59"/>
        <v>6.806601459979203E-2</v>
      </c>
      <c r="Z150">
        <f t="shared" si="52"/>
        <v>0.13638002918563016</v>
      </c>
      <c r="AA150" t="str">
        <f t="shared" si="60"/>
        <v>No Impact</v>
      </c>
      <c r="AB150">
        <f t="shared" si="61"/>
        <v>8.2147328901442371E-2</v>
      </c>
      <c r="AC150">
        <f t="shared" si="53"/>
        <v>0.192863279312701</v>
      </c>
      <c r="AD150" t="str">
        <f t="shared" si="62"/>
        <v>Low</v>
      </c>
      <c r="AE150">
        <f t="shared" si="63"/>
        <v>4.2164761337485359E-3</v>
      </c>
      <c r="AF150">
        <f t="shared" si="54"/>
        <v>2.3065978802749198E-2</v>
      </c>
      <c r="AG150" t="s">
        <v>1176</v>
      </c>
    </row>
    <row r="151" spans="1:33" x14ac:dyDescent="0.3">
      <c r="A151">
        <v>208429</v>
      </c>
      <c r="B151" t="s">
        <v>60</v>
      </c>
      <c r="C151" s="1" t="s">
        <v>691</v>
      </c>
      <c r="D151" t="s">
        <v>693</v>
      </c>
      <c r="E151" s="4">
        <v>6.2</v>
      </c>
      <c r="F151" s="3">
        <f t="shared" si="64"/>
        <v>0.66666666666666663</v>
      </c>
      <c r="G151">
        <v>67.297319999999999</v>
      </c>
      <c r="H151">
        <f t="shared" si="55"/>
        <v>0.63519629763029306</v>
      </c>
      <c r="I151">
        <v>32.699999999999996</v>
      </c>
      <c r="J151" s="3">
        <f t="shared" si="45"/>
        <v>0.10111317254174394</v>
      </c>
      <c r="K151">
        <v>0</v>
      </c>
      <c r="L151" s="3">
        <f t="shared" si="46"/>
        <v>0</v>
      </c>
      <c r="M151">
        <v>952</v>
      </c>
      <c r="N151">
        <f t="shared" si="47"/>
        <v>3.3735030967149745E-3</v>
      </c>
      <c r="O151" s="15">
        <v>8.3500000000000002E-4</v>
      </c>
      <c r="P151">
        <f t="shared" si="48"/>
        <v>8.512444831928215E-4</v>
      </c>
      <c r="Q151">
        <v>0.4486</v>
      </c>
      <c r="R151">
        <f t="shared" si="49"/>
        <v>0.99445799157614723</v>
      </c>
      <c r="S151">
        <f t="shared" si="56"/>
        <v>9.1004823866821044E-2</v>
      </c>
      <c r="T151" s="14">
        <f t="shared" si="50"/>
        <v>0.15267371622381895</v>
      </c>
      <c r="U151" t="str">
        <f t="shared" si="57"/>
        <v>Low</v>
      </c>
      <c r="V151">
        <f t="shared" si="58"/>
        <v>0.18185398283784093</v>
      </c>
      <c r="W151">
        <f t="shared" si="51"/>
        <v>0.244420703352484</v>
      </c>
      <c r="X151" t="s">
        <v>1175</v>
      </c>
      <c r="Y151">
        <f t="shared" si="59"/>
        <v>1.5566489580118244E-4</v>
      </c>
      <c r="Z151">
        <f t="shared" si="52"/>
        <v>3.118969599934268E-4</v>
      </c>
      <c r="AA151" t="str">
        <f t="shared" si="60"/>
        <v>No Impact</v>
      </c>
      <c r="AB151">
        <f t="shared" si="61"/>
        <v>6.3911509813210712E-2</v>
      </c>
      <c r="AC151">
        <f t="shared" si="53"/>
        <v>0.15004971595838781</v>
      </c>
      <c r="AD151" t="str">
        <f t="shared" si="62"/>
        <v>Low</v>
      </c>
      <c r="AE151">
        <f t="shared" si="63"/>
        <v>6.1690386064581462E-4</v>
      </c>
      <c r="AF151">
        <f t="shared" si="54"/>
        <v>3.3747354239949622E-3</v>
      </c>
      <c r="AG151" t="s">
        <v>1176</v>
      </c>
    </row>
    <row r="152" spans="1:33" x14ac:dyDescent="0.3">
      <c r="A152">
        <v>208436</v>
      </c>
      <c r="B152" t="s">
        <v>258</v>
      </c>
      <c r="C152" s="1" t="s">
        <v>691</v>
      </c>
      <c r="D152" t="s">
        <v>694</v>
      </c>
      <c r="E152" s="4">
        <v>6.2</v>
      </c>
      <c r="F152" s="3">
        <f t="shared" si="64"/>
        <v>0.66666666666666663</v>
      </c>
      <c r="G152">
        <v>56.019240000000003</v>
      </c>
      <c r="H152">
        <f t="shared" si="55"/>
        <v>0.52874637272424552</v>
      </c>
      <c r="I152">
        <v>39.300000000000004</v>
      </c>
      <c r="J152" s="3">
        <f t="shared" si="45"/>
        <v>0.12152133580705009</v>
      </c>
      <c r="K152">
        <v>0</v>
      </c>
      <c r="L152" s="3">
        <f t="shared" si="46"/>
        <v>0</v>
      </c>
      <c r="M152">
        <v>8318</v>
      </c>
      <c r="N152">
        <f t="shared" si="47"/>
        <v>3.8225149394614695E-2</v>
      </c>
      <c r="O152" s="15">
        <v>6.0049420999999999E-2</v>
      </c>
      <c r="P152">
        <f t="shared" si="48"/>
        <v>6.1217650712782228E-2</v>
      </c>
      <c r="Q152">
        <v>0.44540000000000002</v>
      </c>
      <c r="R152">
        <f t="shared" si="49"/>
        <v>0.98736422079361563</v>
      </c>
      <c r="S152">
        <f t="shared" si="56"/>
        <v>8.2419519457022111E-2</v>
      </c>
      <c r="T152" s="14">
        <f t="shared" si="50"/>
        <v>0.13827062995363473</v>
      </c>
      <c r="U152" t="str">
        <f t="shared" si="57"/>
        <v>No Impact</v>
      </c>
      <c r="V152">
        <f t="shared" si="58"/>
        <v>0.1552155092858104</v>
      </c>
      <c r="W152">
        <f t="shared" si="51"/>
        <v>0.20861728381654954</v>
      </c>
      <c r="X152" t="s">
        <v>1175</v>
      </c>
      <c r="Y152">
        <f t="shared" si="59"/>
        <v>9.6235296282338092E-3</v>
      </c>
      <c r="Z152">
        <f t="shared" si="52"/>
        <v>1.9282122793352348E-2</v>
      </c>
      <c r="AA152" t="str">
        <f t="shared" si="60"/>
        <v>No Impact</v>
      </c>
      <c r="AB152">
        <f t="shared" si="61"/>
        <v>5.9315659976906666E-2</v>
      </c>
      <c r="AC152">
        <f t="shared" si="53"/>
        <v>0.13925970388481476</v>
      </c>
      <c r="AD152" t="str">
        <f t="shared" si="62"/>
        <v>No Impact</v>
      </c>
      <c r="AE152">
        <f t="shared" si="63"/>
        <v>6.0090652525796604E-3</v>
      </c>
      <c r="AF152">
        <f t="shared" si="54"/>
        <v>3.287222964004221E-2</v>
      </c>
      <c r="AG152" t="s">
        <v>1176</v>
      </c>
    </row>
    <row r="153" spans="1:33" x14ac:dyDescent="0.3">
      <c r="A153">
        <v>208447</v>
      </c>
      <c r="B153" t="s">
        <v>228</v>
      </c>
      <c r="C153" s="1" t="s">
        <v>691</v>
      </c>
      <c r="D153" t="s">
        <v>695</v>
      </c>
      <c r="E153" s="4">
        <v>5</v>
      </c>
      <c r="F153" s="3">
        <f t="shared" si="64"/>
        <v>0.39999999999999997</v>
      </c>
      <c r="G153">
        <v>57.022560000000006</v>
      </c>
      <c r="H153">
        <f t="shared" si="55"/>
        <v>0.53821636572453768</v>
      </c>
      <c r="I153">
        <v>43.7</v>
      </c>
      <c r="J153" s="3">
        <f t="shared" si="45"/>
        <v>0.13512677798392084</v>
      </c>
      <c r="K153">
        <v>0</v>
      </c>
      <c r="L153" s="3">
        <f t="shared" si="46"/>
        <v>0</v>
      </c>
      <c r="M153">
        <v>1297</v>
      </c>
      <c r="N153">
        <f t="shared" si="47"/>
        <v>5.0058433048028655E-3</v>
      </c>
      <c r="O153" s="15">
        <v>0.166668066</v>
      </c>
      <c r="P153">
        <f t="shared" si="48"/>
        <v>0.16991050503822402</v>
      </c>
      <c r="Q153">
        <v>0.44800000000000001</v>
      </c>
      <c r="R153">
        <f t="shared" si="49"/>
        <v>0.99312790955442254</v>
      </c>
      <c r="S153">
        <f t="shared" si="56"/>
        <v>5.6363610041423866E-2</v>
      </c>
      <c r="T153" s="14">
        <f t="shared" si="50"/>
        <v>9.4558084277021254E-2</v>
      </c>
      <c r="U153" t="str">
        <f t="shared" si="57"/>
        <v>No Impact</v>
      </c>
      <c r="V153">
        <f t="shared" si="58"/>
        <v>9.6258685032317867E-2</v>
      </c>
      <c r="W153">
        <f t="shared" si="51"/>
        <v>0.12937641030586564</v>
      </c>
      <c r="X153" t="s">
        <v>1176</v>
      </c>
      <c r="Y153">
        <f t="shared" si="59"/>
        <v>1.6468535050529868E-2</v>
      </c>
      <c r="Z153">
        <f t="shared" si="52"/>
        <v>3.2997073562210578E-2</v>
      </c>
      <c r="AA153" t="str">
        <f t="shared" si="60"/>
        <v>No Impact</v>
      </c>
      <c r="AB153">
        <f t="shared" si="61"/>
        <v>3.8800916834112832E-2</v>
      </c>
      <c r="AC153">
        <f t="shared" si="53"/>
        <v>9.1095744207880053E-2</v>
      </c>
      <c r="AD153" t="str">
        <f t="shared" si="62"/>
        <v>No Impact</v>
      </c>
      <c r="AE153">
        <f t="shared" si="63"/>
        <v>4.8519016469323261E-4</v>
      </c>
      <c r="AF153">
        <f t="shared" si="54"/>
        <v>2.6542035811707816E-3</v>
      </c>
      <c r="AG153" t="s">
        <v>1176</v>
      </c>
    </row>
    <row r="154" spans="1:33" x14ac:dyDescent="0.3">
      <c r="A154">
        <v>208458</v>
      </c>
      <c r="B154" t="s">
        <v>302</v>
      </c>
      <c r="C154" s="1" t="s">
        <v>691</v>
      </c>
      <c r="D154" t="s">
        <v>696</v>
      </c>
      <c r="E154" s="4">
        <v>6.3</v>
      </c>
      <c r="F154" s="3">
        <f t="shared" si="64"/>
        <v>0.68888888888888877</v>
      </c>
      <c r="G154">
        <v>57.796560000000007</v>
      </c>
      <c r="H154">
        <f t="shared" si="55"/>
        <v>0.54552188597951734</v>
      </c>
      <c r="I154">
        <v>69.5</v>
      </c>
      <c r="J154" s="3">
        <f t="shared" si="45"/>
        <v>0.21490414347557202</v>
      </c>
      <c r="K154">
        <v>0</v>
      </c>
      <c r="L154" s="3">
        <f t="shared" si="46"/>
        <v>0</v>
      </c>
      <c r="M154">
        <v>5825</v>
      </c>
      <c r="N154">
        <f t="shared" si="47"/>
        <v>2.6429717108344807E-2</v>
      </c>
      <c r="O154" s="15">
        <v>0.137107169</v>
      </c>
      <c r="P154">
        <f t="shared" si="48"/>
        <v>0.13977451642806688</v>
      </c>
      <c r="Q154">
        <v>0.43319999999999997</v>
      </c>
      <c r="R154">
        <f t="shared" si="49"/>
        <v>0.96031921968521383</v>
      </c>
      <c r="S154">
        <f t="shared" si="56"/>
        <v>9.8970263922786711E-2</v>
      </c>
      <c r="T154" s="14">
        <f t="shared" si="50"/>
        <v>0.16603689064721036</v>
      </c>
      <c r="U154" t="str">
        <f t="shared" si="57"/>
        <v>Low</v>
      </c>
      <c r="V154">
        <f t="shared" si="58"/>
        <v>0.17279081500484661</v>
      </c>
      <c r="W154">
        <f t="shared" si="51"/>
        <v>0.23223935971747878</v>
      </c>
      <c r="X154" t="s">
        <v>1175</v>
      </c>
      <c r="Y154">
        <f t="shared" si="59"/>
        <v>2.5149712840726833E-2</v>
      </c>
      <c r="Z154">
        <f t="shared" si="52"/>
        <v>5.0391059200328485E-2</v>
      </c>
      <c r="AA154" t="str">
        <f t="shared" si="60"/>
        <v>No Impact</v>
      </c>
      <c r="AB154">
        <f t="shared" si="61"/>
        <v>6.9686129319471629E-2</v>
      </c>
      <c r="AC154">
        <f t="shared" si="53"/>
        <v>0.16360721161471969</v>
      </c>
      <c r="AD154" t="str">
        <f t="shared" si="62"/>
        <v>Low</v>
      </c>
      <c r="AE154">
        <f t="shared" si="63"/>
        <v>4.7555149015922086E-3</v>
      </c>
      <c r="AF154">
        <f t="shared" si="54"/>
        <v>2.6014757925065395E-2</v>
      </c>
      <c r="AG154" t="s">
        <v>1176</v>
      </c>
    </row>
    <row r="155" spans="1:33" x14ac:dyDescent="0.3">
      <c r="A155">
        <v>208475</v>
      </c>
      <c r="B155" t="s">
        <v>369</v>
      </c>
      <c r="C155" s="1" t="s">
        <v>691</v>
      </c>
      <c r="D155" t="s">
        <v>697</v>
      </c>
      <c r="E155" s="4">
        <v>6.2</v>
      </c>
      <c r="F155" s="3">
        <f t="shared" si="64"/>
        <v>0.66666666666666663</v>
      </c>
      <c r="G155">
        <v>62.080559999999998</v>
      </c>
      <c r="H155">
        <f t="shared" si="55"/>
        <v>0.58595709111173022</v>
      </c>
      <c r="I155">
        <v>53.3</v>
      </c>
      <c r="J155" s="3">
        <f t="shared" si="45"/>
        <v>0.16481137909709337</v>
      </c>
      <c r="K155">
        <v>0</v>
      </c>
      <c r="L155" s="3">
        <f t="shared" si="46"/>
        <v>0</v>
      </c>
      <c r="M155">
        <v>3524</v>
      </c>
      <c r="N155">
        <f t="shared" si="47"/>
        <v>1.5542717633532526E-2</v>
      </c>
      <c r="O155" s="15">
        <v>8.0742115000000003E-2</v>
      </c>
      <c r="P155">
        <f t="shared" si="48"/>
        <v>8.2312910125832764E-2</v>
      </c>
      <c r="Q155">
        <v>0.43309999999999998</v>
      </c>
      <c r="R155">
        <f t="shared" si="49"/>
        <v>0.96009753934825981</v>
      </c>
      <c r="S155">
        <f t="shared" si="56"/>
        <v>9.2894446213311152E-2</v>
      </c>
      <c r="T155" s="14">
        <f t="shared" si="50"/>
        <v>0.15584383022041776</v>
      </c>
      <c r="U155" t="str">
        <f t="shared" si="57"/>
        <v>Low</v>
      </c>
      <c r="V155">
        <f t="shared" si="58"/>
        <v>0.17111825629437136</v>
      </c>
      <c r="W155">
        <f t="shared" si="51"/>
        <v>0.22999135849125754</v>
      </c>
      <c r="X155" t="s">
        <v>1175</v>
      </c>
      <c r="Y155">
        <f t="shared" si="59"/>
        <v>1.4670636132250947E-2</v>
      </c>
      <c r="Z155">
        <f t="shared" si="52"/>
        <v>2.9394725042330566E-2</v>
      </c>
      <c r="AA155" t="str">
        <f t="shared" si="60"/>
        <v>No Impact</v>
      </c>
      <c r="AB155">
        <f t="shared" si="61"/>
        <v>6.5262143447184687E-2</v>
      </c>
      <c r="AC155">
        <f t="shared" si="53"/>
        <v>0.15322069711239192</v>
      </c>
      <c r="AD155" t="str">
        <f t="shared" si="62"/>
        <v>Low</v>
      </c>
      <c r="AE155">
        <f t="shared" si="63"/>
        <v>2.770179727084085E-3</v>
      </c>
      <c r="AF155">
        <f t="shared" si="54"/>
        <v>1.5154101396020797E-2</v>
      </c>
      <c r="AG155" t="s">
        <v>1176</v>
      </c>
    </row>
    <row r="156" spans="1:33" x14ac:dyDescent="0.3">
      <c r="A156">
        <v>208478</v>
      </c>
      <c r="B156" t="s">
        <v>423</v>
      </c>
      <c r="C156" s="1" t="s">
        <v>691</v>
      </c>
      <c r="D156" t="s">
        <v>698</v>
      </c>
      <c r="E156" s="4">
        <v>6.3</v>
      </c>
      <c r="F156" s="3">
        <f t="shared" si="64"/>
        <v>0.68888888888888877</v>
      </c>
      <c r="G156">
        <v>56.572560000000003</v>
      </c>
      <c r="H156">
        <f t="shared" si="55"/>
        <v>0.53396897022745649</v>
      </c>
      <c r="I156">
        <v>37.199999999999996</v>
      </c>
      <c r="J156" s="3">
        <f t="shared" si="45"/>
        <v>0.11502782931354358</v>
      </c>
      <c r="K156">
        <v>0</v>
      </c>
      <c r="L156" s="3">
        <f t="shared" si="46"/>
        <v>0</v>
      </c>
      <c r="M156">
        <v>5481</v>
      </c>
      <c r="N156">
        <f t="shared" si="47"/>
        <v>2.4802108321149926E-2</v>
      </c>
      <c r="O156" s="15">
        <v>2.0702893E-2</v>
      </c>
      <c r="P156">
        <f t="shared" si="48"/>
        <v>2.110565682919914E-2</v>
      </c>
      <c r="Q156">
        <v>0.4446</v>
      </c>
      <c r="R156">
        <f t="shared" si="49"/>
        <v>0.98559077809798268</v>
      </c>
      <c r="S156">
        <f t="shared" si="56"/>
        <v>8.2038911366823619E-2</v>
      </c>
      <c r="T156" s="14">
        <f t="shared" si="50"/>
        <v>0.13763210499323822</v>
      </c>
      <c r="U156" t="str">
        <f t="shared" si="57"/>
        <v>No Impact</v>
      </c>
      <c r="V156">
        <f t="shared" si="58"/>
        <v>0.16063788781409127</v>
      </c>
      <c r="W156">
        <f t="shared" si="51"/>
        <v>0.21590522743507135</v>
      </c>
      <c r="X156" t="s">
        <v>1175</v>
      </c>
      <c r="Y156">
        <f t="shared" si="59"/>
        <v>3.4399349195559808E-3</v>
      </c>
      <c r="Z156">
        <f t="shared" si="52"/>
        <v>6.8924033158707437E-3</v>
      </c>
      <c r="AA156" t="str">
        <f t="shared" si="60"/>
        <v>No Impact</v>
      </c>
      <c r="AB156">
        <f t="shared" si="61"/>
        <v>5.8670083388611197E-2</v>
      </c>
      <c r="AC156">
        <f t="shared" si="53"/>
        <v>0.13774403661320392</v>
      </c>
      <c r="AD156" t="str">
        <f t="shared" si="62"/>
        <v>No Impact</v>
      </c>
      <c r="AE156">
        <f t="shared" si="63"/>
        <v>4.0424062223213446E-3</v>
      </c>
      <c r="AF156">
        <f t="shared" si="54"/>
        <v>2.2113739833568426E-2</v>
      </c>
      <c r="AG156" t="s">
        <v>1176</v>
      </c>
    </row>
    <row r="157" spans="1:33" x14ac:dyDescent="0.3">
      <c r="A157">
        <v>208487</v>
      </c>
      <c r="B157" t="s">
        <v>435</v>
      </c>
      <c r="C157" s="1" t="s">
        <v>691</v>
      </c>
      <c r="D157" t="s">
        <v>699</v>
      </c>
      <c r="E157" s="4">
        <v>6.2</v>
      </c>
      <c r="F157" s="3">
        <f t="shared" si="64"/>
        <v>0.66666666666666663</v>
      </c>
      <c r="G157">
        <v>56.019240000000003</v>
      </c>
      <c r="H157">
        <f t="shared" si="55"/>
        <v>0.52874637272424552</v>
      </c>
      <c r="I157">
        <v>44.000000000000007</v>
      </c>
      <c r="J157" s="3">
        <f t="shared" si="45"/>
        <v>0.1360544217687075</v>
      </c>
      <c r="K157">
        <v>0</v>
      </c>
      <c r="L157" s="3">
        <f t="shared" si="46"/>
        <v>0</v>
      </c>
      <c r="M157">
        <v>13916</v>
      </c>
      <c r="N157">
        <f t="shared" si="47"/>
        <v>6.4711643553675605E-2</v>
      </c>
      <c r="O157" s="15">
        <v>7.7630512999999998E-2</v>
      </c>
      <c r="P157">
        <f t="shared" si="48"/>
        <v>7.9140773555303717E-2</v>
      </c>
      <c r="Q157">
        <v>0.44669999999999999</v>
      </c>
      <c r="R157">
        <f t="shared" si="49"/>
        <v>0.99024606517401903</v>
      </c>
      <c r="S157">
        <f t="shared" si="56"/>
        <v>8.509090880164924E-2</v>
      </c>
      <c r="T157" s="14">
        <f t="shared" si="50"/>
        <v>0.14275227083150507</v>
      </c>
      <c r="U157" t="str">
        <f t="shared" si="57"/>
        <v>No Impact</v>
      </c>
      <c r="V157">
        <f t="shared" si="58"/>
        <v>0.1575873847915237</v>
      </c>
      <c r="W157">
        <f t="shared" si="51"/>
        <v>0.2118052012342721</v>
      </c>
      <c r="X157" t="s">
        <v>1175</v>
      </c>
      <c r="Y157">
        <f t="shared" si="59"/>
        <v>1.2594432811774737E-2</v>
      </c>
      <c r="Z157">
        <f t="shared" si="52"/>
        <v>2.5234753709989434E-2</v>
      </c>
      <c r="AA157" t="str">
        <f t="shared" si="60"/>
        <v>No Impact</v>
      </c>
      <c r="AB157">
        <f t="shared" si="61"/>
        <v>6.2538279800207111E-2</v>
      </c>
      <c r="AC157">
        <f t="shared" si="53"/>
        <v>0.14682568363621396</v>
      </c>
      <c r="AD157" t="str">
        <f t="shared" si="62"/>
        <v>No Impact</v>
      </c>
      <c r="AE157">
        <f t="shared" si="63"/>
        <v>1.0298186513261148E-2</v>
      </c>
      <c r="AF157">
        <f t="shared" si="54"/>
        <v>5.6335609235492877E-2</v>
      </c>
      <c r="AG157" t="s">
        <v>1176</v>
      </c>
    </row>
    <row r="158" spans="1:33" x14ac:dyDescent="0.3">
      <c r="A158">
        <v>302602</v>
      </c>
      <c r="B158" t="s">
        <v>1</v>
      </c>
      <c r="C158" s="1" t="s">
        <v>701</v>
      </c>
      <c r="D158" t="s">
        <v>700</v>
      </c>
      <c r="E158" s="4">
        <v>5.8</v>
      </c>
      <c r="F158" s="3">
        <f t="shared" si="64"/>
        <v>0.57777777777777772</v>
      </c>
      <c r="G158">
        <v>53.452439999999996</v>
      </c>
      <c r="H158">
        <f t="shared" si="55"/>
        <v>0.50451922880889433</v>
      </c>
      <c r="I158">
        <v>107.4</v>
      </c>
      <c r="J158" s="3">
        <f t="shared" si="45"/>
        <v>0.33209647495361777</v>
      </c>
      <c r="K158">
        <v>0</v>
      </c>
      <c r="L158" s="3">
        <f t="shared" si="46"/>
        <v>0</v>
      </c>
      <c r="M158">
        <v>1837</v>
      </c>
      <c r="N158">
        <f t="shared" si="47"/>
        <v>7.5608105870273905E-3</v>
      </c>
      <c r="O158" s="15">
        <v>7.5355107000000005E-2</v>
      </c>
      <c r="P158">
        <f t="shared" si="48"/>
        <v>7.6821100735514694E-2</v>
      </c>
      <c r="Q158">
        <v>5.7500000000000002E-2</v>
      </c>
      <c r="R158">
        <f t="shared" si="49"/>
        <v>0.12746619374861451</v>
      </c>
      <c r="S158">
        <f t="shared" si="56"/>
        <v>1.5829772221649684E-2</v>
      </c>
      <c r="T158" s="14">
        <f t="shared" si="50"/>
        <v>2.6556725779642548E-2</v>
      </c>
      <c r="U158" t="str">
        <f t="shared" si="57"/>
        <v>No Impact</v>
      </c>
      <c r="V158">
        <f t="shared" si="58"/>
        <v>1.9754148862723246E-2</v>
      </c>
      <c r="W158">
        <f t="shared" si="51"/>
        <v>2.6550548323496986E-2</v>
      </c>
      <c r="X158" t="s">
        <v>1176</v>
      </c>
      <c r="Y158">
        <f t="shared" si="59"/>
        <v>1.1905395580576126E-2</v>
      </c>
      <c r="Z158">
        <f t="shared" si="52"/>
        <v>2.385416872564191E-2</v>
      </c>
      <c r="AA158" t="str">
        <f t="shared" si="60"/>
        <v>No Impact</v>
      </c>
      <c r="AB158">
        <f t="shared" si="61"/>
        <v>1.089568016053062E-2</v>
      </c>
      <c r="AC158">
        <f t="shared" si="53"/>
        <v>2.55805834980153E-2</v>
      </c>
      <c r="AD158" t="str">
        <f t="shared" si="62"/>
        <v>No Impact</v>
      </c>
      <c r="AE158">
        <f t="shared" si="63"/>
        <v>1.1717410982989866E-3</v>
      </c>
      <c r="AF158">
        <f t="shared" si="54"/>
        <v>6.4099391241298461E-3</v>
      </c>
      <c r="AG158" t="s">
        <v>1176</v>
      </c>
    </row>
    <row r="159" spans="1:33" x14ac:dyDescent="0.3">
      <c r="A159">
        <v>302604</v>
      </c>
      <c r="B159" t="s">
        <v>23</v>
      </c>
      <c r="C159" s="1" t="s">
        <v>701</v>
      </c>
      <c r="D159" t="s">
        <v>702</v>
      </c>
      <c r="E159" s="4">
        <v>5.8</v>
      </c>
      <c r="F159" s="3">
        <f t="shared" si="64"/>
        <v>0.57777777777777772</v>
      </c>
      <c r="G159">
        <v>49.753799999999998</v>
      </c>
      <c r="H159">
        <f t="shared" si="55"/>
        <v>0.46960903573928464</v>
      </c>
      <c r="I159">
        <v>111.3</v>
      </c>
      <c r="J159" s="3">
        <f t="shared" si="45"/>
        <v>0.3441558441558441</v>
      </c>
      <c r="K159">
        <v>0</v>
      </c>
      <c r="L159" s="3">
        <f t="shared" si="46"/>
        <v>0</v>
      </c>
      <c r="M159">
        <v>22100</v>
      </c>
      <c r="N159">
        <f t="shared" si="47"/>
        <v>0.10343359214205618</v>
      </c>
      <c r="O159" s="15">
        <v>5.2105044000000003E-2</v>
      </c>
      <c r="P159">
        <f t="shared" si="48"/>
        <v>5.3118720061699674E-2</v>
      </c>
      <c r="Q159">
        <v>0.1739</v>
      </c>
      <c r="R159">
        <f t="shared" si="49"/>
        <v>0.38550210596320106</v>
      </c>
      <c r="S159">
        <f t="shared" si="56"/>
        <v>3.2523950447408481E-2</v>
      </c>
      <c r="T159" s="14">
        <f t="shared" si="50"/>
        <v>5.4563617290792378E-2</v>
      </c>
      <c r="U159" t="str">
        <f t="shared" si="57"/>
        <v>No Impact</v>
      </c>
      <c r="V159">
        <f t="shared" si="58"/>
        <v>5.7170342344879783E-2</v>
      </c>
      <c r="W159">
        <f t="shared" si="51"/>
        <v>7.6839753899138288E-2</v>
      </c>
      <c r="X159" t="s">
        <v>1176</v>
      </c>
      <c r="Y159">
        <f t="shared" si="59"/>
        <v>7.8775585499371824E-3</v>
      </c>
      <c r="Z159">
        <f t="shared" si="52"/>
        <v>1.5783819153637153E-2</v>
      </c>
      <c r="AA159" t="str">
        <f t="shared" si="60"/>
        <v>No Impact</v>
      </c>
      <c r="AB159">
        <f t="shared" si="61"/>
        <v>2.7741643673755301E-2</v>
      </c>
      <c r="AC159">
        <f t="shared" si="53"/>
        <v>6.5131081484877729E-2</v>
      </c>
      <c r="AD159" t="str">
        <f t="shared" si="62"/>
        <v>No Impact</v>
      </c>
      <c r="AE159">
        <f t="shared" si="63"/>
        <v>1.5339303680189207E-2</v>
      </c>
      <c r="AF159">
        <f t="shared" si="54"/>
        <v>8.3912737156092265E-2</v>
      </c>
      <c r="AG159" t="s">
        <v>1175</v>
      </c>
    </row>
    <row r="160" spans="1:33" x14ac:dyDescent="0.3">
      <c r="A160">
        <v>302605</v>
      </c>
      <c r="B160" t="s">
        <v>43</v>
      </c>
      <c r="C160" s="1" t="s">
        <v>701</v>
      </c>
      <c r="D160" t="s">
        <v>703</v>
      </c>
      <c r="E160" s="4">
        <v>5.8</v>
      </c>
      <c r="F160" s="3">
        <f t="shared" si="64"/>
        <v>0.57777777777777772</v>
      </c>
      <c r="G160">
        <v>49.476239999999997</v>
      </c>
      <c r="H160">
        <f t="shared" si="55"/>
        <v>0.46698924219668492</v>
      </c>
      <c r="I160">
        <v>112.60000000000001</v>
      </c>
      <c r="J160" s="3">
        <f t="shared" si="45"/>
        <v>0.34817563388991957</v>
      </c>
      <c r="K160">
        <v>0</v>
      </c>
      <c r="L160" s="3">
        <f t="shared" si="46"/>
        <v>0</v>
      </c>
      <c r="M160">
        <v>763</v>
      </c>
      <c r="N160">
        <f t="shared" si="47"/>
        <v>2.4792645479363908E-3</v>
      </c>
      <c r="O160" s="15">
        <v>0.51935813200000003</v>
      </c>
      <c r="P160">
        <f t="shared" si="48"/>
        <v>0.52946196966027448</v>
      </c>
      <c r="Q160">
        <v>0</v>
      </c>
      <c r="R160">
        <f t="shared" si="49"/>
        <v>0</v>
      </c>
      <c r="S160">
        <f t="shared" si="56"/>
        <v>3.9222551037181953E-2</v>
      </c>
      <c r="T160" s="14">
        <f t="shared" si="50"/>
        <v>6.5801485813415189E-2</v>
      </c>
      <c r="U160" t="str">
        <f t="shared" si="57"/>
        <v>No Impact</v>
      </c>
      <c r="V160">
        <f t="shared" si="58"/>
        <v>0</v>
      </c>
      <c r="W160">
        <f t="shared" si="51"/>
        <v>0</v>
      </c>
      <c r="X160" t="s">
        <v>1176</v>
      </c>
      <c r="Y160">
        <f t="shared" si="59"/>
        <v>7.8445102074363907E-2</v>
      </c>
      <c r="Z160">
        <f t="shared" si="52"/>
        <v>0.15717602056289887</v>
      </c>
      <c r="AA160" t="str">
        <f t="shared" si="60"/>
        <v>Low</v>
      </c>
      <c r="AB160">
        <f t="shared" si="61"/>
        <v>2.3662095391994053E-2</v>
      </c>
      <c r="AC160">
        <f t="shared" si="53"/>
        <v>5.5553228251464137E-2</v>
      </c>
      <c r="AD160" t="str">
        <f t="shared" si="62"/>
        <v>No Impact</v>
      </c>
      <c r="AE160">
        <f t="shared" si="63"/>
        <v>3.6732791338537973E-4</v>
      </c>
      <c r="AF160">
        <f t="shared" si="54"/>
        <v>2.0094452322377511E-3</v>
      </c>
      <c r="AG160" t="s">
        <v>1176</v>
      </c>
    </row>
    <row r="161" spans="1:33" x14ac:dyDescent="0.3">
      <c r="A161">
        <v>302606</v>
      </c>
      <c r="B161" t="s">
        <v>76</v>
      </c>
      <c r="C161" s="1" t="s">
        <v>701</v>
      </c>
      <c r="D161" t="s">
        <v>1131</v>
      </c>
      <c r="E161" s="4">
        <v>5.8</v>
      </c>
      <c r="F161" s="3">
        <f t="shared" si="64"/>
        <v>0.57777777777777772</v>
      </c>
      <c r="G161">
        <v>49.753799999999998</v>
      </c>
      <c r="H161">
        <f t="shared" si="55"/>
        <v>0.46960903573928464</v>
      </c>
      <c r="I161">
        <v>111.3</v>
      </c>
      <c r="J161" s="3">
        <f t="shared" si="45"/>
        <v>0.3441558441558441</v>
      </c>
      <c r="K161">
        <v>0</v>
      </c>
      <c r="L161" s="3">
        <f t="shared" si="46"/>
        <v>0</v>
      </c>
      <c r="M161">
        <v>2282</v>
      </c>
      <c r="N161">
        <f t="shared" si="47"/>
        <v>9.6662928844161184E-3</v>
      </c>
      <c r="O161" s="15">
        <v>0.19495786000000001</v>
      </c>
      <c r="P161">
        <f t="shared" si="48"/>
        <v>0.19875066201207001</v>
      </c>
      <c r="Q161">
        <v>0.2077</v>
      </c>
      <c r="R161">
        <f t="shared" si="49"/>
        <v>0.46043005985369095</v>
      </c>
      <c r="S161">
        <f t="shared" si="56"/>
        <v>4.8878575438713552E-2</v>
      </c>
      <c r="T161" s="14">
        <f t="shared" si="50"/>
        <v>8.200085928275043E-2</v>
      </c>
      <c r="U161" t="str">
        <f t="shared" si="57"/>
        <v>No Impact</v>
      </c>
      <c r="V161">
        <f t="shared" si="58"/>
        <v>6.8282231771314164E-2</v>
      </c>
      <c r="W161">
        <f t="shared" si="51"/>
        <v>9.1774680188907568E-2</v>
      </c>
      <c r="X161" t="s">
        <v>1176</v>
      </c>
      <c r="Y161">
        <f t="shared" si="59"/>
        <v>2.9474919106112957E-2</v>
      </c>
      <c r="Z161">
        <f t="shared" si="52"/>
        <v>5.9057230713020999E-2</v>
      </c>
      <c r="AA161" t="str">
        <f t="shared" si="60"/>
        <v>No Impact</v>
      </c>
      <c r="AB161">
        <f t="shared" si="61"/>
        <v>3.3242989119142967E-2</v>
      </c>
      <c r="AC161">
        <f t="shared" si="53"/>
        <v>7.8046991684495026E-2</v>
      </c>
      <c r="AD161" t="str">
        <f t="shared" si="62"/>
        <v>No Impact</v>
      </c>
      <c r="AE161">
        <f t="shared" si="63"/>
        <v>1.433520763854652E-3</v>
      </c>
      <c r="AF161">
        <f t="shared" si="54"/>
        <v>7.841989021997918E-3</v>
      </c>
      <c r="AG161" t="s">
        <v>1176</v>
      </c>
    </row>
    <row r="162" spans="1:33" x14ac:dyDescent="0.3">
      <c r="A162">
        <v>302608</v>
      </c>
      <c r="B162" t="s">
        <v>92</v>
      </c>
      <c r="C162" s="1" t="s">
        <v>701</v>
      </c>
      <c r="D162" t="s">
        <v>704</v>
      </c>
      <c r="E162" s="4">
        <v>5.8</v>
      </c>
      <c r="F162" s="3">
        <f t="shared" si="64"/>
        <v>0.57777777777777772</v>
      </c>
      <c r="G162">
        <v>49.753799999999998</v>
      </c>
      <c r="H162">
        <f t="shared" si="55"/>
        <v>0.46960903573928464</v>
      </c>
      <c r="I162">
        <v>111.3</v>
      </c>
      <c r="J162" s="3">
        <f t="shared" si="45"/>
        <v>0.3441558441558441</v>
      </c>
      <c r="K162">
        <v>0</v>
      </c>
      <c r="L162" s="3">
        <f t="shared" si="46"/>
        <v>0</v>
      </c>
      <c r="M162">
        <v>5168</v>
      </c>
      <c r="N162">
        <f t="shared" si="47"/>
        <v>2.3321173581638301E-2</v>
      </c>
      <c r="O162" s="15">
        <v>1.2114756000000001E-2</v>
      </c>
      <c r="P162">
        <f t="shared" si="48"/>
        <v>1.2350442167936687E-2</v>
      </c>
      <c r="Q162">
        <v>0.23469999999999999</v>
      </c>
      <c r="R162">
        <f t="shared" si="49"/>
        <v>0.52028375083130129</v>
      </c>
      <c r="S162">
        <f t="shared" si="56"/>
        <v>3.9495087948056451E-2</v>
      </c>
      <c r="T162" s="14">
        <f t="shared" si="50"/>
        <v>6.6258705785097807E-2</v>
      </c>
      <c r="U162" t="str">
        <f t="shared" si="57"/>
        <v>No Impact</v>
      </c>
      <c r="V162">
        <f t="shared" si="58"/>
        <v>7.7158593147459958E-2</v>
      </c>
      <c r="W162">
        <f t="shared" si="51"/>
        <v>0.103704946751741</v>
      </c>
      <c r="X162" t="s">
        <v>1176</v>
      </c>
      <c r="Y162">
        <f t="shared" si="59"/>
        <v>1.8315827486529476E-3</v>
      </c>
      <c r="Z162">
        <f t="shared" si="52"/>
        <v>3.6698389083874602E-3</v>
      </c>
      <c r="AA162" t="str">
        <f t="shared" si="60"/>
        <v>No Impact</v>
      </c>
      <c r="AB162">
        <f t="shared" si="61"/>
        <v>2.8765475987520554E-2</v>
      </c>
      <c r="AC162">
        <f t="shared" si="53"/>
        <v>6.7534807328915605E-2</v>
      </c>
      <c r="AD162" t="str">
        <f t="shared" si="62"/>
        <v>No Impact</v>
      </c>
      <c r="AE162">
        <f t="shared" si="63"/>
        <v>3.458553032324807E-3</v>
      </c>
      <c r="AF162">
        <f t="shared" si="54"/>
        <v>1.8919806113278384E-2</v>
      </c>
      <c r="AG162" t="s">
        <v>1176</v>
      </c>
    </row>
    <row r="163" spans="1:33" x14ac:dyDescent="0.3">
      <c r="A163">
        <v>302609</v>
      </c>
      <c r="B163" t="s">
        <v>93</v>
      </c>
      <c r="C163" s="1" t="s">
        <v>701</v>
      </c>
      <c r="D163" t="s">
        <v>1132</v>
      </c>
      <c r="E163" s="4">
        <v>5.8</v>
      </c>
      <c r="F163" s="3">
        <f t="shared" si="64"/>
        <v>0.57777777777777772</v>
      </c>
      <c r="G163">
        <v>49.476239999999997</v>
      </c>
      <c r="H163">
        <f t="shared" si="55"/>
        <v>0.46698924219668492</v>
      </c>
      <c r="I163">
        <v>112.60000000000001</v>
      </c>
      <c r="J163" s="3">
        <f t="shared" si="45"/>
        <v>0.34817563388991957</v>
      </c>
      <c r="K163">
        <v>0</v>
      </c>
      <c r="L163" s="3">
        <f t="shared" si="46"/>
        <v>0</v>
      </c>
      <c r="M163">
        <v>943</v>
      </c>
      <c r="N163">
        <f t="shared" si="47"/>
        <v>3.330920308677899E-3</v>
      </c>
      <c r="O163" s="15">
        <v>0.14727341499999999</v>
      </c>
      <c r="P163">
        <f t="shared" si="48"/>
        <v>0.15013854136493043</v>
      </c>
      <c r="Q163">
        <v>0</v>
      </c>
      <c r="R163">
        <f t="shared" si="49"/>
        <v>0</v>
      </c>
      <c r="S163">
        <f t="shared" si="56"/>
        <v>1.1122265504947512E-2</v>
      </c>
      <c r="T163" s="14">
        <f t="shared" si="50"/>
        <v>1.8659204373092795E-2</v>
      </c>
      <c r="U163" t="str">
        <f t="shared" si="57"/>
        <v>No Impact</v>
      </c>
      <c r="V163">
        <f t="shared" si="58"/>
        <v>0</v>
      </c>
      <c r="W163">
        <f t="shared" si="51"/>
        <v>0</v>
      </c>
      <c r="X163" t="s">
        <v>1176</v>
      </c>
      <c r="Y163">
        <f t="shared" si="59"/>
        <v>2.2244531009895024E-2</v>
      </c>
      <c r="Z163">
        <f t="shared" si="52"/>
        <v>4.4570110446269733E-2</v>
      </c>
      <c r="AA163" t="str">
        <f t="shared" si="60"/>
        <v>No Impact</v>
      </c>
      <c r="AB163">
        <f t="shared" si="61"/>
        <v>6.8460875431558318E-3</v>
      </c>
      <c r="AC163">
        <f t="shared" si="53"/>
        <v>1.6073059364096778E-2</v>
      </c>
      <c r="AD163" t="str">
        <f t="shared" si="62"/>
        <v>No Impact</v>
      </c>
      <c r="AE163">
        <f t="shared" si="63"/>
        <v>4.9350925767806741E-4</v>
      </c>
      <c r="AF163">
        <f t="shared" si="54"/>
        <v>2.6997126784262917E-3</v>
      </c>
      <c r="AG163" t="s">
        <v>1176</v>
      </c>
    </row>
    <row r="164" spans="1:33" x14ac:dyDescent="0.3">
      <c r="A164">
        <v>302610</v>
      </c>
      <c r="B164" t="s">
        <v>125</v>
      </c>
      <c r="C164" s="1" t="s">
        <v>701</v>
      </c>
      <c r="D164" t="s">
        <v>705</v>
      </c>
      <c r="E164" s="4">
        <v>5.8</v>
      </c>
      <c r="F164" s="3">
        <f t="shared" si="64"/>
        <v>0.57777777777777772</v>
      </c>
      <c r="G164">
        <v>50.183639999999997</v>
      </c>
      <c r="H164">
        <f t="shared" si="55"/>
        <v>0.47366614791809658</v>
      </c>
      <c r="I164">
        <v>111.3</v>
      </c>
      <c r="J164" s="3">
        <f t="shared" si="45"/>
        <v>0.3441558441558441</v>
      </c>
      <c r="K164">
        <v>0</v>
      </c>
      <c r="L164" s="3">
        <f t="shared" si="46"/>
        <v>0</v>
      </c>
      <c r="M164">
        <v>9039</v>
      </c>
      <c r="N164">
        <f t="shared" si="47"/>
        <v>4.1636503858473735E-2</v>
      </c>
      <c r="O164" s="15">
        <v>0.13191175999999999</v>
      </c>
      <c r="P164">
        <f t="shared" si="48"/>
        <v>0.13447803349491677</v>
      </c>
      <c r="Q164">
        <v>0.24279999999999999</v>
      </c>
      <c r="R164">
        <f t="shared" si="49"/>
        <v>0.5382398581245843</v>
      </c>
      <c r="S164">
        <f t="shared" si="56"/>
        <v>5.019774809613977E-2</v>
      </c>
      <c r="T164" s="14">
        <f t="shared" si="50"/>
        <v>8.4213961659003037E-2</v>
      </c>
      <c r="U164" t="str">
        <f t="shared" si="57"/>
        <v>No Impact</v>
      </c>
      <c r="V164">
        <f t="shared" si="58"/>
        <v>8.0326178774272589E-2</v>
      </c>
      <c r="W164">
        <f t="shared" si="51"/>
        <v>0.10796233773517157</v>
      </c>
      <c r="X164" t="s">
        <v>1176</v>
      </c>
      <c r="Y164">
        <f t="shared" si="59"/>
        <v>2.0069317418006938E-2</v>
      </c>
      <c r="Z164">
        <f t="shared" si="52"/>
        <v>4.0211757825054519E-2</v>
      </c>
      <c r="AA164" t="str">
        <f t="shared" si="60"/>
        <v>No Impact</v>
      </c>
      <c r="AB164">
        <f t="shared" si="61"/>
        <v>3.6309778967099526E-2</v>
      </c>
      <c r="AC164">
        <f t="shared" si="53"/>
        <v>8.5247118030044602E-2</v>
      </c>
      <c r="AD164" t="str">
        <f t="shared" si="62"/>
        <v>No Impact</v>
      </c>
      <c r="AE164">
        <f t="shared" si="63"/>
        <v>6.2137747734343999E-3</v>
      </c>
      <c r="AF164">
        <f t="shared" si="54"/>
        <v>3.3992080747691798E-2</v>
      </c>
      <c r="AG164" t="s">
        <v>1176</v>
      </c>
    </row>
    <row r="165" spans="1:33" x14ac:dyDescent="0.3">
      <c r="A165">
        <v>302611</v>
      </c>
      <c r="B165" t="s">
        <v>128</v>
      </c>
      <c r="C165" s="1" t="s">
        <v>701</v>
      </c>
      <c r="D165" t="s">
        <v>706</v>
      </c>
      <c r="E165" s="4">
        <v>5.8</v>
      </c>
      <c r="F165" s="3">
        <f t="shared" si="64"/>
        <v>0.57777777777777772</v>
      </c>
      <c r="G165">
        <v>53.452439999999996</v>
      </c>
      <c r="H165">
        <f t="shared" si="55"/>
        <v>0.50451922880889433</v>
      </c>
      <c r="I165">
        <v>107.4</v>
      </c>
      <c r="J165" s="3">
        <f t="shared" si="45"/>
        <v>0.33209647495361777</v>
      </c>
      <c r="K165">
        <v>0</v>
      </c>
      <c r="L165" s="3">
        <f t="shared" si="46"/>
        <v>0</v>
      </c>
      <c r="M165">
        <v>3309</v>
      </c>
      <c r="N165">
        <f t="shared" si="47"/>
        <v>1.4525462141535725E-2</v>
      </c>
      <c r="O165" s="15">
        <v>1.5315585E-2</v>
      </c>
      <c r="P165">
        <f t="shared" si="48"/>
        <v>1.5613541602539796E-2</v>
      </c>
      <c r="Q165">
        <v>0.1183</v>
      </c>
      <c r="R165">
        <f t="shared" si="49"/>
        <v>0.26224783861671469</v>
      </c>
      <c r="S165">
        <f t="shared" si="56"/>
        <v>2.1530865975640537E-2</v>
      </c>
      <c r="T165" s="14">
        <f t="shared" si="50"/>
        <v>3.612113273059675E-2</v>
      </c>
      <c r="U165" t="str">
        <f t="shared" si="57"/>
        <v>No Impact</v>
      </c>
      <c r="V165">
        <f t="shared" si="58"/>
        <v>4.0642014094959301E-2</v>
      </c>
      <c r="W165">
        <f t="shared" si="51"/>
        <v>5.4624867246429454E-2</v>
      </c>
      <c r="X165" t="s">
        <v>1176</v>
      </c>
      <c r="Y165">
        <f t="shared" si="59"/>
        <v>2.4197178563217753E-3</v>
      </c>
      <c r="Z165">
        <f t="shared" si="52"/>
        <v>4.8482520066212668E-3</v>
      </c>
      <c r="AA165" t="str">
        <f t="shared" si="60"/>
        <v>No Impact</v>
      </c>
      <c r="AB165">
        <f t="shared" si="61"/>
        <v>1.5738502524251345E-2</v>
      </c>
      <c r="AC165">
        <f t="shared" si="53"/>
        <v>3.6950430998676585E-2</v>
      </c>
      <c r="AD165" t="str">
        <f t="shared" si="62"/>
        <v>No Impact</v>
      </c>
      <c r="AE165">
        <f t="shared" si="63"/>
        <v>2.2510920974830343E-3</v>
      </c>
      <c r="AF165">
        <f t="shared" si="54"/>
        <v>1.231446377414182E-2</v>
      </c>
      <c r="AG165" t="s">
        <v>1176</v>
      </c>
    </row>
    <row r="166" spans="1:33" x14ac:dyDescent="0.3">
      <c r="A166">
        <v>302612</v>
      </c>
      <c r="B166" t="s">
        <v>138</v>
      </c>
      <c r="C166" s="1" t="s">
        <v>701</v>
      </c>
      <c r="D166" t="s">
        <v>707</v>
      </c>
      <c r="E166" s="4">
        <v>5.8</v>
      </c>
      <c r="F166" s="3">
        <f t="shared" si="64"/>
        <v>0.57777777777777772</v>
      </c>
      <c r="G166">
        <v>51.695280000000004</v>
      </c>
      <c r="H166">
        <f t="shared" si="55"/>
        <v>0.48793399887189176</v>
      </c>
      <c r="I166">
        <v>114.2</v>
      </c>
      <c r="J166" s="3">
        <f t="shared" si="45"/>
        <v>0.35312306740878169</v>
      </c>
      <c r="K166">
        <v>0</v>
      </c>
      <c r="L166" s="3">
        <f t="shared" si="46"/>
        <v>0</v>
      </c>
      <c r="M166">
        <v>15140</v>
      </c>
      <c r="N166">
        <f t="shared" si="47"/>
        <v>7.0502902726717859E-2</v>
      </c>
      <c r="O166" s="15">
        <v>4.8367631000000001E-2</v>
      </c>
      <c r="P166">
        <f t="shared" si="48"/>
        <v>4.9308597669288731E-2</v>
      </c>
      <c r="Q166">
        <v>0.18659999999999999</v>
      </c>
      <c r="R166">
        <f t="shared" si="49"/>
        <v>0.4136555087563733</v>
      </c>
      <c r="S166">
        <f t="shared" si="56"/>
        <v>3.5549231520171552E-2</v>
      </c>
      <c r="T166" s="14">
        <f t="shared" si="50"/>
        <v>5.9638962578820724E-2</v>
      </c>
      <c r="U166" t="str">
        <f t="shared" si="57"/>
        <v>No Impact</v>
      </c>
      <c r="V166">
        <f t="shared" si="58"/>
        <v>6.3526028243988134E-2</v>
      </c>
      <c r="W166">
        <f t="shared" si="51"/>
        <v>8.5382108559210523E-2</v>
      </c>
      <c r="X166" t="s">
        <v>1176</v>
      </c>
      <c r="Y166">
        <f t="shared" si="59"/>
        <v>7.5724347963549796E-3</v>
      </c>
      <c r="Z166">
        <f t="shared" si="52"/>
        <v>1.5172459921523435E-2</v>
      </c>
      <c r="AA166" t="str">
        <f t="shared" si="60"/>
        <v>No Impact</v>
      </c>
      <c r="AB166">
        <f t="shared" si="61"/>
        <v>2.829539287052131E-2</v>
      </c>
      <c r="AC166">
        <f t="shared" si="53"/>
        <v>6.6431158887676769E-2</v>
      </c>
      <c r="AD166" t="str">
        <f t="shared" si="62"/>
        <v>No Impact</v>
      </c>
      <c r="AE166">
        <f t="shared" si="63"/>
        <v>1.0827292989197067E-2</v>
      </c>
      <c r="AF166">
        <f t="shared" si="54"/>
        <v>5.9230054352981371E-2</v>
      </c>
      <c r="AG166" t="s">
        <v>1175</v>
      </c>
    </row>
    <row r="167" spans="1:33" x14ac:dyDescent="0.3">
      <c r="A167">
        <v>302614</v>
      </c>
      <c r="B167" t="s">
        <v>142</v>
      </c>
      <c r="C167" s="1" t="s">
        <v>701</v>
      </c>
      <c r="D167" t="s">
        <v>708</v>
      </c>
      <c r="E167" s="4">
        <v>5.6</v>
      </c>
      <c r="F167" s="3">
        <f t="shared" si="64"/>
        <v>0.53333333333333321</v>
      </c>
      <c r="G167">
        <v>51.231960000000001</v>
      </c>
      <c r="H167">
        <f t="shared" si="55"/>
        <v>0.48356088046809692</v>
      </c>
      <c r="I167">
        <v>119.8</v>
      </c>
      <c r="J167" s="3">
        <f t="shared" si="45"/>
        <v>0.37043908472479897</v>
      </c>
      <c r="K167">
        <v>0</v>
      </c>
      <c r="L167" s="3">
        <f t="shared" si="46"/>
        <v>0</v>
      </c>
      <c r="M167">
        <v>70768</v>
      </c>
      <c r="N167">
        <f t="shared" si="47"/>
        <v>0.33370238416298798</v>
      </c>
      <c r="O167" s="15">
        <v>0.304865316</v>
      </c>
      <c r="P167">
        <f t="shared" si="48"/>
        <v>0.31079630941537273</v>
      </c>
      <c r="Q167">
        <v>0.32</v>
      </c>
      <c r="R167">
        <f t="shared" si="49"/>
        <v>0.70937707825315899</v>
      </c>
      <c r="S167">
        <f t="shared" si="56"/>
        <v>7.2775678886973907E-2</v>
      </c>
      <c r="T167" s="14">
        <f t="shared" si="50"/>
        <v>0.12209169661869432</v>
      </c>
      <c r="U167" t="str">
        <f t="shared" si="57"/>
        <v>No Impact</v>
      </c>
      <c r="V167">
        <f t="shared" si="58"/>
        <v>0.10120906716595407</v>
      </c>
      <c r="W167">
        <f t="shared" si="51"/>
        <v>0.13602996753945049</v>
      </c>
      <c r="X167" t="s">
        <v>1176</v>
      </c>
      <c r="Y167">
        <f t="shared" si="59"/>
        <v>4.4342290607993752E-2</v>
      </c>
      <c r="Z167">
        <f t="shared" si="52"/>
        <v>8.8846143304155786E-2</v>
      </c>
      <c r="AA167" t="str">
        <f t="shared" si="60"/>
        <v>No Impact</v>
      </c>
      <c r="AB167">
        <f t="shared" si="61"/>
        <v>6.5389491101793776E-2</v>
      </c>
      <c r="AC167">
        <f t="shared" si="53"/>
        <v>0.15351968049516457</v>
      </c>
      <c r="AD167" t="str">
        <f t="shared" si="62"/>
        <v>Low</v>
      </c>
      <c r="AE167">
        <f t="shared" si="63"/>
        <v>4.7610372603747793E-2</v>
      </c>
      <c r="AF167">
        <f t="shared" si="54"/>
        <v>0.26044967656267337</v>
      </c>
      <c r="AG167" t="s">
        <v>1175</v>
      </c>
    </row>
    <row r="168" spans="1:33" x14ac:dyDescent="0.3">
      <c r="A168">
        <v>302616</v>
      </c>
      <c r="B168" t="s">
        <v>144</v>
      </c>
      <c r="C168" s="1" t="s">
        <v>701</v>
      </c>
      <c r="D168" t="s">
        <v>709</v>
      </c>
      <c r="E168" s="4">
        <v>5.8</v>
      </c>
      <c r="F168" s="3">
        <f t="shared" si="64"/>
        <v>0.57777777777777772</v>
      </c>
      <c r="G168">
        <v>53.452439999999996</v>
      </c>
      <c r="H168">
        <f t="shared" si="55"/>
        <v>0.50451922880889433</v>
      </c>
      <c r="I168">
        <v>117</v>
      </c>
      <c r="J168" s="3">
        <f t="shared" si="45"/>
        <v>0.36178107606679033</v>
      </c>
      <c r="K168">
        <v>0</v>
      </c>
      <c r="L168" s="3">
        <f t="shared" si="46"/>
        <v>0</v>
      </c>
      <c r="M168">
        <v>1742</v>
      </c>
      <c r="N168">
        <f t="shared" si="47"/>
        <v>7.1113256021915943E-3</v>
      </c>
      <c r="O168" s="15">
        <v>0.13702405400000001</v>
      </c>
      <c r="P168">
        <f t="shared" si="48"/>
        <v>0.13968978446971889</v>
      </c>
      <c r="Q168">
        <v>0</v>
      </c>
      <c r="R168">
        <f t="shared" si="49"/>
        <v>0</v>
      </c>
      <c r="S168">
        <f t="shared" si="56"/>
        <v>1.1063836923087253E-2</v>
      </c>
      <c r="T168" s="14">
        <f t="shared" si="50"/>
        <v>1.8561182000791435E-2</v>
      </c>
      <c r="U168" t="str">
        <f t="shared" si="57"/>
        <v>No Impact</v>
      </c>
      <c r="V168">
        <f t="shared" si="58"/>
        <v>0</v>
      </c>
      <c r="W168">
        <f t="shared" si="51"/>
        <v>0</v>
      </c>
      <c r="X168" t="s">
        <v>1176</v>
      </c>
      <c r="Y168">
        <f t="shared" si="59"/>
        <v>2.2127673846174506E-2</v>
      </c>
      <c r="Z168">
        <f t="shared" si="52"/>
        <v>4.4335970347242938E-2</v>
      </c>
      <c r="AA168" t="str">
        <f t="shared" si="60"/>
        <v>No Impact</v>
      </c>
      <c r="AB168">
        <f t="shared" si="61"/>
        <v>7.0325685130410943E-3</v>
      </c>
      <c r="AC168">
        <f t="shared" si="53"/>
        <v>1.6510874346792499E-2</v>
      </c>
      <c r="AD168" t="str">
        <f t="shared" si="62"/>
        <v>No Impact</v>
      </c>
      <c r="AE168">
        <f t="shared" si="63"/>
        <v>1.1264753119678342E-3</v>
      </c>
      <c r="AF168">
        <f t="shared" si="54"/>
        <v>6.162315365596696E-3</v>
      </c>
      <c r="AG168" t="s">
        <v>1176</v>
      </c>
    </row>
    <row r="169" spans="1:33" x14ac:dyDescent="0.3">
      <c r="A169">
        <v>302618</v>
      </c>
      <c r="B169" t="s">
        <v>153</v>
      </c>
      <c r="C169" s="1" t="s">
        <v>701</v>
      </c>
      <c r="D169" t="s">
        <v>710</v>
      </c>
      <c r="E169" s="4">
        <v>5.8</v>
      </c>
      <c r="F169" s="3">
        <f t="shared" si="64"/>
        <v>0.57777777777777772</v>
      </c>
      <c r="G169">
        <v>50.98968</v>
      </c>
      <c r="H169">
        <f t="shared" si="55"/>
        <v>0.48127408273246841</v>
      </c>
      <c r="I169">
        <v>114.6</v>
      </c>
      <c r="J169" s="3">
        <f t="shared" si="45"/>
        <v>0.35435992578849718</v>
      </c>
      <c r="K169">
        <v>0</v>
      </c>
      <c r="L169" s="3">
        <f t="shared" si="46"/>
        <v>0</v>
      </c>
      <c r="M169">
        <v>27219</v>
      </c>
      <c r="N169">
        <f t="shared" si="47"/>
        <v>0.12765373569336608</v>
      </c>
      <c r="O169" s="15">
        <v>0.46156508499999999</v>
      </c>
      <c r="P169">
        <f t="shared" si="48"/>
        <v>0.47054458950979128</v>
      </c>
      <c r="Q169">
        <v>0.3039</v>
      </c>
      <c r="R169">
        <f t="shared" si="49"/>
        <v>0.67368654400354688</v>
      </c>
      <c r="S169">
        <f t="shared" si="56"/>
        <v>8.7062284861517542E-2</v>
      </c>
      <c r="T169" s="14">
        <f t="shared" si="50"/>
        <v>0.14605953847234157</v>
      </c>
      <c r="U169" t="str">
        <f t="shared" si="57"/>
        <v>No Impact</v>
      </c>
      <c r="V169">
        <f t="shared" si="58"/>
        <v>0.10251895457750076</v>
      </c>
      <c r="W169">
        <f t="shared" si="51"/>
        <v>0.13779052069009717</v>
      </c>
      <c r="X169" t="s">
        <v>1176</v>
      </c>
      <c r="Y169">
        <f t="shared" si="59"/>
        <v>7.160561514553429E-2</v>
      </c>
      <c r="Z169">
        <f t="shared" si="52"/>
        <v>0.14347212688772301</v>
      </c>
      <c r="AA169" t="str">
        <f t="shared" si="60"/>
        <v>No Impact</v>
      </c>
      <c r="AB169">
        <f t="shared" si="61"/>
        <v>6.41623629145021E-2</v>
      </c>
      <c r="AC169">
        <f t="shared" si="53"/>
        <v>0.15063866209197255</v>
      </c>
      <c r="AD169" t="str">
        <f t="shared" si="62"/>
        <v>Low</v>
      </c>
      <c r="AE169">
        <f t="shared" si="63"/>
        <v>1.9425840767761549E-2</v>
      </c>
      <c r="AF169">
        <f t="shared" si="54"/>
        <v>0.10626789223076191</v>
      </c>
      <c r="AG169" t="s">
        <v>1175</v>
      </c>
    </row>
    <row r="170" spans="1:33" x14ac:dyDescent="0.3">
      <c r="A170">
        <v>302624</v>
      </c>
      <c r="B170" t="s">
        <v>181</v>
      </c>
      <c r="C170" s="1" t="s">
        <v>701</v>
      </c>
      <c r="D170" t="s">
        <v>711</v>
      </c>
      <c r="E170" s="4">
        <v>5.7</v>
      </c>
      <c r="F170" s="3">
        <f t="shared" si="64"/>
        <v>0.55555555555555558</v>
      </c>
      <c r="G170">
        <v>49.476239999999997</v>
      </c>
      <c r="H170">
        <f t="shared" si="55"/>
        <v>0.46698924219668492</v>
      </c>
      <c r="I170">
        <v>112.60000000000001</v>
      </c>
      <c r="J170" s="3">
        <f t="shared" si="45"/>
        <v>0.34817563388991957</v>
      </c>
      <c r="K170">
        <v>0</v>
      </c>
      <c r="L170" s="3">
        <f t="shared" si="46"/>
        <v>0</v>
      </c>
      <c r="M170">
        <v>1598</v>
      </c>
      <c r="N170">
        <f t="shared" si="47"/>
        <v>6.4300009935983875E-3</v>
      </c>
      <c r="O170" s="15">
        <v>0.15879853499999999</v>
      </c>
      <c r="P170">
        <f t="shared" si="48"/>
        <v>0.16188787647646966</v>
      </c>
      <c r="Q170">
        <v>0</v>
      </c>
      <c r="R170">
        <f t="shared" si="49"/>
        <v>0</v>
      </c>
      <c r="S170">
        <f t="shared" si="56"/>
        <v>1.1531400418024558E-2</v>
      </c>
      <c r="T170" s="14">
        <f t="shared" si="50"/>
        <v>1.9345587192840831E-2</v>
      </c>
      <c r="U170" t="str">
        <f t="shared" si="57"/>
        <v>No Impact</v>
      </c>
      <c r="V170">
        <f t="shared" si="58"/>
        <v>0</v>
      </c>
      <c r="W170">
        <f t="shared" si="51"/>
        <v>0</v>
      </c>
      <c r="X170" t="s">
        <v>1176</v>
      </c>
      <c r="Y170">
        <f t="shared" si="59"/>
        <v>2.3062800836049117E-2</v>
      </c>
      <c r="Z170">
        <f t="shared" si="52"/>
        <v>4.6209631482263466E-2</v>
      </c>
      <c r="AA170" t="str">
        <f t="shared" si="60"/>
        <v>No Impact</v>
      </c>
      <c r="AB170">
        <f t="shared" si="61"/>
        <v>7.2394500607122613E-3</v>
      </c>
      <c r="AC170">
        <f t="shared" si="53"/>
        <v>1.6996585254824809E-2</v>
      </c>
      <c r="AD170" t="str">
        <f t="shared" si="62"/>
        <v>No Impact</v>
      </c>
      <c r="AE170">
        <f t="shared" si="63"/>
        <v>9.160280282786464E-4</v>
      </c>
      <c r="AF170">
        <f t="shared" si="54"/>
        <v>5.0110761718495014E-3</v>
      </c>
      <c r="AG170" t="s">
        <v>1176</v>
      </c>
    </row>
    <row r="171" spans="1:33" x14ac:dyDescent="0.3">
      <c r="A171">
        <v>302626</v>
      </c>
      <c r="B171" t="s">
        <v>194</v>
      </c>
      <c r="C171" s="1" t="s">
        <v>701</v>
      </c>
      <c r="D171" t="s">
        <v>712</v>
      </c>
      <c r="E171" s="4">
        <v>5.7</v>
      </c>
      <c r="F171" s="3">
        <f t="shared" si="64"/>
        <v>0.55555555555555558</v>
      </c>
      <c r="G171">
        <v>49.753799999999998</v>
      </c>
      <c r="H171">
        <f t="shared" si="55"/>
        <v>0.46960903573928464</v>
      </c>
      <c r="I171">
        <v>111.3</v>
      </c>
      <c r="J171" s="3">
        <f t="shared" si="45"/>
        <v>0.3441558441558441</v>
      </c>
      <c r="K171">
        <v>0</v>
      </c>
      <c r="L171" s="3">
        <f t="shared" si="46"/>
        <v>0</v>
      </c>
      <c r="M171">
        <v>6565</v>
      </c>
      <c r="N171">
        <f t="shared" si="47"/>
        <v>2.9930968569171008E-2</v>
      </c>
      <c r="O171" s="15">
        <v>0.42066021799999997</v>
      </c>
      <c r="P171">
        <f t="shared" si="48"/>
        <v>0.42884393996549652</v>
      </c>
      <c r="Q171">
        <v>0</v>
      </c>
      <c r="R171">
        <f t="shared" si="49"/>
        <v>0</v>
      </c>
      <c r="S171">
        <f t="shared" si="56"/>
        <v>3.0575951468311588E-2</v>
      </c>
      <c r="T171" s="14">
        <f t="shared" si="50"/>
        <v>5.1295568074256746E-2</v>
      </c>
      <c r="U171" t="str">
        <f t="shared" si="57"/>
        <v>No Impact</v>
      </c>
      <c r="V171">
        <f t="shared" si="58"/>
        <v>0</v>
      </c>
      <c r="W171">
        <f t="shared" si="51"/>
        <v>0</v>
      </c>
      <c r="X171" t="s">
        <v>1176</v>
      </c>
      <c r="Y171">
        <f t="shared" si="59"/>
        <v>6.1151902936623176E-2</v>
      </c>
      <c r="Z171">
        <f t="shared" si="52"/>
        <v>0.12252661414495354</v>
      </c>
      <c r="AA171" t="str">
        <f t="shared" si="60"/>
        <v>No Impact</v>
      </c>
      <c r="AB171">
        <f t="shared" si="61"/>
        <v>1.9839395160539355E-2</v>
      </c>
      <c r="AC171">
        <f t="shared" si="53"/>
        <v>4.6578395930959686E-2</v>
      </c>
      <c r="AD171" t="str">
        <f t="shared" si="62"/>
        <v>No Impact</v>
      </c>
      <c r="AE171">
        <f t="shared" si="63"/>
        <v>4.2680693701497279E-3</v>
      </c>
      <c r="AF171">
        <f t="shared" si="54"/>
        <v>2.3348216495895382E-2</v>
      </c>
      <c r="AG171" t="s">
        <v>1176</v>
      </c>
    </row>
    <row r="172" spans="1:33" x14ac:dyDescent="0.3">
      <c r="A172">
        <v>302628</v>
      </c>
      <c r="B172" t="s">
        <v>208</v>
      </c>
      <c r="C172" s="1" t="s">
        <v>701</v>
      </c>
      <c r="D172" t="s">
        <v>713</v>
      </c>
      <c r="E172" s="4">
        <v>5.9</v>
      </c>
      <c r="F172" s="3">
        <f t="shared" si="64"/>
        <v>0.60000000000000009</v>
      </c>
      <c r="G172">
        <v>53.452439999999996</v>
      </c>
      <c r="H172">
        <f t="shared" si="55"/>
        <v>0.50451922880889433</v>
      </c>
      <c r="I172">
        <v>117</v>
      </c>
      <c r="J172" s="3">
        <f t="shared" si="45"/>
        <v>0.36178107606679033</v>
      </c>
      <c r="K172">
        <v>0</v>
      </c>
      <c r="L172" s="3">
        <f t="shared" si="46"/>
        <v>0</v>
      </c>
      <c r="M172">
        <v>4547</v>
      </c>
      <c r="N172">
        <f t="shared" si="47"/>
        <v>2.0382961207080098E-2</v>
      </c>
      <c r="O172" s="15">
        <v>9.4106771000000006E-2</v>
      </c>
      <c r="P172">
        <f t="shared" si="48"/>
        <v>9.5937568436934378E-2</v>
      </c>
      <c r="Q172">
        <v>0.1268</v>
      </c>
      <c r="R172">
        <f t="shared" si="49"/>
        <v>0.28109066725781423</v>
      </c>
      <c r="S172">
        <f t="shared" si="56"/>
        <v>3.1010260214459701E-2</v>
      </c>
      <c r="T172" s="14">
        <f t="shared" si="50"/>
        <v>5.2024183629405515E-2</v>
      </c>
      <c r="U172" t="str">
        <f t="shared" si="57"/>
        <v>No Impact</v>
      </c>
      <c r="V172">
        <f t="shared" si="58"/>
        <v>4.62389492896133E-2</v>
      </c>
      <c r="W172">
        <f t="shared" si="51"/>
        <v>6.2147423615818695E-2</v>
      </c>
      <c r="X172" t="s">
        <v>1176</v>
      </c>
      <c r="Y172">
        <f t="shared" si="59"/>
        <v>1.5781571139306096E-2</v>
      </c>
      <c r="Z172">
        <f t="shared" si="52"/>
        <v>3.1620642771998587E-2</v>
      </c>
      <c r="AA172" t="str">
        <f t="shared" si="60"/>
        <v>No Impact</v>
      </c>
      <c r="AB172">
        <f t="shared" si="61"/>
        <v>2.20916407709905E-2</v>
      </c>
      <c r="AC172">
        <f t="shared" si="53"/>
        <v>5.1866157323303838E-2</v>
      </c>
      <c r="AD172" t="str">
        <f t="shared" si="62"/>
        <v>No Impact</v>
      </c>
      <c r="AE172">
        <f t="shared" si="63"/>
        <v>3.3529633652400492E-3</v>
      </c>
      <c r="AF172">
        <f t="shared" si="54"/>
        <v>1.834218419736797E-2</v>
      </c>
      <c r="AG172" t="s">
        <v>1176</v>
      </c>
    </row>
    <row r="173" spans="1:33" x14ac:dyDescent="0.3">
      <c r="A173">
        <v>302629</v>
      </c>
      <c r="B173" t="s">
        <v>221</v>
      </c>
      <c r="C173" s="1" t="s">
        <v>701</v>
      </c>
      <c r="D173" t="s">
        <v>714</v>
      </c>
      <c r="E173" s="4">
        <v>5.8</v>
      </c>
      <c r="F173" s="3">
        <f t="shared" si="64"/>
        <v>0.57777777777777772</v>
      </c>
      <c r="G173">
        <v>49.476239999999997</v>
      </c>
      <c r="H173">
        <f t="shared" si="55"/>
        <v>0.46698924219668492</v>
      </c>
      <c r="I173">
        <v>112.60000000000001</v>
      </c>
      <c r="J173" s="3">
        <f t="shared" si="45"/>
        <v>0.34817563388991957</v>
      </c>
      <c r="K173">
        <v>0</v>
      </c>
      <c r="L173" s="3">
        <f t="shared" si="46"/>
        <v>0</v>
      </c>
      <c r="M173">
        <v>7826</v>
      </c>
      <c r="N173">
        <f t="shared" si="47"/>
        <v>3.5897290315254571E-2</v>
      </c>
      <c r="O173" s="15">
        <v>0.118614107</v>
      </c>
      <c r="P173">
        <f t="shared" si="48"/>
        <v>0.12092168169172818</v>
      </c>
      <c r="Q173">
        <v>0.16889999999999999</v>
      </c>
      <c r="R173">
        <f t="shared" si="49"/>
        <v>0.37441808911549546</v>
      </c>
      <c r="S173">
        <f t="shared" si="56"/>
        <v>3.6694778009643436E-2</v>
      </c>
      <c r="T173" s="14">
        <f t="shared" si="50"/>
        <v>6.1560782018972256E-2</v>
      </c>
      <c r="U173" t="str">
        <f t="shared" si="57"/>
        <v>No Impact</v>
      </c>
      <c r="V173">
        <f t="shared" si="58"/>
        <v>5.5473795857328874E-2</v>
      </c>
      <c r="W173">
        <f t="shared" si="51"/>
        <v>7.4559511919906299E-2</v>
      </c>
      <c r="X173" t="s">
        <v>1176</v>
      </c>
      <c r="Y173">
        <f t="shared" si="59"/>
        <v>1.7915760161957995E-2</v>
      </c>
      <c r="Z173">
        <f t="shared" si="52"/>
        <v>3.589679678084233E-2</v>
      </c>
      <c r="AA173" t="str">
        <f t="shared" si="60"/>
        <v>No Impact</v>
      </c>
      <c r="AB173">
        <f t="shared" si="61"/>
        <v>2.665204688033038E-2</v>
      </c>
      <c r="AC173">
        <f t="shared" si="53"/>
        <v>6.2572955572340064E-2</v>
      </c>
      <c r="AD173" t="str">
        <f t="shared" si="62"/>
        <v>No Impact</v>
      </c>
      <c r="AE173">
        <f t="shared" si="63"/>
        <v>5.318543661936786E-3</v>
      </c>
      <c r="AF173">
        <f t="shared" si="54"/>
        <v>2.909477285684698E-2</v>
      </c>
      <c r="AG173" t="s">
        <v>1176</v>
      </c>
    </row>
    <row r="174" spans="1:33" x14ac:dyDescent="0.3">
      <c r="A174">
        <v>302630</v>
      </c>
      <c r="B174" t="s">
        <v>234</v>
      </c>
      <c r="C174" s="1" t="s">
        <v>701</v>
      </c>
      <c r="D174" t="s">
        <v>715</v>
      </c>
      <c r="E174" s="4">
        <v>5.8</v>
      </c>
      <c r="F174" s="3">
        <f t="shared" si="64"/>
        <v>0.57777777777777772</v>
      </c>
      <c r="G174">
        <v>53.452439999999996</v>
      </c>
      <c r="H174">
        <f t="shared" si="55"/>
        <v>0.50451922880889433</v>
      </c>
      <c r="I174">
        <v>111.2</v>
      </c>
      <c r="J174" s="3">
        <f t="shared" si="45"/>
        <v>0.34384662956091527</v>
      </c>
      <c r="K174">
        <v>0</v>
      </c>
      <c r="L174" s="3">
        <f t="shared" si="46"/>
        <v>0</v>
      </c>
      <c r="M174">
        <v>6991</v>
      </c>
      <c r="N174">
        <f t="shared" si="47"/>
        <v>3.1946553869592574E-2</v>
      </c>
      <c r="O174" s="15">
        <v>0.17397475400000001</v>
      </c>
      <c r="P174">
        <f t="shared" si="48"/>
        <v>0.17735934078721949</v>
      </c>
      <c r="Q174">
        <v>0.125</v>
      </c>
      <c r="R174">
        <f t="shared" si="49"/>
        <v>0.27710042119264022</v>
      </c>
      <c r="S174">
        <f t="shared" si="56"/>
        <v>3.5523617116308269E-2</v>
      </c>
      <c r="T174" s="14">
        <f t="shared" si="50"/>
        <v>5.9595990722379491E-2</v>
      </c>
      <c r="U174" t="str">
        <f t="shared" si="57"/>
        <v>No Impact</v>
      </c>
      <c r="V174">
        <f t="shared" si="58"/>
        <v>4.3320047620195451E-2</v>
      </c>
      <c r="W174">
        <f t="shared" si="51"/>
        <v>5.8224276110756763E-2</v>
      </c>
      <c r="X174" t="s">
        <v>1176</v>
      </c>
      <c r="Y174">
        <f t="shared" si="59"/>
        <v>2.7727186612421097E-2</v>
      </c>
      <c r="Z174">
        <f t="shared" si="52"/>
        <v>5.5555397824760509E-2</v>
      </c>
      <c r="AA174" t="str">
        <f t="shared" si="60"/>
        <v>No Impact</v>
      </c>
      <c r="AB174">
        <f t="shared" si="61"/>
        <v>2.5228182199612509E-2</v>
      </c>
      <c r="AC174">
        <f t="shared" si="53"/>
        <v>5.9230044545369842E-2</v>
      </c>
      <c r="AD174" t="str">
        <f t="shared" si="62"/>
        <v>No Impact</v>
      </c>
      <c r="AE174">
        <f t="shared" si="63"/>
        <v>4.9943129966222031E-3</v>
      </c>
      <c r="AF174">
        <f t="shared" si="54"/>
        <v>2.7321088525163423E-2</v>
      </c>
      <c r="AG174" t="s">
        <v>1176</v>
      </c>
    </row>
    <row r="175" spans="1:33" x14ac:dyDescent="0.3">
      <c r="A175">
        <v>302632</v>
      </c>
      <c r="B175" t="s">
        <v>233</v>
      </c>
      <c r="C175" s="1" t="s">
        <v>701</v>
      </c>
      <c r="D175" t="s">
        <v>716</v>
      </c>
      <c r="E175" s="4">
        <v>5.8</v>
      </c>
      <c r="F175" s="3">
        <f t="shared" si="64"/>
        <v>0.57777777777777772</v>
      </c>
      <c r="G175">
        <v>49.476239999999997</v>
      </c>
      <c r="H175">
        <f t="shared" si="55"/>
        <v>0.46698924219668492</v>
      </c>
      <c r="I175">
        <v>112.60000000000001</v>
      </c>
      <c r="J175" s="3">
        <f t="shared" si="45"/>
        <v>0.34817563388991957</v>
      </c>
      <c r="K175">
        <v>0</v>
      </c>
      <c r="L175" s="3">
        <f t="shared" si="46"/>
        <v>0</v>
      </c>
      <c r="M175">
        <v>4323</v>
      </c>
      <c r="N175">
        <f t="shared" si="47"/>
        <v>1.9323122927046223E-2</v>
      </c>
      <c r="O175" s="15">
        <v>4.7735597999999997E-2</v>
      </c>
      <c r="P175">
        <f t="shared" si="48"/>
        <v>4.8664268801688962E-2</v>
      </c>
      <c r="Q175">
        <v>9.9099999999999994E-2</v>
      </c>
      <c r="R175">
        <f t="shared" si="49"/>
        <v>0.21968521392152515</v>
      </c>
      <c r="S175">
        <f t="shared" si="56"/>
        <v>1.987933389940388E-2</v>
      </c>
      <c r="T175" s="14">
        <f t="shared" si="50"/>
        <v>3.3350449498344287E-2</v>
      </c>
      <c r="U175" t="str">
        <f t="shared" si="57"/>
        <v>No Impact</v>
      </c>
      <c r="V175">
        <f t="shared" si="58"/>
        <v>3.2548568202849563E-2</v>
      </c>
      <c r="W175">
        <f t="shared" si="51"/>
        <v>4.3746877627369528E-2</v>
      </c>
      <c r="X175" t="s">
        <v>1176</v>
      </c>
      <c r="Y175">
        <f t="shared" si="59"/>
        <v>7.2100995959581918E-3</v>
      </c>
      <c r="Z175">
        <f t="shared" si="52"/>
        <v>1.4446469344645352E-2</v>
      </c>
      <c r="AA175" t="str">
        <f t="shared" si="60"/>
        <v>No Impact</v>
      </c>
      <c r="AB175">
        <f t="shared" si="61"/>
        <v>1.4557048824962402E-2</v>
      </c>
      <c r="AC175">
        <f t="shared" si="53"/>
        <v>3.417664592436985E-2</v>
      </c>
      <c r="AD175" t="str">
        <f t="shared" si="62"/>
        <v>No Impact</v>
      </c>
      <c r="AE175">
        <f t="shared" si="63"/>
        <v>2.8629145005074257E-3</v>
      </c>
      <c r="AF175">
        <f t="shared" si="54"/>
        <v>1.5661401390188887E-2</v>
      </c>
      <c r="AG175" t="s">
        <v>1176</v>
      </c>
    </row>
    <row r="176" spans="1:33" x14ac:dyDescent="0.3">
      <c r="A176">
        <v>302633</v>
      </c>
      <c r="B176" t="s">
        <v>238</v>
      </c>
      <c r="C176" s="1" t="s">
        <v>701</v>
      </c>
      <c r="D176" t="s">
        <v>717</v>
      </c>
      <c r="E176" s="4">
        <v>5.7</v>
      </c>
      <c r="F176" s="3">
        <f t="shared" si="64"/>
        <v>0.55555555555555558</v>
      </c>
      <c r="G176">
        <v>49.753799999999998</v>
      </c>
      <c r="H176">
        <f t="shared" si="55"/>
        <v>0.46960903573928464</v>
      </c>
      <c r="I176">
        <v>112.60000000000001</v>
      </c>
      <c r="J176" s="3">
        <f t="shared" si="45"/>
        <v>0.34817563388991957</v>
      </c>
      <c r="K176">
        <v>0</v>
      </c>
      <c r="L176" s="3">
        <f t="shared" si="46"/>
        <v>0</v>
      </c>
      <c r="M176">
        <v>731</v>
      </c>
      <c r="N176">
        <f t="shared" si="47"/>
        <v>2.3278590793601225E-3</v>
      </c>
      <c r="O176" s="15">
        <v>0.22219450399999999</v>
      </c>
      <c r="P176">
        <f t="shared" si="48"/>
        <v>0.22651718050989855</v>
      </c>
      <c r="Q176">
        <v>0</v>
      </c>
      <c r="R176">
        <f t="shared" si="49"/>
        <v>0</v>
      </c>
      <c r="S176">
        <f t="shared" si="56"/>
        <v>1.6200932908125621E-2</v>
      </c>
      <c r="T176" s="14">
        <f t="shared" si="50"/>
        <v>2.717940135784478E-2</v>
      </c>
      <c r="U176" t="str">
        <f t="shared" si="57"/>
        <v>No Impact</v>
      </c>
      <c r="V176">
        <f t="shared" si="58"/>
        <v>0</v>
      </c>
      <c r="W176">
        <f t="shared" si="51"/>
        <v>0</v>
      </c>
      <c r="X176" t="s">
        <v>1176</v>
      </c>
      <c r="Y176">
        <f t="shared" si="59"/>
        <v>3.2401865816251242E-2</v>
      </c>
      <c r="Z176">
        <f t="shared" si="52"/>
        <v>6.4921788526497909E-2</v>
      </c>
      <c r="AA176" t="str">
        <f t="shared" si="60"/>
        <v>No Impact</v>
      </c>
      <c r="AB176">
        <f t="shared" si="61"/>
        <v>9.8371047330991033E-3</v>
      </c>
      <c r="AC176">
        <f t="shared" si="53"/>
        <v>2.3095288710412026E-2</v>
      </c>
      <c r="AD176" t="str">
        <f t="shared" si="62"/>
        <v>No Impact</v>
      </c>
      <c r="AE176">
        <f t="shared" si="63"/>
        <v>3.3298568063923415E-4</v>
      </c>
      <c r="AF176">
        <f t="shared" si="54"/>
        <v>1.8215781158508154E-3</v>
      </c>
      <c r="AG176" t="s">
        <v>1176</v>
      </c>
    </row>
    <row r="177" spans="1:33" x14ac:dyDescent="0.3">
      <c r="A177">
        <v>302634</v>
      </c>
      <c r="B177" t="s">
        <v>254</v>
      </c>
      <c r="C177" s="1" t="s">
        <v>701</v>
      </c>
      <c r="D177" t="s">
        <v>718</v>
      </c>
      <c r="E177" s="4">
        <v>3.7</v>
      </c>
      <c r="F177" s="3">
        <f t="shared" si="64"/>
        <v>0.1111111111111111</v>
      </c>
      <c r="G177">
        <v>49.476239999999997</v>
      </c>
      <c r="H177">
        <f t="shared" si="55"/>
        <v>0.46698924219668492</v>
      </c>
      <c r="I177">
        <v>117</v>
      </c>
      <c r="J177" s="3">
        <f t="shared" si="45"/>
        <v>0.36178107606679033</v>
      </c>
      <c r="K177">
        <v>0</v>
      </c>
      <c r="L177" s="3">
        <f t="shared" si="46"/>
        <v>0</v>
      </c>
      <c r="M177">
        <v>2173</v>
      </c>
      <c r="N177">
        <f t="shared" si="47"/>
        <v>9.1505680070782056E-3</v>
      </c>
      <c r="O177" s="15">
        <v>2.3544797999999999E-2</v>
      </c>
      <c r="P177">
        <f t="shared" si="48"/>
        <v>2.4002849587292666E-2</v>
      </c>
      <c r="Q177">
        <v>0.11119999999999999</v>
      </c>
      <c r="R177">
        <f t="shared" si="49"/>
        <v>0.24650853469297271</v>
      </c>
      <c r="S177">
        <f t="shared" si="56"/>
        <v>3.8946412488274017E-3</v>
      </c>
      <c r="T177" s="14">
        <f t="shared" si="50"/>
        <v>6.5338223574524165E-3</v>
      </c>
      <c r="U177" t="str">
        <f t="shared" si="57"/>
        <v>No Impact</v>
      </c>
      <c r="V177">
        <f t="shared" si="58"/>
        <v>7.0981286791876545E-3</v>
      </c>
      <c r="W177">
        <f t="shared" si="51"/>
        <v>9.5402342977581097E-3</v>
      </c>
      <c r="X177" t="s">
        <v>1176</v>
      </c>
      <c r="Y177">
        <f t="shared" si="59"/>
        <v>6.9115381846714845E-4</v>
      </c>
      <c r="Z177">
        <f t="shared" si="52"/>
        <v>1.384825870715772E-3</v>
      </c>
      <c r="AA177" t="str">
        <f t="shared" si="60"/>
        <v>No Impact</v>
      </c>
      <c r="AB177">
        <f t="shared" si="61"/>
        <v>2.7839117964243644E-3</v>
      </c>
      <c r="AC177">
        <f t="shared" si="53"/>
        <v>6.5359928990495527E-3</v>
      </c>
      <c r="AD177" t="str">
        <f t="shared" si="62"/>
        <v>No Impact</v>
      </c>
      <c r="AE177">
        <f t="shared" si="63"/>
        <v>2.6348746619583245E-4</v>
      </c>
      <c r="AF177">
        <f t="shared" si="54"/>
        <v>1.4413923184382065E-3</v>
      </c>
      <c r="AG177" t="s">
        <v>1176</v>
      </c>
    </row>
    <row r="178" spans="1:33" x14ac:dyDescent="0.3">
      <c r="A178">
        <v>302636</v>
      </c>
      <c r="B178" t="s">
        <v>275</v>
      </c>
      <c r="C178" s="1" t="s">
        <v>701</v>
      </c>
      <c r="D178" t="s">
        <v>719</v>
      </c>
      <c r="E178" s="4">
        <v>5.9</v>
      </c>
      <c r="F178" s="3">
        <f t="shared" si="64"/>
        <v>0.60000000000000009</v>
      </c>
      <c r="G178">
        <v>49.753799999999998</v>
      </c>
      <c r="H178">
        <f t="shared" si="55"/>
        <v>0.46960903573928464</v>
      </c>
      <c r="I178">
        <v>112.60000000000001</v>
      </c>
      <c r="J178" s="3">
        <f t="shared" si="45"/>
        <v>0.34817563388991957</v>
      </c>
      <c r="K178">
        <v>0</v>
      </c>
      <c r="L178" s="3">
        <f t="shared" si="46"/>
        <v>0</v>
      </c>
      <c r="M178">
        <v>13317</v>
      </c>
      <c r="N178">
        <f t="shared" si="47"/>
        <v>6.1877522438763585E-2</v>
      </c>
      <c r="O178" s="15">
        <v>0.167702143</v>
      </c>
      <c r="P178">
        <f t="shared" si="48"/>
        <v>0.17096469945911813</v>
      </c>
      <c r="Q178">
        <v>0.1852</v>
      </c>
      <c r="R178">
        <f t="shared" si="49"/>
        <v>0.41055198403901577</v>
      </c>
      <c r="S178">
        <f t="shared" si="56"/>
        <v>4.4918455074135451E-2</v>
      </c>
      <c r="T178" s="14">
        <f t="shared" si="50"/>
        <v>7.5357186265608375E-2</v>
      </c>
      <c r="U178" t="str">
        <f t="shared" si="57"/>
        <v>No Impact</v>
      </c>
      <c r="V178">
        <f t="shared" si="58"/>
        <v>6.3425044797404795E-2</v>
      </c>
      <c r="W178">
        <f t="shared" si="51"/>
        <v>8.5246381836838622E-2</v>
      </c>
      <c r="X178" t="s">
        <v>1176</v>
      </c>
      <c r="Y178">
        <f t="shared" si="59"/>
        <v>2.6411865350866103E-2</v>
      </c>
      <c r="Z178">
        <f t="shared" si="52"/>
        <v>5.2919962900384934E-2</v>
      </c>
      <c r="AA178" t="str">
        <f t="shared" si="60"/>
        <v>No Impact</v>
      </c>
      <c r="AB178">
        <f t="shared" si="61"/>
        <v>3.3468076065792898E-2</v>
      </c>
      <c r="AC178">
        <f t="shared" si="53"/>
        <v>7.8575444736370542E-2</v>
      </c>
      <c r="AD178" t="str">
        <f t="shared" si="62"/>
        <v>No Impact</v>
      </c>
      <c r="AE178">
        <f t="shared" si="63"/>
        <v>9.5592879469754005E-3</v>
      </c>
      <c r="AF178">
        <f t="shared" si="54"/>
        <v>5.2293509119968953E-2</v>
      </c>
      <c r="AG178" t="s">
        <v>1176</v>
      </c>
    </row>
    <row r="179" spans="1:33" x14ac:dyDescent="0.3">
      <c r="A179">
        <v>302637</v>
      </c>
      <c r="B179" t="s">
        <v>276</v>
      </c>
      <c r="C179" s="1" t="s">
        <v>701</v>
      </c>
      <c r="D179" t="s">
        <v>720</v>
      </c>
      <c r="E179" s="4">
        <v>5.8</v>
      </c>
      <c r="F179" s="3">
        <f t="shared" si="64"/>
        <v>0.57777777777777772</v>
      </c>
      <c r="G179">
        <v>49.753799999999998</v>
      </c>
      <c r="H179">
        <f t="shared" si="55"/>
        <v>0.46960903573928464</v>
      </c>
      <c r="I179">
        <v>111.3</v>
      </c>
      <c r="J179" s="3">
        <f t="shared" si="45"/>
        <v>0.3441558441558441</v>
      </c>
      <c r="K179">
        <v>0</v>
      </c>
      <c r="L179" s="3">
        <f t="shared" si="46"/>
        <v>0</v>
      </c>
      <c r="M179">
        <v>9630</v>
      </c>
      <c r="N179">
        <f t="shared" si="47"/>
        <v>4.4432773606241691E-2</v>
      </c>
      <c r="O179" s="15">
        <v>0.19431315699999999</v>
      </c>
      <c r="P179">
        <f t="shared" si="48"/>
        <v>0.19809341665632405</v>
      </c>
      <c r="Q179">
        <v>0.21840000000000001</v>
      </c>
      <c r="R179">
        <f t="shared" si="49"/>
        <v>0.48414985590778098</v>
      </c>
      <c r="S179">
        <f t="shared" si="56"/>
        <v>5.0588674940603616E-2</v>
      </c>
      <c r="T179" s="14">
        <f t="shared" si="50"/>
        <v>8.4869797817790499E-2</v>
      </c>
      <c r="U179" t="str">
        <f t="shared" si="57"/>
        <v>No Impact</v>
      </c>
      <c r="V179">
        <f t="shared" si="58"/>
        <v>7.1799900909268244E-2</v>
      </c>
      <c r="W179">
        <f t="shared" si="51"/>
        <v>9.6502600641586E-2</v>
      </c>
      <c r="X179" t="s">
        <v>1176</v>
      </c>
      <c r="Y179">
        <f t="shared" si="59"/>
        <v>2.9377448971938995E-2</v>
      </c>
      <c r="Z179">
        <f t="shared" si="52"/>
        <v>5.8861935310145844E-2</v>
      </c>
      <c r="AA179" t="str">
        <f t="shared" si="60"/>
        <v>No Impact</v>
      </c>
      <c r="AB179">
        <f t="shared" si="61"/>
        <v>3.6249498454600751E-2</v>
      </c>
      <c r="AC179">
        <f t="shared" si="53"/>
        <v>8.5105593071477637E-2</v>
      </c>
      <c r="AD179" t="str">
        <f t="shared" si="62"/>
        <v>No Impact</v>
      </c>
      <c r="AE179">
        <f t="shared" si="63"/>
        <v>6.5894241279290449E-3</v>
      </c>
      <c r="AF179">
        <f t="shared" si="54"/>
        <v>3.6047047922458372E-2</v>
      </c>
      <c r="AG179" t="s">
        <v>1176</v>
      </c>
    </row>
    <row r="180" spans="1:33" x14ac:dyDescent="0.3">
      <c r="A180">
        <v>302638</v>
      </c>
      <c r="B180" t="s">
        <v>268</v>
      </c>
      <c r="C180" s="1" t="s">
        <v>701</v>
      </c>
      <c r="D180" t="s">
        <v>721</v>
      </c>
      <c r="E180" s="4">
        <v>5.6</v>
      </c>
      <c r="F180" s="3">
        <f t="shared" si="64"/>
        <v>0.53333333333333321</v>
      </c>
      <c r="G180">
        <v>54.669960000000003</v>
      </c>
      <c r="H180">
        <f t="shared" si="55"/>
        <v>0.51601098206579721</v>
      </c>
      <c r="I180">
        <v>116.4</v>
      </c>
      <c r="J180" s="3">
        <f t="shared" si="45"/>
        <v>0.35992578849721707</v>
      </c>
      <c r="K180">
        <v>0</v>
      </c>
      <c r="L180" s="3">
        <f t="shared" si="46"/>
        <v>0</v>
      </c>
      <c r="M180">
        <v>88374</v>
      </c>
      <c r="N180">
        <f t="shared" si="47"/>
        <v>0.41700378040529351</v>
      </c>
      <c r="O180" s="15">
        <v>0.50535112599999998</v>
      </c>
      <c r="P180">
        <f t="shared" si="48"/>
        <v>0.5151824647697969</v>
      </c>
      <c r="Q180">
        <v>0.25929999999999997</v>
      </c>
      <c r="R180">
        <f t="shared" si="49"/>
        <v>0.57481711372201283</v>
      </c>
      <c r="S180">
        <f t="shared" si="56"/>
        <v>8.0918531394561385E-2</v>
      </c>
      <c r="T180" s="14">
        <f t="shared" si="50"/>
        <v>0.13575250601507483</v>
      </c>
      <c r="U180" t="str">
        <f t="shared" si="57"/>
        <v>No Impact</v>
      </c>
      <c r="V180">
        <f t="shared" si="58"/>
        <v>8.5345641559246468E-2</v>
      </c>
      <c r="W180">
        <f t="shared" si="51"/>
        <v>0.11470874276413881</v>
      </c>
      <c r="X180" t="s">
        <v>1176</v>
      </c>
      <c r="Y180">
        <f t="shared" si="59"/>
        <v>7.6491421229876316E-2</v>
      </c>
      <c r="Z180">
        <f t="shared" si="52"/>
        <v>0.15326154059580765</v>
      </c>
      <c r="AA180" t="str">
        <f t="shared" si="60"/>
        <v>Low</v>
      </c>
      <c r="AB180">
        <f t="shared" si="61"/>
        <v>7.448843998035283E-2</v>
      </c>
      <c r="AC180">
        <f t="shared" si="53"/>
        <v>0.17488194683401215</v>
      </c>
      <c r="AD180" t="str">
        <f t="shared" si="62"/>
        <v>Low</v>
      </c>
      <c r="AE180">
        <f t="shared" si="63"/>
        <v>6.1914397330439103E-2</v>
      </c>
      <c r="AF180">
        <f t="shared" si="54"/>
        <v>0.33869898254096709</v>
      </c>
      <c r="AG180" t="str">
        <f t="shared" si="66"/>
        <v>Moderate</v>
      </c>
    </row>
    <row r="181" spans="1:33" x14ac:dyDescent="0.3">
      <c r="A181">
        <v>302640</v>
      </c>
      <c r="B181" t="s">
        <v>284</v>
      </c>
      <c r="C181" s="1" t="s">
        <v>701</v>
      </c>
      <c r="D181" t="s">
        <v>1126</v>
      </c>
      <c r="E181" s="4">
        <v>5.7</v>
      </c>
      <c r="F181" s="3">
        <f t="shared" si="64"/>
        <v>0.55555555555555558</v>
      </c>
      <c r="G181">
        <v>49.476239999999997</v>
      </c>
      <c r="H181">
        <f t="shared" si="55"/>
        <v>0.46698924219668492</v>
      </c>
      <c r="I181">
        <v>112.60000000000001</v>
      </c>
      <c r="J181" s="3">
        <f t="shared" si="45"/>
        <v>0.34817563388991957</v>
      </c>
      <c r="K181">
        <v>0</v>
      </c>
      <c r="L181" s="3">
        <f t="shared" si="46"/>
        <v>0</v>
      </c>
      <c r="M181">
        <v>383</v>
      </c>
      <c r="N181">
        <f t="shared" si="47"/>
        <v>6.8132460859320662E-4</v>
      </c>
      <c r="O181" s="15">
        <v>0.14816900599999999</v>
      </c>
      <c r="P181">
        <f t="shared" si="48"/>
        <v>0.15105155561396894</v>
      </c>
      <c r="Q181">
        <v>0.105</v>
      </c>
      <c r="R181">
        <f t="shared" si="49"/>
        <v>0.23276435380181776</v>
      </c>
      <c r="S181">
        <f t="shared" si="56"/>
        <v>2.7339508273338718E-2</v>
      </c>
      <c r="T181" s="14">
        <f t="shared" si="50"/>
        <v>4.5865967873646434E-2</v>
      </c>
      <c r="U181" t="str">
        <f t="shared" si="57"/>
        <v>No Impact</v>
      </c>
      <c r="V181">
        <f t="shared" si="58"/>
        <v>3.3159974979616591E-2</v>
      </c>
      <c r="W181">
        <f t="shared" si="51"/>
        <v>4.456863842732478E-2</v>
      </c>
      <c r="X181" t="s">
        <v>1176</v>
      </c>
      <c r="Y181">
        <f t="shared" si="59"/>
        <v>2.1519041567060849E-2</v>
      </c>
      <c r="Z181">
        <f t="shared" si="52"/>
        <v>4.3116488224235097E-2</v>
      </c>
      <c r="AA181" t="str">
        <f t="shared" si="60"/>
        <v>No Impact</v>
      </c>
      <c r="AB181">
        <f t="shared" si="61"/>
        <v>1.8095675613370551E-2</v>
      </c>
      <c r="AC181">
        <f t="shared" si="53"/>
        <v>4.2484538290474327E-2</v>
      </c>
      <c r="AD181" t="str">
        <f t="shared" si="62"/>
        <v>No Impact</v>
      </c>
      <c r="AE181">
        <f t="shared" si="63"/>
        <v>9.7062572532836692E-5</v>
      </c>
      <c r="AF181">
        <f t="shared" si="54"/>
        <v>5.3097495860656959E-4</v>
      </c>
      <c r="AG181" t="s">
        <v>1176</v>
      </c>
    </row>
    <row r="182" spans="1:33" x14ac:dyDescent="0.3">
      <c r="A182">
        <v>302642</v>
      </c>
      <c r="B182" t="s">
        <v>297</v>
      </c>
      <c r="C182" s="1" t="s">
        <v>701</v>
      </c>
      <c r="D182" t="s">
        <v>722</v>
      </c>
      <c r="E182" s="4">
        <v>5.8</v>
      </c>
      <c r="F182" s="3">
        <f t="shared" si="64"/>
        <v>0.57777777777777772</v>
      </c>
      <c r="G182">
        <v>49.476239999999997</v>
      </c>
      <c r="H182">
        <f t="shared" si="55"/>
        <v>0.46698924219668492</v>
      </c>
      <c r="I182">
        <v>117</v>
      </c>
      <c r="J182" s="3">
        <f t="shared" si="45"/>
        <v>0.36178107606679033</v>
      </c>
      <c r="K182">
        <v>0</v>
      </c>
      <c r="L182" s="3">
        <f t="shared" si="46"/>
        <v>0</v>
      </c>
      <c r="M182">
        <v>3930</v>
      </c>
      <c r="N182">
        <f t="shared" si="47"/>
        <v>1.7463674516093926E-2</v>
      </c>
      <c r="O182" s="15">
        <v>0.208451261</v>
      </c>
      <c r="P182">
        <f t="shared" si="48"/>
        <v>0.21250656998902628</v>
      </c>
      <c r="Q182">
        <v>0.1075</v>
      </c>
      <c r="R182">
        <f t="shared" si="49"/>
        <v>0.23830636222567059</v>
      </c>
      <c r="S182">
        <f t="shared" si="56"/>
        <v>3.3750609642895696E-2</v>
      </c>
      <c r="T182" s="14">
        <f t="shared" si="50"/>
        <v>5.6621514992888061E-2</v>
      </c>
      <c r="U182" t="str">
        <f t="shared" si="57"/>
        <v>No Impact</v>
      </c>
      <c r="V182">
        <f t="shared" si="58"/>
        <v>3.5682139673254488E-2</v>
      </c>
      <c r="W182">
        <f t="shared" si="51"/>
        <v>4.7958551910492656E-2</v>
      </c>
      <c r="X182" t="s">
        <v>1176</v>
      </c>
      <c r="Y182">
        <f t="shared" si="59"/>
        <v>3.1819079612536889E-2</v>
      </c>
      <c r="Z182">
        <f t="shared" si="52"/>
        <v>6.3754092725019487E-2</v>
      </c>
      <c r="AA182" t="str">
        <f t="shared" si="60"/>
        <v>No Impact</v>
      </c>
      <c r="AB182">
        <f t="shared" si="61"/>
        <v>2.2949678908317638E-2</v>
      </c>
      <c r="AC182">
        <f t="shared" si="53"/>
        <v>5.3880636079378985E-2</v>
      </c>
      <c r="AD182" t="str">
        <f t="shared" si="62"/>
        <v>No Impact</v>
      </c>
      <c r="AE182">
        <f t="shared" si="63"/>
        <v>2.6148746826214326E-3</v>
      </c>
      <c r="AF182">
        <f t="shared" si="54"/>
        <v>1.4304514501679513E-2</v>
      </c>
      <c r="AG182" t="s">
        <v>1176</v>
      </c>
    </row>
    <row r="183" spans="1:33" x14ac:dyDescent="0.3">
      <c r="A183">
        <v>302648</v>
      </c>
      <c r="B183" t="s">
        <v>334</v>
      </c>
      <c r="C183" s="1" t="s">
        <v>701</v>
      </c>
      <c r="D183" t="s">
        <v>1133</v>
      </c>
      <c r="E183" s="4">
        <v>5.7</v>
      </c>
      <c r="F183" s="3">
        <f t="shared" si="64"/>
        <v>0.55555555555555558</v>
      </c>
      <c r="G183">
        <v>53.452439999999996</v>
      </c>
      <c r="H183">
        <f t="shared" si="55"/>
        <v>0.50451922880889433</v>
      </c>
      <c r="I183">
        <v>107.4</v>
      </c>
      <c r="J183" s="3">
        <f t="shared" si="45"/>
        <v>0.33209647495361777</v>
      </c>
      <c r="K183">
        <v>0</v>
      </c>
      <c r="L183" s="3">
        <f t="shared" si="46"/>
        <v>0</v>
      </c>
      <c r="M183">
        <v>5661</v>
      </c>
      <c r="N183">
        <f t="shared" si="47"/>
        <v>2.5653764081891434E-2</v>
      </c>
      <c r="O183" s="15">
        <v>0</v>
      </c>
      <c r="P183">
        <f t="shared" si="48"/>
        <v>0</v>
      </c>
      <c r="Q183">
        <v>0.38569999999999999</v>
      </c>
      <c r="R183">
        <f t="shared" si="49"/>
        <v>0.85502105963201058</v>
      </c>
      <c r="S183">
        <f t="shared" si="56"/>
        <v>6.3705478397594953E-2</v>
      </c>
      <c r="T183" s="14">
        <f t="shared" si="50"/>
        <v>0.10687512724611783</v>
      </c>
      <c r="U183" t="str">
        <f t="shared" si="57"/>
        <v>No Impact</v>
      </c>
      <c r="V183">
        <f t="shared" si="58"/>
        <v>0.12741095679518991</v>
      </c>
      <c r="W183">
        <f t="shared" si="51"/>
        <v>0.17124659679553159</v>
      </c>
      <c r="X183" t="s">
        <v>1176</v>
      </c>
      <c r="Y183">
        <f t="shared" si="59"/>
        <v>0</v>
      </c>
      <c r="Z183">
        <f t="shared" si="52"/>
        <v>0</v>
      </c>
      <c r="AA183" t="str">
        <f t="shared" si="60"/>
        <v>No Impact</v>
      </c>
      <c r="AB183">
        <f t="shared" si="61"/>
        <v>4.593181329017864E-2</v>
      </c>
      <c r="AC183">
        <f t="shared" si="53"/>
        <v>0.10783747024265099</v>
      </c>
      <c r="AD183" t="str">
        <f t="shared" si="62"/>
        <v>No Impact</v>
      </c>
      <c r="AE183">
        <f t="shared" si="63"/>
        <v>3.8227954624633596E-3</v>
      </c>
      <c r="AF183">
        <f t="shared" si="54"/>
        <v>2.0912372395200749E-2</v>
      </c>
      <c r="AG183" t="s">
        <v>1176</v>
      </c>
    </row>
    <row r="184" spans="1:33" x14ac:dyDescent="0.3">
      <c r="A184">
        <v>302650</v>
      </c>
      <c r="B184" t="s">
        <v>341</v>
      </c>
      <c r="C184" s="1" t="s">
        <v>701</v>
      </c>
      <c r="D184" t="s">
        <v>1134</v>
      </c>
      <c r="E184" s="4">
        <v>5.8</v>
      </c>
      <c r="F184" s="3">
        <f t="shared" si="64"/>
        <v>0.57777777777777772</v>
      </c>
      <c r="G184">
        <v>53.452439999999996</v>
      </c>
      <c r="H184">
        <f t="shared" si="55"/>
        <v>0.50451922880889433</v>
      </c>
      <c r="I184">
        <v>111.2</v>
      </c>
      <c r="J184" s="3">
        <f t="shared" si="45"/>
        <v>0.34384662956091527</v>
      </c>
      <c r="K184">
        <v>0</v>
      </c>
      <c r="L184" s="3">
        <f t="shared" si="46"/>
        <v>0</v>
      </c>
      <c r="M184">
        <v>4452</v>
      </c>
      <c r="N184">
        <f t="shared" si="47"/>
        <v>1.9933476222244301E-2</v>
      </c>
      <c r="O184" s="15">
        <v>0.27577230800000002</v>
      </c>
      <c r="P184">
        <f t="shared" si="48"/>
        <v>0.28113731233814565</v>
      </c>
      <c r="Q184">
        <v>0.36940000000000001</v>
      </c>
      <c r="R184">
        <f t="shared" si="49"/>
        <v>0.81888716470849032</v>
      </c>
      <c r="S184">
        <f t="shared" si="56"/>
        <v>8.5985276608281327E-2</v>
      </c>
      <c r="T184" s="14">
        <f t="shared" si="50"/>
        <v>0.14425270180766181</v>
      </c>
      <c r="U184" t="str">
        <f t="shared" si="57"/>
        <v>No Impact</v>
      </c>
      <c r="V184">
        <f t="shared" si="58"/>
        <v>0.12801940472720158</v>
      </c>
      <c r="W184">
        <f t="shared" si="51"/>
        <v>0.17206438076250838</v>
      </c>
      <c r="X184" t="s">
        <v>1176</v>
      </c>
      <c r="Y184">
        <f t="shared" si="59"/>
        <v>4.3951148489361096E-2</v>
      </c>
      <c r="Z184">
        <f t="shared" si="52"/>
        <v>8.8062433932180689E-2</v>
      </c>
      <c r="AA184" t="str">
        <f t="shared" si="60"/>
        <v>No Impact</v>
      </c>
      <c r="AB184">
        <f t="shared" si="61"/>
        <v>5.9082829955648966E-2</v>
      </c>
      <c r="AC184">
        <f t="shared" si="53"/>
        <v>0.13871307185157994</v>
      </c>
      <c r="AD184" t="str">
        <f t="shared" si="62"/>
        <v>No Impact</v>
      </c>
      <c r="AE184">
        <f t="shared" si="63"/>
        <v>3.1162678694859809E-3</v>
      </c>
      <c r="AF184">
        <f t="shared" si="54"/>
        <v>1.7047355740004964E-2</v>
      </c>
      <c r="AG184" t="s">
        <v>1176</v>
      </c>
    </row>
    <row r="185" spans="1:33" x14ac:dyDescent="0.3">
      <c r="A185">
        <v>302654</v>
      </c>
      <c r="B185" t="s">
        <v>348</v>
      </c>
      <c r="C185" s="1" t="s">
        <v>701</v>
      </c>
      <c r="D185" t="s">
        <v>723</v>
      </c>
      <c r="E185" s="4">
        <v>5.8</v>
      </c>
      <c r="F185" s="3">
        <f t="shared" si="64"/>
        <v>0.57777777777777772</v>
      </c>
      <c r="G185">
        <v>49.753799999999998</v>
      </c>
      <c r="H185">
        <f t="shared" si="55"/>
        <v>0.46960903573928464</v>
      </c>
      <c r="I185">
        <v>112.60000000000001</v>
      </c>
      <c r="J185" s="3">
        <f t="shared" si="45"/>
        <v>0.34817563388991957</v>
      </c>
      <c r="K185">
        <v>0</v>
      </c>
      <c r="L185" s="3">
        <f t="shared" si="46"/>
        <v>0</v>
      </c>
      <c r="M185">
        <v>2689</v>
      </c>
      <c r="N185">
        <f t="shared" si="47"/>
        <v>1.1591981187870529E-2</v>
      </c>
      <c r="O185" s="15">
        <v>0.314367485</v>
      </c>
      <c r="P185">
        <f t="shared" si="48"/>
        <v>0.32048333808557133</v>
      </c>
      <c r="Q185">
        <v>0</v>
      </c>
      <c r="R185">
        <f t="shared" si="49"/>
        <v>0</v>
      </c>
      <c r="S185">
        <f t="shared" si="56"/>
        <v>2.383843118955109E-2</v>
      </c>
      <c r="T185" s="14">
        <f t="shared" si="50"/>
        <v>3.9992406160586663E-2</v>
      </c>
      <c r="U185" t="str">
        <f t="shared" si="57"/>
        <v>No Impact</v>
      </c>
      <c r="V185">
        <f t="shared" si="58"/>
        <v>0</v>
      </c>
      <c r="W185">
        <f t="shared" si="51"/>
        <v>0</v>
      </c>
      <c r="X185" t="s">
        <v>1176</v>
      </c>
      <c r="Y185">
        <f t="shared" si="59"/>
        <v>4.7676862379102181E-2</v>
      </c>
      <c r="Z185">
        <f t="shared" si="52"/>
        <v>9.5527436430237173E-2</v>
      </c>
      <c r="AA185" t="str">
        <f t="shared" si="60"/>
        <v>No Impact</v>
      </c>
      <c r="AB185">
        <f t="shared" si="61"/>
        <v>1.4906629099897459E-2</v>
      </c>
      <c r="AC185">
        <f t="shared" si="53"/>
        <v>3.4997381048793678E-2</v>
      </c>
      <c r="AD185" t="str">
        <f t="shared" si="62"/>
        <v>No Impact</v>
      </c>
      <c r="AE185">
        <f t="shared" si="63"/>
        <v>1.7244868176194484E-3</v>
      </c>
      <c r="AF185">
        <f t="shared" si="54"/>
        <v>9.4337012991623521E-3</v>
      </c>
      <c r="AG185" t="s">
        <v>1176</v>
      </c>
    </row>
    <row r="186" spans="1:33" x14ac:dyDescent="0.3">
      <c r="A186">
        <v>302662</v>
      </c>
      <c r="B186" t="s">
        <v>377</v>
      </c>
      <c r="C186" s="1" t="s">
        <v>701</v>
      </c>
      <c r="D186" t="s">
        <v>724</v>
      </c>
      <c r="E186" s="4">
        <v>5.6</v>
      </c>
      <c r="F186" s="3">
        <f t="shared" si="64"/>
        <v>0.53333333333333321</v>
      </c>
      <c r="G186">
        <v>51.231960000000001</v>
      </c>
      <c r="H186">
        <f t="shared" si="55"/>
        <v>0.48356088046809692</v>
      </c>
      <c r="I186">
        <v>115</v>
      </c>
      <c r="J186" s="3">
        <f t="shared" si="45"/>
        <v>0.35559678416821272</v>
      </c>
      <c r="K186">
        <v>0</v>
      </c>
      <c r="L186" s="3">
        <f t="shared" si="46"/>
        <v>0</v>
      </c>
      <c r="M186">
        <v>31650</v>
      </c>
      <c r="N186">
        <f t="shared" si="47"/>
        <v>0.1486186616702862</v>
      </c>
      <c r="O186" s="15">
        <v>0.18754665300000001</v>
      </c>
      <c r="P186">
        <f t="shared" si="48"/>
        <v>0.19119527390123164</v>
      </c>
      <c r="Q186">
        <v>0.39</v>
      </c>
      <c r="R186">
        <f t="shared" si="49"/>
        <v>0.86455331412103753</v>
      </c>
      <c r="S186">
        <f t="shared" si="56"/>
        <v>7.4477772605058515E-2</v>
      </c>
      <c r="T186" s="14">
        <f t="shared" si="50"/>
        <v>0.12494720429685309</v>
      </c>
      <c r="U186" t="str">
        <f t="shared" si="57"/>
        <v>No Impact</v>
      </c>
      <c r="V186">
        <f t="shared" si="58"/>
        <v>0.12197980819406629</v>
      </c>
      <c r="W186">
        <f t="shared" si="51"/>
        <v>0.16394686576746709</v>
      </c>
      <c r="X186" t="s">
        <v>1176</v>
      </c>
      <c r="Y186">
        <f t="shared" si="59"/>
        <v>2.6975737016050726E-2</v>
      </c>
      <c r="Z186">
        <f t="shared" si="52"/>
        <v>5.4049760709276536E-2</v>
      </c>
      <c r="AA186" t="str">
        <f t="shared" si="60"/>
        <v>No Impact</v>
      </c>
      <c r="AB186">
        <f t="shared" si="61"/>
        <v>5.8124665277160786E-2</v>
      </c>
      <c r="AC186">
        <f t="shared" si="53"/>
        <v>0.13646351870741696</v>
      </c>
      <c r="AD186" t="str">
        <f t="shared" si="62"/>
        <v>No Impact</v>
      </c>
      <c r="AE186">
        <f t="shared" si="63"/>
        <v>2.0968603726921064E-2</v>
      </c>
      <c r="AF186">
        <f t="shared" si="54"/>
        <v>0.11470748410436844</v>
      </c>
      <c r="AG186" t="s">
        <v>1175</v>
      </c>
    </row>
    <row r="187" spans="1:33" x14ac:dyDescent="0.3">
      <c r="A187">
        <v>302663</v>
      </c>
      <c r="B187" t="s">
        <v>383</v>
      </c>
      <c r="C187" s="1" t="s">
        <v>701</v>
      </c>
      <c r="D187" t="s">
        <v>725</v>
      </c>
      <c r="E187" s="4">
        <v>5.8</v>
      </c>
      <c r="F187" s="3">
        <f t="shared" si="64"/>
        <v>0.57777777777777772</v>
      </c>
      <c r="G187">
        <v>49.476239999999997</v>
      </c>
      <c r="H187">
        <f t="shared" si="55"/>
        <v>0.46698924219668492</v>
      </c>
      <c r="I187">
        <v>117</v>
      </c>
      <c r="J187" s="3">
        <f t="shared" si="45"/>
        <v>0.36178107606679033</v>
      </c>
      <c r="K187">
        <v>0</v>
      </c>
      <c r="L187" s="3">
        <f t="shared" si="46"/>
        <v>0</v>
      </c>
      <c r="M187">
        <v>580</v>
      </c>
      <c r="N187">
        <f t="shared" si="47"/>
        <v>1.6134145245158573E-3</v>
      </c>
      <c r="O187" s="15">
        <v>0.28136947200000001</v>
      </c>
      <c r="P187">
        <f t="shared" si="48"/>
        <v>0.28684336620224798</v>
      </c>
      <c r="Q187">
        <v>0</v>
      </c>
      <c r="R187">
        <f t="shared" si="49"/>
        <v>0</v>
      </c>
      <c r="S187">
        <f t="shared" si="56"/>
        <v>2.147484641531017E-2</v>
      </c>
      <c r="T187" s="14">
        <f t="shared" si="50"/>
        <v>3.6027151839326879E-2</v>
      </c>
      <c r="U187" t="str">
        <f t="shared" si="57"/>
        <v>No Impact</v>
      </c>
      <c r="V187">
        <f t="shared" si="58"/>
        <v>0</v>
      </c>
      <c r="W187">
        <f t="shared" si="51"/>
        <v>0</v>
      </c>
      <c r="X187" t="s">
        <v>1176</v>
      </c>
      <c r="Y187">
        <f t="shared" si="59"/>
        <v>4.2949692830620341E-2</v>
      </c>
      <c r="Z187">
        <f t="shared" si="52"/>
        <v>8.6055873789498319E-2</v>
      </c>
      <c r="AA187" t="str">
        <f t="shared" si="60"/>
        <v>No Impact</v>
      </c>
      <c r="AB187">
        <f t="shared" si="61"/>
        <v>1.2969460895344561E-2</v>
      </c>
      <c r="AC187">
        <f t="shared" si="53"/>
        <v>3.0449349877157993E-2</v>
      </c>
      <c r="AD187" t="str">
        <f t="shared" si="62"/>
        <v>No Impact</v>
      </c>
      <c r="AE187">
        <f t="shared" si="63"/>
        <v>2.4158013188130818E-4</v>
      </c>
      <c r="AF187">
        <f t="shared" si="54"/>
        <v>1.3215495651781939E-3</v>
      </c>
      <c r="AG187" t="s">
        <v>1176</v>
      </c>
    </row>
    <row r="188" spans="1:33" x14ac:dyDescent="0.3">
      <c r="A188">
        <v>302664</v>
      </c>
      <c r="B188" t="s">
        <v>395</v>
      </c>
      <c r="C188" s="1" t="s">
        <v>701</v>
      </c>
      <c r="D188" t="s">
        <v>726</v>
      </c>
      <c r="E188" s="4">
        <v>5.4</v>
      </c>
      <c r="F188" s="3">
        <f t="shared" si="64"/>
        <v>0.48888888888888893</v>
      </c>
      <c r="G188">
        <v>53.452439999999996</v>
      </c>
      <c r="H188">
        <f t="shared" si="55"/>
        <v>0.50451922880889433</v>
      </c>
      <c r="I188">
        <v>111.2</v>
      </c>
      <c r="J188" s="3">
        <f t="shared" si="45"/>
        <v>0.34384662956091527</v>
      </c>
      <c r="K188">
        <v>0</v>
      </c>
      <c r="L188" s="3">
        <f t="shared" si="46"/>
        <v>0</v>
      </c>
      <c r="M188">
        <v>9521</v>
      </c>
      <c r="N188">
        <f t="shared" si="47"/>
        <v>4.3917048728903778E-2</v>
      </c>
      <c r="O188" s="15">
        <v>0.46742842499999998</v>
      </c>
      <c r="P188">
        <f t="shared" si="48"/>
        <v>0.47652199768713716</v>
      </c>
      <c r="Q188">
        <v>0.185</v>
      </c>
      <c r="R188">
        <f t="shared" si="49"/>
        <v>0.41010862336510751</v>
      </c>
      <c r="S188">
        <f t="shared" si="56"/>
        <v>5.8642679091703648E-2</v>
      </c>
      <c r="T188" s="14">
        <f t="shared" si="50"/>
        <v>9.8381551282969312E-2</v>
      </c>
      <c r="U188" t="str">
        <f t="shared" si="57"/>
        <v>No Impact</v>
      </c>
      <c r="V188">
        <f t="shared" si="58"/>
        <v>5.4250028865906311E-2</v>
      </c>
      <c r="W188">
        <f t="shared" si="51"/>
        <v>7.2914708852547708E-2</v>
      </c>
      <c r="X188" t="s">
        <v>1176</v>
      </c>
      <c r="Y188">
        <f t="shared" si="59"/>
        <v>6.3035329317500985E-2</v>
      </c>
      <c r="Z188">
        <f t="shared" si="52"/>
        <v>0.12630032921117818</v>
      </c>
      <c r="AA188" t="str">
        <f t="shared" si="60"/>
        <v>No Impact</v>
      </c>
      <c r="AB188">
        <f t="shared" si="61"/>
        <v>3.9931412659634853E-2</v>
      </c>
      <c r="AC188">
        <f t="shared" si="53"/>
        <v>9.3749891762952495E-2</v>
      </c>
      <c r="AD188" t="str">
        <f t="shared" si="62"/>
        <v>No Impact</v>
      </c>
      <c r="AE188">
        <f t="shared" si="63"/>
        <v>5.8094393180495845E-3</v>
      </c>
      <c r="AF188">
        <f t="shared" si="54"/>
        <v>3.1780187985283412E-2</v>
      </c>
      <c r="AG188" t="s">
        <v>1176</v>
      </c>
    </row>
    <row r="189" spans="1:33" x14ac:dyDescent="0.3">
      <c r="A189">
        <v>302665</v>
      </c>
      <c r="B189" t="s">
        <v>396</v>
      </c>
      <c r="C189" s="1" t="s">
        <v>701</v>
      </c>
      <c r="D189" t="s">
        <v>727</v>
      </c>
      <c r="E189" s="4">
        <v>5.7</v>
      </c>
      <c r="F189" s="3">
        <f t="shared" si="64"/>
        <v>0.55555555555555558</v>
      </c>
      <c r="G189">
        <v>49.753799999999998</v>
      </c>
      <c r="H189">
        <f t="shared" si="55"/>
        <v>0.46960903573928464</v>
      </c>
      <c r="I189">
        <v>112.60000000000001</v>
      </c>
      <c r="J189" s="3">
        <f t="shared" si="45"/>
        <v>0.34817563388991957</v>
      </c>
      <c r="K189">
        <v>0</v>
      </c>
      <c r="L189" s="3">
        <f t="shared" si="46"/>
        <v>0</v>
      </c>
      <c r="M189">
        <v>723</v>
      </c>
      <c r="N189">
        <f t="shared" si="47"/>
        <v>2.2900077122160558E-3</v>
      </c>
      <c r="O189" s="15">
        <v>0.13752594900000001</v>
      </c>
      <c r="P189">
        <f t="shared" si="48"/>
        <v>0.14020144357138603</v>
      </c>
      <c r="Q189">
        <v>0</v>
      </c>
      <c r="R189">
        <f t="shared" si="49"/>
        <v>0</v>
      </c>
      <c r="S189">
        <f t="shared" si="56"/>
        <v>1.0027469774298766E-2</v>
      </c>
      <c r="T189" s="14">
        <f t="shared" si="50"/>
        <v>1.6822526649846806E-2</v>
      </c>
      <c r="U189" t="str">
        <f t="shared" si="57"/>
        <v>No Impact</v>
      </c>
      <c r="V189">
        <f t="shared" si="58"/>
        <v>0</v>
      </c>
      <c r="W189">
        <f t="shared" si="51"/>
        <v>0</v>
      </c>
      <c r="X189" t="s">
        <v>1176</v>
      </c>
      <c r="Y189">
        <f t="shared" si="59"/>
        <v>2.0054939548597533E-2</v>
      </c>
      <c r="Z189">
        <f t="shared" si="52"/>
        <v>4.0182949700159717E-2</v>
      </c>
      <c r="AA189" t="str">
        <f t="shared" si="60"/>
        <v>No Impact</v>
      </c>
      <c r="AB189">
        <f t="shared" si="61"/>
        <v>6.1311318123440685E-3</v>
      </c>
      <c r="AC189">
        <f t="shared" si="53"/>
        <v>1.4394505616193428E-2</v>
      </c>
      <c r="AD189" t="str">
        <f t="shared" si="62"/>
        <v>No Impact</v>
      </c>
      <c r="AE189">
        <f t="shared" si="63"/>
        <v>3.2757127932802715E-4</v>
      </c>
      <c r="AF189">
        <f t="shared" si="54"/>
        <v>1.7919589594955179E-3</v>
      </c>
      <c r="AG189" t="s">
        <v>1176</v>
      </c>
    </row>
    <row r="190" spans="1:33" x14ac:dyDescent="0.3">
      <c r="A190">
        <v>302666</v>
      </c>
      <c r="B190" t="s">
        <v>431</v>
      </c>
      <c r="C190" s="1" t="s">
        <v>701</v>
      </c>
      <c r="D190" t="s">
        <v>728</v>
      </c>
      <c r="E190" s="4">
        <v>5.7</v>
      </c>
      <c r="F190" s="3">
        <f t="shared" si="64"/>
        <v>0.55555555555555558</v>
      </c>
      <c r="G190">
        <v>49.753799999999998</v>
      </c>
      <c r="H190">
        <f t="shared" si="55"/>
        <v>0.46960903573928464</v>
      </c>
      <c r="I190">
        <v>112.60000000000001</v>
      </c>
      <c r="J190" s="3">
        <f t="shared" si="45"/>
        <v>0.34817563388991957</v>
      </c>
      <c r="K190">
        <v>0</v>
      </c>
      <c r="L190" s="3">
        <f t="shared" si="46"/>
        <v>0</v>
      </c>
      <c r="M190">
        <v>2576</v>
      </c>
      <c r="N190">
        <f t="shared" si="47"/>
        <v>1.1057330626960583E-2</v>
      </c>
      <c r="O190" s="15">
        <v>0.23872837899999999</v>
      </c>
      <c r="P190">
        <f t="shared" si="48"/>
        <v>0.24337271329977847</v>
      </c>
      <c r="Q190">
        <v>0</v>
      </c>
      <c r="R190">
        <f t="shared" si="49"/>
        <v>0</v>
      </c>
      <c r="S190">
        <f t="shared" si="56"/>
        <v>1.7406472175588043E-2</v>
      </c>
      <c r="T190" s="14">
        <f t="shared" si="50"/>
        <v>2.9201867334885497E-2</v>
      </c>
      <c r="U190" t="str">
        <f t="shared" si="57"/>
        <v>No Impact</v>
      </c>
      <c r="V190">
        <f t="shared" si="58"/>
        <v>0</v>
      </c>
      <c r="W190">
        <f t="shared" si="51"/>
        <v>0</v>
      </c>
      <c r="X190" t="s">
        <v>1176</v>
      </c>
      <c r="Y190">
        <f t="shared" si="59"/>
        <v>3.4812944351176087E-2</v>
      </c>
      <c r="Z190">
        <f t="shared" si="52"/>
        <v>6.9752730412772246E-2</v>
      </c>
      <c r="AA190" t="str">
        <f t="shared" si="60"/>
        <v>No Impact</v>
      </c>
      <c r="AB190">
        <f t="shared" si="61"/>
        <v>1.099747199941555E-2</v>
      </c>
      <c r="AC190">
        <f t="shared" si="53"/>
        <v>2.5819567627105747E-2</v>
      </c>
      <c r="AD190" t="str">
        <f t="shared" si="62"/>
        <v>No Impact</v>
      </c>
      <c r="AE190">
        <f t="shared" si="63"/>
        <v>1.5816819830363625E-3</v>
      </c>
      <c r="AF190">
        <f t="shared" si="54"/>
        <v>8.6524960502913743E-3</v>
      </c>
      <c r="AG190" t="s">
        <v>1176</v>
      </c>
    </row>
    <row r="191" spans="1:33" x14ac:dyDescent="0.3">
      <c r="A191">
        <v>302667</v>
      </c>
      <c r="B191" t="s">
        <v>433</v>
      </c>
      <c r="C191" s="1" t="s">
        <v>701</v>
      </c>
      <c r="D191" t="s">
        <v>729</v>
      </c>
      <c r="E191" s="4">
        <v>5.8</v>
      </c>
      <c r="F191" s="3">
        <f t="shared" si="64"/>
        <v>0.57777777777777772</v>
      </c>
      <c r="G191">
        <v>49.753799999999998</v>
      </c>
      <c r="H191">
        <f t="shared" si="55"/>
        <v>0.46960903573928464</v>
      </c>
      <c r="I191">
        <v>111.3</v>
      </c>
      <c r="J191" s="3">
        <f t="shared" si="45"/>
        <v>0.3441558441558441</v>
      </c>
      <c r="K191">
        <v>0</v>
      </c>
      <c r="L191" s="3">
        <f t="shared" si="46"/>
        <v>0</v>
      </c>
      <c r="M191">
        <v>3584</v>
      </c>
      <c r="N191">
        <f t="shared" si="47"/>
        <v>1.5826602887113028E-2</v>
      </c>
      <c r="O191" s="15">
        <v>4.2619629999999999E-2</v>
      </c>
      <c r="P191">
        <f t="shared" si="48"/>
        <v>4.3448772351160805E-2</v>
      </c>
      <c r="Q191">
        <v>6.83E-2</v>
      </c>
      <c r="R191">
        <f t="shared" si="49"/>
        <v>0.15140767013965861</v>
      </c>
      <c r="S191">
        <f t="shared" si="56"/>
        <v>1.4448701256082009E-2</v>
      </c>
      <c r="T191" s="14">
        <f t="shared" si="50"/>
        <v>2.4239780064868096E-2</v>
      </c>
      <c r="U191" t="str">
        <f t="shared" si="57"/>
        <v>No Impact</v>
      </c>
      <c r="V191">
        <f t="shared" si="58"/>
        <v>2.2453906740398447E-2</v>
      </c>
      <c r="W191">
        <f t="shared" si="51"/>
        <v>3.0179155786723096E-2</v>
      </c>
      <c r="X191" t="s">
        <v>1176</v>
      </c>
      <c r="Y191">
        <f t="shared" si="59"/>
        <v>6.4434957717655755E-3</v>
      </c>
      <c r="Z191">
        <f t="shared" si="52"/>
        <v>1.2910468558762345E-2</v>
      </c>
      <c r="AA191" t="str">
        <f t="shared" si="60"/>
        <v>No Impact</v>
      </c>
      <c r="AB191">
        <f t="shared" si="61"/>
        <v>1.0613401374214324E-2</v>
      </c>
      <c r="AC191">
        <f t="shared" si="53"/>
        <v>2.4917856990198026E-2</v>
      </c>
      <c r="AD191" t="str">
        <f t="shared" si="62"/>
        <v>No Impact</v>
      </c>
      <c r="AE191">
        <f t="shared" si="63"/>
        <v>2.3471008101291295E-3</v>
      </c>
      <c r="AF191">
        <f t="shared" si="54"/>
        <v>1.2839673655694096E-2</v>
      </c>
      <c r="AG191" t="s">
        <v>1176</v>
      </c>
    </row>
    <row r="192" spans="1:33" x14ac:dyDescent="0.3">
      <c r="A192">
        <v>302668</v>
      </c>
      <c r="B192" t="s">
        <v>449</v>
      </c>
      <c r="C192" s="1" t="s">
        <v>701</v>
      </c>
      <c r="D192" t="s">
        <v>730</v>
      </c>
      <c r="E192" s="4">
        <v>5.8</v>
      </c>
      <c r="F192" s="3">
        <f t="shared" si="64"/>
        <v>0.57777777777777772</v>
      </c>
      <c r="G192">
        <v>49.753799999999998</v>
      </c>
      <c r="H192">
        <f t="shared" si="55"/>
        <v>0.46960903573928464</v>
      </c>
      <c r="I192">
        <v>112.60000000000001</v>
      </c>
      <c r="J192" s="3">
        <f t="shared" si="45"/>
        <v>0.34817563388991957</v>
      </c>
      <c r="K192">
        <v>0</v>
      </c>
      <c r="L192" s="3">
        <f t="shared" si="46"/>
        <v>0</v>
      </c>
      <c r="M192">
        <v>8555</v>
      </c>
      <c r="N192">
        <f t="shared" si="47"/>
        <v>3.9346496146257681E-2</v>
      </c>
      <c r="O192" s="15">
        <v>0.19210950500000001</v>
      </c>
      <c r="P192">
        <f t="shared" si="48"/>
        <v>0.19584689377263925</v>
      </c>
      <c r="Q192">
        <v>0.20150000000000001</v>
      </c>
      <c r="R192">
        <f t="shared" si="49"/>
        <v>0.44668587896253603</v>
      </c>
      <c r="S192">
        <f t="shared" si="56"/>
        <v>4.7793352944261971E-2</v>
      </c>
      <c r="T192" s="14">
        <f t="shared" si="50"/>
        <v>8.0180242043821709E-2</v>
      </c>
      <c r="U192" t="str">
        <f t="shared" si="57"/>
        <v>No Impact</v>
      </c>
      <c r="V192">
        <f t="shared" si="58"/>
        <v>6.6451445823054872E-2</v>
      </c>
      <c r="W192">
        <f t="shared" si="51"/>
        <v>8.9314013767538072E-2</v>
      </c>
      <c r="X192" t="s">
        <v>1176</v>
      </c>
      <c r="Y192">
        <f t="shared" si="59"/>
        <v>2.913526006546906E-2</v>
      </c>
      <c r="Z192">
        <f t="shared" si="52"/>
        <v>5.8376675076723769E-2</v>
      </c>
      <c r="AA192" t="str">
        <f t="shared" si="60"/>
        <v>No Impact</v>
      </c>
      <c r="AB192">
        <f t="shared" si="61"/>
        <v>3.4047274397041825E-2</v>
      </c>
      <c r="AC192">
        <f t="shared" si="53"/>
        <v>7.9935270929515953E-2</v>
      </c>
      <c r="AD192" t="str">
        <f t="shared" si="62"/>
        <v>No Impact</v>
      </c>
      <c r="AE192">
        <f t="shared" si="63"/>
        <v>5.8534009695197266E-3</v>
      </c>
      <c r="AF192">
        <f t="shared" si="54"/>
        <v>3.202067755258535E-2</v>
      </c>
      <c r="AG192" t="s">
        <v>1176</v>
      </c>
    </row>
    <row r="193" spans="1:33" x14ac:dyDescent="0.3">
      <c r="A193">
        <v>302672</v>
      </c>
      <c r="B193" t="s">
        <v>466</v>
      </c>
      <c r="C193" s="1" t="s">
        <v>701</v>
      </c>
      <c r="D193" t="s">
        <v>731</v>
      </c>
      <c r="E193" s="4">
        <v>5.7</v>
      </c>
      <c r="F193" s="3">
        <f t="shared" si="64"/>
        <v>0.55555555555555558</v>
      </c>
      <c r="G193">
        <v>53.452439999999996</v>
      </c>
      <c r="H193">
        <f t="shared" si="55"/>
        <v>0.50451922880889433</v>
      </c>
      <c r="I193">
        <v>119.20000000000002</v>
      </c>
      <c r="J193" s="3">
        <f t="shared" si="45"/>
        <v>0.36858379715522577</v>
      </c>
      <c r="K193">
        <v>0</v>
      </c>
      <c r="L193" s="3">
        <f t="shared" si="46"/>
        <v>0</v>
      </c>
      <c r="M193">
        <v>146872</v>
      </c>
      <c r="N193">
        <f t="shared" si="47"/>
        <v>0.69378243980449772</v>
      </c>
      <c r="O193" s="15">
        <v>0.21492941400000001</v>
      </c>
      <c r="P193">
        <f t="shared" si="48"/>
        <v>0.21911075202798322</v>
      </c>
      <c r="Q193">
        <v>0.247</v>
      </c>
      <c r="R193">
        <f t="shared" si="49"/>
        <v>0.54755043227665701</v>
      </c>
      <c r="S193">
        <f t="shared" si="56"/>
        <v>5.8676083853817118E-2</v>
      </c>
      <c r="T193" s="14">
        <f t="shared" si="50"/>
        <v>9.8437592588855455E-2</v>
      </c>
      <c r="U193" t="str">
        <f t="shared" si="57"/>
        <v>No Impact</v>
      </c>
      <c r="V193">
        <f t="shared" si="58"/>
        <v>8.3813073457211881E-2</v>
      </c>
      <c r="W193">
        <f t="shared" si="51"/>
        <v>0.11264889580566501</v>
      </c>
      <c r="X193" t="s">
        <v>1176</v>
      </c>
      <c r="Y193">
        <f t="shared" si="59"/>
        <v>3.3539094250422341E-2</v>
      </c>
      <c r="Z193">
        <f t="shared" si="52"/>
        <v>6.7200388911064224E-2</v>
      </c>
      <c r="AA193" t="str">
        <f t="shared" si="60"/>
        <v>No Impact</v>
      </c>
      <c r="AB193">
        <f t="shared" si="61"/>
        <v>7.6565142336916248E-2</v>
      </c>
      <c r="AC193">
        <f t="shared" si="53"/>
        <v>0.17975757251776095</v>
      </c>
      <c r="AD193" t="str">
        <f t="shared" si="62"/>
        <v>Low</v>
      </c>
      <c r="AE193">
        <f t="shared" si="63"/>
        <v>0.10619668100504392</v>
      </c>
      <c r="AF193">
        <f t="shared" si="54"/>
        <v>0.5809425490111757</v>
      </c>
      <c r="AG193" t="str">
        <f t="shared" si="66"/>
        <v>Moderate</v>
      </c>
    </row>
    <row r="194" spans="1:33" x14ac:dyDescent="0.3">
      <c r="A194">
        <v>302674</v>
      </c>
      <c r="B194" t="s">
        <v>469</v>
      </c>
      <c r="C194" s="1" t="s">
        <v>701</v>
      </c>
      <c r="D194" t="s">
        <v>732</v>
      </c>
      <c r="E194" s="4">
        <v>5.8</v>
      </c>
      <c r="F194" s="3">
        <f t="shared" si="64"/>
        <v>0.57777777777777772</v>
      </c>
      <c r="G194">
        <v>53.452439999999996</v>
      </c>
      <c r="H194">
        <f t="shared" si="55"/>
        <v>0.50451922880889433</v>
      </c>
      <c r="I194">
        <v>107.4</v>
      </c>
      <c r="J194" s="3">
        <f t="shared" ref="J194:J257" si="67">(I194-$AJ$7)/$AK$7</f>
        <v>0.33209647495361777</v>
      </c>
      <c r="K194">
        <v>0</v>
      </c>
      <c r="L194" s="3">
        <f t="shared" ref="L194:L257" si="68">(K194-$AJ$8)/$AK$8</f>
        <v>0</v>
      </c>
      <c r="M194">
        <v>2058</v>
      </c>
      <c r="N194">
        <f t="shared" ref="N194:N257" si="69">(M194-$AJ$9)/$AK$9</f>
        <v>8.6064546043822417E-3</v>
      </c>
      <c r="O194" s="15">
        <v>0.15082337900000001</v>
      </c>
      <c r="P194">
        <f t="shared" ref="P194:P257" si="70">(O194-$AJ$11)/$AK$11</f>
        <v>0.15375756803622762</v>
      </c>
      <c r="Q194">
        <v>0.246</v>
      </c>
      <c r="R194">
        <f t="shared" ref="R194:R257" si="71">(Q194-$AJ$12)/$AK$12</f>
        <v>0.5453336289071159</v>
      </c>
      <c r="S194">
        <f t="shared" si="56"/>
        <v>5.4171036126934982E-2</v>
      </c>
      <c r="T194" s="14">
        <f t="shared" ref="T194:T257" si="72">(S194-$AJ$10)/$AK$10</f>
        <v>9.0879725335188635E-2</v>
      </c>
      <c r="U194" t="str">
        <f t="shared" si="57"/>
        <v>No Impact</v>
      </c>
      <c r="V194">
        <f t="shared" si="58"/>
        <v>8.4513402090955092E-2</v>
      </c>
      <c r="W194">
        <f t="shared" ref="W194:W257" si="73">(V194-$AJ$13)/$AK$13</f>
        <v>0.11359017195791753</v>
      </c>
      <c r="X194" t="s">
        <v>1176</v>
      </c>
      <c r="Y194">
        <f t="shared" si="59"/>
        <v>2.3828670162914879E-2</v>
      </c>
      <c r="Z194">
        <f t="shared" ref="Z194:Z257" si="74">(Y194-$AJ$14)/$AK$14</f>
        <v>4.774416059733598E-2</v>
      </c>
      <c r="AA194" t="str">
        <f t="shared" si="60"/>
        <v>No Impact</v>
      </c>
      <c r="AB194">
        <f t="shared" si="61"/>
        <v>3.7195118420403392E-2</v>
      </c>
      <c r="AC194">
        <f t="shared" ref="AC194:AC257" si="75">(AB194-$AJ$15)/$AK$15</f>
        <v>8.7325694078134466E-2</v>
      </c>
      <c r="AD194" t="str">
        <f t="shared" si="62"/>
        <v>No Impact</v>
      </c>
      <c r="AE194">
        <f t="shared" si="63"/>
        <v>1.33379039912757E-3</v>
      </c>
      <c r="AF194">
        <f t="shared" ref="AF194:AF257" si="76">(AE194-$AJ$16)/$AK$16</f>
        <v>7.2964200668286551E-3</v>
      </c>
      <c r="AG194" t="s">
        <v>1176</v>
      </c>
    </row>
    <row r="195" spans="1:33" x14ac:dyDescent="0.3">
      <c r="A195">
        <v>302675</v>
      </c>
      <c r="B195" t="s">
        <v>471</v>
      </c>
      <c r="C195" s="1" t="s">
        <v>701</v>
      </c>
      <c r="D195" t="s">
        <v>733</v>
      </c>
      <c r="E195" s="4">
        <v>5.8</v>
      </c>
      <c r="F195" s="3">
        <f t="shared" si="64"/>
        <v>0.57777777777777772</v>
      </c>
      <c r="G195">
        <v>49.753799999999998</v>
      </c>
      <c r="H195">
        <f t="shared" ref="H195:H258" si="77">(G195-$AJ$6)/$AK$6</f>
        <v>0.46960903573928464</v>
      </c>
      <c r="I195">
        <v>112.60000000000001</v>
      </c>
      <c r="J195" s="3">
        <f t="shared" si="67"/>
        <v>0.34817563388991957</v>
      </c>
      <c r="K195">
        <v>0</v>
      </c>
      <c r="L195" s="3">
        <f t="shared" si="68"/>
        <v>0</v>
      </c>
      <c r="M195">
        <v>1343</v>
      </c>
      <c r="N195">
        <f t="shared" si="69"/>
        <v>5.2234886658812504E-3</v>
      </c>
      <c r="O195" s="15">
        <v>0.27736754000000002</v>
      </c>
      <c r="P195">
        <f t="shared" si="70"/>
        <v>0.28276357873265179</v>
      </c>
      <c r="Q195">
        <v>0</v>
      </c>
      <c r="R195">
        <f t="shared" si="71"/>
        <v>0</v>
      </c>
      <c r="S195">
        <f t="shared" ref="S195:S258" si="78">F195*(R195*0.5+P195*0.5)*(H195*0.4+J195*0.2+L195*0.4)</f>
        <v>2.103273185681102E-2</v>
      </c>
      <c r="T195" s="14">
        <f t="shared" si="72"/>
        <v>3.5285440908250323E-2</v>
      </c>
      <c r="U195" t="str">
        <f t="shared" ref="U195:U258" si="79">IF(T195&gt;0.7,"High",IF(T195&gt;0.3,"Moderate",IF(T195&gt;0.15,"Low","No Impact")))</f>
        <v>No Impact</v>
      </c>
      <c r="V195">
        <f t="shared" ref="V195:V258" si="80">F195*(R195*1)*(H195*0.4+J195*0.2+L195*0.4)</f>
        <v>0</v>
      </c>
      <c r="W195">
        <f t="shared" si="73"/>
        <v>0</v>
      </c>
      <c r="X195" t="s">
        <v>1176</v>
      </c>
      <c r="Y195">
        <f t="shared" ref="Y195:Y258" si="81">F195*(P195*1)*(H195*0.4+J195*0.2+L195*0.4)</f>
        <v>4.2065463713622041E-2</v>
      </c>
      <c r="Z195">
        <f t="shared" si="74"/>
        <v>8.4284193847723371E-2</v>
      </c>
      <c r="AA195" t="str">
        <f t="shared" ref="AA195:AA258" si="82">IF(Z195&gt;0.7,"High",IF(Z195&gt;0.3,"Moderate",IF(Z195&gt;0.15,"Low","No Impact")))</f>
        <v>No Impact</v>
      </c>
      <c r="AB195">
        <f t="shared" ref="AB195:AB258" si="83">F195*(R195*0.35+P195*0.3+N195*0.35)*(H195*0.4+J195*0.2+L195*0.4)</f>
        <v>1.2891615320751164E-2</v>
      </c>
      <c r="AC195">
        <f t="shared" si="75"/>
        <v>3.0266586140383581E-2</v>
      </c>
      <c r="AD195" t="str">
        <f t="shared" ref="AD195:AD258" si="84">IF(AC195&gt;0.7,"High",IF(AC195&gt;0.3,"Moderate",IF(AC195&gt;0.15,"Low","No Impact")))</f>
        <v>No Impact</v>
      </c>
      <c r="AE195">
        <f t="shared" ref="AE195:AE258" si="85">F195*(N195*1)*(H195*0.4+J195*0.2+L195*0.4)</f>
        <v>7.7707487618443706E-4</v>
      </c>
      <c r="AF195">
        <f t="shared" si="76"/>
        <v>4.2509413201123414E-3</v>
      </c>
      <c r="AG195" t="s">
        <v>1176</v>
      </c>
    </row>
    <row r="196" spans="1:33" x14ac:dyDescent="0.3">
      <c r="A196">
        <v>302676</v>
      </c>
      <c r="B196" t="s">
        <v>487</v>
      </c>
      <c r="C196" s="1" t="s">
        <v>701</v>
      </c>
      <c r="D196" t="s">
        <v>734</v>
      </c>
      <c r="E196" s="4">
        <v>5.8</v>
      </c>
      <c r="F196" s="3">
        <f t="shared" si="64"/>
        <v>0.57777777777777772</v>
      </c>
      <c r="G196">
        <v>49.476239999999997</v>
      </c>
      <c r="H196">
        <f t="shared" si="77"/>
        <v>0.46698924219668492</v>
      </c>
      <c r="I196">
        <v>112.60000000000001</v>
      </c>
      <c r="J196" s="3">
        <f t="shared" si="67"/>
        <v>0.34817563388991957</v>
      </c>
      <c r="K196">
        <v>0</v>
      </c>
      <c r="L196" s="3">
        <f t="shared" si="68"/>
        <v>0</v>
      </c>
      <c r="M196">
        <v>2470</v>
      </c>
      <c r="N196">
        <f t="shared" si="69"/>
        <v>1.0555800012301695E-2</v>
      </c>
      <c r="O196" s="15">
        <v>0.32321501000000002</v>
      </c>
      <c r="P196">
        <f t="shared" si="70"/>
        <v>0.32950298700312891</v>
      </c>
      <c r="Q196">
        <v>0</v>
      </c>
      <c r="R196">
        <f t="shared" si="71"/>
        <v>0</v>
      </c>
      <c r="S196">
        <f t="shared" si="78"/>
        <v>2.4409586457978624E-2</v>
      </c>
      <c r="T196" s="14">
        <f t="shared" si="72"/>
        <v>4.0950601492069923E-2</v>
      </c>
      <c r="U196" t="str">
        <f t="shared" si="79"/>
        <v>No Impact</v>
      </c>
      <c r="V196">
        <f t="shared" si="80"/>
        <v>0</v>
      </c>
      <c r="W196">
        <f t="shared" si="73"/>
        <v>0</v>
      </c>
      <c r="X196" t="s">
        <v>1176</v>
      </c>
      <c r="Y196">
        <f t="shared" si="81"/>
        <v>4.8819172915957249E-2</v>
      </c>
      <c r="Z196">
        <f t="shared" si="74"/>
        <v>9.7816219536921711E-2</v>
      </c>
      <c r="AA196" t="str">
        <f t="shared" si="82"/>
        <v>No Impact</v>
      </c>
      <c r="AB196">
        <f t="shared" si="83"/>
        <v>1.5193133556403535E-2</v>
      </c>
      <c r="AC196">
        <f t="shared" si="75"/>
        <v>3.5670028470912052E-2</v>
      </c>
      <c r="AD196" t="str">
        <f t="shared" si="84"/>
        <v>No Impact</v>
      </c>
      <c r="AE196">
        <f t="shared" si="85"/>
        <v>1.5639476617610346E-3</v>
      </c>
      <c r="AF196">
        <f t="shared" si="76"/>
        <v>8.5554815135924101E-3</v>
      </c>
      <c r="AG196" t="s">
        <v>1176</v>
      </c>
    </row>
    <row r="197" spans="1:33" x14ac:dyDescent="0.3">
      <c r="A197">
        <v>302680</v>
      </c>
      <c r="B197" t="s">
        <v>479</v>
      </c>
      <c r="C197" s="1" t="s">
        <v>701</v>
      </c>
      <c r="D197" t="s">
        <v>1135</v>
      </c>
      <c r="E197" s="4">
        <v>5.8</v>
      </c>
      <c r="F197" s="3">
        <f t="shared" si="64"/>
        <v>0.57777777777777772</v>
      </c>
      <c r="G197">
        <v>53.452439999999996</v>
      </c>
      <c r="H197">
        <f t="shared" si="77"/>
        <v>0.50451922880889433</v>
      </c>
      <c r="I197">
        <v>111.2</v>
      </c>
      <c r="J197" s="3">
        <f t="shared" si="67"/>
        <v>0.34384662956091527</v>
      </c>
      <c r="K197">
        <v>0</v>
      </c>
      <c r="L197" s="3">
        <f t="shared" si="68"/>
        <v>0</v>
      </c>
      <c r="M197">
        <v>2247</v>
      </c>
      <c r="N197">
        <f t="shared" si="69"/>
        <v>9.5006931531608253E-3</v>
      </c>
      <c r="O197" s="15">
        <v>0.12058303099999999</v>
      </c>
      <c r="P197">
        <f t="shared" si="70"/>
        <v>0.12292891006637002</v>
      </c>
      <c r="Q197">
        <v>0</v>
      </c>
      <c r="R197">
        <f t="shared" si="71"/>
        <v>0</v>
      </c>
      <c r="S197">
        <f t="shared" si="78"/>
        <v>9.6089464878000557E-3</v>
      </c>
      <c r="T197" s="14">
        <f t="shared" si="72"/>
        <v>1.6120393479747235E-2</v>
      </c>
      <c r="U197" t="str">
        <f t="shared" si="79"/>
        <v>No Impact</v>
      </c>
      <c r="V197">
        <f t="shared" si="80"/>
        <v>0</v>
      </c>
      <c r="W197">
        <f t="shared" si="73"/>
        <v>0</v>
      </c>
      <c r="X197" t="s">
        <v>1176</v>
      </c>
      <c r="Y197">
        <f t="shared" si="81"/>
        <v>1.9217892975600111E-2</v>
      </c>
      <c r="Z197">
        <f t="shared" si="74"/>
        <v>3.8505806756998939E-2</v>
      </c>
      <c r="AA197" t="str">
        <f t="shared" si="82"/>
        <v>No Impact</v>
      </c>
      <c r="AB197">
        <f t="shared" si="83"/>
        <v>6.2852143343308164E-3</v>
      </c>
      <c r="AC197">
        <f t="shared" si="75"/>
        <v>1.4756256398264368E-2</v>
      </c>
      <c r="AD197" t="str">
        <f t="shared" si="84"/>
        <v>No Impact</v>
      </c>
      <c r="AE197">
        <f t="shared" si="85"/>
        <v>1.4852755475736647E-3</v>
      </c>
      <c r="AF197">
        <f t="shared" si="76"/>
        <v>8.12511045001898E-3</v>
      </c>
      <c r="AG197" t="s">
        <v>1176</v>
      </c>
    </row>
    <row r="198" spans="1:33" x14ac:dyDescent="0.3">
      <c r="A198">
        <v>302688</v>
      </c>
      <c r="B198" t="s">
        <v>506</v>
      </c>
      <c r="C198" s="1" t="s">
        <v>701</v>
      </c>
      <c r="D198" t="s">
        <v>735</v>
      </c>
      <c r="E198" s="4">
        <v>5.7</v>
      </c>
      <c r="F198" s="3">
        <f t="shared" ref="F198:F261" si="86">(E198-$AJ$5)/$AK$5</f>
        <v>0.55555555555555558</v>
      </c>
      <c r="G198">
        <v>49.476239999999997</v>
      </c>
      <c r="H198">
        <f t="shared" si="77"/>
        <v>0.46698924219668492</v>
      </c>
      <c r="I198">
        <v>112.60000000000001</v>
      </c>
      <c r="J198" s="3">
        <f t="shared" si="67"/>
        <v>0.34817563388991957</v>
      </c>
      <c r="K198">
        <v>0</v>
      </c>
      <c r="L198" s="3">
        <f t="shared" si="68"/>
        <v>0</v>
      </c>
      <c r="M198">
        <v>1739</v>
      </c>
      <c r="N198">
        <f t="shared" si="69"/>
        <v>7.0971313395125687E-3</v>
      </c>
      <c r="O198" s="15">
        <v>0</v>
      </c>
      <c r="P198">
        <f t="shared" si="70"/>
        <v>0</v>
      </c>
      <c r="Q198">
        <v>0.04</v>
      </c>
      <c r="R198">
        <f t="shared" si="71"/>
        <v>8.8672134781644874E-2</v>
      </c>
      <c r="S198">
        <f t="shared" si="78"/>
        <v>6.3161857104031618E-3</v>
      </c>
      <c r="T198" s="14">
        <f t="shared" si="72"/>
        <v>1.0596312412825923E-2</v>
      </c>
      <c r="U198" t="str">
        <f t="shared" si="79"/>
        <v>No Impact</v>
      </c>
      <c r="V198">
        <f t="shared" si="80"/>
        <v>1.2632371420806324E-2</v>
      </c>
      <c r="W198">
        <f t="shared" si="73"/>
        <v>1.6978528924695157E-2</v>
      </c>
      <c r="X198" t="s">
        <v>1176</v>
      </c>
      <c r="Y198">
        <f t="shared" si="81"/>
        <v>0</v>
      </c>
      <c r="Z198">
        <f t="shared" si="74"/>
        <v>0</v>
      </c>
      <c r="AA198" t="str">
        <f t="shared" si="82"/>
        <v>No Impact</v>
      </c>
      <c r="AB198">
        <f t="shared" si="83"/>
        <v>4.7752039596415134E-3</v>
      </c>
      <c r="AC198">
        <f t="shared" si="75"/>
        <v>1.1211094838499204E-2</v>
      </c>
      <c r="AD198" t="str">
        <f t="shared" si="84"/>
        <v>No Impact</v>
      </c>
      <c r="AE198">
        <f t="shared" si="85"/>
        <v>1.0110684638837155E-3</v>
      </c>
      <c r="AF198">
        <f t="shared" si="76"/>
        <v>5.5309891521517669E-3</v>
      </c>
      <c r="AG198" t="s">
        <v>1176</v>
      </c>
    </row>
    <row r="199" spans="1:33" x14ac:dyDescent="0.3">
      <c r="A199">
        <v>302690</v>
      </c>
      <c r="B199" t="s">
        <v>516</v>
      </c>
      <c r="C199" s="1" t="s">
        <v>701</v>
      </c>
      <c r="D199" t="s">
        <v>736</v>
      </c>
      <c r="E199" s="4">
        <v>5.8</v>
      </c>
      <c r="F199" s="3">
        <f t="shared" si="86"/>
        <v>0.57777777777777772</v>
      </c>
      <c r="G199">
        <v>49.753799999999998</v>
      </c>
      <c r="H199">
        <f t="shared" si="77"/>
        <v>0.46960903573928464</v>
      </c>
      <c r="I199">
        <v>111.3</v>
      </c>
      <c r="J199" s="3">
        <f t="shared" si="67"/>
        <v>0.3441558441558441</v>
      </c>
      <c r="K199">
        <v>0</v>
      </c>
      <c r="L199" s="3">
        <f t="shared" si="68"/>
        <v>0</v>
      </c>
      <c r="M199">
        <v>1906</v>
      </c>
      <c r="N199">
        <f t="shared" si="69"/>
        <v>7.8872786286449687E-3</v>
      </c>
      <c r="O199" s="15">
        <v>0.24861366400000001</v>
      </c>
      <c r="P199">
        <f t="shared" si="70"/>
        <v>0.25345031128904644</v>
      </c>
      <c r="Q199">
        <v>0</v>
      </c>
      <c r="R199">
        <f t="shared" si="71"/>
        <v>0</v>
      </c>
      <c r="S199">
        <f t="shared" si="78"/>
        <v>1.8793465508583101E-2</v>
      </c>
      <c r="T199" s="14">
        <f t="shared" si="72"/>
        <v>3.1528748675108825E-2</v>
      </c>
      <c r="U199" t="str">
        <f t="shared" si="79"/>
        <v>No Impact</v>
      </c>
      <c r="V199">
        <f t="shared" si="80"/>
        <v>0</v>
      </c>
      <c r="W199">
        <f t="shared" si="73"/>
        <v>0</v>
      </c>
      <c r="X199" t="s">
        <v>1176</v>
      </c>
      <c r="Y199">
        <f t="shared" si="81"/>
        <v>3.7586931017166203E-2</v>
      </c>
      <c r="Z199">
        <f t="shared" si="74"/>
        <v>7.5310810824746846E-2</v>
      </c>
      <c r="AA199" t="str">
        <f t="shared" si="82"/>
        <v>No Impact</v>
      </c>
      <c r="AB199">
        <f t="shared" si="83"/>
        <v>1.168547122373576E-2</v>
      </c>
      <c r="AC199">
        <f t="shared" si="75"/>
        <v>2.7434833617387515E-2</v>
      </c>
      <c r="AD199" t="str">
        <f t="shared" si="84"/>
        <v>No Impact</v>
      </c>
      <c r="AE199">
        <f t="shared" si="85"/>
        <v>1.1696911959597188E-3</v>
      </c>
      <c r="AF199">
        <f t="shared" si="76"/>
        <v>6.39872525681377E-3</v>
      </c>
      <c r="AG199" t="s">
        <v>1176</v>
      </c>
    </row>
    <row r="200" spans="1:33" x14ac:dyDescent="0.3">
      <c r="A200">
        <v>302692</v>
      </c>
      <c r="B200" t="s">
        <v>517</v>
      </c>
      <c r="C200" s="1" t="s">
        <v>701</v>
      </c>
      <c r="D200" t="s">
        <v>737</v>
      </c>
      <c r="E200" s="4">
        <v>5.7</v>
      </c>
      <c r="F200" s="3">
        <f t="shared" si="86"/>
        <v>0.55555555555555558</v>
      </c>
      <c r="G200">
        <v>49.753799999999998</v>
      </c>
      <c r="H200">
        <f t="shared" si="77"/>
        <v>0.46960903573928464</v>
      </c>
      <c r="I200">
        <v>111.3</v>
      </c>
      <c r="J200" s="3">
        <f t="shared" si="67"/>
        <v>0.3441558441558441</v>
      </c>
      <c r="K200">
        <v>0</v>
      </c>
      <c r="L200" s="3">
        <f t="shared" si="68"/>
        <v>0</v>
      </c>
      <c r="M200">
        <v>1942</v>
      </c>
      <c r="N200">
        <f t="shared" si="69"/>
        <v>8.0576097807932706E-3</v>
      </c>
      <c r="O200" s="15">
        <v>0.106315376</v>
      </c>
      <c r="P200">
        <f t="shared" si="70"/>
        <v>0.10838368538750959</v>
      </c>
      <c r="Q200">
        <v>0</v>
      </c>
      <c r="R200">
        <f t="shared" si="71"/>
        <v>0</v>
      </c>
      <c r="S200">
        <f t="shared" si="78"/>
        <v>7.7275997059253632E-3</v>
      </c>
      <c r="T200" s="14">
        <f t="shared" si="72"/>
        <v>1.296416293624467E-2</v>
      </c>
      <c r="U200" t="str">
        <f t="shared" si="79"/>
        <v>No Impact</v>
      </c>
      <c r="V200">
        <f t="shared" si="80"/>
        <v>0</v>
      </c>
      <c r="W200">
        <f t="shared" si="73"/>
        <v>0</v>
      </c>
      <c r="X200" t="s">
        <v>1176</v>
      </c>
      <c r="Y200">
        <f t="shared" si="81"/>
        <v>1.5455199411850726E-2</v>
      </c>
      <c r="Z200">
        <f t="shared" si="74"/>
        <v>3.0966710174689389E-2</v>
      </c>
      <c r="AA200" t="str">
        <f t="shared" si="82"/>
        <v>No Impact</v>
      </c>
      <c r="AB200">
        <f t="shared" si="83"/>
        <v>5.0387069541397494E-3</v>
      </c>
      <c r="AC200">
        <f t="shared" si="75"/>
        <v>1.1829740049576227E-2</v>
      </c>
      <c r="AD200" t="str">
        <f t="shared" si="84"/>
        <v>No Impact</v>
      </c>
      <c r="AE200">
        <f t="shared" si="85"/>
        <v>1.1489918016700897E-3</v>
      </c>
      <c r="AF200">
        <f t="shared" si="76"/>
        <v>6.2854904667261832E-3</v>
      </c>
      <c r="AG200" t="s">
        <v>1176</v>
      </c>
    </row>
    <row r="201" spans="1:33" x14ac:dyDescent="0.3">
      <c r="A201">
        <v>302693</v>
      </c>
      <c r="B201" t="s">
        <v>527</v>
      </c>
      <c r="C201" s="1" t="s">
        <v>701</v>
      </c>
      <c r="D201" t="s">
        <v>738</v>
      </c>
      <c r="E201" s="4">
        <v>5.8</v>
      </c>
      <c r="F201" s="3">
        <f t="shared" si="86"/>
        <v>0.57777777777777772</v>
      </c>
      <c r="G201">
        <v>53.452439999999996</v>
      </c>
      <c r="H201">
        <f t="shared" si="77"/>
        <v>0.50451922880889433</v>
      </c>
      <c r="I201">
        <v>111.2</v>
      </c>
      <c r="J201" s="3">
        <f t="shared" si="67"/>
        <v>0.34384662956091527</v>
      </c>
      <c r="K201">
        <v>0</v>
      </c>
      <c r="L201" s="3">
        <f t="shared" si="68"/>
        <v>0</v>
      </c>
      <c r="M201">
        <v>15432</v>
      </c>
      <c r="N201">
        <f t="shared" si="69"/>
        <v>7.1884477627476309E-2</v>
      </c>
      <c r="O201" s="15">
        <v>0.16159891300000001</v>
      </c>
      <c r="P201">
        <f t="shared" si="70"/>
        <v>0.16474273434875059</v>
      </c>
      <c r="Q201">
        <v>0.1794</v>
      </c>
      <c r="R201">
        <f t="shared" si="71"/>
        <v>0.39769452449567722</v>
      </c>
      <c r="S201">
        <f t="shared" si="78"/>
        <v>4.3963861064603704E-2</v>
      </c>
      <c r="T201" s="14">
        <f t="shared" si="72"/>
        <v>7.3755717148614217E-2</v>
      </c>
      <c r="U201" t="str">
        <f t="shared" si="79"/>
        <v>No Impact</v>
      </c>
      <c r="V201">
        <f t="shared" si="80"/>
        <v>6.2172932344504508E-2</v>
      </c>
      <c r="W201">
        <f t="shared" si="73"/>
        <v>8.3563481074158105E-2</v>
      </c>
      <c r="X201" t="s">
        <v>1176</v>
      </c>
      <c r="Y201">
        <f t="shared" si="81"/>
        <v>2.575478978470291E-2</v>
      </c>
      <c r="Z201">
        <f t="shared" si="74"/>
        <v>5.1603417699121239E-2</v>
      </c>
      <c r="AA201" t="str">
        <f t="shared" si="82"/>
        <v>No Impact</v>
      </c>
      <c r="AB201">
        <f t="shared" si="83"/>
        <v>3.3420243628497576E-2</v>
      </c>
      <c r="AC201">
        <f t="shared" si="75"/>
        <v>7.8463145032440257E-2</v>
      </c>
      <c r="AD201" t="str">
        <f t="shared" si="84"/>
        <v>No Impact</v>
      </c>
      <c r="AE201">
        <f t="shared" si="85"/>
        <v>1.1237943921457513E-2</v>
      </c>
      <c r="AF201">
        <f t="shared" si="76"/>
        <v>6.1476495551363725E-2</v>
      </c>
      <c r="AG201" t="s">
        <v>1175</v>
      </c>
    </row>
    <row r="202" spans="1:33" x14ac:dyDescent="0.3">
      <c r="A202">
        <v>302695</v>
      </c>
      <c r="B202" t="s">
        <v>532</v>
      </c>
      <c r="C202" s="1" t="s">
        <v>701</v>
      </c>
      <c r="D202" t="s">
        <v>739</v>
      </c>
      <c r="E202" s="4">
        <v>5.7</v>
      </c>
      <c r="F202" s="3">
        <f t="shared" si="86"/>
        <v>0.55555555555555558</v>
      </c>
      <c r="G202">
        <v>50.183639999999997</v>
      </c>
      <c r="H202">
        <f t="shared" si="77"/>
        <v>0.47366614791809658</v>
      </c>
      <c r="I202">
        <v>111.3</v>
      </c>
      <c r="J202" s="3">
        <f t="shared" si="67"/>
        <v>0.3441558441558441</v>
      </c>
      <c r="K202">
        <v>0</v>
      </c>
      <c r="L202" s="3">
        <f t="shared" si="68"/>
        <v>0</v>
      </c>
      <c r="M202">
        <v>7916</v>
      </c>
      <c r="N202">
        <f t="shared" si="69"/>
        <v>3.632311819562533E-2</v>
      </c>
      <c r="O202" s="15">
        <v>0.12751720899999999</v>
      </c>
      <c r="P202">
        <f t="shared" si="70"/>
        <v>0.12999798883041438</v>
      </c>
      <c r="Q202">
        <v>0.13</v>
      </c>
      <c r="R202">
        <f t="shared" si="71"/>
        <v>0.28818443804034583</v>
      </c>
      <c r="S202">
        <f t="shared" si="78"/>
        <v>3.0004313592037469E-2</v>
      </c>
      <c r="T202" s="14">
        <f t="shared" si="72"/>
        <v>5.0336563098511936E-2</v>
      </c>
      <c r="U202" t="str">
        <f t="shared" si="79"/>
        <v>No Impact</v>
      </c>
      <c r="V202">
        <f t="shared" si="80"/>
        <v>4.1354087095486318E-2</v>
      </c>
      <c r="W202">
        <f t="shared" si="73"/>
        <v>5.5581928405669077E-2</v>
      </c>
      <c r="X202" t="s">
        <v>1176</v>
      </c>
      <c r="Y202">
        <f t="shared" si="81"/>
        <v>1.8654540088588616E-2</v>
      </c>
      <c r="Z202">
        <f t="shared" si="74"/>
        <v>3.737704839463301E-2</v>
      </c>
      <c r="AA202" t="str">
        <f t="shared" si="82"/>
        <v>No Impact</v>
      </c>
      <c r="AB202">
        <f t="shared" si="83"/>
        <v>2.189460436833154E-2</v>
      </c>
      <c r="AC202">
        <f t="shared" si="75"/>
        <v>5.1403560580731998E-2</v>
      </c>
      <c r="AD202" t="str">
        <f t="shared" si="84"/>
        <v>No Impact</v>
      </c>
      <c r="AE202">
        <f t="shared" si="85"/>
        <v>5.2123195952421212E-3</v>
      </c>
      <c r="AF202">
        <f t="shared" si="76"/>
        <v>2.8513680496069709E-2</v>
      </c>
      <c r="AG202" t="s">
        <v>1176</v>
      </c>
    </row>
    <row r="203" spans="1:33" x14ac:dyDescent="0.3">
      <c r="A203">
        <v>302696</v>
      </c>
      <c r="B203" t="s">
        <v>531</v>
      </c>
      <c r="C203" s="1" t="s">
        <v>701</v>
      </c>
      <c r="D203" t="s">
        <v>740</v>
      </c>
      <c r="E203" s="4">
        <v>5.8</v>
      </c>
      <c r="F203" s="3">
        <f t="shared" si="86"/>
        <v>0.57777777777777772</v>
      </c>
      <c r="G203">
        <v>50.183639999999997</v>
      </c>
      <c r="H203">
        <f t="shared" si="77"/>
        <v>0.47366614791809658</v>
      </c>
      <c r="I203">
        <v>111.3</v>
      </c>
      <c r="J203" s="3">
        <f t="shared" si="67"/>
        <v>0.3441558441558441</v>
      </c>
      <c r="K203">
        <v>0</v>
      </c>
      <c r="L203" s="3">
        <f t="shared" si="68"/>
        <v>0</v>
      </c>
      <c r="M203">
        <v>14687</v>
      </c>
      <c r="N203">
        <f t="shared" si="69"/>
        <v>6.8359569062185072E-2</v>
      </c>
      <c r="O203" s="15">
        <v>0.26089968600000002</v>
      </c>
      <c r="P203">
        <f t="shared" si="70"/>
        <v>0.2659753513463945</v>
      </c>
      <c r="Q203">
        <v>0.28839999999999999</v>
      </c>
      <c r="R203">
        <f t="shared" si="71"/>
        <v>0.63932609177565947</v>
      </c>
      <c r="S203">
        <f t="shared" si="78"/>
        <v>6.7552973332566726E-2</v>
      </c>
      <c r="T203" s="14">
        <f t="shared" si="72"/>
        <v>0.11332985486290983</v>
      </c>
      <c r="U203" t="str">
        <f t="shared" si="79"/>
        <v>No Impact</v>
      </c>
      <c r="V203">
        <f t="shared" si="80"/>
        <v>9.541214974670599E-2</v>
      </c>
      <c r="W203">
        <f t="shared" si="73"/>
        <v>0.12823862521755963</v>
      </c>
      <c r="X203" t="s">
        <v>1176</v>
      </c>
      <c r="Y203">
        <f t="shared" si="81"/>
        <v>3.9693796918427449E-2</v>
      </c>
      <c r="Z203">
        <f t="shared" si="74"/>
        <v>7.9532219038429677E-2</v>
      </c>
      <c r="AA203" t="str">
        <f t="shared" si="82"/>
        <v>No Impact</v>
      </c>
      <c r="AB203">
        <f t="shared" si="83"/>
        <v>4.8873052427137041E-2</v>
      </c>
      <c r="AC203">
        <f t="shared" si="75"/>
        <v>0.1147428320210873</v>
      </c>
      <c r="AD203" t="str">
        <f t="shared" si="84"/>
        <v>No Impact</v>
      </c>
      <c r="AE203">
        <f t="shared" si="85"/>
        <v>1.0201888400747752E-2</v>
      </c>
      <c r="AF203">
        <f t="shared" si="76"/>
        <v>5.5808816209392181E-2</v>
      </c>
      <c r="AG203" t="s">
        <v>1176</v>
      </c>
    </row>
    <row r="204" spans="1:33" x14ac:dyDescent="0.3">
      <c r="A204">
        <v>302903</v>
      </c>
      <c r="B204" t="s">
        <v>9</v>
      </c>
      <c r="C204" s="1" t="s">
        <v>742</v>
      </c>
      <c r="D204" t="s">
        <v>741</v>
      </c>
      <c r="E204" s="4">
        <v>5.4</v>
      </c>
      <c r="F204" s="3">
        <f t="shared" si="86"/>
        <v>0.48888888888888893</v>
      </c>
      <c r="G204">
        <v>65.45808000000001</v>
      </c>
      <c r="H204">
        <f t="shared" si="77"/>
        <v>0.61783634275462296</v>
      </c>
      <c r="I204">
        <v>153.10000000000002</v>
      </c>
      <c r="J204" s="3">
        <f t="shared" si="67"/>
        <v>0.4734075448361163</v>
      </c>
      <c r="K204">
        <v>0</v>
      </c>
      <c r="L204" s="3">
        <f t="shared" si="68"/>
        <v>0</v>
      </c>
      <c r="M204">
        <v>9951</v>
      </c>
      <c r="N204">
        <f t="shared" si="69"/>
        <v>4.5951559712897383E-2</v>
      </c>
      <c r="O204" s="15">
        <v>8.6988282E-2</v>
      </c>
      <c r="P204">
        <f t="shared" si="70"/>
        <v>8.8680592999905883E-2</v>
      </c>
      <c r="Q204">
        <v>0.30940000000000001</v>
      </c>
      <c r="R204">
        <f t="shared" si="71"/>
        <v>0.6858789625360231</v>
      </c>
      <c r="S204">
        <f t="shared" si="78"/>
        <v>6.4718349597808977E-2</v>
      </c>
      <c r="T204" s="14">
        <f t="shared" si="72"/>
        <v>0.10857436475487954</v>
      </c>
      <c r="U204" t="str">
        <f t="shared" si="79"/>
        <v>No Impact</v>
      </c>
      <c r="V204">
        <f t="shared" si="80"/>
        <v>0.11461727936072133</v>
      </c>
      <c r="W204">
        <f t="shared" si="73"/>
        <v>0.15405126464937788</v>
      </c>
      <c r="X204" t="s">
        <v>1176</v>
      </c>
      <c r="Y204">
        <f t="shared" si="81"/>
        <v>1.4819419834896597E-2</v>
      </c>
      <c r="Z204">
        <f t="shared" si="74"/>
        <v>2.9692834544237878E-2</v>
      </c>
      <c r="AA204" t="str">
        <f t="shared" si="82"/>
        <v>No Impact</v>
      </c>
      <c r="AB204">
        <f t="shared" si="83"/>
        <v>4.724951260402422E-2</v>
      </c>
      <c r="AC204">
        <f t="shared" si="75"/>
        <v>0.11093112908968737</v>
      </c>
      <c r="AD204" t="str">
        <f t="shared" si="84"/>
        <v>No Impact</v>
      </c>
      <c r="AE204">
        <f t="shared" si="85"/>
        <v>7.6789682208650723E-3</v>
      </c>
      <c r="AF204">
        <f t="shared" si="76"/>
        <v>4.2007333278083203E-2</v>
      </c>
      <c r="AG204" t="s">
        <v>1176</v>
      </c>
    </row>
    <row r="205" spans="1:33" x14ac:dyDescent="0.3">
      <c r="A205">
        <v>302910</v>
      </c>
      <c r="B205" t="s">
        <v>67</v>
      </c>
      <c r="C205" s="1" t="s">
        <v>742</v>
      </c>
      <c r="D205" t="s">
        <v>743</v>
      </c>
      <c r="E205" s="4">
        <v>5.4</v>
      </c>
      <c r="F205" s="3">
        <f t="shared" si="86"/>
        <v>0.48888888888888893</v>
      </c>
      <c r="G205">
        <v>65.219039999999993</v>
      </c>
      <c r="H205">
        <f t="shared" si="77"/>
        <v>0.61558012626657321</v>
      </c>
      <c r="I205">
        <v>134.70000000000002</v>
      </c>
      <c r="J205" s="3">
        <f t="shared" si="67"/>
        <v>0.41651205936920221</v>
      </c>
      <c r="K205">
        <v>0</v>
      </c>
      <c r="L205" s="3">
        <f t="shared" si="68"/>
        <v>0</v>
      </c>
      <c r="M205">
        <v>18588</v>
      </c>
      <c r="N205">
        <f t="shared" si="69"/>
        <v>8.6816841965810757E-2</v>
      </c>
      <c r="O205" s="15">
        <v>0.26680240199999999</v>
      </c>
      <c r="P205">
        <f t="shared" si="70"/>
        <v>0.27199290156298611</v>
      </c>
      <c r="Q205">
        <v>0.31979999999999997</v>
      </c>
      <c r="R205">
        <f t="shared" si="71"/>
        <v>0.70893371757925061</v>
      </c>
      <c r="S205">
        <f t="shared" si="78"/>
        <v>7.9016453040244822E-2</v>
      </c>
      <c r="T205" s="14">
        <f t="shared" si="72"/>
        <v>0.13256149526901403</v>
      </c>
      <c r="U205" t="str">
        <f t="shared" si="79"/>
        <v>No Impact</v>
      </c>
      <c r="V205">
        <f t="shared" si="80"/>
        <v>0.1142132891708679</v>
      </c>
      <c r="W205">
        <f t="shared" si="73"/>
        <v>0.1535082819507832</v>
      </c>
      <c r="X205" t="s">
        <v>1176</v>
      </c>
      <c r="Y205">
        <f t="shared" si="81"/>
        <v>4.3819616909621745E-2</v>
      </c>
      <c r="Z205">
        <f t="shared" si="74"/>
        <v>8.7798891534566298E-2</v>
      </c>
      <c r="AA205" t="str">
        <f t="shared" si="82"/>
        <v>No Impact</v>
      </c>
      <c r="AB205">
        <f t="shared" si="83"/>
        <v>5.8015878245787113E-2</v>
      </c>
      <c r="AC205">
        <f t="shared" si="75"/>
        <v>0.13620811145439973</v>
      </c>
      <c r="AD205" t="str">
        <f t="shared" si="84"/>
        <v>No Impact</v>
      </c>
      <c r="AE205">
        <f t="shared" si="85"/>
        <v>1.3986691323133786E-2</v>
      </c>
      <c r="AF205">
        <f t="shared" si="76"/>
        <v>7.6513352701746945E-2</v>
      </c>
      <c r="AG205" t="s">
        <v>1175</v>
      </c>
    </row>
    <row r="206" spans="1:33" x14ac:dyDescent="0.3">
      <c r="A206">
        <v>302918</v>
      </c>
      <c r="B206" t="s">
        <v>84</v>
      </c>
      <c r="C206" s="1" t="s">
        <v>742</v>
      </c>
      <c r="D206" t="s">
        <v>744</v>
      </c>
      <c r="E206" s="4">
        <v>5.5</v>
      </c>
      <c r="F206" s="3">
        <f t="shared" si="86"/>
        <v>0.51111111111111107</v>
      </c>
      <c r="G206">
        <v>65.45808000000001</v>
      </c>
      <c r="H206">
        <f t="shared" si="77"/>
        <v>0.61783634275462296</v>
      </c>
      <c r="I206">
        <v>149.4</v>
      </c>
      <c r="J206" s="3">
        <f t="shared" si="67"/>
        <v>0.46196660482374763</v>
      </c>
      <c r="K206">
        <v>0</v>
      </c>
      <c r="L206" s="3">
        <f t="shared" si="68"/>
        <v>0</v>
      </c>
      <c r="M206">
        <v>27398</v>
      </c>
      <c r="N206">
        <f t="shared" si="69"/>
        <v>0.12850066003321459</v>
      </c>
      <c r="O206" s="15">
        <v>0.43771666799999998</v>
      </c>
      <c r="P206">
        <f t="shared" si="70"/>
        <v>0.44623221417550157</v>
      </c>
      <c r="Q206">
        <v>0.35360000000000003</v>
      </c>
      <c r="R206">
        <f t="shared" si="71"/>
        <v>0.78386167146974073</v>
      </c>
      <c r="S206">
        <f t="shared" si="78"/>
        <v>0.10673306967689801</v>
      </c>
      <c r="T206" s="14">
        <f t="shared" si="72"/>
        <v>0.17906011680649875</v>
      </c>
      <c r="U206" t="str">
        <f t="shared" si="79"/>
        <v>Low</v>
      </c>
      <c r="V206">
        <f t="shared" si="80"/>
        <v>0.13602858021547495</v>
      </c>
      <c r="W206">
        <f t="shared" si="73"/>
        <v>0.18282910681122433</v>
      </c>
      <c r="X206" t="s">
        <v>1175</v>
      </c>
      <c r="Y206">
        <f t="shared" si="81"/>
        <v>7.7437559138321024E-2</v>
      </c>
      <c r="Z206">
        <f t="shared" si="74"/>
        <v>0.15515726368648666</v>
      </c>
      <c r="AA206" t="str">
        <f t="shared" si="82"/>
        <v>Low</v>
      </c>
      <c r="AB206">
        <f t="shared" si="83"/>
        <v>7.8646113229864381E-2</v>
      </c>
      <c r="AC206">
        <f t="shared" si="75"/>
        <v>0.18464321975590517</v>
      </c>
      <c r="AD206" t="str">
        <f t="shared" si="84"/>
        <v>Low</v>
      </c>
      <c r="AE206">
        <f t="shared" si="85"/>
        <v>2.2299549751291003E-2</v>
      </c>
      <c r="AF206">
        <f t="shared" si="76"/>
        <v>0.12198834419035398</v>
      </c>
      <c r="AG206" t="s">
        <v>1175</v>
      </c>
    </row>
    <row r="207" spans="1:33" x14ac:dyDescent="0.3">
      <c r="A207">
        <v>302921</v>
      </c>
      <c r="B207" t="s">
        <v>99</v>
      </c>
      <c r="C207" s="1" t="s">
        <v>742</v>
      </c>
      <c r="D207" t="s">
        <v>745</v>
      </c>
      <c r="E207" s="4">
        <v>5.4</v>
      </c>
      <c r="F207" s="3">
        <f t="shared" si="86"/>
        <v>0.48888888888888893</v>
      </c>
      <c r="G207">
        <v>55.912320000000001</v>
      </c>
      <c r="H207">
        <f t="shared" si="77"/>
        <v>0.52773719155413901</v>
      </c>
      <c r="I207">
        <v>124</v>
      </c>
      <c r="J207" s="3">
        <f t="shared" si="67"/>
        <v>0.38342609771181196</v>
      </c>
      <c r="K207">
        <v>0</v>
      </c>
      <c r="L207" s="3">
        <f t="shared" si="68"/>
        <v>0</v>
      </c>
      <c r="M207">
        <v>8877</v>
      </c>
      <c r="N207">
        <f t="shared" si="69"/>
        <v>4.0870013673806382E-2</v>
      </c>
      <c r="O207" s="15">
        <v>0.57185627100000003</v>
      </c>
      <c r="P207">
        <f t="shared" si="70"/>
        <v>0.58298143217720855</v>
      </c>
      <c r="Q207">
        <v>0.25850000000000001</v>
      </c>
      <c r="R207">
        <f t="shared" si="71"/>
        <v>0.57304367102637999</v>
      </c>
      <c r="S207">
        <f t="shared" si="78"/>
        <v>8.1322025978831619E-2</v>
      </c>
      <c r="T207" s="14">
        <f t="shared" si="72"/>
        <v>0.13642942636983396</v>
      </c>
      <c r="U207" t="str">
        <f t="shared" si="79"/>
        <v>No Impact</v>
      </c>
      <c r="V207">
        <f t="shared" si="80"/>
        <v>8.0622941790919514E-2</v>
      </c>
      <c r="W207">
        <f t="shared" si="73"/>
        <v>0.10836120183551148</v>
      </c>
      <c r="X207" t="s">
        <v>1176</v>
      </c>
      <c r="Y207">
        <f t="shared" si="81"/>
        <v>8.2021110166743738E-2</v>
      </c>
      <c r="Z207">
        <f t="shared" si="74"/>
        <v>0.16434106600994494</v>
      </c>
      <c r="AA207" t="str">
        <f t="shared" si="82"/>
        <v>Low</v>
      </c>
      <c r="AB207">
        <f t="shared" si="83"/>
        <v>5.4836899094236065E-2</v>
      </c>
      <c r="AC207">
        <f t="shared" si="75"/>
        <v>0.12874459009303654</v>
      </c>
      <c r="AD207" t="str">
        <f t="shared" si="84"/>
        <v>No Impact</v>
      </c>
      <c r="AE207">
        <f t="shared" si="85"/>
        <v>5.7501040496888908E-3</v>
      </c>
      <c r="AF207">
        <f t="shared" si="76"/>
        <v>3.1455597972474193E-2</v>
      </c>
      <c r="AG207" t="s">
        <v>1176</v>
      </c>
    </row>
    <row r="208" spans="1:33" x14ac:dyDescent="0.3">
      <c r="A208">
        <v>302947</v>
      </c>
      <c r="B208" t="s">
        <v>164</v>
      </c>
      <c r="C208" s="1" t="s">
        <v>742</v>
      </c>
      <c r="D208" t="s">
        <v>746</v>
      </c>
      <c r="E208" s="4">
        <v>5.5</v>
      </c>
      <c r="F208" s="3">
        <f t="shared" si="86"/>
        <v>0.51111111111111107</v>
      </c>
      <c r="G208">
        <v>55.912320000000001</v>
      </c>
      <c r="H208">
        <f t="shared" si="77"/>
        <v>0.52773719155413901</v>
      </c>
      <c r="I208">
        <v>151.69999999999999</v>
      </c>
      <c r="J208" s="3">
        <f t="shared" si="67"/>
        <v>0.46907854050711184</v>
      </c>
      <c r="K208">
        <v>0</v>
      </c>
      <c r="L208" s="3">
        <f t="shared" si="68"/>
        <v>0</v>
      </c>
      <c r="M208">
        <v>53061</v>
      </c>
      <c r="N208">
        <f t="shared" si="69"/>
        <v>0.24992311441048862</v>
      </c>
      <c r="O208" s="15">
        <v>0.63880212000000003</v>
      </c>
      <c r="P208">
        <f t="shared" si="70"/>
        <v>0.65122967724775904</v>
      </c>
      <c r="Q208">
        <v>0.32090000000000002</v>
      </c>
      <c r="R208">
        <f t="shared" si="71"/>
        <v>0.71137220128574596</v>
      </c>
      <c r="S208">
        <f t="shared" si="78"/>
        <v>0.10617611019059506</v>
      </c>
      <c r="T208" s="14">
        <f t="shared" si="72"/>
        <v>0.17812573694676276</v>
      </c>
      <c r="U208" t="str">
        <f t="shared" si="79"/>
        <v>Low</v>
      </c>
      <c r="V208">
        <f t="shared" si="80"/>
        <v>0.11086251152322084</v>
      </c>
      <c r="W208">
        <f t="shared" si="73"/>
        <v>0.14900467187507768</v>
      </c>
      <c r="X208" t="s">
        <v>1176</v>
      </c>
      <c r="Y208">
        <f t="shared" si="81"/>
        <v>0.10148970885796928</v>
      </c>
      <c r="Z208">
        <f t="shared" si="74"/>
        <v>0.20334919764985401</v>
      </c>
      <c r="AA208" t="str">
        <f t="shared" si="82"/>
        <v>Low</v>
      </c>
      <c r="AB208">
        <f t="shared" si="83"/>
        <v>8.2880876885034815E-2</v>
      </c>
      <c r="AC208">
        <f t="shared" si="75"/>
        <v>0.19458548344935159</v>
      </c>
      <c r="AD208" t="str">
        <f t="shared" si="84"/>
        <v>Low</v>
      </c>
      <c r="AE208">
        <f t="shared" si="85"/>
        <v>3.8948814841476449E-2</v>
      </c>
      <c r="AF208">
        <f t="shared" si="76"/>
        <v>0.21306714636304824</v>
      </c>
      <c r="AG208" t="s">
        <v>1175</v>
      </c>
    </row>
    <row r="209" spans="1:33" x14ac:dyDescent="0.3">
      <c r="A209">
        <v>302956</v>
      </c>
      <c r="B209" t="s">
        <v>310</v>
      </c>
      <c r="C209" s="1" t="s">
        <v>742</v>
      </c>
      <c r="D209" t="s">
        <v>747</v>
      </c>
      <c r="E209" s="4">
        <v>5.5</v>
      </c>
      <c r="F209" s="3">
        <f t="shared" si="86"/>
        <v>0.51111111111111107</v>
      </c>
      <c r="G209">
        <v>54.1098</v>
      </c>
      <c r="H209">
        <f t="shared" si="77"/>
        <v>0.51072382415103057</v>
      </c>
      <c r="I209">
        <v>142.9</v>
      </c>
      <c r="J209" s="3">
        <f t="shared" si="67"/>
        <v>0.44186765615337043</v>
      </c>
      <c r="K209">
        <v>0</v>
      </c>
      <c r="L209" s="3">
        <f t="shared" si="68"/>
        <v>0</v>
      </c>
      <c r="M209">
        <v>19899</v>
      </c>
      <c r="N209">
        <f t="shared" si="69"/>
        <v>9.3019734756544736E-2</v>
      </c>
      <c r="O209" s="15">
        <v>0.37834958600000002</v>
      </c>
      <c r="P209">
        <f t="shared" si="70"/>
        <v>0.38571017700693172</v>
      </c>
      <c r="Q209">
        <v>0.35780000000000001</v>
      </c>
      <c r="R209">
        <f t="shared" si="71"/>
        <v>0.79317224562181332</v>
      </c>
      <c r="S209">
        <f t="shared" si="78"/>
        <v>8.8170586438402657E-2</v>
      </c>
      <c r="T209" s="14">
        <f t="shared" si="72"/>
        <v>0.1479188742003838</v>
      </c>
      <c r="U209" t="str">
        <f t="shared" si="79"/>
        <v>No Impact</v>
      </c>
      <c r="V209">
        <f t="shared" si="80"/>
        <v>0.11864535546674083</v>
      </c>
      <c r="W209">
        <f t="shared" si="73"/>
        <v>0.15946519718814739</v>
      </c>
      <c r="X209" t="s">
        <v>1176</v>
      </c>
      <c r="Y209">
        <f t="shared" si="81"/>
        <v>5.7695817410064465E-2</v>
      </c>
      <c r="Z209">
        <f t="shared" si="74"/>
        <v>0.11560185076999385</v>
      </c>
      <c r="AA209" t="str">
        <f t="shared" si="82"/>
        <v>No Impact</v>
      </c>
      <c r="AB209">
        <f t="shared" si="83"/>
        <v>6.3704590622864751E-2</v>
      </c>
      <c r="AC209">
        <f t="shared" si="75"/>
        <v>0.14956391667390068</v>
      </c>
      <c r="AD209" t="str">
        <f t="shared" si="84"/>
        <v>No Impact</v>
      </c>
      <c r="AE209">
        <f t="shared" si="85"/>
        <v>1.3914202818531757E-2</v>
      </c>
      <c r="AF209">
        <f t="shared" si="76"/>
        <v>7.6116808702076072E-2</v>
      </c>
      <c r="AG209" t="s">
        <v>1175</v>
      </c>
    </row>
    <row r="210" spans="1:33" x14ac:dyDescent="0.3">
      <c r="A210">
        <v>302962</v>
      </c>
      <c r="B210" t="s">
        <v>359</v>
      </c>
      <c r="C210" s="1" t="s">
        <v>742</v>
      </c>
      <c r="D210" t="s">
        <v>748</v>
      </c>
      <c r="E210" s="4">
        <v>5.4</v>
      </c>
      <c r="F210" s="3">
        <f t="shared" si="86"/>
        <v>0.48888888888888893</v>
      </c>
      <c r="G210">
        <v>65.219039999999993</v>
      </c>
      <c r="H210">
        <f t="shared" si="77"/>
        <v>0.61558012626657321</v>
      </c>
      <c r="I210">
        <v>147.79999999999998</v>
      </c>
      <c r="J210" s="3">
        <f t="shared" si="67"/>
        <v>0.45701917130488551</v>
      </c>
      <c r="K210">
        <v>0</v>
      </c>
      <c r="L210" s="3">
        <f t="shared" si="68"/>
        <v>0</v>
      </c>
      <c r="M210">
        <v>16580</v>
      </c>
      <c r="N210">
        <f t="shared" si="69"/>
        <v>7.7316148812649921E-2</v>
      </c>
      <c r="O210" s="15">
        <v>0.53940567100000003</v>
      </c>
      <c r="P210">
        <f t="shared" si="70"/>
        <v>0.54989952292415822</v>
      </c>
      <c r="Q210">
        <v>0.3054</v>
      </c>
      <c r="R210">
        <f t="shared" si="71"/>
        <v>0.67701174905785855</v>
      </c>
      <c r="S210">
        <f t="shared" si="78"/>
        <v>0.10126093336259943</v>
      </c>
      <c r="T210" s="14">
        <f t="shared" si="72"/>
        <v>0.16987981897954074</v>
      </c>
      <c r="U210" t="str">
        <f t="shared" si="79"/>
        <v>Low</v>
      </c>
      <c r="V210">
        <f t="shared" si="80"/>
        <v>0.11175191421348281</v>
      </c>
      <c r="W210">
        <f t="shared" si="73"/>
        <v>0.15020007286506462</v>
      </c>
      <c r="X210" t="s">
        <v>1176</v>
      </c>
      <c r="Y210">
        <f t="shared" si="81"/>
        <v>9.0769952511716059E-2</v>
      </c>
      <c r="Z210">
        <f t="shared" si="74"/>
        <v>0.18187062729487213</v>
      </c>
      <c r="AA210" t="str">
        <f t="shared" si="82"/>
        <v>Low</v>
      </c>
      <c r="AB210">
        <f t="shared" si="83"/>
        <v>7.0810961030369546E-2</v>
      </c>
      <c r="AC210">
        <f t="shared" si="75"/>
        <v>0.16624806111451249</v>
      </c>
      <c r="AD210" t="str">
        <f t="shared" si="84"/>
        <v>Low</v>
      </c>
      <c r="AE210">
        <f t="shared" si="85"/>
        <v>1.2762300863245013E-2</v>
      </c>
      <c r="AF210">
        <f t="shared" si="76"/>
        <v>6.9815398415219235E-2</v>
      </c>
      <c r="AG210" t="s">
        <v>1175</v>
      </c>
    </row>
    <row r="211" spans="1:33" x14ac:dyDescent="0.3">
      <c r="A211">
        <v>302984</v>
      </c>
      <c r="B211" t="s">
        <v>450</v>
      </c>
      <c r="C211" s="1" t="s">
        <v>742</v>
      </c>
      <c r="D211" t="s">
        <v>749</v>
      </c>
      <c r="E211" s="4">
        <v>5.4</v>
      </c>
      <c r="F211" s="3">
        <f t="shared" si="86"/>
        <v>0.48888888888888893</v>
      </c>
      <c r="G211">
        <v>56.029320000000006</v>
      </c>
      <c r="H211">
        <f t="shared" si="77"/>
        <v>0.52884151438338012</v>
      </c>
      <c r="I211">
        <v>135.1</v>
      </c>
      <c r="J211" s="3">
        <f t="shared" si="67"/>
        <v>0.4177489177489177</v>
      </c>
      <c r="K211">
        <v>0</v>
      </c>
      <c r="L211" s="3">
        <f t="shared" si="68"/>
        <v>0</v>
      </c>
      <c r="M211">
        <v>32677</v>
      </c>
      <c r="N211">
        <f t="shared" si="69"/>
        <v>0.1534778309274058</v>
      </c>
      <c r="O211" s="15">
        <v>0.381362959</v>
      </c>
      <c r="P211">
        <f t="shared" si="70"/>
        <v>0.38878217358423972</v>
      </c>
      <c r="Q211">
        <v>0.3044</v>
      </c>
      <c r="R211">
        <f t="shared" si="71"/>
        <v>0.67479494568831744</v>
      </c>
      <c r="S211">
        <f t="shared" si="78"/>
        <v>7.6718187790828049E-2</v>
      </c>
      <c r="T211" s="14">
        <f t="shared" si="72"/>
        <v>0.12870582387064933</v>
      </c>
      <c r="U211" t="str">
        <f t="shared" si="79"/>
        <v>No Impact</v>
      </c>
      <c r="V211">
        <f t="shared" si="80"/>
        <v>9.7348926421105861E-2</v>
      </c>
      <c r="W211">
        <f t="shared" si="73"/>
        <v>0.13084174839147231</v>
      </c>
      <c r="X211" t="s">
        <v>1176</v>
      </c>
      <c r="Y211">
        <f t="shared" si="81"/>
        <v>5.6087449160550237E-2</v>
      </c>
      <c r="Z211">
        <f t="shared" si="74"/>
        <v>0.11237925414670541</v>
      </c>
      <c r="AA211" t="str">
        <f t="shared" si="82"/>
        <v>No Impact</v>
      </c>
      <c r="AB211">
        <f t="shared" si="83"/>
        <v>5.8647847574254966E-2</v>
      </c>
      <c r="AC211">
        <f t="shared" si="75"/>
        <v>0.13769183196903251</v>
      </c>
      <c r="AD211" t="str">
        <f t="shared" si="84"/>
        <v>No Impact</v>
      </c>
      <c r="AE211">
        <f t="shared" si="85"/>
        <v>2.2141395939151032E-2</v>
      </c>
      <c r="AF211">
        <f t="shared" si="76"/>
        <v>0.12112317328396693</v>
      </c>
      <c r="AG211" t="s">
        <v>1175</v>
      </c>
    </row>
    <row r="212" spans="1:33" x14ac:dyDescent="0.3">
      <c r="A212">
        <v>302990</v>
      </c>
      <c r="B212" t="s">
        <v>455</v>
      </c>
      <c r="C212" s="1" t="s">
        <v>742</v>
      </c>
      <c r="D212" t="s">
        <v>750</v>
      </c>
      <c r="E212" s="4">
        <v>5.4</v>
      </c>
      <c r="F212" s="3">
        <f t="shared" si="86"/>
        <v>0.48888888888888893</v>
      </c>
      <c r="G212">
        <v>65.219039999999993</v>
      </c>
      <c r="H212">
        <f t="shared" si="77"/>
        <v>0.61558012626657321</v>
      </c>
      <c r="I212">
        <v>147.79999999999998</v>
      </c>
      <c r="J212" s="3">
        <f t="shared" si="67"/>
        <v>0.45701917130488551</v>
      </c>
      <c r="K212">
        <v>0</v>
      </c>
      <c r="L212" s="3">
        <f t="shared" si="68"/>
        <v>0</v>
      </c>
      <c r="M212">
        <v>15640</v>
      </c>
      <c r="N212">
        <f t="shared" si="69"/>
        <v>7.2868613173222047E-2</v>
      </c>
      <c r="O212" s="15">
        <v>0.51133465300000003</v>
      </c>
      <c r="P212">
        <f t="shared" si="70"/>
        <v>0.52128239812163557</v>
      </c>
      <c r="Q212">
        <v>0.31900000000000001</v>
      </c>
      <c r="R212">
        <f t="shared" si="71"/>
        <v>0.70716027488361788</v>
      </c>
      <c r="S212">
        <f t="shared" si="78"/>
        <v>0.10138732481445632</v>
      </c>
      <c r="T212" s="14">
        <f t="shared" si="72"/>
        <v>0.17009185886747188</v>
      </c>
      <c r="U212" t="str">
        <f t="shared" si="79"/>
        <v>Low</v>
      </c>
      <c r="V212">
        <f t="shared" si="80"/>
        <v>0.11672842381827445</v>
      </c>
      <c r="W212">
        <f t="shared" si="73"/>
        <v>0.15688874670581407</v>
      </c>
      <c r="X212" t="s">
        <v>1176</v>
      </c>
      <c r="Y212">
        <f t="shared" si="81"/>
        <v>8.6046225810638186E-2</v>
      </c>
      <c r="Z212">
        <f t="shared" si="74"/>
        <v>0.17240596289302967</v>
      </c>
      <c r="AA212" t="str">
        <f t="shared" si="82"/>
        <v>Low</v>
      </c>
      <c r="AB212">
        <f t="shared" si="83"/>
        <v>7.0878672787144742E-2</v>
      </c>
      <c r="AC212">
        <f t="shared" si="75"/>
        <v>0.16640703294761197</v>
      </c>
      <c r="AD212" t="str">
        <f t="shared" si="84"/>
        <v>Low</v>
      </c>
      <c r="AE212">
        <f t="shared" si="85"/>
        <v>1.2028162021592096E-2</v>
      </c>
      <c r="AF212">
        <f t="shared" si="76"/>
        <v>6.5799336086701632E-2</v>
      </c>
      <c r="AG212" t="s">
        <v>1175</v>
      </c>
    </row>
    <row r="213" spans="1:33" x14ac:dyDescent="0.3">
      <c r="A213">
        <v>303330</v>
      </c>
      <c r="B213" t="s">
        <v>180</v>
      </c>
      <c r="C213" s="1" t="s">
        <v>752</v>
      </c>
      <c r="D213" t="s">
        <v>751</v>
      </c>
      <c r="E213" s="4">
        <v>4.8</v>
      </c>
      <c r="F213" s="3">
        <f t="shared" si="86"/>
        <v>0.35555555555555546</v>
      </c>
      <c r="G213">
        <v>51.118200000000002</v>
      </c>
      <c r="H213">
        <f t="shared" si="77"/>
        <v>0.48248713888643485</v>
      </c>
      <c r="I213">
        <v>119.9</v>
      </c>
      <c r="J213" s="3">
        <f t="shared" si="67"/>
        <v>0.37074829931972786</v>
      </c>
      <c r="K213">
        <v>0</v>
      </c>
      <c r="L213" s="3">
        <f t="shared" si="68"/>
        <v>0</v>
      </c>
      <c r="M213">
        <v>211592</v>
      </c>
      <c r="N213">
        <f t="shared" si="69"/>
        <v>1</v>
      </c>
      <c r="O213" s="15">
        <v>0.44531337300000001</v>
      </c>
      <c r="P213">
        <f t="shared" si="70"/>
        <v>0.45397670905178106</v>
      </c>
      <c r="Q213">
        <v>0.29870000000000002</v>
      </c>
      <c r="R213">
        <f t="shared" si="71"/>
        <v>0.66215916648193307</v>
      </c>
      <c r="S213">
        <f t="shared" si="78"/>
        <v>5.3007924908565152E-2</v>
      </c>
      <c r="T213" s="14">
        <f t="shared" si="72"/>
        <v>8.8928438529227605E-2</v>
      </c>
      <c r="U213" t="str">
        <f t="shared" si="79"/>
        <v>No Impact</v>
      </c>
      <c r="V213">
        <f t="shared" si="80"/>
        <v>6.2895000767909964E-2</v>
      </c>
      <c r="W213">
        <f t="shared" si="73"/>
        <v>8.4533976573697184E-2</v>
      </c>
      <c r="X213" t="s">
        <v>1176</v>
      </c>
      <c r="Y213">
        <f t="shared" si="81"/>
        <v>4.3120849049220353E-2</v>
      </c>
      <c r="Z213">
        <f t="shared" si="74"/>
        <v>8.6398809838056728E-2</v>
      </c>
      <c r="AA213" t="str">
        <f t="shared" si="82"/>
        <v>No Impact</v>
      </c>
      <c r="AB213">
        <f t="shared" si="83"/>
        <v>6.8194155791172564E-2</v>
      </c>
      <c r="AC213">
        <f t="shared" si="75"/>
        <v>0.16010439647558439</v>
      </c>
      <c r="AD213" t="str">
        <f t="shared" si="84"/>
        <v>Low</v>
      </c>
      <c r="AE213">
        <f t="shared" si="85"/>
        <v>9.4984716593251362E-2</v>
      </c>
      <c r="AF213">
        <f t="shared" si="76"/>
        <v>0.51960817280312832</v>
      </c>
      <c r="AG213" t="str">
        <f t="shared" ref="AG213" si="87">IF(AF213&gt;0.7,"High",IF(AF213&gt;0.3,"Moderate",IF(AF213&gt;0.15,"Low","No Impact")))</f>
        <v>Moderate</v>
      </c>
    </row>
    <row r="214" spans="1:33" x14ac:dyDescent="0.3">
      <c r="A214">
        <v>303332</v>
      </c>
      <c r="B214" t="s">
        <v>242</v>
      </c>
      <c r="C214" s="1" t="s">
        <v>752</v>
      </c>
      <c r="D214" t="s">
        <v>753</v>
      </c>
      <c r="E214" s="4">
        <v>4.8</v>
      </c>
      <c r="F214" s="3">
        <f t="shared" si="86"/>
        <v>0.35555555555555546</v>
      </c>
      <c r="G214">
        <v>51.118200000000002</v>
      </c>
      <c r="H214">
        <f t="shared" si="77"/>
        <v>0.48248713888643485</v>
      </c>
      <c r="I214">
        <v>121.50000000000001</v>
      </c>
      <c r="J214" s="3">
        <f t="shared" si="67"/>
        <v>0.37569573283858998</v>
      </c>
      <c r="K214">
        <v>0</v>
      </c>
      <c r="L214" s="3">
        <f t="shared" si="68"/>
        <v>0</v>
      </c>
      <c r="M214">
        <v>85598</v>
      </c>
      <c r="N214">
        <f t="shared" si="69"/>
        <v>0.40386935600630225</v>
      </c>
      <c r="O214" s="15">
        <v>0.64582246200000004</v>
      </c>
      <c r="P214">
        <f t="shared" si="70"/>
        <v>0.65838659628683305</v>
      </c>
      <c r="Q214">
        <v>0.30359999999999998</v>
      </c>
      <c r="R214">
        <f t="shared" si="71"/>
        <v>0.67302150299268448</v>
      </c>
      <c r="S214">
        <f t="shared" si="78"/>
        <v>6.3465916820951263E-2</v>
      </c>
      <c r="T214" s="14">
        <f t="shared" si="72"/>
        <v>0.1064732281531186</v>
      </c>
      <c r="U214" t="str">
        <f t="shared" si="79"/>
        <v>No Impact</v>
      </c>
      <c r="V214">
        <f t="shared" si="80"/>
        <v>6.4163537461969261E-2</v>
      </c>
      <c r="W214">
        <f t="shared" si="73"/>
        <v>8.6238952324857301E-2</v>
      </c>
      <c r="X214" t="s">
        <v>1176</v>
      </c>
      <c r="Y214">
        <f t="shared" si="81"/>
        <v>6.2768296179933236E-2</v>
      </c>
      <c r="Z214">
        <f t="shared" si="74"/>
        <v>0.12576528999507089</v>
      </c>
      <c r="AA214" t="str">
        <f t="shared" si="82"/>
        <v>No Impact</v>
      </c>
      <c r="AB214">
        <f t="shared" si="83"/>
        <v>5.4763953584756456E-2</v>
      </c>
      <c r="AC214">
        <f t="shared" si="75"/>
        <v>0.12857333059674481</v>
      </c>
      <c r="AD214" t="str">
        <f t="shared" si="84"/>
        <v>No Impact</v>
      </c>
      <c r="AE214">
        <f t="shared" si="85"/>
        <v>3.850350462596356E-2</v>
      </c>
      <c r="AF214">
        <f t="shared" si="76"/>
        <v>0.21063110364257484</v>
      </c>
      <c r="AG214" t="s">
        <v>1175</v>
      </c>
    </row>
    <row r="215" spans="1:33" x14ac:dyDescent="0.3">
      <c r="A215">
        <v>303334</v>
      </c>
      <c r="B215" t="s">
        <v>243</v>
      </c>
      <c r="C215" s="1" t="s">
        <v>752</v>
      </c>
      <c r="D215" t="s">
        <v>1136</v>
      </c>
      <c r="E215" s="4">
        <v>4.8</v>
      </c>
      <c r="F215" s="3">
        <f t="shared" si="86"/>
        <v>0.35555555555555546</v>
      </c>
      <c r="G215">
        <v>50.183639999999997</v>
      </c>
      <c r="H215">
        <f t="shared" si="77"/>
        <v>0.47366614791809658</v>
      </c>
      <c r="I215">
        <v>120.80000000000001</v>
      </c>
      <c r="J215" s="3">
        <f t="shared" si="67"/>
        <v>0.37353123067408783</v>
      </c>
      <c r="K215">
        <v>0</v>
      </c>
      <c r="L215" s="3">
        <f t="shared" si="68"/>
        <v>0</v>
      </c>
      <c r="M215">
        <v>42892</v>
      </c>
      <c r="N215">
        <f t="shared" si="69"/>
        <v>0.20180929534948641</v>
      </c>
      <c r="O215" s="15">
        <v>0.33199858799999998</v>
      </c>
      <c r="P215">
        <f t="shared" si="70"/>
        <v>0.33845744486563645</v>
      </c>
      <c r="Q215">
        <v>0.3594</v>
      </c>
      <c r="R215">
        <f t="shared" si="71"/>
        <v>0.79671913101307912</v>
      </c>
      <c r="S215">
        <f t="shared" si="78"/>
        <v>5.3312474141405351E-2</v>
      </c>
      <c r="T215" s="14">
        <f t="shared" si="72"/>
        <v>8.9439363787638851E-2</v>
      </c>
      <c r="U215" t="str">
        <f t="shared" si="79"/>
        <v>No Impact</v>
      </c>
      <c r="V215">
        <f t="shared" si="80"/>
        <v>7.4834292695334551E-2</v>
      </c>
      <c r="W215">
        <f t="shared" si="73"/>
        <v>0.10058097254757099</v>
      </c>
      <c r="X215" t="s">
        <v>1176</v>
      </c>
      <c r="Y215">
        <f t="shared" si="81"/>
        <v>3.1790655587476159E-2</v>
      </c>
      <c r="Z215">
        <f t="shared" si="74"/>
        <v>6.3697141111352246E-2</v>
      </c>
      <c r="AA215" t="str">
        <f t="shared" si="82"/>
        <v>No Impact</v>
      </c>
      <c r="AB215">
        <f t="shared" si="83"/>
        <v>4.2363644498330438E-2</v>
      </c>
      <c r="AC215">
        <f t="shared" si="75"/>
        <v>9.9460219959044999E-2</v>
      </c>
      <c r="AD215" t="str">
        <f t="shared" si="84"/>
        <v>No Impact</v>
      </c>
      <c r="AE215">
        <f t="shared" si="85"/>
        <v>1.8955558224915726E-2</v>
      </c>
      <c r="AF215">
        <f t="shared" si="76"/>
        <v>0.10369523989727389</v>
      </c>
      <c r="AG215" t="s">
        <v>1175</v>
      </c>
    </row>
    <row r="216" spans="1:33" x14ac:dyDescent="0.3">
      <c r="A216">
        <v>303336</v>
      </c>
      <c r="B216" t="s">
        <v>257</v>
      </c>
      <c r="C216" s="1" t="s">
        <v>752</v>
      </c>
      <c r="D216" t="s">
        <v>754</v>
      </c>
      <c r="E216" s="4">
        <v>4.8</v>
      </c>
      <c r="F216" s="3">
        <f t="shared" si="86"/>
        <v>0.35555555555555546</v>
      </c>
      <c r="G216">
        <v>49.521599999999999</v>
      </c>
      <c r="H216">
        <f t="shared" si="77"/>
        <v>0.46741737966279073</v>
      </c>
      <c r="I216">
        <v>140.69999999999999</v>
      </c>
      <c r="J216" s="3">
        <f t="shared" si="67"/>
        <v>0.43506493506493499</v>
      </c>
      <c r="K216">
        <v>0</v>
      </c>
      <c r="L216" s="3">
        <f t="shared" si="68"/>
        <v>0</v>
      </c>
      <c r="M216">
        <v>53557</v>
      </c>
      <c r="N216">
        <f t="shared" si="69"/>
        <v>0.2522698991734208</v>
      </c>
      <c r="O216" s="15">
        <v>0.50528845300000003</v>
      </c>
      <c r="P216">
        <f t="shared" si="70"/>
        <v>0.51511857249974291</v>
      </c>
      <c r="Q216">
        <v>0.36570000000000003</v>
      </c>
      <c r="R216">
        <f t="shared" si="71"/>
        <v>0.81068499224118828</v>
      </c>
      <c r="S216">
        <f t="shared" si="78"/>
        <v>6.4576636379038516E-2</v>
      </c>
      <c r="T216" s="14">
        <f t="shared" si="72"/>
        <v>0.10833662039333462</v>
      </c>
      <c r="U216" t="str">
        <f t="shared" si="79"/>
        <v>No Impact</v>
      </c>
      <c r="V216">
        <f t="shared" si="80"/>
        <v>7.8972950977292927E-2</v>
      </c>
      <c r="W216">
        <f t="shared" si="73"/>
        <v>0.10614353297339278</v>
      </c>
      <c r="X216" t="s">
        <v>1176</v>
      </c>
      <c r="Y216">
        <f t="shared" si="81"/>
        <v>5.0180321780784125E-2</v>
      </c>
      <c r="Z216">
        <f t="shared" si="74"/>
        <v>0.10054347664169781</v>
      </c>
      <c r="AA216" t="str">
        <f t="shared" si="82"/>
        <v>No Impact</v>
      </c>
      <c r="AB216">
        <f t="shared" si="83"/>
        <v>5.1295842547740791E-2</v>
      </c>
      <c r="AC216">
        <f t="shared" si="75"/>
        <v>0.12043099320654306</v>
      </c>
      <c r="AD216" t="str">
        <f t="shared" si="84"/>
        <v>No Impact</v>
      </c>
      <c r="AE216">
        <f t="shared" si="85"/>
        <v>2.4574894775580121E-2</v>
      </c>
      <c r="AF216">
        <f t="shared" si="76"/>
        <v>0.13443548214024559</v>
      </c>
      <c r="AG216" t="s">
        <v>1175</v>
      </c>
    </row>
    <row r="217" spans="1:33" x14ac:dyDescent="0.3">
      <c r="A217">
        <v>303386</v>
      </c>
      <c r="B217" t="s">
        <v>499</v>
      </c>
      <c r="C217" s="1" t="s">
        <v>752</v>
      </c>
      <c r="D217" t="s">
        <v>1137</v>
      </c>
      <c r="E217" s="4">
        <v>4.7</v>
      </c>
      <c r="F217" s="3">
        <f t="shared" si="86"/>
        <v>0.33333333333333331</v>
      </c>
      <c r="G217">
        <v>51.118200000000002</v>
      </c>
      <c r="H217">
        <f t="shared" si="77"/>
        <v>0.48248713888643485</v>
      </c>
      <c r="I217">
        <v>123.10000000000001</v>
      </c>
      <c r="J217" s="3">
        <f t="shared" si="67"/>
        <v>0.38064316635745205</v>
      </c>
      <c r="K217">
        <v>0</v>
      </c>
      <c r="L217" s="3">
        <f t="shared" si="68"/>
        <v>0</v>
      </c>
      <c r="M217">
        <v>93377</v>
      </c>
      <c r="N217">
        <f t="shared" si="69"/>
        <v>0.44067507913301446</v>
      </c>
      <c r="O217" s="15">
        <v>0.63427642299999998</v>
      </c>
      <c r="P217">
        <f t="shared" si="70"/>
        <v>0.64661593520721727</v>
      </c>
      <c r="Q217">
        <v>0.37569999999999998</v>
      </c>
      <c r="R217">
        <f t="shared" si="71"/>
        <v>0.83285302593659938</v>
      </c>
      <c r="S217">
        <f t="shared" si="78"/>
        <v>6.6359974738816177E-2</v>
      </c>
      <c r="T217" s="14">
        <f t="shared" si="72"/>
        <v>0.11132842767456393</v>
      </c>
      <c r="U217" t="str">
        <f t="shared" si="79"/>
        <v>No Impact</v>
      </c>
      <c r="V217">
        <f t="shared" si="80"/>
        <v>7.4713437339800778E-2</v>
      </c>
      <c r="W217">
        <f t="shared" si="73"/>
        <v>0.10041853700152184</v>
      </c>
      <c r="X217" t="s">
        <v>1176</v>
      </c>
      <c r="Y217">
        <f t="shared" si="81"/>
        <v>5.8006512137831569E-2</v>
      </c>
      <c r="Z217">
        <f t="shared" si="74"/>
        <v>0.11622437224844145</v>
      </c>
      <c r="AA217" t="str">
        <f t="shared" si="82"/>
        <v>No Impact</v>
      </c>
      <c r="AB217">
        <f t="shared" si="83"/>
        <v>5.7387858429360596E-2</v>
      </c>
      <c r="AC217">
        <f t="shared" si="75"/>
        <v>0.13473366349742846</v>
      </c>
      <c r="AD217" t="str">
        <f t="shared" si="84"/>
        <v>No Impact</v>
      </c>
      <c r="AE217">
        <f t="shared" si="85"/>
        <v>3.9532004911659618E-2</v>
      </c>
      <c r="AF217">
        <f t="shared" si="76"/>
        <v>0.21625745252632775</v>
      </c>
      <c r="AG217" t="s">
        <v>1175</v>
      </c>
    </row>
    <row r="218" spans="1:33" x14ac:dyDescent="0.3">
      <c r="A218">
        <v>303532</v>
      </c>
      <c r="B218" t="s">
        <v>190</v>
      </c>
      <c r="C218" s="1" t="s">
        <v>756</v>
      </c>
      <c r="D218" t="s">
        <v>755</v>
      </c>
      <c r="E218" s="4">
        <v>6</v>
      </c>
      <c r="F218" s="3">
        <f t="shared" si="86"/>
        <v>0.62222222222222223</v>
      </c>
      <c r="G218">
        <v>66.161879999999996</v>
      </c>
      <c r="H218">
        <f t="shared" si="77"/>
        <v>0.62447926931205777</v>
      </c>
      <c r="I218">
        <v>321.5</v>
      </c>
      <c r="J218" s="3">
        <f t="shared" si="67"/>
        <v>0.99412492269635111</v>
      </c>
      <c r="K218">
        <v>0</v>
      </c>
      <c r="L218" s="3">
        <f t="shared" si="68"/>
        <v>0</v>
      </c>
      <c r="M218">
        <v>31655</v>
      </c>
      <c r="N218">
        <f t="shared" si="69"/>
        <v>0.14864231877475126</v>
      </c>
      <c r="O218" s="15">
        <v>0.51428426699999996</v>
      </c>
      <c r="P218">
        <f t="shared" si="70"/>
        <v>0.52428939530133412</v>
      </c>
      <c r="Q218">
        <v>0.30080000000000001</v>
      </c>
      <c r="R218">
        <f t="shared" si="71"/>
        <v>0.66681445355796942</v>
      </c>
      <c r="S218">
        <f t="shared" si="78"/>
        <v>0.16624193252124619</v>
      </c>
      <c r="T218" s="14">
        <f t="shared" si="72"/>
        <v>0.27889481625052009</v>
      </c>
      <c r="U218" t="str">
        <f t="shared" si="79"/>
        <v>Low</v>
      </c>
      <c r="V218">
        <f t="shared" si="80"/>
        <v>0.18613410325008498</v>
      </c>
      <c r="W218">
        <f t="shared" si="73"/>
        <v>0.25017339584383769</v>
      </c>
      <c r="X218" t="s">
        <v>1175</v>
      </c>
      <c r="Y218">
        <f t="shared" si="81"/>
        <v>0.14634976179240741</v>
      </c>
      <c r="Z218">
        <f t="shared" si="74"/>
        <v>0.29323275208505495</v>
      </c>
      <c r="AA218" t="str">
        <f t="shared" si="82"/>
        <v>Low</v>
      </c>
      <c r="AB218">
        <f t="shared" si="83"/>
        <v>0.12357403286894308</v>
      </c>
      <c r="AC218">
        <f t="shared" si="75"/>
        <v>0.29012377560801494</v>
      </c>
      <c r="AD218" t="str">
        <f t="shared" si="84"/>
        <v>Low</v>
      </c>
      <c r="AE218">
        <f t="shared" si="85"/>
        <v>4.1491909124831729E-2</v>
      </c>
      <c r="AF218">
        <f t="shared" si="76"/>
        <v>0.22697899051265963</v>
      </c>
      <c r="AG218" t="s">
        <v>1175</v>
      </c>
    </row>
    <row r="219" spans="1:33" x14ac:dyDescent="0.3">
      <c r="A219">
        <v>303543</v>
      </c>
      <c r="B219" t="s">
        <v>261</v>
      </c>
      <c r="C219" s="1" t="s">
        <v>756</v>
      </c>
      <c r="D219" t="s">
        <v>757</v>
      </c>
      <c r="E219" s="4">
        <v>6</v>
      </c>
      <c r="F219" s="3">
        <f t="shared" si="86"/>
        <v>0.62222222222222223</v>
      </c>
      <c r="G219">
        <v>66.161879999999996</v>
      </c>
      <c r="H219">
        <f t="shared" si="77"/>
        <v>0.62447926931205777</v>
      </c>
      <c r="I219">
        <v>196.8</v>
      </c>
      <c r="J219" s="3">
        <f t="shared" si="67"/>
        <v>0.60853432282003705</v>
      </c>
      <c r="K219">
        <v>0</v>
      </c>
      <c r="L219" s="3">
        <f t="shared" si="68"/>
        <v>0</v>
      </c>
      <c r="M219">
        <v>27057</v>
      </c>
      <c r="N219">
        <f t="shared" si="69"/>
        <v>0.1268872455086987</v>
      </c>
      <c r="O219" s="15">
        <v>0.41751793100000001</v>
      </c>
      <c r="P219">
        <f t="shared" si="70"/>
        <v>0.4256405214345283</v>
      </c>
      <c r="Q219">
        <v>0.33439999999999998</v>
      </c>
      <c r="R219">
        <f t="shared" si="71"/>
        <v>0.74129904677455105</v>
      </c>
      <c r="S219">
        <f t="shared" si="78"/>
        <v>0.13487176376707205</v>
      </c>
      <c r="T219" s="14">
        <f t="shared" si="72"/>
        <v>0.22626683414182402</v>
      </c>
      <c r="U219" t="str">
        <f t="shared" si="79"/>
        <v>Low</v>
      </c>
      <c r="V219">
        <f t="shared" si="80"/>
        <v>0.17135473445428598</v>
      </c>
      <c r="W219">
        <f t="shared" si="73"/>
        <v>0.23030919677707265</v>
      </c>
      <c r="X219" t="s">
        <v>1175</v>
      </c>
      <c r="Y219">
        <f t="shared" si="81"/>
        <v>9.8388793079858178E-2</v>
      </c>
      <c r="Z219">
        <f t="shared" si="74"/>
        <v>0.197136067840396</v>
      </c>
      <c r="AA219" t="str">
        <f t="shared" si="82"/>
        <v>Low</v>
      </c>
      <c r="AB219">
        <f t="shared" si="83"/>
        <v>9.9756497635664437E-2</v>
      </c>
      <c r="AC219">
        <f t="shared" si="75"/>
        <v>0.23420560989690484</v>
      </c>
      <c r="AD219" t="str">
        <f t="shared" si="84"/>
        <v>Low</v>
      </c>
      <c r="AE219">
        <f t="shared" si="85"/>
        <v>2.9330579007733976E-2</v>
      </c>
      <c r="AF219">
        <f t="shared" si="76"/>
        <v>0.16045116637795256</v>
      </c>
      <c r="AG219" t="s">
        <v>1175</v>
      </c>
    </row>
    <row r="220" spans="1:33" x14ac:dyDescent="0.3">
      <c r="A220">
        <v>303551</v>
      </c>
      <c r="B220" t="s">
        <v>281</v>
      </c>
      <c r="C220" s="1" t="s">
        <v>756</v>
      </c>
      <c r="D220" t="s">
        <v>1138</v>
      </c>
      <c r="E220" s="4">
        <v>5.9</v>
      </c>
      <c r="F220" s="3">
        <f t="shared" si="86"/>
        <v>0.60000000000000009</v>
      </c>
      <c r="G220">
        <v>67.859279999999998</v>
      </c>
      <c r="H220">
        <f t="shared" si="77"/>
        <v>0.64050044512704807</v>
      </c>
      <c r="I220">
        <v>287.2</v>
      </c>
      <c r="J220" s="3">
        <f t="shared" si="67"/>
        <v>0.88806431663574503</v>
      </c>
      <c r="K220">
        <v>0</v>
      </c>
      <c r="L220" s="3">
        <f t="shared" si="68"/>
        <v>0</v>
      </c>
      <c r="M220">
        <v>16777</v>
      </c>
      <c r="N220">
        <f t="shared" si="69"/>
        <v>7.8248238728572575E-2</v>
      </c>
      <c r="O220" s="15">
        <v>0.79675858700000002</v>
      </c>
      <c r="P220">
        <f t="shared" si="70"/>
        <v>0.81225910373683563</v>
      </c>
      <c r="Q220">
        <v>0.29770000000000002</v>
      </c>
      <c r="R220">
        <f t="shared" si="71"/>
        <v>0.65994236311239196</v>
      </c>
      <c r="S220">
        <f t="shared" si="78"/>
        <v>0.19159805875649089</v>
      </c>
      <c r="T220" s="14">
        <f t="shared" si="72"/>
        <v>0.32143337472342393</v>
      </c>
      <c r="U220" t="str">
        <f t="shared" si="79"/>
        <v>Moderate</v>
      </c>
      <c r="V220">
        <f t="shared" si="80"/>
        <v>0.17177496220557018</v>
      </c>
      <c r="W220">
        <f t="shared" si="73"/>
        <v>0.23087400355740423</v>
      </c>
      <c r="X220" t="s">
        <v>1175</v>
      </c>
      <c r="Y220">
        <f t="shared" si="81"/>
        <v>0.21142115530741162</v>
      </c>
      <c r="Z220">
        <f t="shared" si="74"/>
        <v>0.42361262813487166</v>
      </c>
      <c r="AA220" t="str">
        <f t="shared" si="82"/>
        <v>Moderate</v>
      </c>
      <c r="AB220">
        <f t="shared" si="83"/>
        <v>0.13067605571348842</v>
      </c>
      <c r="AC220">
        <f t="shared" si="75"/>
        <v>0.30679771295777436</v>
      </c>
      <c r="AD220" t="str">
        <f t="shared" si="84"/>
        <v>Moderate</v>
      </c>
      <c r="AE220">
        <f t="shared" si="85"/>
        <v>2.0367063855186839E-2</v>
      </c>
      <c r="AF220">
        <f t="shared" si="76"/>
        <v>0.11141679645660157</v>
      </c>
      <c r="AG220" t="s">
        <v>1175</v>
      </c>
    </row>
    <row r="221" spans="1:33" x14ac:dyDescent="0.3">
      <c r="A221">
        <v>303558</v>
      </c>
      <c r="B221" t="s">
        <v>350</v>
      </c>
      <c r="C221" s="1" t="s">
        <v>756</v>
      </c>
      <c r="D221" t="s">
        <v>758</v>
      </c>
      <c r="E221" s="4">
        <v>6</v>
      </c>
      <c r="F221" s="3">
        <f t="shared" si="86"/>
        <v>0.62222222222222223</v>
      </c>
      <c r="G221">
        <v>66.417839999999998</v>
      </c>
      <c r="H221">
        <f t="shared" si="77"/>
        <v>0.62689518787079757</v>
      </c>
      <c r="I221">
        <v>159.30000000000001</v>
      </c>
      <c r="J221" s="3">
        <f t="shared" si="67"/>
        <v>0.49257884972170685</v>
      </c>
      <c r="K221">
        <v>0</v>
      </c>
      <c r="L221" s="3">
        <f t="shared" si="68"/>
        <v>0</v>
      </c>
      <c r="M221">
        <v>27947</v>
      </c>
      <c r="N221">
        <f t="shared" si="69"/>
        <v>0.13109821010347616</v>
      </c>
      <c r="O221" s="15">
        <v>0.67635819799999997</v>
      </c>
      <c r="P221">
        <f t="shared" si="70"/>
        <v>0.68951638887393774</v>
      </c>
      <c r="Q221">
        <v>0.34239999999999998</v>
      </c>
      <c r="R221">
        <f t="shared" si="71"/>
        <v>0.75903347373088004</v>
      </c>
      <c r="S221">
        <f t="shared" si="78"/>
        <v>0.15740373609968922</v>
      </c>
      <c r="T221" s="14">
        <f t="shared" si="72"/>
        <v>0.26406746715999435</v>
      </c>
      <c r="U221" t="str">
        <f t="shared" si="79"/>
        <v>Low</v>
      </c>
      <c r="V221">
        <f t="shared" si="80"/>
        <v>0.16495766928605896</v>
      </c>
      <c r="W221">
        <f t="shared" si="73"/>
        <v>0.22171122634271617</v>
      </c>
      <c r="X221" t="s">
        <v>1175</v>
      </c>
      <c r="Y221">
        <f t="shared" si="81"/>
        <v>0.14984980291331948</v>
      </c>
      <c r="Z221">
        <f t="shared" si="74"/>
        <v>0.30024558680187341</v>
      </c>
      <c r="AA221" t="str">
        <f t="shared" si="82"/>
        <v>Moderate</v>
      </c>
      <c r="AB221">
        <f t="shared" si="83"/>
        <v>0.11266199010390635</v>
      </c>
      <c r="AC221">
        <f t="shared" si="75"/>
        <v>0.26450477642923009</v>
      </c>
      <c r="AD221" t="str">
        <f t="shared" si="84"/>
        <v>Low</v>
      </c>
      <c r="AE221">
        <f t="shared" si="85"/>
        <v>2.8491042799399652E-2</v>
      </c>
      <c r="AF221">
        <f t="shared" si="76"/>
        <v>0.15585853410130207</v>
      </c>
      <c r="AG221" t="s">
        <v>1175</v>
      </c>
    </row>
    <row r="222" spans="1:33" x14ac:dyDescent="0.3">
      <c r="A222">
        <v>303591</v>
      </c>
      <c r="B222" t="s">
        <v>526</v>
      </c>
      <c r="C222" s="1" t="s">
        <v>756</v>
      </c>
      <c r="D222" t="s">
        <v>1139</v>
      </c>
      <c r="E222" s="4">
        <v>6</v>
      </c>
      <c r="F222" s="3">
        <f t="shared" si="86"/>
        <v>0.62222222222222223</v>
      </c>
      <c r="G222">
        <v>64.518480000000011</v>
      </c>
      <c r="H222">
        <f t="shared" si="77"/>
        <v>0.60896778095671744</v>
      </c>
      <c r="I222">
        <v>318.90000000000003</v>
      </c>
      <c r="J222" s="3">
        <f t="shared" si="67"/>
        <v>0.98608534322820041</v>
      </c>
      <c r="K222">
        <v>0</v>
      </c>
      <c r="L222" s="3">
        <f t="shared" si="68"/>
        <v>0</v>
      </c>
      <c r="M222">
        <v>5557</v>
      </c>
      <c r="N222">
        <f t="shared" si="69"/>
        <v>2.5161696309018561E-2</v>
      </c>
      <c r="O222" s="15">
        <v>0.84881352899999996</v>
      </c>
      <c r="P222">
        <f t="shared" si="70"/>
        <v>0.86532674709063473</v>
      </c>
      <c r="Q222">
        <v>0.3085</v>
      </c>
      <c r="R222">
        <f t="shared" si="71"/>
        <v>0.68388383950343601</v>
      </c>
      <c r="S222">
        <f t="shared" si="78"/>
        <v>0.21245731231324863</v>
      </c>
      <c r="T222" s="14">
        <f t="shared" si="72"/>
        <v>0.35642778076530179</v>
      </c>
      <c r="U222" t="str">
        <f t="shared" si="79"/>
        <v>Moderate</v>
      </c>
      <c r="V222">
        <f t="shared" si="80"/>
        <v>0.18757439915873245</v>
      </c>
      <c r="W222">
        <f t="shared" si="73"/>
        <v>0.25210922443298239</v>
      </c>
      <c r="X222" t="s">
        <v>1175</v>
      </c>
      <c r="Y222">
        <f t="shared" si="81"/>
        <v>0.23734022546776487</v>
      </c>
      <c r="Z222">
        <f t="shared" si="74"/>
        <v>0.47554520514437049</v>
      </c>
      <c r="AA222" t="str">
        <f t="shared" si="82"/>
        <v>Moderate</v>
      </c>
      <c r="AB222">
        <f t="shared" si="83"/>
        <v>0.13926856363834911</v>
      </c>
      <c r="AC222">
        <f t="shared" si="75"/>
        <v>0.32697097090870825</v>
      </c>
      <c r="AD222" t="str">
        <f t="shared" si="84"/>
        <v>Moderate</v>
      </c>
      <c r="AE222">
        <f t="shared" si="85"/>
        <v>6.9013036927522533E-3</v>
      </c>
      <c r="AF222">
        <f t="shared" si="76"/>
        <v>3.7753166302601393E-2</v>
      </c>
      <c r="AG222" t="s">
        <v>1176</v>
      </c>
    </row>
    <row r="223" spans="1:33" x14ac:dyDescent="0.3">
      <c r="A223">
        <v>304802</v>
      </c>
      <c r="B223" t="s">
        <v>19</v>
      </c>
      <c r="C223" s="1" t="s">
        <v>760</v>
      </c>
      <c r="D223" t="s">
        <v>759</v>
      </c>
      <c r="E223" s="4">
        <v>6.2</v>
      </c>
      <c r="F223" s="3">
        <f t="shared" si="86"/>
        <v>0.66666666666666663</v>
      </c>
      <c r="G223">
        <v>56.743200000000002</v>
      </c>
      <c r="H223">
        <f t="shared" si="77"/>
        <v>0.53557958259994964</v>
      </c>
      <c r="I223">
        <v>114.19999999999999</v>
      </c>
      <c r="J223" s="3">
        <f t="shared" si="67"/>
        <v>0.35312306740878163</v>
      </c>
      <c r="K223">
        <v>0</v>
      </c>
      <c r="L223" s="3">
        <f t="shared" si="68"/>
        <v>0</v>
      </c>
      <c r="M223">
        <v>7200</v>
      </c>
      <c r="N223">
        <f t="shared" si="69"/>
        <v>3.2935420836231327E-2</v>
      </c>
      <c r="O223" s="15">
        <v>0.70447377700000002</v>
      </c>
      <c r="P223">
        <f t="shared" si="70"/>
        <v>0.71817894158713769</v>
      </c>
      <c r="Q223">
        <v>0.1208</v>
      </c>
      <c r="R223">
        <f t="shared" si="71"/>
        <v>0.26778984704056752</v>
      </c>
      <c r="S223">
        <f t="shared" si="78"/>
        <v>9.3619855169942964E-2</v>
      </c>
      <c r="T223" s="14">
        <f t="shared" si="72"/>
        <v>0.15706080835943484</v>
      </c>
      <c r="U223" t="str">
        <f t="shared" si="79"/>
        <v>Low</v>
      </c>
      <c r="V223">
        <f t="shared" si="80"/>
        <v>5.0854442828383556E-2</v>
      </c>
      <c r="W223">
        <f t="shared" si="73"/>
        <v>6.8350874095487416E-2</v>
      </c>
      <c r="X223" t="s">
        <v>1176</v>
      </c>
      <c r="Y223">
        <f t="shared" si="81"/>
        <v>0.1363852675115024</v>
      </c>
      <c r="Z223">
        <f t="shared" si="74"/>
        <v>0.27326745767432531</v>
      </c>
      <c r="AA223" t="str">
        <f t="shared" si="82"/>
        <v>Low</v>
      </c>
      <c r="AB223">
        <f t="shared" si="83"/>
        <v>6.0903737530343213E-2</v>
      </c>
      <c r="AC223">
        <f t="shared" si="75"/>
        <v>0.14298814945759938</v>
      </c>
      <c r="AD223" t="str">
        <f t="shared" si="84"/>
        <v>No Impact</v>
      </c>
      <c r="AE223">
        <f t="shared" si="85"/>
        <v>6.2545779627378693E-3</v>
      </c>
      <c r="AF223">
        <f t="shared" si="76"/>
        <v>3.4215292137891623E-2</v>
      </c>
      <c r="AG223" t="s">
        <v>1176</v>
      </c>
    </row>
    <row r="224" spans="1:33" x14ac:dyDescent="0.3">
      <c r="A224">
        <v>304806</v>
      </c>
      <c r="B224" t="s">
        <v>31</v>
      </c>
      <c r="C224" s="1" t="s">
        <v>760</v>
      </c>
      <c r="D224" t="s">
        <v>761</v>
      </c>
      <c r="E224" s="4">
        <v>6.3</v>
      </c>
      <c r="F224" s="3">
        <f t="shared" si="86"/>
        <v>0.68888888888888877</v>
      </c>
      <c r="G224">
        <v>58.351680000000002</v>
      </c>
      <c r="H224">
        <f t="shared" si="77"/>
        <v>0.55076147306471668</v>
      </c>
      <c r="I224">
        <v>144.1</v>
      </c>
      <c r="J224" s="3">
        <f t="shared" si="67"/>
        <v>0.44557823129251695</v>
      </c>
      <c r="K224">
        <v>0</v>
      </c>
      <c r="L224" s="3">
        <f t="shared" si="68"/>
        <v>0</v>
      </c>
      <c r="M224">
        <v>27557</v>
      </c>
      <c r="N224">
        <f t="shared" si="69"/>
        <v>0.12925295595520292</v>
      </c>
      <c r="O224" s="15">
        <v>0.88928440200000003</v>
      </c>
      <c r="P224">
        <f t="shared" si="70"/>
        <v>0.90658495951129026</v>
      </c>
      <c r="Q224">
        <v>0.34250000000000003</v>
      </c>
      <c r="R224">
        <f t="shared" si="71"/>
        <v>0.75925515406783428</v>
      </c>
      <c r="S224">
        <f t="shared" si="78"/>
        <v>0.17754204274347632</v>
      </c>
      <c r="T224" s="14">
        <f t="shared" si="72"/>
        <v>0.29785238078458687</v>
      </c>
      <c r="U224" t="str">
        <f t="shared" si="79"/>
        <v>Low</v>
      </c>
      <c r="V224">
        <f t="shared" si="80"/>
        <v>0.1618399147888131</v>
      </c>
      <c r="W224">
        <f t="shared" si="73"/>
        <v>0.21752081084999247</v>
      </c>
      <c r="X224" t="s">
        <v>1175</v>
      </c>
      <c r="Y224">
        <f t="shared" si="81"/>
        <v>0.19324417069813951</v>
      </c>
      <c r="Z224">
        <f t="shared" si="74"/>
        <v>0.38719243068251702</v>
      </c>
      <c r="AA224" t="str">
        <f t="shared" si="82"/>
        <v>Moderate</v>
      </c>
      <c r="AB224">
        <f t="shared" si="83"/>
        <v>0.12426009380209374</v>
      </c>
      <c r="AC224">
        <f t="shared" si="75"/>
        <v>0.29173449093065817</v>
      </c>
      <c r="AD224" t="str">
        <f t="shared" si="84"/>
        <v>Low</v>
      </c>
      <c r="AE224">
        <f t="shared" si="85"/>
        <v>2.7551064047335191E-2</v>
      </c>
      <c r="AF224">
        <f t="shared" si="76"/>
        <v>0.15071643693712861</v>
      </c>
      <c r="AG224" t="s">
        <v>1175</v>
      </c>
    </row>
    <row r="225" spans="1:33" x14ac:dyDescent="0.3">
      <c r="A225">
        <v>304811</v>
      </c>
      <c r="B225" t="s">
        <v>64</v>
      </c>
      <c r="C225" s="1" t="s">
        <v>760</v>
      </c>
      <c r="D225" t="s">
        <v>762</v>
      </c>
      <c r="E225" s="4">
        <v>6.2</v>
      </c>
      <c r="F225" s="3">
        <f t="shared" si="86"/>
        <v>0.66666666666666663</v>
      </c>
      <c r="G225">
        <v>59.038919999999997</v>
      </c>
      <c r="H225">
        <f t="shared" si="77"/>
        <v>0.55724809546785903</v>
      </c>
      <c r="I225">
        <v>134.5</v>
      </c>
      <c r="J225" s="3">
        <f t="shared" si="67"/>
        <v>0.41589363017934444</v>
      </c>
      <c r="K225">
        <v>0</v>
      </c>
      <c r="L225" s="3">
        <f t="shared" si="68"/>
        <v>0</v>
      </c>
      <c r="M225">
        <v>22574</v>
      </c>
      <c r="N225">
        <f t="shared" si="69"/>
        <v>0.10567628564534215</v>
      </c>
      <c r="O225" s="15">
        <v>0.880468425</v>
      </c>
      <c r="P225">
        <f t="shared" si="70"/>
        <v>0.89759747234338028</v>
      </c>
      <c r="Q225">
        <v>0.29480000000000001</v>
      </c>
      <c r="R225">
        <f t="shared" si="71"/>
        <v>0.65351363334072265</v>
      </c>
      <c r="S225">
        <f t="shared" si="78"/>
        <v>0.15825364317049873</v>
      </c>
      <c r="T225" s="14">
        <f t="shared" si="72"/>
        <v>0.2654933088399396</v>
      </c>
      <c r="U225" t="str">
        <f t="shared" si="79"/>
        <v>Low</v>
      </c>
      <c r="V225">
        <f t="shared" si="80"/>
        <v>0.13335074832327509</v>
      </c>
      <c r="W225">
        <f t="shared" si="73"/>
        <v>0.17922996895162169</v>
      </c>
      <c r="X225" t="s">
        <v>1175</v>
      </c>
      <c r="Y225">
        <f t="shared" si="81"/>
        <v>0.18315653801772241</v>
      </c>
      <c r="Z225">
        <f t="shared" si="74"/>
        <v>0.36698041081535993</v>
      </c>
      <c r="AA225" t="str">
        <f t="shared" si="82"/>
        <v>Moderate</v>
      </c>
      <c r="AB225">
        <f t="shared" si="83"/>
        <v>0.10916693253975737</v>
      </c>
      <c r="AC225">
        <f t="shared" si="75"/>
        <v>0.25629917471067448</v>
      </c>
      <c r="AD225" t="str">
        <f t="shared" si="84"/>
        <v>Low</v>
      </c>
      <c r="AE225">
        <f t="shared" si="85"/>
        <v>2.1563454917983924E-2</v>
      </c>
      <c r="AF225">
        <f t="shared" si="76"/>
        <v>0.11796158172726852</v>
      </c>
      <c r="AG225" t="s">
        <v>1175</v>
      </c>
    </row>
    <row r="226" spans="1:33" x14ac:dyDescent="0.3">
      <c r="A226">
        <v>304827</v>
      </c>
      <c r="B226" t="s">
        <v>211</v>
      </c>
      <c r="C226" s="1" t="s">
        <v>760</v>
      </c>
      <c r="D226" t="s">
        <v>763</v>
      </c>
      <c r="E226" s="4">
        <v>6.3</v>
      </c>
      <c r="F226" s="3">
        <f t="shared" si="86"/>
        <v>0.68888888888888877</v>
      </c>
      <c r="G226">
        <v>48.006720000000001</v>
      </c>
      <c r="H226">
        <f t="shared" si="77"/>
        <v>0.45311894746141662</v>
      </c>
      <c r="I226">
        <v>150.60000000000002</v>
      </c>
      <c r="J226" s="3">
        <f t="shared" si="67"/>
        <v>0.46567717996289426</v>
      </c>
      <c r="K226">
        <v>0</v>
      </c>
      <c r="L226" s="3">
        <f t="shared" si="68"/>
        <v>0</v>
      </c>
      <c r="M226">
        <v>17728</v>
      </c>
      <c r="N226">
        <f t="shared" si="69"/>
        <v>8.2747819997823546E-2</v>
      </c>
      <c r="O226" s="15">
        <v>0.77096836899999999</v>
      </c>
      <c r="P226">
        <f t="shared" si="70"/>
        <v>0.7859671506915179</v>
      </c>
      <c r="Q226">
        <v>0.38890000000000002</v>
      </c>
      <c r="R226">
        <f t="shared" si="71"/>
        <v>0.86211483041454229</v>
      </c>
      <c r="S226">
        <f t="shared" si="78"/>
        <v>0.15575974211185578</v>
      </c>
      <c r="T226" s="14">
        <f t="shared" si="72"/>
        <v>0.26130943015813762</v>
      </c>
      <c r="U226" t="str">
        <f t="shared" si="79"/>
        <v>Low</v>
      </c>
      <c r="V226">
        <f t="shared" si="80"/>
        <v>0.16295643687100511</v>
      </c>
      <c r="W226">
        <f t="shared" si="73"/>
        <v>0.21902147148100706</v>
      </c>
      <c r="X226" t="s">
        <v>1175</v>
      </c>
      <c r="Y226">
        <f t="shared" si="81"/>
        <v>0.1485630473527064</v>
      </c>
      <c r="Z226">
        <f t="shared" si="74"/>
        <v>0.29766738735912651</v>
      </c>
      <c r="AA226" t="str">
        <f t="shared" si="82"/>
        <v>Low</v>
      </c>
      <c r="AB226">
        <f t="shared" si="83"/>
        <v>0.10707799756003282</v>
      </c>
      <c r="AC226">
        <f t="shared" si="75"/>
        <v>0.25139482960477272</v>
      </c>
      <c r="AD226" t="str">
        <f t="shared" si="84"/>
        <v>Low</v>
      </c>
      <c r="AE226">
        <f t="shared" si="85"/>
        <v>1.5640944141054613E-2</v>
      </c>
      <c r="AF226">
        <f t="shared" si="76"/>
        <v>8.5562843134561889E-2</v>
      </c>
      <c r="AG226" t="s">
        <v>1175</v>
      </c>
    </row>
    <row r="227" spans="1:33" x14ac:dyDescent="0.3">
      <c r="A227">
        <v>304833</v>
      </c>
      <c r="B227" t="s">
        <v>215</v>
      </c>
      <c r="C227" s="1" t="s">
        <v>760</v>
      </c>
      <c r="D227" t="s">
        <v>764</v>
      </c>
      <c r="E227" s="4">
        <v>5.8</v>
      </c>
      <c r="F227" s="3">
        <f t="shared" si="86"/>
        <v>0.57777777777777772</v>
      </c>
      <c r="G227">
        <v>56.743200000000002</v>
      </c>
      <c r="H227">
        <f t="shared" si="77"/>
        <v>0.53557958259994964</v>
      </c>
      <c r="I227">
        <v>103.5</v>
      </c>
      <c r="J227" s="3">
        <f t="shared" si="67"/>
        <v>0.32003710575139144</v>
      </c>
      <c r="K227">
        <v>0</v>
      </c>
      <c r="L227" s="3">
        <f t="shared" si="68"/>
        <v>0</v>
      </c>
      <c r="M227">
        <v>5943</v>
      </c>
      <c r="N227">
        <f t="shared" si="69"/>
        <v>2.6988024773719796E-2</v>
      </c>
      <c r="O227" s="15">
        <v>0.32453590599999999</v>
      </c>
      <c r="P227">
        <f t="shared" si="70"/>
        <v>0.33084958033590911</v>
      </c>
      <c r="Q227">
        <v>0.1051</v>
      </c>
      <c r="R227">
        <f t="shared" si="71"/>
        <v>0.23298603413877189</v>
      </c>
      <c r="S227">
        <f t="shared" si="78"/>
        <v>4.5321235803231885E-2</v>
      </c>
      <c r="T227" s="14">
        <f t="shared" si="72"/>
        <v>7.6032909025365414E-2</v>
      </c>
      <c r="U227" t="str">
        <f t="shared" si="79"/>
        <v>No Impact</v>
      </c>
      <c r="V227">
        <f t="shared" si="80"/>
        <v>3.7454941550299228E-2</v>
      </c>
      <c r="W227">
        <f t="shared" si="73"/>
        <v>5.0341284886312392E-2</v>
      </c>
      <c r="X227" t="s">
        <v>1176</v>
      </c>
      <c r="Y227">
        <f t="shared" si="81"/>
        <v>5.3187530056164535E-2</v>
      </c>
      <c r="Z227">
        <f t="shared" si="74"/>
        <v>0.10656885002039571</v>
      </c>
      <c r="AA227" t="str">
        <f t="shared" si="82"/>
        <v>No Impact</v>
      </c>
      <c r="AB227">
        <f t="shared" si="83"/>
        <v>3.0584001087331485E-2</v>
      </c>
      <c r="AC227">
        <f t="shared" si="75"/>
        <v>7.1804291424774444E-2</v>
      </c>
      <c r="AD227" t="str">
        <f t="shared" si="84"/>
        <v>No Impact</v>
      </c>
      <c r="AE227">
        <f t="shared" si="85"/>
        <v>4.3386072225068475E-3</v>
      </c>
      <c r="AF227">
        <f t="shared" si="76"/>
        <v>2.3734089569915205E-2</v>
      </c>
      <c r="AG227" t="s">
        <v>1176</v>
      </c>
    </row>
    <row r="228" spans="1:33" x14ac:dyDescent="0.3">
      <c r="A228">
        <v>304842</v>
      </c>
      <c r="B228" t="s">
        <v>259</v>
      </c>
      <c r="C228" s="1" t="s">
        <v>760</v>
      </c>
      <c r="D228" t="s">
        <v>765</v>
      </c>
      <c r="E228" s="4">
        <v>5.7</v>
      </c>
      <c r="F228" s="3">
        <f t="shared" si="86"/>
        <v>0.55555555555555558</v>
      </c>
      <c r="G228">
        <v>56.385359999999999</v>
      </c>
      <c r="H228">
        <f t="shared" si="77"/>
        <v>0.53220205370067075</v>
      </c>
      <c r="I228">
        <v>130.4</v>
      </c>
      <c r="J228" s="3">
        <f t="shared" si="67"/>
        <v>0.40321583178726034</v>
      </c>
      <c r="K228">
        <v>0</v>
      </c>
      <c r="L228" s="3">
        <f t="shared" si="68"/>
        <v>0</v>
      </c>
      <c r="M228">
        <v>9163</v>
      </c>
      <c r="N228">
        <f t="shared" si="69"/>
        <v>4.222320004920678E-2</v>
      </c>
      <c r="O228" s="15">
        <v>0.30050213100000001</v>
      </c>
      <c r="P228">
        <f t="shared" si="70"/>
        <v>0.30634824095980423</v>
      </c>
      <c r="Q228">
        <v>0.32800000000000001</v>
      </c>
      <c r="R228">
        <f t="shared" si="71"/>
        <v>0.72711150520948797</v>
      </c>
      <c r="S228">
        <f t="shared" si="78"/>
        <v>8.426256276815805E-2</v>
      </c>
      <c r="T228" s="14">
        <f t="shared" si="72"/>
        <v>0.14136260090106892</v>
      </c>
      <c r="U228" t="str">
        <f t="shared" si="79"/>
        <v>No Impact</v>
      </c>
      <c r="V228">
        <f t="shared" si="80"/>
        <v>0.11856926033987573</v>
      </c>
      <c r="W228">
        <f t="shared" si="73"/>
        <v>0.15936292159242041</v>
      </c>
      <c r="X228" t="s">
        <v>1176</v>
      </c>
      <c r="Y228">
        <f t="shared" si="81"/>
        <v>4.9955865196440345E-2</v>
      </c>
      <c r="Z228">
        <f t="shared" si="74"/>
        <v>0.10009374566062455</v>
      </c>
      <c r="AA228" t="str">
        <f t="shared" si="82"/>
        <v>No Impact</v>
      </c>
      <c r="AB228">
        <f t="shared" si="83"/>
        <v>5.8895852189110587E-2</v>
      </c>
      <c r="AC228">
        <f t="shared" si="75"/>
        <v>0.13827409050312464</v>
      </c>
      <c r="AD228" t="str">
        <f t="shared" si="84"/>
        <v>No Impact</v>
      </c>
      <c r="AE228">
        <f t="shared" si="85"/>
        <v>6.8852900320627809E-3</v>
      </c>
      <c r="AF228">
        <f t="shared" si="76"/>
        <v>3.7665564536031114E-2</v>
      </c>
      <c r="AG228" t="s">
        <v>1176</v>
      </c>
    </row>
    <row r="229" spans="1:33" x14ac:dyDescent="0.3">
      <c r="A229">
        <v>304845</v>
      </c>
      <c r="B229" t="s">
        <v>262</v>
      </c>
      <c r="C229" s="1" t="s">
        <v>760</v>
      </c>
      <c r="D229" t="s">
        <v>766</v>
      </c>
      <c r="E229" s="4">
        <v>6.3</v>
      </c>
      <c r="F229" s="3">
        <f t="shared" si="86"/>
        <v>0.68888888888888877</v>
      </c>
      <c r="G229">
        <v>54.922319999999999</v>
      </c>
      <c r="H229">
        <f t="shared" si="77"/>
        <v>0.51839292146056037</v>
      </c>
      <c r="I229">
        <v>143.69999999999999</v>
      </c>
      <c r="J229" s="3">
        <f t="shared" si="67"/>
        <v>0.4443413729128014</v>
      </c>
      <c r="K229">
        <v>0</v>
      </c>
      <c r="L229" s="3">
        <f t="shared" si="68"/>
        <v>0</v>
      </c>
      <c r="M229">
        <v>30895</v>
      </c>
      <c r="N229">
        <f t="shared" si="69"/>
        <v>0.14504643889606489</v>
      </c>
      <c r="O229" s="15">
        <v>0.50003864099999995</v>
      </c>
      <c r="P229">
        <f t="shared" si="70"/>
        <v>0.50976662818501284</v>
      </c>
      <c r="Q229">
        <v>0.3619</v>
      </c>
      <c r="R229">
        <f t="shared" si="71"/>
        <v>0.80226113943693189</v>
      </c>
      <c r="S229">
        <f t="shared" si="78"/>
        <v>0.13387040238043399</v>
      </c>
      <c r="T229" s="14">
        <f t="shared" si="72"/>
        <v>0.22458690600521447</v>
      </c>
      <c r="U229" t="str">
        <f t="shared" si="79"/>
        <v>Low</v>
      </c>
      <c r="V229">
        <f t="shared" si="80"/>
        <v>0.16371455574491181</v>
      </c>
      <c r="W229">
        <f t="shared" si="73"/>
        <v>0.22004042056033682</v>
      </c>
      <c r="X229" t="s">
        <v>1175</v>
      </c>
      <c r="Y229">
        <f t="shared" si="81"/>
        <v>0.10402624901595618</v>
      </c>
      <c r="Z229">
        <f t="shared" si="74"/>
        <v>0.20843151990437064</v>
      </c>
      <c r="AA229" t="str">
        <f t="shared" si="82"/>
        <v>Low</v>
      </c>
      <c r="AB229">
        <f t="shared" si="83"/>
        <v>9.8867656664683667E-2</v>
      </c>
      <c r="AC229">
        <f t="shared" si="75"/>
        <v>0.23211881308021826</v>
      </c>
      <c r="AD229" t="str">
        <f t="shared" si="84"/>
        <v>Low</v>
      </c>
      <c r="AE229">
        <f t="shared" si="85"/>
        <v>2.9599106997650507E-2</v>
      </c>
      <c r="AF229">
        <f t="shared" si="76"/>
        <v>0.1619201325778995</v>
      </c>
      <c r="AG229" t="s">
        <v>1175</v>
      </c>
    </row>
    <row r="230" spans="1:33" x14ac:dyDescent="0.3">
      <c r="A230">
        <v>304849</v>
      </c>
      <c r="B230" t="s">
        <v>280</v>
      </c>
      <c r="C230" s="1" t="s">
        <v>760</v>
      </c>
      <c r="D230" t="s">
        <v>767</v>
      </c>
      <c r="E230" s="4">
        <v>6.3</v>
      </c>
      <c r="F230" s="3">
        <f t="shared" si="86"/>
        <v>0.68888888888888877</v>
      </c>
      <c r="G230">
        <v>54.922319999999999</v>
      </c>
      <c r="H230">
        <f t="shared" si="77"/>
        <v>0.51839292146056037</v>
      </c>
      <c r="I230">
        <v>147.9</v>
      </c>
      <c r="J230" s="3">
        <f t="shared" si="67"/>
        <v>0.45732838589981445</v>
      </c>
      <c r="K230">
        <v>0</v>
      </c>
      <c r="L230" s="3">
        <f t="shared" si="68"/>
        <v>0</v>
      </c>
      <c r="M230">
        <v>49962</v>
      </c>
      <c r="N230">
        <f t="shared" si="69"/>
        <v>0.23526044106305566</v>
      </c>
      <c r="O230" s="15">
        <v>0.84896934800000001</v>
      </c>
      <c r="P230">
        <f t="shared" si="70"/>
        <v>0.86548559746683429</v>
      </c>
      <c r="Q230">
        <v>0.36770000000000003</v>
      </c>
      <c r="R230">
        <f t="shared" si="71"/>
        <v>0.8151185989802705</v>
      </c>
      <c r="S230">
        <f t="shared" si="78"/>
        <v>0.17298100873502573</v>
      </c>
      <c r="T230" s="14">
        <f t="shared" si="72"/>
        <v>0.29020058846957253</v>
      </c>
      <c r="U230" t="str">
        <f t="shared" si="79"/>
        <v>Low</v>
      </c>
      <c r="V230">
        <f t="shared" si="80"/>
        <v>0.16779684090801442</v>
      </c>
      <c r="W230">
        <f t="shared" si="73"/>
        <v>0.22552721273986628</v>
      </c>
      <c r="X230" t="s">
        <v>1175</v>
      </c>
      <c r="Y230">
        <f t="shared" si="81"/>
        <v>0.17816517656203709</v>
      </c>
      <c r="Z230">
        <f t="shared" si="74"/>
        <v>0.35697950177132615</v>
      </c>
      <c r="AA230" t="str">
        <f t="shared" si="82"/>
        <v>Moderate</v>
      </c>
      <c r="AB230">
        <f t="shared" si="83"/>
        <v>0.12912884640335107</v>
      </c>
      <c r="AC230">
        <f t="shared" si="75"/>
        <v>0.30316521674241664</v>
      </c>
      <c r="AD230" t="str">
        <f t="shared" si="84"/>
        <v>Moderate</v>
      </c>
      <c r="AE230">
        <f t="shared" si="85"/>
        <v>4.842971176267117E-2</v>
      </c>
      <c r="AF230">
        <f t="shared" si="76"/>
        <v>0.2649318220966474</v>
      </c>
      <c r="AG230" t="s">
        <v>1175</v>
      </c>
    </row>
    <row r="231" spans="1:33" x14ac:dyDescent="0.3">
      <c r="A231">
        <v>304854</v>
      </c>
      <c r="B231" t="s">
        <v>288</v>
      </c>
      <c r="C231" s="1" t="s">
        <v>760</v>
      </c>
      <c r="D231" t="s">
        <v>768</v>
      </c>
      <c r="E231" s="4">
        <v>6.3</v>
      </c>
      <c r="F231" s="3">
        <f t="shared" si="86"/>
        <v>0.68888888888888877</v>
      </c>
      <c r="G231">
        <v>59.038919999999997</v>
      </c>
      <c r="H231">
        <f t="shared" si="77"/>
        <v>0.55724809546785903</v>
      </c>
      <c r="I231">
        <v>144.1</v>
      </c>
      <c r="J231" s="3">
        <f t="shared" si="67"/>
        <v>0.44557823129251695</v>
      </c>
      <c r="K231">
        <v>0</v>
      </c>
      <c r="L231" s="3">
        <f t="shared" si="68"/>
        <v>0</v>
      </c>
      <c r="M231">
        <v>20678</v>
      </c>
      <c r="N231">
        <f t="shared" si="69"/>
        <v>9.670551163219826E-2</v>
      </c>
      <c r="O231" s="15">
        <v>0.72744119200000001</v>
      </c>
      <c r="P231">
        <f t="shared" si="70"/>
        <v>0.74159317549366477</v>
      </c>
      <c r="Q231">
        <v>0.39200000000000002</v>
      </c>
      <c r="R231">
        <f t="shared" si="71"/>
        <v>0.86898692086011975</v>
      </c>
      <c r="S231">
        <f t="shared" si="78"/>
        <v>0.17309193158092043</v>
      </c>
      <c r="T231" s="14">
        <f t="shared" si="72"/>
        <v>0.29038667754020958</v>
      </c>
      <c r="U231" t="str">
        <f t="shared" si="79"/>
        <v>Low</v>
      </c>
      <c r="V231">
        <f t="shared" si="80"/>
        <v>0.18678316588012031</v>
      </c>
      <c r="W231">
        <f t="shared" si="73"/>
        <v>0.25104576796391664</v>
      </c>
      <c r="X231" t="s">
        <v>1175</v>
      </c>
      <c r="Y231">
        <f t="shared" si="81"/>
        <v>0.15940069728172049</v>
      </c>
      <c r="Z231">
        <f t="shared" si="74"/>
        <v>0.31938217442743094</v>
      </c>
      <c r="AA231" t="str">
        <f t="shared" si="82"/>
        <v>Moderate</v>
      </c>
      <c r="AB231">
        <f t="shared" si="83"/>
        <v>0.12046949758818884</v>
      </c>
      <c r="AC231">
        <f t="shared" si="75"/>
        <v>0.28283503155516082</v>
      </c>
      <c r="AD231" t="str">
        <f t="shared" si="84"/>
        <v>Low</v>
      </c>
      <c r="AE231">
        <f t="shared" si="85"/>
        <v>2.0786229558944505E-2</v>
      </c>
      <c r="AF231">
        <f t="shared" si="76"/>
        <v>0.11370981719975903</v>
      </c>
      <c r="AG231" t="s">
        <v>1175</v>
      </c>
    </row>
    <row r="232" spans="1:33" x14ac:dyDescent="0.3">
      <c r="A232">
        <v>304859</v>
      </c>
      <c r="B232" t="s">
        <v>340</v>
      </c>
      <c r="C232" s="1" t="s">
        <v>760</v>
      </c>
      <c r="D232" t="s">
        <v>769</v>
      </c>
      <c r="E232" s="4">
        <v>5.9</v>
      </c>
      <c r="F232" s="3">
        <f t="shared" si="86"/>
        <v>0.60000000000000009</v>
      </c>
      <c r="G232">
        <v>56.743200000000002</v>
      </c>
      <c r="H232">
        <f t="shared" si="77"/>
        <v>0.53557958259994964</v>
      </c>
      <c r="I232">
        <v>109</v>
      </c>
      <c r="J232" s="3">
        <f t="shared" si="67"/>
        <v>0.33704390847247989</v>
      </c>
      <c r="K232">
        <v>0</v>
      </c>
      <c r="L232" s="3">
        <f t="shared" si="68"/>
        <v>0</v>
      </c>
      <c r="M232">
        <v>2267</v>
      </c>
      <c r="N232">
        <f t="shared" si="69"/>
        <v>9.595321571020993E-3</v>
      </c>
      <c r="O232" s="15">
        <v>0.67398765100000002</v>
      </c>
      <c r="P232">
        <f t="shared" si="70"/>
        <v>0.6870997241363338</v>
      </c>
      <c r="Q232">
        <v>0.10970000000000001</v>
      </c>
      <c r="R232">
        <f t="shared" si="71"/>
        <v>0.24318332963866107</v>
      </c>
      <c r="S232">
        <f t="shared" si="78"/>
        <v>7.8601647342676509E-2</v>
      </c>
      <c r="T232" s="14">
        <f t="shared" si="72"/>
        <v>0.13186559889047431</v>
      </c>
      <c r="U232" t="str">
        <f t="shared" si="79"/>
        <v>No Impact</v>
      </c>
      <c r="V232">
        <f t="shared" si="80"/>
        <v>4.1094181471565509E-2</v>
      </c>
      <c r="W232">
        <f t="shared" si="73"/>
        <v>5.5232602455185846E-2</v>
      </c>
      <c r="X232" t="s">
        <v>1176</v>
      </c>
      <c r="Y232">
        <f t="shared" si="81"/>
        <v>0.11610911321378749</v>
      </c>
      <c r="Z232">
        <f t="shared" si="74"/>
        <v>0.23264127247524138</v>
      </c>
      <c r="AA232" t="str">
        <f t="shared" si="82"/>
        <v>Low</v>
      </c>
      <c r="AB232">
        <f t="shared" si="83"/>
        <v>4.9783208255010009E-2</v>
      </c>
      <c r="AC232">
        <f t="shared" si="75"/>
        <v>0.11687967128289395</v>
      </c>
      <c r="AD232" t="str">
        <f t="shared" si="84"/>
        <v>No Impact</v>
      </c>
      <c r="AE232">
        <f t="shared" si="85"/>
        <v>1.6214593595023975E-3</v>
      </c>
      <c r="AF232">
        <f t="shared" si="76"/>
        <v>8.8700957931313416E-3</v>
      </c>
      <c r="AG232" t="s">
        <v>1176</v>
      </c>
    </row>
    <row r="233" spans="1:33" x14ac:dyDescent="0.3">
      <c r="A233">
        <v>304876</v>
      </c>
      <c r="B233" t="s">
        <v>385</v>
      </c>
      <c r="C233" s="1" t="s">
        <v>760</v>
      </c>
      <c r="D233" t="s">
        <v>770</v>
      </c>
      <c r="E233" s="4">
        <v>6.2</v>
      </c>
      <c r="F233" s="3">
        <f t="shared" si="86"/>
        <v>0.66666666666666663</v>
      </c>
      <c r="G233">
        <v>56.385359999999999</v>
      </c>
      <c r="H233">
        <f t="shared" si="77"/>
        <v>0.53220205370067075</v>
      </c>
      <c r="I233">
        <v>116.79999999999998</v>
      </c>
      <c r="J233" s="3">
        <f t="shared" si="67"/>
        <v>0.3611626468769325</v>
      </c>
      <c r="K233">
        <v>0</v>
      </c>
      <c r="L233" s="3">
        <f t="shared" si="68"/>
        <v>0</v>
      </c>
      <c r="M233">
        <v>6692</v>
      </c>
      <c r="N233">
        <f t="shared" si="69"/>
        <v>3.0531859022583072E-2</v>
      </c>
      <c r="O233" s="15">
        <v>0.60405493200000004</v>
      </c>
      <c r="P233">
        <f t="shared" si="70"/>
        <v>0.61580650109031732</v>
      </c>
      <c r="Q233">
        <v>0.16750000000000001</v>
      </c>
      <c r="R233">
        <f t="shared" si="71"/>
        <v>0.37131456439813793</v>
      </c>
      <c r="S233">
        <f t="shared" si="78"/>
        <v>9.3813798227205911E-2</v>
      </c>
      <c r="T233" s="14">
        <f t="shared" si="72"/>
        <v>0.15738617580733491</v>
      </c>
      <c r="U233" t="str">
        <f t="shared" si="79"/>
        <v>Low</v>
      </c>
      <c r="V233">
        <f t="shared" si="80"/>
        <v>7.0577826451373948E-2</v>
      </c>
      <c r="W233">
        <f t="shared" si="73"/>
        <v>9.4860072422591868E-2</v>
      </c>
      <c r="X233" t="s">
        <v>1176</v>
      </c>
      <c r="Y233">
        <f t="shared" si="81"/>
        <v>0.11704977000303787</v>
      </c>
      <c r="Z233">
        <f t="shared" si="74"/>
        <v>0.23452601335695625</v>
      </c>
      <c r="AA233" t="str">
        <f t="shared" si="82"/>
        <v>Low</v>
      </c>
      <c r="AB233">
        <f t="shared" si="83"/>
        <v>6.1848346406774501E-2</v>
      </c>
      <c r="AC233">
        <f t="shared" si="75"/>
        <v>0.14520587665594806</v>
      </c>
      <c r="AD233" t="str">
        <f t="shared" si="84"/>
        <v>No Impact</v>
      </c>
      <c r="AE233">
        <f t="shared" si="85"/>
        <v>5.8033604225207454E-3</v>
      </c>
      <c r="AF233">
        <f t="shared" si="76"/>
        <v>3.1746933753321785E-2</v>
      </c>
      <c r="AG233" t="s">
        <v>1176</v>
      </c>
    </row>
    <row r="234" spans="1:33" x14ac:dyDescent="0.3">
      <c r="A234">
        <v>304879</v>
      </c>
      <c r="B234" t="s">
        <v>392</v>
      </c>
      <c r="C234" s="1" t="s">
        <v>760</v>
      </c>
      <c r="D234" t="s">
        <v>771</v>
      </c>
      <c r="E234" s="4">
        <v>6.3</v>
      </c>
      <c r="F234" s="3">
        <f t="shared" si="86"/>
        <v>0.68888888888888877</v>
      </c>
      <c r="G234">
        <v>50.360760000000006</v>
      </c>
      <c r="H234">
        <f t="shared" si="77"/>
        <v>0.47533792278574782</v>
      </c>
      <c r="I234">
        <v>150.19999999999999</v>
      </c>
      <c r="J234" s="3">
        <f t="shared" si="67"/>
        <v>0.46444032158317866</v>
      </c>
      <c r="K234">
        <v>0</v>
      </c>
      <c r="L234" s="3">
        <f t="shared" si="68"/>
        <v>0</v>
      </c>
      <c r="M234">
        <v>22012</v>
      </c>
      <c r="N234">
        <f t="shared" si="69"/>
        <v>0.10301722710347144</v>
      </c>
      <c r="O234" s="15">
        <v>0.92952056199999999</v>
      </c>
      <c r="P234">
        <f t="shared" si="70"/>
        <v>0.94760389271471979</v>
      </c>
      <c r="Q234">
        <v>0.37980000000000003</v>
      </c>
      <c r="R234">
        <f t="shared" si="71"/>
        <v>0.84194191975171806</v>
      </c>
      <c r="S234">
        <f t="shared" si="78"/>
        <v>0.17445527009698067</v>
      </c>
      <c r="T234" s="14">
        <f t="shared" si="72"/>
        <v>0.29267387451366439</v>
      </c>
      <c r="U234" t="str">
        <f t="shared" si="79"/>
        <v>Low</v>
      </c>
      <c r="V234">
        <f t="shared" si="80"/>
        <v>0.16415473020365728</v>
      </c>
      <c r="W234">
        <f t="shared" si="73"/>
        <v>0.22063203669722564</v>
      </c>
      <c r="X234" t="s">
        <v>1175</v>
      </c>
      <c r="Y234">
        <f t="shared" si="81"/>
        <v>0.184755809990304</v>
      </c>
      <c r="Z234">
        <f t="shared" si="74"/>
        <v>0.37018478174230268</v>
      </c>
      <c r="AA234" t="str">
        <f t="shared" si="82"/>
        <v>Moderate</v>
      </c>
      <c r="AB234">
        <f t="shared" si="83"/>
        <v>0.11991079891383703</v>
      </c>
      <c r="AC234">
        <f t="shared" si="75"/>
        <v>0.28152333390261236</v>
      </c>
      <c r="AD234" t="str">
        <f t="shared" si="84"/>
        <v>Low</v>
      </c>
      <c r="AE234">
        <f t="shared" si="85"/>
        <v>2.0085429558473693E-2</v>
      </c>
      <c r="AF234">
        <f t="shared" si="76"/>
        <v>0.10987613299449456</v>
      </c>
      <c r="AG234" t="s">
        <v>1175</v>
      </c>
    </row>
    <row r="235" spans="1:33" x14ac:dyDescent="0.3">
      <c r="A235">
        <v>304892</v>
      </c>
      <c r="B235" t="s">
        <v>513</v>
      </c>
      <c r="C235" s="1" t="s">
        <v>760</v>
      </c>
      <c r="D235" t="s">
        <v>772</v>
      </c>
      <c r="E235" s="4">
        <v>6.3</v>
      </c>
      <c r="F235" s="3">
        <f t="shared" si="86"/>
        <v>0.68888888888888877</v>
      </c>
      <c r="G235">
        <v>54.922319999999999</v>
      </c>
      <c r="H235">
        <f t="shared" si="77"/>
        <v>0.51839292146056037</v>
      </c>
      <c r="I235">
        <v>123.60000000000001</v>
      </c>
      <c r="J235" s="3">
        <f t="shared" si="67"/>
        <v>0.38218923933209648</v>
      </c>
      <c r="K235">
        <v>0</v>
      </c>
      <c r="L235" s="3">
        <f t="shared" si="68"/>
        <v>0</v>
      </c>
      <c r="M235">
        <v>17053</v>
      </c>
      <c r="N235">
        <f t="shared" si="69"/>
        <v>7.9554110895042884E-2</v>
      </c>
      <c r="O235" s="15">
        <v>0.91965582199999996</v>
      </c>
      <c r="P235">
        <f t="shared" si="70"/>
        <v>0.93754723941755613</v>
      </c>
      <c r="Q235">
        <v>0.2944</v>
      </c>
      <c r="R235">
        <f t="shared" si="71"/>
        <v>0.65262691199290623</v>
      </c>
      <c r="S235">
        <f t="shared" si="78"/>
        <v>0.15544209425807246</v>
      </c>
      <c r="T235" s="14">
        <f t="shared" si="72"/>
        <v>0.26077653007408724</v>
      </c>
      <c r="U235" t="str">
        <f t="shared" si="79"/>
        <v>Low</v>
      </c>
      <c r="V235">
        <f t="shared" si="80"/>
        <v>0.12759067159955426</v>
      </c>
      <c r="W235">
        <f t="shared" si="73"/>
        <v>0.17148814233773044</v>
      </c>
      <c r="X235" t="s">
        <v>1176</v>
      </c>
      <c r="Y235">
        <f t="shared" si="81"/>
        <v>0.18329351691659065</v>
      </c>
      <c r="Z235">
        <f t="shared" si="74"/>
        <v>0.36725486769865628</v>
      </c>
      <c r="AA235" t="str">
        <f t="shared" si="82"/>
        <v>Moderate</v>
      </c>
      <c r="AB235">
        <f t="shared" si="83"/>
        <v>0.1050883702077189</v>
      </c>
      <c r="AC235">
        <f t="shared" si="75"/>
        <v>0.24672363626338131</v>
      </c>
      <c r="AD235" t="str">
        <f t="shared" si="84"/>
        <v>Low</v>
      </c>
      <c r="AE235">
        <f t="shared" si="85"/>
        <v>1.5553085922565003E-2</v>
      </c>
      <c r="AF235">
        <f t="shared" si="76"/>
        <v>8.5082220040526485E-2</v>
      </c>
      <c r="AG235" t="s">
        <v>1175</v>
      </c>
    </row>
    <row r="236" spans="1:33" x14ac:dyDescent="0.3">
      <c r="A236">
        <v>305440</v>
      </c>
      <c r="B236" t="s">
        <v>248</v>
      </c>
      <c r="C236" s="1" t="s">
        <v>774</v>
      </c>
      <c r="D236" t="s">
        <v>773</v>
      </c>
      <c r="E236" s="4">
        <v>6.4</v>
      </c>
      <c r="F236" s="3">
        <f t="shared" si="86"/>
        <v>0.71111111111111114</v>
      </c>
      <c r="G236">
        <v>66.414599999999993</v>
      </c>
      <c r="H236">
        <f t="shared" si="77"/>
        <v>0.62686460662321852</v>
      </c>
      <c r="I236">
        <v>133.1</v>
      </c>
      <c r="J236" s="3">
        <f t="shared" si="67"/>
        <v>0.41156462585034009</v>
      </c>
      <c r="K236">
        <v>0</v>
      </c>
      <c r="L236" s="3">
        <f t="shared" si="68"/>
        <v>0</v>
      </c>
      <c r="M236">
        <v>17400</v>
      </c>
      <c r="N236">
        <f t="shared" si="69"/>
        <v>8.1195913944916792E-2</v>
      </c>
      <c r="O236" s="15">
        <v>0.25754939999999998</v>
      </c>
      <c r="P236">
        <f t="shared" si="70"/>
        <v>0.26255988730493562</v>
      </c>
      <c r="Q236">
        <v>0.3478</v>
      </c>
      <c r="R236">
        <f t="shared" si="71"/>
        <v>0.77100421192640212</v>
      </c>
      <c r="S236">
        <f t="shared" si="78"/>
        <v>0.12239558590304403</v>
      </c>
      <c r="T236" s="14">
        <f t="shared" si="72"/>
        <v>0.20533624653299551</v>
      </c>
      <c r="U236" t="str">
        <f t="shared" si="79"/>
        <v>Low</v>
      </c>
      <c r="V236">
        <f t="shared" si="80"/>
        <v>0.18260601799661558</v>
      </c>
      <c r="W236">
        <f t="shared" si="73"/>
        <v>0.24543147561925036</v>
      </c>
      <c r="X236" t="s">
        <v>1175</v>
      </c>
      <c r="Y236">
        <f t="shared" si="81"/>
        <v>6.2185153809472482E-2</v>
      </c>
      <c r="Z236">
        <f t="shared" si="74"/>
        <v>0.12459688056239847</v>
      </c>
      <c r="AA236" t="str">
        <f t="shared" si="82"/>
        <v>No Impact</v>
      </c>
      <c r="AB236">
        <f t="shared" si="83"/>
        <v>8.9298357414216226E-2</v>
      </c>
      <c r="AC236">
        <f t="shared" si="75"/>
        <v>0.20965227084627694</v>
      </c>
      <c r="AD236" t="str">
        <f t="shared" si="84"/>
        <v>Low</v>
      </c>
      <c r="AE236">
        <f t="shared" si="85"/>
        <v>1.9230585635882955E-2</v>
      </c>
      <c r="AF236">
        <f t="shared" si="76"/>
        <v>0.10519976078872866</v>
      </c>
      <c r="AG236" t="s">
        <v>1175</v>
      </c>
    </row>
    <row r="237" spans="1:33" x14ac:dyDescent="0.3">
      <c r="A237">
        <v>305454</v>
      </c>
      <c r="B237" t="s">
        <v>308</v>
      </c>
      <c r="C237" s="1" t="s">
        <v>774</v>
      </c>
      <c r="D237" t="s">
        <v>775</v>
      </c>
      <c r="E237" s="4">
        <v>6.4</v>
      </c>
      <c r="F237" s="3">
        <f t="shared" si="86"/>
        <v>0.71111111111111114</v>
      </c>
      <c r="G237">
        <v>66.417839999999998</v>
      </c>
      <c r="H237">
        <f t="shared" si="77"/>
        <v>0.62689518787079757</v>
      </c>
      <c r="I237">
        <v>138.30000000000001</v>
      </c>
      <c r="J237" s="3">
        <f t="shared" si="67"/>
        <v>0.42764378478664195</v>
      </c>
      <c r="K237">
        <v>0</v>
      </c>
      <c r="L237" s="3">
        <f t="shared" si="68"/>
        <v>0</v>
      </c>
      <c r="M237">
        <v>27938</v>
      </c>
      <c r="N237">
        <f t="shared" si="69"/>
        <v>0.1310556273154391</v>
      </c>
      <c r="O237" s="15">
        <v>0.90913469499999999</v>
      </c>
      <c r="P237">
        <f t="shared" si="70"/>
        <v>0.9268214294586089</v>
      </c>
      <c r="Q237">
        <v>0.30809999999999998</v>
      </c>
      <c r="R237">
        <f t="shared" si="71"/>
        <v>0.68299711815561959</v>
      </c>
      <c r="S237">
        <f t="shared" si="78"/>
        <v>0.19248383276163672</v>
      </c>
      <c r="T237" s="14">
        <f t="shared" si="72"/>
        <v>0.3229193883582393</v>
      </c>
      <c r="U237" t="str">
        <f t="shared" si="79"/>
        <v>Moderate</v>
      </c>
      <c r="V237">
        <f t="shared" si="80"/>
        <v>0.16333008867686394</v>
      </c>
      <c r="W237">
        <f t="shared" si="73"/>
        <v>0.21952367789833022</v>
      </c>
      <c r="X237" t="s">
        <v>1175</v>
      </c>
      <c r="Y237">
        <f t="shared" si="81"/>
        <v>0.22163757684640956</v>
      </c>
      <c r="Z237">
        <f t="shared" si="74"/>
        <v>0.44408269496416264</v>
      </c>
      <c r="AA237" t="str">
        <f t="shared" si="82"/>
        <v>Moderate</v>
      </c>
      <c r="AB237">
        <f t="shared" si="83"/>
        <v>0.13462590532377428</v>
      </c>
      <c r="AC237">
        <f t="shared" si="75"/>
        <v>0.31607106315453709</v>
      </c>
      <c r="AD237" t="str">
        <f t="shared" si="84"/>
        <v>Moderate</v>
      </c>
      <c r="AE237">
        <f t="shared" si="85"/>
        <v>3.1340289236997242E-2</v>
      </c>
      <c r="AF237">
        <f t="shared" si="76"/>
        <v>0.17144516517633857</v>
      </c>
      <c r="AG237" t="s">
        <v>1175</v>
      </c>
    </row>
    <row r="238" spans="1:33" x14ac:dyDescent="0.3">
      <c r="A238">
        <v>305480</v>
      </c>
      <c r="B238" t="s">
        <v>426</v>
      </c>
      <c r="C238" s="1" t="s">
        <v>774</v>
      </c>
      <c r="D238" t="s">
        <v>776</v>
      </c>
      <c r="E238" s="4">
        <v>6.4</v>
      </c>
      <c r="F238" s="3">
        <f t="shared" si="86"/>
        <v>0.71111111111111114</v>
      </c>
      <c r="G238">
        <v>66.417839999999998</v>
      </c>
      <c r="H238">
        <f t="shared" si="77"/>
        <v>0.62689518787079757</v>
      </c>
      <c r="I238">
        <v>164.2</v>
      </c>
      <c r="J238" s="3">
        <f t="shared" si="67"/>
        <v>0.50773036487322187</v>
      </c>
      <c r="K238">
        <v>0</v>
      </c>
      <c r="L238" s="3">
        <f t="shared" si="68"/>
        <v>0</v>
      </c>
      <c r="M238">
        <v>12683</v>
      </c>
      <c r="N238">
        <f t="shared" si="69"/>
        <v>5.8877801592596271E-2</v>
      </c>
      <c r="O238" s="15">
        <v>0.60908996400000004</v>
      </c>
      <c r="P238">
        <f t="shared" si="70"/>
        <v>0.62093948697378953</v>
      </c>
      <c r="Q238">
        <v>0.31830000000000003</v>
      </c>
      <c r="R238">
        <f t="shared" si="71"/>
        <v>0.70560851252493906</v>
      </c>
      <c r="S238">
        <f t="shared" si="78"/>
        <v>0.16616830681159853</v>
      </c>
      <c r="T238" s="14">
        <f t="shared" si="72"/>
        <v>0.27877129850471383</v>
      </c>
      <c r="U238" t="str">
        <f t="shared" si="79"/>
        <v>Low</v>
      </c>
      <c r="V238">
        <f t="shared" si="80"/>
        <v>0.17677426198286936</v>
      </c>
      <c r="W238">
        <f t="shared" si="73"/>
        <v>0.23759330851168164</v>
      </c>
      <c r="X238" t="s">
        <v>1175</v>
      </c>
      <c r="Y238">
        <f t="shared" si="81"/>
        <v>0.15556235164032772</v>
      </c>
      <c r="Z238">
        <f t="shared" si="74"/>
        <v>0.31169149804986496</v>
      </c>
      <c r="AA238" t="str">
        <f t="shared" si="82"/>
        <v>Moderate</v>
      </c>
      <c r="AB238">
        <f t="shared" si="83"/>
        <v>0.11370237295975691</v>
      </c>
      <c r="AC238">
        <f t="shared" si="75"/>
        <v>0.26694735918880819</v>
      </c>
      <c r="AD238" t="str">
        <f t="shared" si="84"/>
        <v>Low</v>
      </c>
      <c r="AE238">
        <f t="shared" si="85"/>
        <v>1.4750502210440882E-2</v>
      </c>
      <c r="AF238">
        <f t="shared" si="76"/>
        <v>8.0691734169371115E-2</v>
      </c>
      <c r="AG238" t="s">
        <v>1175</v>
      </c>
    </row>
    <row r="239" spans="1:33" x14ac:dyDescent="0.3">
      <c r="A239">
        <v>305487</v>
      </c>
      <c r="B239" t="s">
        <v>482</v>
      </c>
      <c r="C239" s="1" t="s">
        <v>774</v>
      </c>
      <c r="D239" t="s">
        <v>777</v>
      </c>
      <c r="E239" s="4">
        <v>6.4</v>
      </c>
      <c r="F239" s="3">
        <f t="shared" si="86"/>
        <v>0.71111111111111114</v>
      </c>
      <c r="G239">
        <v>63.929879999999997</v>
      </c>
      <c r="H239">
        <f t="shared" si="77"/>
        <v>0.60341218764653504</v>
      </c>
      <c r="I239">
        <v>123.5</v>
      </c>
      <c r="J239" s="3">
        <f t="shared" si="67"/>
        <v>0.38188002473716753</v>
      </c>
      <c r="K239">
        <v>0</v>
      </c>
      <c r="L239" s="3">
        <f t="shared" si="68"/>
        <v>0</v>
      </c>
      <c r="M239">
        <v>29231</v>
      </c>
      <c r="N239">
        <f t="shared" si="69"/>
        <v>0.13717335453009893</v>
      </c>
      <c r="O239" s="15">
        <v>0.55598404000000001</v>
      </c>
      <c r="P239">
        <f t="shared" si="70"/>
        <v>0.5668004153212659</v>
      </c>
      <c r="Q239">
        <v>0.28539999999999999</v>
      </c>
      <c r="R239">
        <f t="shared" si="71"/>
        <v>0.63267568166703614</v>
      </c>
      <c r="S239">
        <f t="shared" si="78"/>
        <v>0.13551025443672263</v>
      </c>
      <c r="T239" s="14">
        <f t="shared" si="72"/>
        <v>0.22733799431957949</v>
      </c>
      <c r="U239" t="str">
        <f t="shared" si="79"/>
        <v>Low</v>
      </c>
      <c r="V239">
        <f t="shared" si="80"/>
        <v>0.14295248202759828</v>
      </c>
      <c r="W239">
        <f t="shared" si="73"/>
        <v>0.19213517162461796</v>
      </c>
      <c r="X239" t="s">
        <v>1175</v>
      </c>
      <c r="Y239">
        <f t="shared" si="81"/>
        <v>0.12806802684584695</v>
      </c>
      <c r="Z239">
        <f t="shared" si="74"/>
        <v>0.25660267229801992</v>
      </c>
      <c r="AA239" t="str">
        <f t="shared" si="82"/>
        <v>Low</v>
      </c>
      <c r="AB239">
        <f t="shared" si="83"/>
        <v>9.9301743933988634E-2</v>
      </c>
      <c r="AC239">
        <f t="shared" si="75"/>
        <v>0.23313795144278748</v>
      </c>
      <c r="AD239" t="str">
        <f t="shared" si="84"/>
        <v>Low</v>
      </c>
      <c r="AE239">
        <f t="shared" si="85"/>
        <v>3.0994191915929024E-2</v>
      </c>
      <c r="AF239">
        <f t="shared" si="76"/>
        <v>0.16955186062101296</v>
      </c>
      <c r="AG239" t="s">
        <v>1175</v>
      </c>
    </row>
    <row r="240" spans="1:33" x14ac:dyDescent="0.3">
      <c r="A240">
        <v>305610</v>
      </c>
      <c r="B240" t="s">
        <v>132</v>
      </c>
      <c r="C240" s="1" t="s">
        <v>778</v>
      </c>
      <c r="D240" t="s">
        <v>1140</v>
      </c>
      <c r="E240" s="4">
        <v>5.5</v>
      </c>
      <c r="F240" s="3">
        <f t="shared" si="86"/>
        <v>0.51111111111111107</v>
      </c>
      <c r="G240">
        <v>47.349359999999997</v>
      </c>
      <c r="H240">
        <f t="shared" si="77"/>
        <v>0.44691435211928038</v>
      </c>
      <c r="I240">
        <v>160.20000000000002</v>
      </c>
      <c r="J240" s="3">
        <f t="shared" si="67"/>
        <v>0.49536178107606677</v>
      </c>
      <c r="K240">
        <v>0</v>
      </c>
      <c r="L240" s="3">
        <f t="shared" si="68"/>
        <v>0</v>
      </c>
      <c r="M240">
        <v>80319</v>
      </c>
      <c r="N240">
        <f t="shared" si="69"/>
        <v>0.37889218511211104</v>
      </c>
      <c r="O240" s="15">
        <v>0.84775803900000002</v>
      </c>
      <c r="P240">
        <f t="shared" si="70"/>
        <v>0.86425072309115547</v>
      </c>
      <c r="Q240">
        <v>0.23100000000000001</v>
      </c>
      <c r="R240">
        <f t="shared" si="71"/>
        <v>0.51208157836399915</v>
      </c>
      <c r="S240">
        <f t="shared" si="78"/>
        <v>9.7723817710426097E-2</v>
      </c>
      <c r="T240" s="14">
        <f t="shared" si="72"/>
        <v>0.16394579737074089</v>
      </c>
      <c r="U240" t="str">
        <f t="shared" si="79"/>
        <v>Low</v>
      </c>
      <c r="V240">
        <f t="shared" si="80"/>
        <v>7.2718727539856795E-2</v>
      </c>
      <c r="W240">
        <f t="shared" si="73"/>
        <v>9.773754885554789E-2</v>
      </c>
      <c r="X240" t="s">
        <v>1176</v>
      </c>
      <c r="Y240">
        <f t="shared" si="81"/>
        <v>0.12272890788099537</v>
      </c>
      <c r="Z240">
        <f t="shared" si="74"/>
        <v>0.24590498117370024</v>
      </c>
      <c r="AA240" t="str">
        <f t="shared" si="82"/>
        <v>Low</v>
      </c>
      <c r="AB240">
        <f t="shared" si="83"/>
        <v>8.1101982643552464E-2</v>
      </c>
      <c r="AC240">
        <f t="shared" si="75"/>
        <v>0.19040904361191771</v>
      </c>
      <c r="AD240" t="str">
        <f t="shared" si="84"/>
        <v>Low</v>
      </c>
      <c r="AE240">
        <f t="shared" si="85"/>
        <v>5.3805016115154237E-2</v>
      </c>
      <c r="AF240">
        <f t="shared" si="76"/>
        <v>0.29433710089339304</v>
      </c>
      <c r="AG240" t="s">
        <v>1175</v>
      </c>
    </row>
    <row r="241" spans="1:33" x14ac:dyDescent="0.3">
      <c r="A241">
        <v>305622</v>
      </c>
      <c r="B241" t="s">
        <v>183</v>
      </c>
      <c r="C241" s="1" t="s">
        <v>778</v>
      </c>
      <c r="D241" t="s">
        <v>779</v>
      </c>
      <c r="E241" s="4">
        <v>5.9</v>
      </c>
      <c r="F241" s="3">
        <f t="shared" si="86"/>
        <v>0.60000000000000009</v>
      </c>
      <c r="G241">
        <v>48.250800000000005</v>
      </c>
      <c r="H241">
        <f t="shared" si="77"/>
        <v>0.4554227347790335</v>
      </c>
      <c r="I241">
        <v>154.60000000000002</v>
      </c>
      <c r="J241" s="3">
        <f t="shared" si="67"/>
        <v>0.47804576376004948</v>
      </c>
      <c r="K241">
        <v>0</v>
      </c>
      <c r="L241" s="3">
        <f t="shared" si="68"/>
        <v>0</v>
      </c>
      <c r="M241">
        <v>22617</v>
      </c>
      <c r="N241">
        <f t="shared" si="69"/>
        <v>0.10587973674374151</v>
      </c>
      <c r="O241" s="15">
        <v>0.30612339900000002</v>
      </c>
      <c r="P241">
        <f t="shared" si="70"/>
        <v>0.31207886775447297</v>
      </c>
      <c r="Q241">
        <v>0.25940000000000002</v>
      </c>
      <c r="R241">
        <f t="shared" si="71"/>
        <v>0.57503879405896696</v>
      </c>
      <c r="S241">
        <f t="shared" si="78"/>
        <v>7.3926596604861158E-2</v>
      </c>
      <c r="T241" s="14">
        <f t="shared" si="72"/>
        <v>0.12402252706911999</v>
      </c>
      <c r="U241" t="str">
        <f t="shared" si="79"/>
        <v>No Impact</v>
      </c>
      <c r="V241">
        <f t="shared" si="80"/>
        <v>9.5839960786358522E-2</v>
      </c>
      <c r="W241">
        <f t="shared" si="73"/>
        <v>0.1288136243106896</v>
      </c>
      <c r="X241" t="s">
        <v>1176</v>
      </c>
      <c r="Y241">
        <f t="shared" si="81"/>
        <v>5.2013232423363767E-2</v>
      </c>
      <c r="Z241">
        <f t="shared" si="74"/>
        <v>0.10421597617614871</v>
      </c>
      <c r="AA241" t="str">
        <f t="shared" si="82"/>
        <v>No Impact</v>
      </c>
      <c r="AB241">
        <f t="shared" si="83"/>
        <v>5.5324284404509941E-2</v>
      </c>
      <c r="AC241">
        <f t="shared" si="75"/>
        <v>0.12988886015616952</v>
      </c>
      <c r="AD241" t="str">
        <f t="shared" si="84"/>
        <v>No Impact</v>
      </c>
      <c r="AE241">
        <f t="shared" si="85"/>
        <v>1.7646652577929516E-2</v>
      </c>
      <c r="AF241">
        <f t="shared" si="76"/>
        <v>9.6534950368647524E-2</v>
      </c>
      <c r="AG241" t="s">
        <v>1175</v>
      </c>
    </row>
    <row r="242" spans="1:33" x14ac:dyDescent="0.3">
      <c r="A242">
        <v>305628</v>
      </c>
      <c r="B242" t="s">
        <v>204</v>
      </c>
      <c r="C242" s="1" t="s">
        <v>778</v>
      </c>
      <c r="D242" t="s">
        <v>780</v>
      </c>
      <c r="E242" s="4">
        <v>5.9</v>
      </c>
      <c r="F242" s="3">
        <f t="shared" si="86"/>
        <v>0.60000000000000009</v>
      </c>
      <c r="G242">
        <v>53.169840000000001</v>
      </c>
      <c r="H242">
        <f t="shared" si="77"/>
        <v>0.50185186443672736</v>
      </c>
      <c r="I242">
        <v>118.39999999999999</v>
      </c>
      <c r="J242" s="3">
        <f t="shared" si="67"/>
        <v>0.36611008039579462</v>
      </c>
      <c r="K242">
        <v>0</v>
      </c>
      <c r="L242" s="3">
        <f t="shared" si="68"/>
        <v>0</v>
      </c>
      <c r="M242">
        <v>12495</v>
      </c>
      <c r="N242">
        <f t="shared" si="69"/>
        <v>5.7988294464710696E-2</v>
      </c>
      <c r="O242" s="15">
        <v>0.577930834</v>
      </c>
      <c r="P242">
        <f t="shared" si="70"/>
        <v>0.58917417258625904</v>
      </c>
      <c r="Q242">
        <v>0.26229999999999998</v>
      </c>
      <c r="R242">
        <f t="shared" si="71"/>
        <v>0.58146752383063616</v>
      </c>
      <c r="S242">
        <f t="shared" si="78"/>
        <v>9.6213669687494618E-2</v>
      </c>
      <c r="T242" s="14">
        <f t="shared" si="72"/>
        <v>0.161412306277495</v>
      </c>
      <c r="U242" t="str">
        <f t="shared" si="79"/>
        <v>Low</v>
      </c>
      <c r="V242">
        <f t="shared" si="80"/>
        <v>9.5580269254176217E-2</v>
      </c>
      <c r="W242">
        <f t="shared" si="73"/>
        <v>0.12846458611004</v>
      </c>
      <c r="X242" t="s">
        <v>1176</v>
      </c>
      <c r="Y242">
        <f t="shared" si="81"/>
        <v>9.684707012081302E-2</v>
      </c>
      <c r="Z242">
        <f t="shared" si="74"/>
        <v>0.19404700462159286</v>
      </c>
      <c r="AA242" t="str">
        <f t="shared" si="82"/>
        <v>Low</v>
      </c>
      <c r="AB242">
        <f t="shared" si="83"/>
        <v>6.5843408269622331E-2</v>
      </c>
      <c r="AC242">
        <f t="shared" si="75"/>
        <v>0.1545853749577171</v>
      </c>
      <c r="AD242" t="str">
        <f t="shared" si="84"/>
        <v>Low</v>
      </c>
      <c r="AE242">
        <f t="shared" si="85"/>
        <v>9.5319799840478756E-3</v>
      </c>
      <c r="AF242">
        <f t="shared" si="76"/>
        <v>5.2144122553069883E-2</v>
      </c>
      <c r="AG242" t="s">
        <v>1176</v>
      </c>
    </row>
    <row r="243" spans="1:33" x14ac:dyDescent="0.3">
      <c r="A243">
        <v>305646</v>
      </c>
      <c r="B243" t="s">
        <v>319</v>
      </c>
      <c r="C243" s="1" t="s">
        <v>778</v>
      </c>
      <c r="D243" t="s">
        <v>781</v>
      </c>
      <c r="E243" s="4">
        <v>5.9</v>
      </c>
      <c r="F243" s="3">
        <f t="shared" si="86"/>
        <v>0.60000000000000009</v>
      </c>
      <c r="G243">
        <v>49.474800000000002</v>
      </c>
      <c r="H243">
        <f t="shared" si="77"/>
        <v>0.4669756505310943</v>
      </c>
      <c r="I243">
        <v>133.29999999999998</v>
      </c>
      <c r="J243" s="3">
        <f t="shared" si="67"/>
        <v>0.41218305504019781</v>
      </c>
      <c r="K243">
        <v>0</v>
      </c>
      <c r="L243" s="3">
        <f t="shared" si="68"/>
        <v>0</v>
      </c>
      <c r="M243">
        <v>45062</v>
      </c>
      <c r="N243">
        <f t="shared" si="69"/>
        <v>0.21207647868731458</v>
      </c>
      <c r="O243" s="15">
        <v>0.69185575899999996</v>
      </c>
      <c r="P243">
        <f t="shared" si="70"/>
        <v>0.70531544672327218</v>
      </c>
      <c r="Q243">
        <v>0.27750000000000002</v>
      </c>
      <c r="R243">
        <f t="shared" si="71"/>
        <v>0.61516293504766129</v>
      </c>
      <c r="S243">
        <f t="shared" si="78"/>
        <v>0.10665247897154022</v>
      </c>
      <c r="T243" s="14">
        <f t="shared" si="72"/>
        <v>0.17892491427593754</v>
      </c>
      <c r="U243" t="str">
        <f t="shared" si="79"/>
        <v>Low</v>
      </c>
      <c r="V243">
        <f t="shared" si="80"/>
        <v>9.937103537621253E-2</v>
      </c>
      <c r="W243">
        <f t="shared" si="73"/>
        <v>0.13355956235050584</v>
      </c>
      <c r="X243" t="s">
        <v>1176</v>
      </c>
      <c r="Y243">
        <f t="shared" si="81"/>
        <v>0.11393392256686791</v>
      </c>
      <c r="Z243">
        <f t="shared" si="74"/>
        <v>0.22828296582756366</v>
      </c>
      <c r="AA243" t="str">
        <f t="shared" si="82"/>
        <v>Low</v>
      </c>
      <c r="AB243">
        <f t="shared" si="83"/>
        <v>8.0950343383187559E-2</v>
      </c>
      <c r="AC243">
        <f t="shared" si="75"/>
        <v>0.19005302905346974</v>
      </c>
      <c r="AD243" t="str">
        <f t="shared" si="84"/>
        <v>Low</v>
      </c>
      <c r="AE243">
        <f t="shared" si="85"/>
        <v>3.4258012089865168E-2</v>
      </c>
      <c r="AF243">
        <f t="shared" si="76"/>
        <v>0.18740639235793707</v>
      </c>
      <c r="AG243" t="s">
        <v>1175</v>
      </c>
    </row>
    <row r="244" spans="1:33" x14ac:dyDescent="0.3">
      <c r="A244">
        <v>305670</v>
      </c>
      <c r="B244" t="s">
        <v>465</v>
      </c>
      <c r="C244" s="1" t="s">
        <v>778</v>
      </c>
      <c r="D244" t="s">
        <v>782</v>
      </c>
      <c r="E244" s="4">
        <v>5.9</v>
      </c>
      <c r="F244" s="3">
        <f t="shared" si="86"/>
        <v>0.60000000000000009</v>
      </c>
      <c r="G244">
        <v>43.481880000000004</v>
      </c>
      <c r="H244">
        <f t="shared" si="77"/>
        <v>0.4104105362591659</v>
      </c>
      <c r="I244">
        <v>139.20000000000002</v>
      </c>
      <c r="J244" s="3">
        <f t="shared" si="67"/>
        <v>0.43042671614100186</v>
      </c>
      <c r="K244">
        <v>0</v>
      </c>
      <c r="L244" s="3">
        <f t="shared" si="68"/>
        <v>0</v>
      </c>
      <c r="M244">
        <v>15842</v>
      </c>
      <c r="N244">
        <f t="shared" si="69"/>
        <v>7.3824360193609745E-2</v>
      </c>
      <c r="O244" s="15">
        <v>0.48888394400000001</v>
      </c>
      <c r="P244">
        <f t="shared" si="70"/>
        <v>0.49839492245694406</v>
      </c>
      <c r="Q244">
        <v>0.31630000000000003</v>
      </c>
      <c r="R244">
        <f t="shared" si="71"/>
        <v>0.70117490578585684</v>
      </c>
      <c r="S244">
        <f t="shared" si="78"/>
        <v>9.0057545695875707E-2</v>
      </c>
      <c r="T244" s="14">
        <f t="shared" si="72"/>
        <v>0.15108452048110124</v>
      </c>
      <c r="U244" t="str">
        <f t="shared" si="79"/>
        <v>Low</v>
      </c>
      <c r="V244">
        <f t="shared" si="80"/>
        <v>0.10528122603935641</v>
      </c>
      <c r="W244">
        <f t="shared" si="73"/>
        <v>0.141503149487231</v>
      </c>
      <c r="X244" t="s">
        <v>1176</v>
      </c>
      <c r="Y244">
        <f t="shared" si="81"/>
        <v>7.4833865352394974E-2</v>
      </c>
      <c r="Z244">
        <f t="shared" si="74"/>
        <v>0.14994038950040608</v>
      </c>
      <c r="AA244" t="str">
        <f t="shared" si="82"/>
        <v>No Impact</v>
      </c>
      <c r="AB244">
        <f t="shared" si="83"/>
        <v>6.3178236552033903E-2</v>
      </c>
      <c r="AC244">
        <f t="shared" si="75"/>
        <v>0.14832815680760214</v>
      </c>
      <c r="AD244" t="str">
        <f t="shared" si="84"/>
        <v>No Impact</v>
      </c>
      <c r="AE244">
        <f t="shared" si="85"/>
        <v>1.1084708092973322E-2</v>
      </c>
      <c r="AF244">
        <f t="shared" si="76"/>
        <v>6.0638228178438794E-2</v>
      </c>
      <c r="AG244" t="s">
        <v>1175</v>
      </c>
    </row>
    <row r="245" spans="1:33" x14ac:dyDescent="0.3">
      <c r="A245">
        <v>305678</v>
      </c>
      <c r="B245" t="s">
        <v>483</v>
      </c>
      <c r="C245" s="1" t="s">
        <v>778</v>
      </c>
      <c r="D245" t="s">
        <v>783</v>
      </c>
      <c r="E245" s="4">
        <v>5.9</v>
      </c>
      <c r="F245" s="3">
        <f t="shared" si="86"/>
        <v>0.60000000000000009</v>
      </c>
      <c r="G245">
        <v>53.169840000000001</v>
      </c>
      <c r="H245">
        <f t="shared" si="77"/>
        <v>0.50185186443672736</v>
      </c>
      <c r="I245">
        <v>154.60000000000002</v>
      </c>
      <c r="J245" s="3">
        <f t="shared" si="67"/>
        <v>0.47804576376004948</v>
      </c>
      <c r="K245">
        <v>0</v>
      </c>
      <c r="L245" s="3">
        <f t="shared" si="68"/>
        <v>0</v>
      </c>
      <c r="M245">
        <v>16520</v>
      </c>
      <c r="N245">
        <f t="shared" si="69"/>
        <v>7.7032263559069419E-2</v>
      </c>
      <c r="O245" s="15">
        <v>0.40370789299999998</v>
      </c>
      <c r="P245">
        <f t="shared" si="70"/>
        <v>0.41156181645227291</v>
      </c>
      <c r="Q245">
        <v>0.23849999999999999</v>
      </c>
      <c r="R245">
        <f t="shared" si="71"/>
        <v>0.52870760363555747</v>
      </c>
      <c r="S245">
        <f t="shared" si="78"/>
        <v>8.3594624169236534E-2</v>
      </c>
      <c r="T245" s="14">
        <f t="shared" si="72"/>
        <v>0.14024203757515211</v>
      </c>
      <c r="U245" t="str">
        <f t="shared" si="79"/>
        <v>No Impact</v>
      </c>
      <c r="V245">
        <f t="shared" si="80"/>
        <v>9.40094668126156E-2</v>
      </c>
      <c r="W245">
        <f t="shared" si="73"/>
        <v>0.12635335031744038</v>
      </c>
      <c r="X245" t="s">
        <v>1176</v>
      </c>
      <c r="Y245">
        <f t="shared" si="81"/>
        <v>7.3179781525857468E-2</v>
      </c>
      <c r="Z245">
        <f t="shared" si="74"/>
        <v>0.1466261951573844</v>
      </c>
      <c r="AA245" t="str">
        <f t="shared" si="82"/>
        <v>No Impact</v>
      </c>
      <c r="AB245">
        <f t="shared" si="83"/>
        <v>5.9651233574865271E-2</v>
      </c>
      <c r="AC245">
        <f t="shared" si="75"/>
        <v>0.14004755451147005</v>
      </c>
      <c r="AD245" t="str">
        <f t="shared" si="84"/>
        <v>No Impact</v>
      </c>
      <c r="AE245">
        <f t="shared" si="85"/>
        <v>1.3697102093407382E-2</v>
      </c>
      <c r="AF245">
        <f t="shared" si="76"/>
        <v>7.492917225758175E-2</v>
      </c>
      <c r="AG245" t="s">
        <v>1175</v>
      </c>
    </row>
    <row r="246" spans="1:33" x14ac:dyDescent="0.3">
      <c r="A246">
        <v>305682</v>
      </c>
      <c r="B246" t="s">
        <v>488</v>
      </c>
      <c r="C246" s="1" t="s">
        <v>778</v>
      </c>
      <c r="D246" t="s">
        <v>784</v>
      </c>
      <c r="E246" s="4">
        <v>5.9</v>
      </c>
      <c r="F246" s="3">
        <f t="shared" si="86"/>
        <v>0.60000000000000009</v>
      </c>
      <c r="G246">
        <v>51.231960000000001</v>
      </c>
      <c r="H246">
        <f t="shared" si="77"/>
        <v>0.48356088046809692</v>
      </c>
      <c r="I246">
        <v>117</v>
      </c>
      <c r="J246" s="3">
        <f t="shared" si="67"/>
        <v>0.36178107606679033</v>
      </c>
      <c r="K246">
        <v>0</v>
      </c>
      <c r="L246" s="3">
        <f t="shared" si="68"/>
        <v>0</v>
      </c>
      <c r="M246">
        <v>54363</v>
      </c>
      <c r="N246">
        <f t="shared" si="69"/>
        <v>0.25608342441318555</v>
      </c>
      <c r="O246" s="15">
        <v>0.625180281</v>
      </c>
      <c r="P246">
        <f t="shared" si="70"/>
        <v>0.6373428325774706</v>
      </c>
      <c r="Q246">
        <v>0.29210000000000003</v>
      </c>
      <c r="R246">
        <f t="shared" si="71"/>
        <v>0.64752826424296173</v>
      </c>
      <c r="S246">
        <f t="shared" si="78"/>
        <v>0.10244813074486854</v>
      </c>
      <c r="T246" s="14">
        <f t="shared" si="72"/>
        <v>0.1718715137990095</v>
      </c>
      <c r="U246" t="str">
        <f t="shared" si="79"/>
        <v>Low</v>
      </c>
      <c r="V246">
        <f t="shared" si="80"/>
        <v>0.10326025768705081</v>
      </c>
      <c r="W246">
        <f t="shared" si="73"/>
        <v>0.13878686855449984</v>
      </c>
      <c r="X246" t="s">
        <v>1176</v>
      </c>
      <c r="Y246">
        <f t="shared" si="81"/>
        <v>0.10163600380268625</v>
      </c>
      <c r="Z246">
        <f t="shared" si="74"/>
        <v>0.20364232056806103</v>
      </c>
      <c r="AA246" t="str">
        <f t="shared" si="82"/>
        <v>Low</v>
      </c>
      <c r="AB246">
        <f t="shared" si="83"/>
        <v>8.0924910878182765E-2</v>
      </c>
      <c r="AC246">
        <f t="shared" si="75"/>
        <v>0.18999331930536281</v>
      </c>
      <c r="AD246" t="str">
        <f t="shared" si="84"/>
        <v>Low</v>
      </c>
      <c r="AE246">
        <f t="shared" si="85"/>
        <v>4.0837198705454589E-2</v>
      </c>
      <c r="AF246">
        <f t="shared" si="76"/>
        <v>0.22339743658557346</v>
      </c>
      <c r="AG246" t="s">
        <v>1175</v>
      </c>
    </row>
    <row r="247" spans="1:33" x14ac:dyDescent="0.3">
      <c r="A247">
        <v>305924</v>
      </c>
      <c r="B247" t="s">
        <v>179</v>
      </c>
      <c r="C247" s="1" t="s">
        <v>786</v>
      </c>
      <c r="D247" t="s">
        <v>785</v>
      </c>
      <c r="E247" s="4">
        <v>5.2</v>
      </c>
      <c r="F247" s="3">
        <f t="shared" si="86"/>
        <v>0.44444444444444442</v>
      </c>
      <c r="G247">
        <v>58.457160000000002</v>
      </c>
      <c r="H247">
        <f t="shared" si="77"/>
        <v>0.55175706256923251</v>
      </c>
      <c r="I247">
        <v>119.20000000000002</v>
      </c>
      <c r="J247" s="3">
        <f t="shared" si="67"/>
        <v>0.36858379715522577</v>
      </c>
      <c r="K247">
        <v>0</v>
      </c>
      <c r="L247" s="3">
        <f t="shared" si="68"/>
        <v>0</v>
      </c>
      <c r="M247">
        <v>21467</v>
      </c>
      <c r="N247">
        <f t="shared" si="69"/>
        <v>0.10043860271678187</v>
      </c>
      <c r="O247" s="15">
        <v>0.60924045900000001</v>
      </c>
      <c r="P247">
        <f t="shared" si="70"/>
        <v>0.62109290977438603</v>
      </c>
      <c r="Q247">
        <v>0.28189999999999998</v>
      </c>
      <c r="R247">
        <f t="shared" si="71"/>
        <v>0.62491686987364214</v>
      </c>
      <c r="S247">
        <f t="shared" si="78"/>
        <v>8.1522151456776978E-2</v>
      </c>
      <c r="T247" s="14">
        <f t="shared" si="72"/>
        <v>0.13676516572002159</v>
      </c>
      <c r="U247" t="str">
        <f t="shared" si="79"/>
        <v>No Impact</v>
      </c>
      <c r="V247">
        <f t="shared" si="80"/>
        <v>8.1772340066423588E-2</v>
      </c>
      <c r="W247">
        <f t="shared" si="73"/>
        <v>0.10990604968842516</v>
      </c>
      <c r="X247" t="s">
        <v>1176</v>
      </c>
      <c r="Y247">
        <f t="shared" si="81"/>
        <v>8.1271962847130341E-2</v>
      </c>
      <c r="Z247">
        <f t="shared" si="74"/>
        <v>0.16284004183636971</v>
      </c>
      <c r="AA247" t="str">
        <f t="shared" si="82"/>
        <v>Low</v>
      </c>
      <c r="AB247">
        <f t="shared" si="83"/>
        <v>5.7601855471352652E-2</v>
      </c>
      <c r="AC247">
        <f t="shared" si="75"/>
        <v>0.13523607997077872</v>
      </c>
      <c r="AD247" t="str">
        <f t="shared" si="84"/>
        <v>No Impact</v>
      </c>
      <c r="AE247">
        <f t="shared" si="85"/>
        <v>1.3142707411329425E-2</v>
      </c>
      <c r="AF247">
        <f t="shared" si="76"/>
        <v>7.1896389531073454E-2</v>
      </c>
      <c r="AG247" t="s">
        <v>1175</v>
      </c>
    </row>
    <row r="248" spans="1:33" x14ac:dyDescent="0.3">
      <c r="A248">
        <v>305944</v>
      </c>
      <c r="B248" t="s">
        <v>305</v>
      </c>
      <c r="C248" s="1" t="s">
        <v>786</v>
      </c>
      <c r="D248" t="s">
        <v>787</v>
      </c>
      <c r="E248" s="4">
        <v>5.2</v>
      </c>
      <c r="F248" s="3">
        <f t="shared" si="86"/>
        <v>0.44444444444444442</v>
      </c>
      <c r="G248">
        <v>61.115760000000009</v>
      </c>
      <c r="H248">
        <f t="shared" si="77"/>
        <v>0.57685067516598831</v>
      </c>
      <c r="I248">
        <v>116.1</v>
      </c>
      <c r="J248" s="3">
        <f t="shared" si="67"/>
        <v>0.35899814471243036</v>
      </c>
      <c r="K248">
        <v>0</v>
      </c>
      <c r="L248" s="3">
        <f t="shared" si="68"/>
        <v>0</v>
      </c>
      <c r="M248">
        <v>27501</v>
      </c>
      <c r="N248">
        <f t="shared" si="69"/>
        <v>0.12898799638519443</v>
      </c>
      <c r="O248" s="15">
        <v>0.28230792300000002</v>
      </c>
      <c r="P248">
        <f t="shared" si="70"/>
        <v>0.28780007426990883</v>
      </c>
      <c r="Q248">
        <v>0.2928</v>
      </c>
      <c r="R248">
        <f t="shared" si="71"/>
        <v>0.64908002660164044</v>
      </c>
      <c r="S248">
        <f t="shared" si="78"/>
        <v>6.2987469133579804E-2</v>
      </c>
      <c r="T248" s="14">
        <f t="shared" si="72"/>
        <v>0.1056705631586059</v>
      </c>
      <c r="U248" t="str">
        <f t="shared" si="79"/>
        <v>No Impact</v>
      </c>
      <c r="V248">
        <f t="shared" si="80"/>
        <v>8.7276713642996592E-2</v>
      </c>
      <c r="W248">
        <f t="shared" si="73"/>
        <v>0.11730419868745191</v>
      </c>
      <c r="X248" t="s">
        <v>1176</v>
      </c>
      <c r="Y248">
        <f t="shared" si="81"/>
        <v>3.8698224624163009E-2</v>
      </c>
      <c r="Z248">
        <f t="shared" si="74"/>
        <v>7.7537447060864781E-2</v>
      </c>
      <c r="AA248" t="str">
        <f t="shared" si="82"/>
        <v>No Impact</v>
      </c>
      <c r="AB248">
        <f t="shared" si="83"/>
        <v>4.8226719557811992E-2</v>
      </c>
      <c r="AC248">
        <f t="shared" si="75"/>
        <v>0.11322538917330861</v>
      </c>
      <c r="AD248" t="str">
        <f t="shared" si="84"/>
        <v>No Impact</v>
      </c>
      <c r="AE248">
        <f t="shared" si="85"/>
        <v>1.7344006844326524E-2</v>
      </c>
      <c r="AF248">
        <f t="shared" si="76"/>
        <v>9.4879345106197471E-2</v>
      </c>
      <c r="AG248" t="s">
        <v>1175</v>
      </c>
    </row>
    <row r="249" spans="1:33" x14ac:dyDescent="0.3">
      <c r="A249">
        <v>305956</v>
      </c>
      <c r="B249" t="s">
        <v>353</v>
      </c>
      <c r="C249" s="1" t="s">
        <v>786</v>
      </c>
      <c r="D249" t="s">
        <v>788</v>
      </c>
      <c r="E249" s="4">
        <v>5.3</v>
      </c>
      <c r="F249" s="3">
        <f t="shared" si="86"/>
        <v>0.46666666666666656</v>
      </c>
      <c r="G249">
        <v>61.115760000000009</v>
      </c>
      <c r="H249">
        <f t="shared" si="77"/>
        <v>0.57685067516598831</v>
      </c>
      <c r="I249">
        <v>118.20000000000002</v>
      </c>
      <c r="J249" s="3">
        <f t="shared" si="67"/>
        <v>0.36549165120593691</v>
      </c>
      <c r="K249">
        <v>0</v>
      </c>
      <c r="L249" s="3">
        <f t="shared" si="68"/>
        <v>0</v>
      </c>
      <c r="M249">
        <v>39821</v>
      </c>
      <c r="N249">
        <f t="shared" si="69"/>
        <v>0.18727910178705767</v>
      </c>
      <c r="O249" s="15">
        <v>0.53216020100000005</v>
      </c>
      <c r="P249">
        <f t="shared" si="70"/>
        <v>0.5425130961389617</v>
      </c>
      <c r="Q249">
        <v>0.29459999999999997</v>
      </c>
      <c r="R249">
        <f t="shared" si="71"/>
        <v>0.65307027266681439</v>
      </c>
      <c r="S249">
        <f t="shared" si="78"/>
        <v>8.4761688043426653E-2</v>
      </c>
      <c r="T249" s="14">
        <f t="shared" si="72"/>
        <v>0.14219995553128073</v>
      </c>
      <c r="U249" t="str">
        <f t="shared" si="79"/>
        <v>No Impact</v>
      </c>
      <c r="V249">
        <f t="shared" si="80"/>
        <v>9.2599713523135563E-2</v>
      </c>
      <c r="W249">
        <f t="shared" si="73"/>
        <v>0.12445857251169144</v>
      </c>
      <c r="X249" t="s">
        <v>1176</v>
      </c>
      <c r="Y249">
        <f t="shared" si="81"/>
        <v>7.6923662563717729E-2</v>
      </c>
      <c r="Z249">
        <f t="shared" si="74"/>
        <v>0.15412759814407356</v>
      </c>
      <c r="AA249" t="str">
        <f t="shared" si="82"/>
        <v>Low</v>
      </c>
      <c r="AB249">
        <f t="shared" si="83"/>
        <v>6.4781093127340109E-2</v>
      </c>
      <c r="AC249">
        <f t="shared" si="75"/>
        <v>0.15209130016862812</v>
      </c>
      <c r="AD249" t="str">
        <f t="shared" si="84"/>
        <v>Low</v>
      </c>
      <c r="AE249">
        <f t="shared" si="85"/>
        <v>2.6554556071792419E-2</v>
      </c>
      <c r="AF249">
        <f t="shared" si="76"/>
        <v>0.14526510005971444</v>
      </c>
      <c r="AG249" t="s">
        <v>1175</v>
      </c>
    </row>
    <row r="250" spans="1:33" x14ac:dyDescent="0.3">
      <c r="A250">
        <v>305974</v>
      </c>
      <c r="B250" t="s">
        <v>468</v>
      </c>
      <c r="C250" s="1" t="s">
        <v>786</v>
      </c>
      <c r="D250" t="s">
        <v>789</v>
      </c>
      <c r="E250" s="4">
        <v>5.2</v>
      </c>
      <c r="F250" s="3">
        <f t="shared" si="86"/>
        <v>0.44444444444444442</v>
      </c>
      <c r="G250">
        <v>54.669960000000003</v>
      </c>
      <c r="H250">
        <f t="shared" si="77"/>
        <v>0.51601098206579721</v>
      </c>
      <c r="I250">
        <v>117.89999999999999</v>
      </c>
      <c r="J250" s="3">
        <f t="shared" si="67"/>
        <v>0.36456400742115019</v>
      </c>
      <c r="K250">
        <v>0</v>
      </c>
      <c r="L250" s="3">
        <f t="shared" si="68"/>
        <v>0</v>
      </c>
      <c r="M250">
        <v>40362</v>
      </c>
      <c r="N250">
        <f t="shared" si="69"/>
        <v>0.18983880049017521</v>
      </c>
      <c r="O250" s="15">
        <v>0.55912915399999996</v>
      </c>
      <c r="P250">
        <f t="shared" si="70"/>
        <v>0.57000671585002327</v>
      </c>
      <c r="Q250">
        <v>0.29099999999999998</v>
      </c>
      <c r="R250">
        <f t="shared" si="71"/>
        <v>0.64508978053646637</v>
      </c>
      <c r="S250">
        <f t="shared" si="78"/>
        <v>7.5421632041611633E-2</v>
      </c>
      <c r="T250" s="14">
        <f t="shared" si="72"/>
        <v>0.12653066461959783</v>
      </c>
      <c r="U250" t="str">
        <f t="shared" si="79"/>
        <v>No Impact</v>
      </c>
      <c r="V250">
        <f t="shared" si="80"/>
        <v>8.0082074479046E-2</v>
      </c>
      <c r="W250">
        <f t="shared" si="73"/>
        <v>0.10763424954815701</v>
      </c>
      <c r="X250" t="s">
        <v>1176</v>
      </c>
      <c r="Y250">
        <f t="shared" si="81"/>
        <v>7.0761189604177238E-2</v>
      </c>
      <c r="Z250">
        <f t="shared" si="74"/>
        <v>0.14178019912241327</v>
      </c>
      <c r="AA250" t="str">
        <f t="shared" si="82"/>
        <v>No Impact</v>
      </c>
      <c r="AB250">
        <f t="shared" si="83"/>
        <v>5.7505453790460834E-2</v>
      </c>
      <c r="AC250">
        <f t="shared" si="75"/>
        <v>0.13500975070899152</v>
      </c>
      <c r="AD250" t="str">
        <f t="shared" si="84"/>
        <v>No Impact</v>
      </c>
      <c r="AE250">
        <f t="shared" si="85"/>
        <v>2.356677383297591E-2</v>
      </c>
      <c r="AF250">
        <f t="shared" si="76"/>
        <v>0.12892061722577408</v>
      </c>
      <c r="AG250" t="s">
        <v>1175</v>
      </c>
    </row>
    <row r="251" spans="1:33" x14ac:dyDescent="0.3">
      <c r="A251">
        <v>305984</v>
      </c>
      <c r="B251" t="s">
        <v>498</v>
      </c>
      <c r="C251" s="1" t="s">
        <v>786</v>
      </c>
      <c r="D251" t="s">
        <v>790</v>
      </c>
      <c r="E251" s="4">
        <v>5.2</v>
      </c>
      <c r="F251" s="3">
        <f t="shared" si="86"/>
        <v>0.44444444444444442</v>
      </c>
      <c r="G251">
        <v>53.631360000000001</v>
      </c>
      <c r="H251">
        <f t="shared" si="77"/>
        <v>0.50620799325853383</v>
      </c>
      <c r="I251">
        <v>116.29999999999998</v>
      </c>
      <c r="J251" s="3">
        <f t="shared" si="67"/>
        <v>0.35961657390228807</v>
      </c>
      <c r="K251">
        <v>0</v>
      </c>
      <c r="L251" s="3">
        <f t="shared" si="68"/>
        <v>0</v>
      </c>
      <c r="M251">
        <v>39492</v>
      </c>
      <c r="N251">
        <f t="shared" si="69"/>
        <v>0.18572246431325792</v>
      </c>
      <c r="O251" s="15">
        <v>0.53890206299999999</v>
      </c>
      <c r="P251">
        <f t="shared" si="70"/>
        <v>0.54938611749698241</v>
      </c>
      <c r="Q251">
        <v>0.30709999999999998</v>
      </c>
      <c r="R251">
        <f t="shared" si="71"/>
        <v>0.68078031478607848</v>
      </c>
      <c r="S251">
        <f t="shared" si="78"/>
        <v>7.5014595547878773E-2</v>
      </c>
      <c r="T251" s="14">
        <f t="shared" si="72"/>
        <v>0.12584780220092151</v>
      </c>
      <c r="U251" t="str">
        <f t="shared" si="79"/>
        <v>No Impact</v>
      </c>
      <c r="V251">
        <f t="shared" si="80"/>
        <v>8.3026911855914515E-2</v>
      </c>
      <c r="W251">
        <f t="shared" si="73"/>
        <v>0.11159225592052616</v>
      </c>
      <c r="X251" t="s">
        <v>1176</v>
      </c>
      <c r="Y251">
        <f t="shared" si="81"/>
        <v>6.7002279239843004E-2</v>
      </c>
      <c r="Z251">
        <f t="shared" si="74"/>
        <v>0.13424868272310234</v>
      </c>
      <c r="AA251" t="str">
        <f t="shared" si="82"/>
        <v>No Impact</v>
      </c>
      <c r="AB251">
        <f t="shared" si="83"/>
        <v>5.7087751266739782E-2</v>
      </c>
      <c r="AC251">
        <f t="shared" si="75"/>
        <v>0.13402908000941605</v>
      </c>
      <c r="AD251" t="str">
        <f t="shared" si="84"/>
        <v>No Impact</v>
      </c>
      <c r="AE251">
        <f t="shared" si="85"/>
        <v>2.2650423843476594E-2</v>
      </c>
      <c r="AF251">
        <f t="shared" si="76"/>
        <v>0.12390777978445318</v>
      </c>
      <c r="AG251" t="s">
        <v>1175</v>
      </c>
    </row>
    <row r="252" spans="1:33" x14ac:dyDescent="0.3">
      <c r="A252">
        <v>305994</v>
      </c>
      <c r="B252" t="s">
        <v>524</v>
      </c>
      <c r="C252" s="1" t="s">
        <v>786</v>
      </c>
      <c r="D252" t="s">
        <v>791</v>
      </c>
      <c r="E252" s="4">
        <v>5.2</v>
      </c>
      <c r="F252" s="3">
        <f t="shared" si="86"/>
        <v>0.44444444444444442</v>
      </c>
      <c r="G252">
        <v>61.115760000000009</v>
      </c>
      <c r="H252">
        <f t="shared" si="77"/>
        <v>0.57685067516598831</v>
      </c>
      <c r="I252">
        <v>118.20000000000002</v>
      </c>
      <c r="J252" s="3">
        <f t="shared" si="67"/>
        <v>0.36549165120593691</v>
      </c>
      <c r="K252">
        <v>0</v>
      </c>
      <c r="L252" s="3">
        <f t="shared" si="68"/>
        <v>0</v>
      </c>
      <c r="M252">
        <v>26166</v>
      </c>
      <c r="N252">
        <f t="shared" si="69"/>
        <v>0.12267154949302825</v>
      </c>
      <c r="O252" s="15">
        <v>0.40489400199999998</v>
      </c>
      <c r="P252">
        <f t="shared" si="70"/>
        <v>0.41277100057528526</v>
      </c>
      <c r="Q252">
        <v>0.30030000000000001</v>
      </c>
      <c r="R252">
        <f t="shared" si="71"/>
        <v>0.66570605187319887</v>
      </c>
      <c r="S252">
        <f t="shared" si="78"/>
        <v>7.2818435128843298E-2</v>
      </c>
      <c r="T252" s="14">
        <f t="shared" si="72"/>
        <v>0.12216342638048713</v>
      </c>
      <c r="U252" t="str">
        <f t="shared" si="79"/>
        <v>No Impact</v>
      </c>
      <c r="V252">
        <f t="shared" si="80"/>
        <v>8.9896531118862116E-2</v>
      </c>
      <c r="W252">
        <f t="shared" si="73"/>
        <v>0.12082536231617028</v>
      </c>
      <c r="X252" t="s">
        <v>1176</v>
      </c>
      <c r="Y252">
        <f t="shared" si="81"/>
        <v>5.574033913882448E-2</v>
      </c>
      <c r="Z252">
        <f t="shared" si="74"/>
        <v>0.11168376940043487</v>
      </c>
      <c r="AA252" t="str">
        <f t="shared" si="82"/>
        <v>No Impact</v>
      </c>
      <c r="AB252">
        <f t="shared" si="83"/>
        <v>5.3983809039219489E-2</v>
      </c>
      <c r="AC252">
        <f t="shared" si="75"/>
        <v>0.12674172831092131</v>
      </c>
      <c r="AD252" t="str">
        <f t="shared" si="84"/>
        <v>No Impact</v>
      </c>
      <c r="AE252">
        <f t="shared" si="85"/>
        <v>1.6565489731344026E-2</v>
      </c>
      <c r="AF252">
        <f t="shared" si="76"/>
        <v>9.0620514116522832E-2</v>
      </c>
      <c r="AG252" t="s">
        <v>1175</v>
      </c>
    </row>
    <row r="253" spans="1:33" x14ac:dyDescent="0.3">
      <c r="A253">
        <v>306702</v>
      </c>
      <c r="B253" t="s">
        <v>12</v>
      </c>
      <c r="C253" s="1" t="s">
        <v>793</v>
      </c>
      <c r="D253" t="s">
        <v>792</v>
      </c>
      <c r="E253" s="4">
        <v>4.4000000000000004</v>
      </c>
      <c r="F253" s="3">
        <f t="shared" si="86"/>
        <v>0.26666666666666672</v>
      </c>
      <c r="G253">
        <v>50.566680000000005</v>
      </c>
      <c r="H253">
        <f t="shared" si="77"/>
        <v>0.47728153096521214</v>
      </c>
      <c r="I253">
        <v>118.2</v>
      </c>
      <c r="J253" s="3">
        <f t="shared" si="67"/>
        <v>0.36549165120593691</v>
      </c>
      <c r="K253">
        <v>0</v>
      </c>
      <c r="L253" s="3">
        <f t="shared" si="68"/>
        <v>0</v>
      </c>
      <c r="M253">
        <v>60872</v>
      </c>
      <c r="N253">
        <f t="shared" si="69"/>
        <v>0.28688024300577708</v>
      </c>
      <c r="O253" s="15">
        <v>0.70161208200000003</v>
      </c>
      <c r="P253">
        <f t="shared" si="70"/>
        <v>0.71526157382506528</v>
      </c>
      <c r="Q253">
        <v>0.29599999999999999</v>
      </c>
      <c r="R253">
        <f t="shared" si="71"/>
        <v>0.65617379738417203</v>
      </c>
      <c r="S253">
        <f t="shared" si="78"/>
        <v>4.8276526014044516E-2</v>
      </c>
      <c r="T253" s="14">
        <f t="shared" si="72"/>
        <v>8.0990834548796228E-2</v>
      </c>
      <c r="U253" t="str">
        <f t="shared" si="79"/>
        <v>No Impact</v>
      </c>
      <c r="V253">
        <f t="shared" si="80"/>
        <v>4.6196550073256543E-2</v>
      </c>
      <c r="W253">
        <f t="shared" si="73"/>
        <v>6.2090436982247109E-2</v>
      </c>
      <c r="X253" t="s">
        <v>1176</v>
      </c>
      <c r="Y253">
        <f t="shared" si="81"/>
        <v>5.0356501954832482E-2</v>
      </c>
      <c r="Z253">
        <f t="shared" si="74"/>
        <v>0.10089647890604249</v>
      </c>
      <c r="AA253" t="str">
        <f t="shared" si="82"/>
        <v>No Impact</v>
      </c>
      <c r="AB253">
        <f t="shared" si="83"/>
        <v>3.8344765293951845E-2</v>
      </c>
      <c r="AC253">
        <f t="shared" si="75"/>
        <v>9.00248039463344E-2</v>
      </c>
      <c r="AD253" t="str">
        <f t="shared" si="84"/>
        <v>No Impact</v>
      </c>
      <c r="AE253">
        <f t="shared" si="85"/>
        <v>2.0197206233892307E-2</v>
      </c>
      <c r="AF253">
        <f t="shared" si="76"/>
        <v>0.11048760056695664</v>
      </c>
      <c r="AG253" t="s">
        <v>1175</v>
      </c>
    </row>
    <row r="254" spans="1:33" x14ac:dyDescent="0.3">
      <c r="A254">
        <v>306704</v>
      </c>
      <c r="B254" t="s">
        <v>494</v>
      </c>
      <c r="C254" s="1" t="s">
        <v>793</v>
      </c>
      <c r="D254" t="s">
        <v>794</v>
      </c>
      <c r="E254" s="4">
        <v>4.3</v>
      </c>
      <c r="F254" s="3">
        <f t="shared" si="86"/>
        <v>0.24444444444444435</v>
      </c>
      <c r="G254">
        <v>58.457160000000002</v>
      </c>
      <c r="H254">
        <f t="shared" si="77"/>
        <v>0.55175706256923251</v>
      </c>
      <c r="I254">
        <v>116.8</v>
      </c>
      <c r="J254" s="3">
        <f t="shared" si="67"/>
        <v>0.36116264687693256</v>
      </c>
      <c r="K254">
        <v>0</v>
      </c>
      <c r="L254" s="3">
        <f t="shared" si="68"/>
        <v>0</v>
      </c>
      <c r="M254">
        <v>54149</v>
      </c>
      <c r="N254">
        <f t="shared" si="69"/>
        <v>0.25507090034208174</v>
      </c>
      <c r="O254" s="15">
        <v>0.50891207000000005</v>
      </c>
      <c r="P254">
        <f t="shared" si="70"/>
        <v>0.5188126850511845</v>
      </c>
      <c r="Q254">
        <v>0.28599999999999998</v>
      </c>
      <c r="R254">
        <f t="shared" si="71"/>
        <v>0.63400576368876072</v>
      </c>
      <c r="S254">
        <f t="shared" si="78"/>
        <v>4.1274600992049826E-2</v>
      </c>
      <c r="T254" s="14">
        <f t="shared" si="72"/>
        <v>6.9244095547434145E-2</v>
      </c>
      <c r="U254" t="str">
        <f t="shared" si="79"/>
        <v>No Impact</v>
      </c>
      <c r="V254">
        <f t="shared" si="80"/>
        <v>4.5398882975052957E-2</v>
      </c>
      <c r="W254">
        <f t="shared" si="73"/>
        <v>6.101833314299325E-2</v>
      </c>
      <c r="X254" t="s">
        <v>1176</v>
      </c>
      <c r="Y254">
        <f t="shared" si="81"/>
        <v>3.7150319009046702E-2</v>
      </c>
      <c r="Z254">
        <f t="shared" si="74"/>
        <v>7.4435996003279159E-2</v>
      </c>
      <c r="AA254" t="str">
        <f t="shared" si="82"/>
        <v>No Impact</v>
      </c>
      <c r="AB254">
        <f t="shared" si="83"/>
        <v>3.3427354647761164E-2</v>
      </c>
      <c r="AC254">
        <f t="shared" si="75"/>
        <v>7.8479840091339584E-2</v>
      </c>
      <c r="AD254" t="str">
        <f t="shared" si="84"/>
        <v>No Impact</v>
      </c>
      <c r="AE254">
        <f t="shared" si="85"/>
        <v>1.8264714010796063E-2</v>
      </c>
      <c r="AF254">
        <f t="shared" si="76"/>
        <v>9.9916018221775038E-2</v>
      </c>
      <c r="AG254" t="s">
        <v>1175</v>
      </c>
    </row>
    <row r="255" spans="1:33" x14ac:dyDescent="0.3">
      <c r="A255">
        <v>306706</v>
      </c>
      <c r="B255" t="s">
        <v>41</v>
      </c>
      <c r="C255" s="1" t="s">
        <v>793</v>
      </c>
      <c r="D255" t="s">
        <v>795</v>
      </c>
      <c r="E255" s="4">
        <v>4.4000000000000004</v>
      </c>
      <c r="F255" s="3">
        <f t="shared" si="86"/>
        <v>0.26666666666666672</v>
      </c>
      <c r="G255">
        <v>52.626599999999996</v>
      </c>
      <c r="H255">
        <f t="shared" si="77"/>
        <v>0.49672440859265093</v>
      </c>
      <c r="I255">
        <v>116</v>
      </c>
      <c r="J255" s="3">
        <f t="shared" si="67"/>
        <v>0.35868893011750153</v>
      </c>
      <c r="K255">
        <v>0</v>
      </c>
      <c r="L255" s="3">
        <f t="shared" si="68"/>
        <v>0</v>
      </c>
      <c r="M255">
        <v>35234</v>
      </c>
      <c r="N255">
        <f t="shared" si="69"/>
        <v>0.16557607415082823</v>
      </c>
      <c r="O255" s="15">
        <v>0.52486074599999999</v>
      </c>
      <c r="P255">
        <f t="shared" si="70"/>
        <v>0.53507163410415415</v>
      </c>
      <c r="Q255">
        <v>0.25850000000000001</v>
      </c>
      <c r="R255">
        <f t="shared" si="71"/>
        <v>0.57304367102637999</v>
      </c>
      <c r="S255">
        <f t="shared" si="78"/>
        <v>3.9955320864825582E-2</v>
      </c>
      <c r="T255" s="14">
        <f t="shared" si="72"/>
        <v>6.7030812875096671E-2</v>
      </c>
      <c r="U255" t="str">
        <f t="shared" si="79"/>
        <v>No Impact</v>
      </c>
      <c r="V255">
        <f t="shared" si="80"/>
        <v>4.1324478850546048E-2</v>
      </c>
      <c r="W255">
        <f t="shared" si="73"/>
        <v>5.5542133467222296E-2</v>
      </c>
      <c r="X255" t="s">
        <v>1176</v>
      </c>
      <c r="Y255">
        <f t="shared" si="81"/>
        <v>3.8586162879105122E-2</v>
      </c>
      <c r="Z255">
        <f t="shared" si="74"/>
        <v>7.7312915271374141E-2</v>
      </c>
      <c r="AA255" t="str">
        <f t="shared" si="82"/>
        <v>No Impact</v>
      </c>
      <c r="AB255">
        <f t="shared" si="83"/>
        <v>3.0218540779734116E-2</v>
      </c>
      <c r="AC255">
        <f t="shared" si="75"/>
        <v>7.094627358871769E-2</v>
      </c>
      <c r="AD255" t="str">
        <f t="shared" si="84"/>
        <v>No Impact</v>
      </c>
      <c r="AE255">
        <f t="shared" si="85"/>
        <v>1.194035519517562E-2</v>
      </c>
      <c r="AF255">
        <f t="shared" si="76"/>
        <v>6.531899412990784E-2</v>
      </c>
      <c r="AG255" t="s">
        <v>1175</v>
      </c>
    </row>
    <row r="256" spans="1:33" x14ac:dyDescent="0.3">
      <c r="A256">
        <v>306758</v>
      </c>
      <c r="B256" t="s">
        <v>372</v>
      </c>
      <c r="C256" s="1" t="s">
        <v>793</v>
      </c>
      <c r="D256" t="s">
        <v>796</v>
      </c>
      <c r="E256" s="4">
        <v>4.4000000000000004</v>
      </c>
      <c r="F256" s="3">
        <f t="shared" si="86"/>
        <v>0.26666666666666672</v>
      </c>
      <c r="G256">
        <v>54.669960000000003</v>
      </c>
      <c r="H256">
        <f t="shared" si="77"/>
        <v>0.51601098206579721</v>
      </c>
      <c r="I256">
        <v>115.7</v>
      </c>
      <c r="J256" s="3">
        <f t="shared" si="67"/>
        <v>0.35776128633271487</v>
      </c>
      <c r="K256">
        <v>0</v>
      </c>
      <c r="L256" s="3">
        <f t="shared" si="68"/>
        <v>0</v>
      </c>
      <c r="M256">
        <v>84610</v>
      </c>
      <c r="N256">
        <f t="shared" si="69"/>
        <v>0.39919471216400998</v>
      </c>
      <c r="O256" s="15">
        <v>0.46695383899999998</v>
      </c>
      <c r="P256">
        <f t="shared" si="70"/>
        <v>0.47603817886761551</v>
      </c>
      <c r="Q256">
        <v>0.19969999999999999</v>
      </c>
      <c r="R256">
        <f t="shared" si="71"/>
        <v>0.44269563289736197</v>
      </c>
      <c r="S256">
        <f t="shared" si="78"/>
        <v>3.4049089686031882E-2</v>
      </c>
      <c r="T256" s="14">
        <f t="shared" si="72"/>
        <v>5.7122258310307539E-2</v>
      </c>
      <c r="U256" t="str">
        <f t="shared" si="79"/>
        <v>No Impact</v>
      </c>
      <c r="V256">
        <f t="shared" si="80"/>
        <v>3.2813385368237358E-2</v>
      </c>
      <c r="W256">
        <f t="shared" si="73"/>
        <v>4.4102804931318726E-2</v>
      </c>
      <c r="X256" t="s">
        <v>1176</v>
      </c>
      <c r="Y256">
        <f t="shared" si="81"/>
        <v>3.5284794003826406E-2</v>
      </c>
      <c r="Z256">
        <f t="shared" si="74"/>
        <v>7.0698148912416228E-2</v>
      </c>
      <c r="AA256" t="str">
        <f t="shared" si="82"/>
        <v>No Impact</v>
      </c>
      <c r="AB256">
        <f t="shared" si="83"/>
        <v>3.242628007330095E-2</v>
      </c>
      <c r="AC256">
        <f t="shared" si="75"/>
        <v>7.6129544252766385E-2</v>
      </c>
      <c r="AD256" t="str">
        <f t="shared" si="84"/>
        <v>No Impact</v>
      </c>
      <c r="AE256">
        <f t="shared" si="85"/>
        <v>2.9589019980771323E-2</v>
      </c>
      <c r="AF256">
        <f t="shared" si="76"/>
        <v>0.16186495215943206</v>
      </c>
      <c r="AG256" t="s">
        <v>1175</v>
      </c>
    </row>
    <row r="257" spans="1:33" x14ac:dyDescent="0.3">
      <c r="A257">
        <v>306768</v>
      </c>
      <c r="B257" t="s">
        <v>447</v>
      </c>
      <c r="C257" s="1" t="s">
        <v>793</v>
      </c>
      <c r="D257" t="s">
        <v>797</v>
      </c>
      <c r="E257" s="4">
        <v>4.4000000000000004</v>
      </c>
      <c r="F257" s="3">
        <f t="shared" si="86"/>
        <v>0.26666666666666672</v>
      </c>
      <c r="G257">
        <v>51.695280000000004</v>
      </c>
      <c r="H257">
        <f t="shared" si="77"/>
        <v>0.48793399887189176</v>
      </c>
      <c r="I257">
        <v>116.7</v>
      </c>
      <c r="J257" s="3">
        <f t="shared" si="67"/>
        <v>0.36085343228200367</v>
      </c>
      <c r="K257">
        <v>0</v>
      </c>
      <c r="L257" s="3">
        <f t="shared" si="68"/>
        <v>0</v>
      </c>
      <c r="M257">
        <v>72027</v>
      </c>
      <c r="N257">
        <f t="shared" si="69"/>
        <v>0.33965924306728551</v>
      </c>
      <c r="O257" s="15">
        <v>0.206893675</v>
      </c>
      <c r="P257">
        <f t="shared" si="70"/>
        <v>0.21091868197753122</v>
      </c>
      <c r="Q257">
        <v>0.25769999999999998</v>
      </c>
      <c r="R257">
        <f t="shared" si="71"/>
        <v>0.57127022833074703</v>
      </c>
      <c r="S257">
        <f t="shared" si="78"/>
        <v>2.7881831433002512E-2</v>
      </c>
      <c r="T257" s="14">
        <f t="shared" si="72"/>
        <v>4.6775793184679219E-2</v>
      </c>
      <c r="U257" t="str">
        <f t="shared" si="79"/>
        <v>No Impact</v>
      </c>
      <c r="V257">
        <f t="shared" si="80"/>
        <v>4.0726888349089836E-2</v>
      </c>
      <c r="W257">
        <f t="shared" si="73"/>
        <v>5.4738942421288836E-2</v>
      </c>
      <c r="X257" t="s">
        <v>1176</v>
      </c>
      <c r="Y257">
        <f t="shared" si="81"/>
        <v>1.5036774516915192E-2</v>
      </c>
      <c r="Z257">
        <f t="shared" si="74"/>
        <v>3.0128335844727124E-2</v>
      </c>
      <c r="AA257" t="str">
        <f t="shared" si="82"/>
        <v>No Impact</v>
      </c>
      <c r="AB257">
        <f t="shared" si="83"/>
        <v>2.724066600739106E-2</v>
      </c>
      <c r="AC257">
        <f t="shared" si="75"/>
        <v>6.3954899655358305E-2</v>
      </c>
      <c r="AD257" t="str">
        <f t="shared" si="84"/>
        <v>No Impact</v>
      </c>
      <c r="AE257">
        <f t="shared" si="85"/>
        <v>2.4214922086100186E-2</v>
      </c>
      <c r="AF257">
        <f t="shared" si="76"/>
        <v>0.13246627321750204</v>
      </c>
      <c r="AG257" t="s">
        <v>1175</v>
      </c>
    </row>
    <row r="258" spans="1:33" x14ac:dyDescent="0.3">
      <c r="A258">
        <v>306807</v>
      </c>
      <c r="B258" t="s">
        <v>59</v>
      </c>
      <c r="C258" s="1" t="s">
        <v>799</v>
      </c>
      <c r="D258" t="s">
        <v>798</v>
      </c>
      <c r="E258" s="4">
        <v>4.4000000000000004</v>
      </c>
      <c r="F258" s="3">
        <f t="shared" si="86"/>
        <v>0.26666666666666672</v>
      </c>
      <c r="G258">
        <v>59.038919999999997</v>
      </c>
      <c r="H258">
        <f t="shared" si="77"/>
        <v>0.55724809546785903</v>
      </c>
      <c r="I258">
        <v>144.1</v>
      </c>
      <c r="J258" s="3">
        <f t="shared" ref="J258:J321" si="88">(I258-$AJ$7)/$AK$7</f>
        <v>0.44557823129251695</v>
      </c>
      <c r="K258">
        <v>0</v>
      </c>
      <c r="L258" s="3">
        <f t="shared" ref="L258:L321" si="89">(K258-$AJ$8)/$AK$8</f>
        <v>0</v>
      </c>
      <c r="M258">
        <v>27160</v>
      </c>
      <c r="N258">
        <f t="shared" ref="N258:N321" si="90">(M258-$AJ$9)/$AK$9</f>
        <v>0.12737458186067857</v>
      </c>
      <c r="O258" s="15">
        <v>0.289853113</v>
      </c>
      <c r="P258">
        <f t="shared" ref="P258:P321" si="91">(O258-$AJ$11)/$AK$11</f>
        <v>0.29549205194912037</v>
      </c>
      <c r="Q258">
        <v>0.38819999999999999</v>
      </c>
      <c r="R258">
        <f t="shared" ref="R258:R321" si="92">(Q258-$AJ$12)/$AK$12</f>
        <v>0.86056306805586347</v>
      </c>
      <c r="S258">
        <f t="shared" si="78"/>
        <v>4.8094187290820489E-2</v>
      </c>
      <c r="T258" s="14">
        <f t="shared" ref="T258:T321" si="93">(S258-$AJ$10)/$AK$10</f>
        <v>8.0684935044756115E-2</v>
      </c>
      <c r="U258" t="str">
        <f t="shared" si="79"/>
        <v>No Impact</v>
      </c>
      <c r="V258">
        <f t="shared" si="80"/>
        <v>7.1602262996704469E-2</v>
      </c>
      <c r="W258">
        <f t="shared" ref="W258:W321" si="94">(V258-$AJ$13)/$AK$13</f>
        <v>9.6236965559834561E-2</v>
      </c>
      <c r="X258" t="s">
        <v>1176</v>
      </c>
      <c r="Y258">
        <f t="shared" si="81"/>
        <v>2.4586111584936517E-2</v>
      </c>
      <c r="Z258">
        <f t="shared" ref="Z258:Z321" si="95">(Y258-$AJ$14)/$AK$14</f>
        <v>4.9261803195467933E-2</v>
      </c>
      <c r="AA258" t="str">
        <f t="shared" si="82"/>
        <v>No Impact</v>
      </c>
      <c r="AB258">
        <f t="shared" si="83"/>
        <v>3.6145950298780927E-2</v>
      </c>
      <c r="AC258">
        <f t="shared" ref="AC258:AC321" si="96">(AB258-$AJ$15)/$AK$15</f>
        <v>8.4862485508940169E-2</v>
      </c>
      <c r="AD258" t="str">
        <f t="shared" si="84"/>
        <v>No Impact</v>
      </c>
      <c r="AE258">
        <f t="shared" si="85"/>
        <v>1.0598070784152596E-2</v>
      </c>
      <c r="AF258">
        <f t="shared" ref="AF258:AF321" si="97">(AE258-$AJ$16)/$AK$16</f>
        <v>5.7976108082455534E-2</v>
      </c>
      <c r="AG258" t="s">
        <v>1176</v>
      </c>
    </row>
    <row r="259" spans="1:33" x14ac:dyDescent="0.3">
      <c r="A259">
        <v>306852</v>
      </c>
      <c r="B259" t="s">
        <v>321</v>
      </c>
      <c r="C259" s="1" t="s">
        <v>799</v>
      </c>
      <c r="D259" t="s">
        <v>800</v>
      </c>
      <c r="E259" s="4">
        <v>4.5</v>
      </c>
      <c r="F259" s="3">
        <f t="shared" si="86"/>
        <v>0.28888888888888886</v>
      </c>
      <c r="G259">
        <v>56.385359999999999</v>
      </c>
      <c r="H259">
        <f t="shared" ref="H259:H322" si="98">(G259-$AJ$6)/$AK$6</f>
        <v>0.53220205370067075</v>
      </c>
      <c r="I259">
        <v>142.6</v>
      </c>
      <c r="J259" s="3">
        <f t="shared" si="88"/>
        <v>0.44094001236858371</v>
      </c>
      <c r="K259">
        <v>0</v>
      </c>
      <c r="L259" s="3">
        <f t="shared" si="89"/>
        <v>0</v>
      </c>
      <c r="M259">
        <v>22807</v>
      </c>
      <c r="N259">
        <f t="shared" si="90"/>
        <v>0.10677870671341311</v>
      </c>
      <c r="O259" s="15">
        <v>0.27752891600000001</v>
      </c>
      <c r="P259">
        <f t="shared" si="91"/>
        <v>0.2829280942173461</v>
      </c>
      <c r="Q259">
        <v>0.3841</v>
      </c>
      <c r="R259">
        <f t="shared" si="92"/>
        <v>0.85147417424074479</v>
      </c>
      <c r="S259">
        <f t="shared" ref="S259:S322" si="99">F259*(R259*0.5+P259*0.5)*(H259*0.4+J259*0.2+L259*0.4)</f>
        <v>4.9332567101337037E-2</v>
      </c>
      <c r="T259" s="14">
        <f t="shared" si="93"/>
        <v>8.2762495768842537E-2</v>
      </c>
      <c r="U259" t="str">
        <f t="shared" ref="U259:U322" si="100">IF(T259&gt;0.7,"High",IF(T259&gt;0.3,"Moderate",IF(T259&gt;0.15,"Low","No Impact")))</f>
        <v>No Impact</v>
      </c>
      <c r="V259">
        <f t="shared" ref="V259:V322" si="101">F259*(R259*1)*(H259*0.4+J259*0.2+L259*0.4)</f>
        <v>7.4057339276801568E-2</v>
      </c>
      <c r="W259">
        <f t="shared" si="94"/>
        <v>9.9536708913272237E-2</v>
      </c>
      <c r="X259" t="s">
        <v>1176</v>
      </c>
      <c r="Y259">
        <f t="shared" ref="Y259:Y322" si="102">F259*(P259*1)*(H259*0.4+J259*0.2+L259*0.4)</f>
        <v>2.4607794925872502E-2</v>
      </c>
      <c r="Z259">
        <f t="shared" si="95"/>
        <v>4.9305248881058299E-2</v>
      </c>
      <c r="AA259" t="str">
        <f t="shared" ref="AA259:AA322" si="103">IF(Z259&gt;0.7,"High",IF(Z259&gt;0.3,"Moderate",IF(Z259&gt;0.15,"Low","No Impact")))</f>
        <v>No Impact</v>
      </c>
      <c r="AB259">
        <f t="shared" ref="AB259:AB322" si="104">F259*(R259*0.35+P259*0.3+N259*0.35)*(H259*0.4+J259*0.2+L259*0.4)</f>
        <v>3.655290090072192E-2</v>
      </c>
      <c r="AC259">
        <f t="shared" si="96"/>
        <v>8.5817913137059179E-2</v>
      </c>
      <c r="AD259" t="str">
        <f t="shared" ref="AD259:AD322" si="105">IF(AC259&gt;0.7,"High",IF(AC259&gt;0.3,"Moderate",IF(AC259&gt;0.15,"Low","No Impact")))</f>
        <v>No Impact</v>
      </c>
      <c r="AE259">
        <f t="shared" ref="AE259:AE322" si="106">F259*(N259*1)*(H259*0.4+J259*0.2+L259*0.4)</f>
        <v>9.2871247887989332E-3</v>
      </c>
      <c r="AF259">
        <f t="shared" si="97"/>
        <v>5.0804656950940628E-2</v>
      </c>
      <c r="AG259" t="s">
        <v>1176</v>
      </c>
    </row>
    <row r="260" spans="1:33" x14ac:dyDescent="0.3">
      <c r="A260">
        <v>306860</v>
      </c>
      <c r="B260" t="s">
        <v>374</v>
      </c>
      <c r="C260" s="1" t="s">
        <v>799</v>
      </c>
      <c r="D260" t="s">
        <v>801</v>
      </c>
      <c r="E260" s="4">
        <v>4.4000000000000004</v>
      </c>
      <c r="F260" s="3">
        <f t="shared" si="86"/>
        <v>0.26666666666666672</v>
      </c>
      <c r="G260">
        <v>56.43036</v>
      </c>
      <c r="H260">
        <f t="shared" si="98"/>
        <v>0.53262679325037887</v>
      </c>
      <c r="I260">
        <v>130.5</v>
      </c>
      <c r="J260" s="3">
        <f t="shared" si="88"/>
        <v>0.40352504638218922</v>
      </c>
      <c r="K260">
        <v>0</v>
      </c>
      <c r="L260" s="3">
        <f t="shared" si="89"/>
        <v>0</v>
      </c>
      <c r="M260">
        <v>70583</v>
      </c>
      <c r="N260">
        <f t="shared" si="90"/>
        <v>0.33282707129778144</v>
      </c>
      <c r="O260" s="15">
        <v>0.43781994899999999</v>
      </c>
      <c r="P260">
        <f t="shared" si="91"/>
        <v>0.44633750445270953</v>
      </c>
      <c r="Q260">
        <v>0.27639999999999998</v>
      </c>
      <c r="R260">
        <f t="shared" si="92"/>
        <v>0.61272445134116604</v>
      </c>
      <c r="S260">
        <f t="shared" si="99"/>
        <v>4.1480735241847179E-2</v>
      </c>
      <c r="T260" s="14">
        <f t="shared" si="93"/>
        <v>6.9589915478953671E-2</v>
      </c>
      <c r="U260" t="str">
        <f t="shared" si="100"/>
        <v>No Impact</v>
      </c>
      <c r="V260">
        <f t="shared" si="101"/>
        <v>4.7997684371991034E-2</v>
      </c>
      <c r="W260">
        <f t="shared" si="94"/>
        <v>6.4511250127271949E-2</v>
      </c>
      <c r="X260" t="s">
        <v>1176</v>
      </c>
      <c r="Y260">
        <f t="shared" si="102"/>
        <v>3.4963786111703317E-2</v>
      </c>
      <c r="Z260">
        <f t="shared" si="95"/>
        <v>7.0054963529020825E-2</v>
      </c>
      <c r="AA260" t="str">
        <f t="shared" si="103"/>
        <v>No Impact</v>
      </c>
      <c r="AB260">
        <f t="shared" si="104"/>
        <v>3.6413512124695416E-2</v>
      </c>
      <c r="AC260">
        <f t="shared" si="96"/>
        <v>8.5490659934753493E-2</v>
      </c>
      <c r="AD260" t="str">
        <f t="shared" si="105"/>
        <v>No Impact</v>
      </c>
      <c r="AE260">
        <f t="shared" si="106"/>
        <v>2.607196217425017E-2</v>
      </c>
      <c r="AF260">
        <f t="shared" si="97"/>
        <v>0.14262509920166391</v>
      </c>
      <c r="AG260" t="s">
        <v>1175</v>
      </c>
    </row>
    <row r="261" spans="1:33" x14ac:dyDescent="0.3">
      <c r="A261">
        <v>306863</v>
      </c>
      <c r="B261" t="s">
        <v>393</v>
      </c>
      <c r="C261" s="1" t="s">
        <v>799</v>
      </c>
      <c r="D261" t="s">
        <v>802</v>
      </c>
      <c r="E261" s="4">
        <v>4</v>
      </c>
      <c r="F261" s="3">
        <f t="shared" si="86"/>
        <v>0.17777777777777773</v>
      </c>
      <c r="G261">
        <v>49.623480000000001</v>
      </c>
      <c r="H261">
        <f t="shared" si="98"/>
        <v>0.46837899000332994</v>
      </c>
      <c r="I261">
        <v>121.30000000000001</v>
      </c>
      <c r="J261" s="3">
        <f t="shared" si="88"/>
        <v>0.37507730364873221</v>
      </c>
      <c r="K261">
        <v>0</v>
      </c>
      <c r="L261" s="3">
        <f t="shared" si="89"/>
        <v>0</v>
      </c>
      <c r="M261">
        <v>31340</v>
      </c>
      <c r="N261">
        <f t="shared" si="90"/>
        <v>0.14715192119345361</v>
      </c>
      <c r="O261" s="15">
        <v>0.48290787200000002</v>
      </c>
      <c r="P261">
        <f t="shared" si="91"/>
        <v>0.49230258913818586</v>
      </c>
      <c r="Q261">
        <v>0.32990000000000003</v>
      </c>
      <c r="R261">
        <f t="shared" si="92"/>
        <v>0.73132343161161606</v>
      </c>
      <c r="S261">
        <f t="shared" si="99"/>
        <v>2.8536814009216625E-2</v>
      </c>
      <c r="T261" s="14">
        <f t="shared" si="93"/>
        <v>4.7874620914062006E-2</v>
      </c>
      <c r="U261" t="str">
        <f t="shared" si="100"/>
        <v>No Impact</v>
      </c>
      <c r="V261">
        <f t="shared" si="101"/>
        <v>3.4111142448073208E-2</v>
      </c>
      <c r="W261">
        <f t="shared" si="94"/>
        <v>4.584705431912009E-2</v>
      </c>
      <c r="X261" t="s">
        <v>1176</v>
      </c>
      <c r="Y261">
        <f t="shared" si="102"/>
        <v>2.2962485570360035E-2</v>
      </c>
      <c r="Z261">
        <f t="shared" si="95"/>
        <v>4.6008635450060294E-2</v>
      </c>
      <c r="AA261" t="str">
        <f t="shared" si="103"/>
        <v>No Impact</v>
      </c>
      <c r="AB261">
        <f t="shared" si="104"/>
        <v>2.12299096629643E-2</v>
      </c>
      <c r="AC261">
        <f t="shared" si="96"/>
        <v>4.984300831039927E-2</v>
      </c>
      <c r="AD261" t="str">
        <f t="shared" si="105"/>
        <v>No Impact</v>
      </c>
      <c r="AE261">
        <f t="shared" si="106"/>
        <v>6.8636118143733365E-3</v>
      </c>
      <c r="AF261">
        <f t="shared" si="97"/>
        <v>3.7546975151472789E-2</v>
      </c>
      <c r="AG261" t="s">
        <v>1176</v>
      </c>
    </row>
    <row r="262" spans="1:33" x14ac:dyDescent="0.3">
      <c r="A262">
        <v>306864</v>
      </c>
      <c r="B262" t="s">
        <v>445</v>
      </c>
      <c r="C262" s="1" t="s">
        <v>799</v>
      </c>
      <c r="D262" t="s">
        <v>803</v>
      </c>
      <c r="E262" s="4">
        <v>4.5</v>
      </c>
      <c r="F262" s="3">
        <f t="shared" ref="F262:F325" si="107">(E262-$AJ$5)/$AK$5</f>
        <v>0.28888888888888886</v>
      </c>
      <c r="G262">
        <v>59.038919999999997</v>
      </c>
      <c r="H262">
        <f t="shared" si="98"/>
        <v>0.55724809546785903</v>
      </c>
      <c r="I262">
        <v>145.29999999999998</v>
      </c>
      <c r="J262" s="3">
        <f t="shared" si="88"/>
        <v>0.44928880643166347</v>
      </c>
      <c r="K262">
        <v>0</v>
      </c>
      <c r="L262" s="3">
        <f t="shared" si="89"/>
        <v>0</v>
      </c>
      <c r="M262">
        <v>38383</v>
      </c>
      <c r="N262">
        <f t="shared" si="90"/>
        <v>0.18047531854291163</v>
      </c>
      <c r="O262" s="15">
        <v>0.67332836799999995</v>
      </c>
      <c r="P262">
        <f t="shared" si="91"/>
        <v>0.68642761513440231</v>
      </c>
      <c r="Q262">
        <v>0.32250000000000001</v>
      </c>
      <c r="R262">
        <f t="shared" si="92"/>
        <v>0.71491908667701176</v>
      </c>
      <c r="S262">
        <f t="shared" si="99"/>
        <v>6.3307254064974144E-2</v>
      </c>
      <c r="T262" s="14">
        <f t="shared" si="93"/>
        <v>0.10620704849854569</v>
      </c>
      <c r="U262" t="str">
        <f t="shared" si="100"/>
        <v>No Impact</v>
      </c>
      <c r="V262">
        <f t="shared" si="101"/>
        <v>6.4594385097788101E-2</v>
      </c>
      <c r="W262">
        <f t="shared" si="94"/>
        <v>8.681803275268879E-2</v>
      </c>
      <c r="X262" t="s">
        <v>1176</v>
      </c>
      <c r="Y262">
        <f t="shared" si="102"/>
        <v>6.2020123032160181E-2</v>
      </c>
      <c r="Z262">
        <f t="shared" si="95"/>
        <v>0.12426621771459237</v>
      </c>
      <c r="AA262" t="str">
        <f t="shared" si="103"/>
        <v>No Impact</v>
      </c>
      <c r="AB262">
        <f t="shared" si="104"/>
        <v>4.6921280181308977E-2</v>
      </c>
      <c r="AC262">
        <f t="shared" si="96"/>
        <v>0.11016051387592231</v>
      </c>
      <c r="AD262" t="str">
        <f t="shared" si="105"/>
        <v>No Impact</v>
      </c>
      <c r="AE262">
        <f t="shared" si="106"/>
        <v>1.6306309964100256E-2</v>
      </c>
      <c r="AF262">
        <f t="shared" si="97"/>
        <v>8.9202686805822148E-2</v>
      </c>
      <c r="AG262" t="s">
        <v>1175</v>
      </c>
    </row>
    <row r="263" spans="1:33" x14ac:dyDescent="0.3">
      <c r="A263">
        <v>306876</v>
      </c>
      <c r="B263" t="s">
        <v>486</v>
      </c>
      <c r="C263" s="1" t="s">
        <v>799</v>
      </c>
      <c r="D263" t="s">
        <v>804</v>
      </c>
      <c r="E263" s="4">
        <v>4.4000000000000004</v>
      </c>
      <c r="F263" s="3">
        <f t="shared" si="107"/>
        <v>0.26666666666666672</v>
      </c>
      <c r="G263">
        <v>56.43036</v>
      </c>
      <c r="H263">
        <f t="shared" si="98"/>
        <v>0.53262679325037887</v>
      </c>
      <c r="I263">
        <v>135.6</v>
      </c>
      <c r="J263" s="3">
        <f t="shared" si="88"/>
        <v>0.41929499072356208</v>
      </c>
      <c r="K263">
        <v>0</v>
      </c>
      <c r="L263" s="3">
        <f t="shared" si="89"/>
        <v>0</v>
      </c>
      <c r="M263">
        <v>46047</v>
      </c>
      <c r="N263">
        <f t="shared" si="90"/>
        <v>0.21673692826692784</v>
      </c>
      <c r="O263" s="15">
        <v>0.59562827200000001</v>
      </c>
      <c r="P263">
        <f t="shared" si="91"/>
        <v>0.60721590487865074</v>
      </c>
      <c r="Q263">
        <v>0.37740000000000001</v>
      </c>
      <c r="R263">
        <f t="shared" si="92"/>
        <v>0.83662159166481931</v>
      </c>
      <c r="S263">
        <f t="shared" si="99"/>
        <v>5.7158584032979541E-2</v>
      </c>
      <c r="T263" s="14">
        <f t="shared" si="93"/>
        <v>9.5891767794388488E-2</v>
      </c>
      <c r="U263" t="str">
        <f t="shared" si="100"/>
        <v>No Impact</v>
      </c>
      <c r="V263">
        <f t="shared" si="101"/>
        <v>6.6240287657661531E-2</v>
      </c>
      <c r="W263">
        <f t="shared" si="94"/>
        <v>8.9030206800549155E-2</v>
      </c>
      <c r="X263" t="s">
        <v>1176</v>
      </c>
      <c r="Y263">
        <f t="shared" si="102"/>
        <v>4.8076880408297551E-2</v>
      </c>
      <c r="Z263">
        <f t="shared" si="95"/>
        <v>9.6328929962908469E-2</v>
      </c>
      <c r="AA263" t="str">
        <f t="shared" si="103"/>
        <v>No Impact</v>
      </c>
      <c r="AB263">
        <f t="shared" si="104"/>
        <v>4.3613286107829365E-2</v>
      </c>
      <c r="AC263">
        <f t="shared" si="96"/>
        <v>0.10239409476662055</v>
      </c>
      <c r="AD263" t="str">
        <f t="shared" si="105"/>
        <v>No Impact</v>
      </c>
      <c r="AE263">
        <f t="shared" si="106"/>
        <v>1.7160346586167323E-2</v>
      </c>
      <c r="AF263">
        <f t="shared" si="97"/>
        <v>9.3874642722683352E-2</v>
      </c>
      <c r="AG263" t="s">
        <v>1175</v>
      </c>
    </row>
    <row r="264" spans="1:33" x14ac:dyDescent="0.3">
      <c r="A264">
        <v>308207</v>
      </c>
      <c r="B264" t="s">
        <v>36</v>
      </c>
      <c r="C264" s="1" t="s">
        <v>805</v>
      </c>
      <c r="D264" t="s">
        <v>1051</v>
      </c>
      <c r="E264" s="4">
        <v>5.4</v>
      </c>
      <c r="F264" s="3">
        <f t="shared" si="107"/>
        <v>0.48888888888888893</v>
      </c>
      <c r="G264">
        <v>50.886000000000003</v>
      </c>
      <c r="H264">
        <f t="shared" si="98"/>
        <v>0.48029548280994094</v>
      </c>
      <c r="I264">
        <v>119.30000000000001</v>
      </c>
      <c r="J264" s="3">
        <f t="shared" si="88"/>
        <v>0.3688930117501546</v>
      </c>
      <c r="K264">
        <v>0</v>
      </c>
      <c r="L264" s="3">
        <f t="shared" si="89"/>
        <v>0</v>
      </c>
      <c r="M264">
        <v>27077</v>
      </c>
      <c r="N264">
        <f t="shared" si="90"/>
        <v>0.12698187392655888</v>
      </c>
      <c r="O264" s="15">
        <v>0.75463143300000002</v>
      </c>
      <c r="P264">
        <f t="shared" si="91"/>
        <v>0.7693123882456806</v>
      </c>
      <c r="Q264">
        <v>0.35949999999999999</v>
      </c>
      <c r="R264">
        <f t="shared" si="92"/>
        <v>0.79694081135003325</v>
      </c>
      <c r="S264">
        <f t="shared" si="99"/>
        <v>0.10180175052016716</v>
      </c>
      <c r="T264" s="14">
        <f t="shared" si="93"/>
        <v>0.17078711775487049</v>
      </c>
      <c r="U264" t="str">
        <f t="shared" si="100"/>
        <v>Low</v>
      </c>
      <c r="V264">
        <f t="shared" si="101"/>
        <v>0.10359751498332097</v>
      </c>
      <c r="W264">
        <f t="shared" si="94"/>
        <v>0.13924015895968506</v>
      </c>
      <c r="X264" t="s">
        <v>1176</v>
      </c>
      <c r="Y264">
        <f t="shared" si="102"/>
        <v>0.10000598605701334</v>
      </c>
      <c r="Z264">
        <f t="shared" si="95"/>
        <v>0.20037634607205099</v>
      </c>
      <c r="AA264" t="str">
        <f t="shared" si="103"/>
        <v>Low</v>
      </c>
      <c r="AB264">
        <f t="shared" si="104"/>
        <v>7.2038334169593987E-2</v>
      </c>
      <c r="AC264">
        <f t="shared" si="96"/>
        <v>0.16912965460923407</v>
      </c>
      <c r="AD264" t="str">
        <f t="shared" si="105"/>
        <v>Low</v>
      </c>
      <c r="AE264">
        <f t="shared" si="106"/>
        <v>1.6506880309507577E-2</v>
      </c>
      <c r="AF264">
        <f t="shared" si="97"/>
        <v>9.0299894803419059E-2</v>
      </c>
      <c r="AG264" t="s">
        <v>1175</v>
      </c>
    </row>
    <row r="265" spans="1:33" x14ac:dyDescent="0.3">
      <c r="A265">
        <v>308229</v>
      </c>
      <c r="B265" t="s">
        <v>185</v>
      </c>
      <c r="C265" s="1" t="s">
        <v>805</v>
      </c>
      <c r="D265" t="s">
        <v>1141</v>
      </c>
      <c r="E265" s="4">
        <v>5.4</v>
      </c>
      <c r="F265" s="3">
        <f t="shared" si="107"/>
        <v>0.48888888888888893</v>
      </c>
      <c r="G265">
        <v>53.169840000000001</v>
      </c>
      <c r="H265">
        <f t="shared" si="98"/>
        <v>0.50185186443672736</v>
      </c>
      <c r="I265">
        <v>122</v>
      </c>
      <c r="J265" s="3">
        <f t="shared" si="88"/>
        <v>0.37724180581323435</v>
      </c>
      <c r="K265">
        <v>0</v>
      </c>
      <c r="L265" s="3">
        <f t="shared" si="89"/>
        <v>0</v>
      </c>
      <c r="M265">
        <v>14728</v>
      </c>
      <c r="N265">
        <f t="shared" si="90"/>
        <v>6.8553557318798405E-2</v>
      </c>
      <c r="O265" s="15">
        <v>0.44506938200000001</v>
      </c>
      <c r="P265">
        <f t="shared" si="91"/>
        <v>0.4537279713359742</v>
      </c>
      <c r="Q265">
        <v>0.2452</v>
      </c>
      <c r="R265">
        <f t="shared" si="92"/>
        <v>0.54356018621148305</v>
      </c>
      <c r="S265">
        <f t="shared" si="99"/>
        <v>6.7329808478097081E-2</v>
      </c>
      <c r="T265" s="14">
        <f t="shared" si="93"/>
        <v>0.11295546363599762</v>
      </c>
      <c r="U265" t="str">
        <f t="shared" si="100"/>
        <v>No Impact</v>
      </c>
      <c r="V265">
        <f t="shared" si="101"/>
        <v>7.3394641171594138E-2</v>
      </c>
      <c r="W265">
        <f t="shared" si="94"/>
        <v>9.8646010043456481E-2</v>
      </c>
      <c r="X265" t="s">
        <v>1176</v>
      </c>
      <c r="Y265">
        <f t="shared" si="102"/>
        <v>6.1264975784600009E-2</v>
      </c>
      <c r="Z265">
        <f t="shared" si="95"/>
        <v>0.12275317182425727</v>
      </c>
      <c r="AA265" t="str">
        <f t="shared" si="103"/>
        <v>No Impact</v>
      </c>
      <c r="AB265">
        <f t="shared" si="104"/>
        <v>4.7307391422195179E-2</v>
      </c>
      <c r="AC265">
        <f t="shared" si="96"/>
        <v>0.11106701541520123</v>
      </c>
      <c r="AD265" t="str">
        <f t="shared" si="105"/>
        <v>No Impact</v>
      </c>
      <c r="AE265">
        <f t="shared" si="106"/>
        <v>9.2564979335920828E-3</v>
      </c>
      <c r="AF265">
        <f t="shared" si="97"/>
        <v>5.0637114583668159E-2</v>
      </c>
      <c r="AG265" t="s">
        <v>1176</v>
      </c>
    </row>
    <row r="266" spans="1:33" x14ac:dyDescent="0.3">
      <c r="A266">
        <v>308247</v>
      </c>
      <c r="B266" t="s">
        <v>250</v>
      </c>
      <c r="C266" s="1" t="s">
        <v>805</v>
      </c>
      <c r="D266" t="s">
        <v>806</v>
      </c>
      <c r="E266" s="4">
        <v>5.6</v>
      </c>
      <c r="F266" s="3">
        <f t="shared" si="107"/>
        <v>0.53333333333333321</v>
      </c>
      <c r="G266">
        <v>50.180399999999999</v>
      </c>
      <c r="H266">
        <f t="shared" si="98"/>
        <v>0.47363556667051759</v>
      </c>
      <c r="I266">
        <v>95.6</v>
      </c>
      <c r="J266" s="3">
        <f t="shared" si="88"/>
        <v>0.29560915275200983</v>
      </c>
      <c r="K266">
        <v>0</v>
      </c>
      <c r="L266" s="3">
        <f t="shared" si="89"/>
        <v>0</v>
      </c>
      <c r="M266">
        <v>15025</v>
      </c>
      <c r="N266">
        <f t="shared" si="90"/>
        <v>6.99587893240219E-2</v>
      </c>
      <c r="O266" s="15">
        <v>0.32738331500000001</v>
      </c>
      <c r="P266">
        <f t="shared" si="91"/>
        <v>0.3337523841714104</v>
      </c>
      <c r="Q266">
        <v>0.31709999999999999</v>
      </c>
      <c r="R266">
        <f t="shared" si="92"/>
        <v>0.70294834848148968</v>
      </c>
      <c r="S266">
        <f t="shared" si="99"/>
        <v>6.8719728170266961E-2</v>
      </c>
      <c r="T266" s="14">
        <f t="shared" si="93"/>
        <v>0.11528725436575923</v>
      </c>
      <c r="U266" t="str">
        <f t="shared" si="100"/>
        <v>No Impact</v>
      </c>
      <c r="V266">
        <f t="shared" si="101"/>
        <v>9.3192602076726097E-2</v>
      </c>
      <c r="W266">
        <f t="shared" si="94"/>
        <v>0.12525544390827481</v>
      </c>
      <c r="X266" t="s">
        <v>1176</v>
      </c>
      <c r="Y266">
        <f t="shared" si="102"/>
        <v>4.4246854263807825E-2</v>
      </c>
      <c r="Z266">
        <f t="shared" si="95"/>
        <v>8.8654922891414203E-2</v>
      </c>
      <c r="AA266" t="str">
        <f t="shared" si="103"/>
        <v>No Impact</v>
      </c>
      <c r="AB266">
        <f t="shared" si="104"/>
        <v>4.9137615276014304E-2</v>
      </c>
      <c r="AC266">
        <f t="shared" si="96"/>
        <v>0.11536396552963993</v>
      </c>
      <c r="AD266" t="str">
        <f t="shared" si="105"/>
        <v>No Impact</v>
      </c>
      <c r="AE266">
        <f t="shared" si="106"/>
        <v>9.2747093429080933E-3</v>
      </c>
      <c r="AF266">
        <f t="shared" si="97"/>
        <v>5.0736739001766749E-2</v>
      </c>
      <c r="AG266" t="s">
        <v>1176</v>
      </c>
    </row>
    <row r="267" spans="1:33" x14ac:dyDescent="0.3">
      <c r="A267">
        <v>308273</v>
      </c>
      <c r="B267" t="s">
        <v>401</v>
      </c>
      <c r="C267" s="1" t="s">
        <v>805</v>
      </c>
      <c r="D267" t="s">
        <v>807</v>
      </c>
      <c r="E267" s="4">
        <v>5.6</v>
      </c>
      <c r="F267" s="3">
        <f t="shared" si="107"/>
        <v>0.53333333333333321</v>
      </c>
      <c r="G267">
        <v>49.866119999999995</v>
      </c>
      <c r="H267">
        <f t="shared" si="98"/>
        <v>0.47066918565535604</v>
      </c>
      <c r="I267">
        <v>79.5</v>
      </c>
      <c r="J267" s="3">
        <f t="shared" si="88"/>
        <v>0.24582560296846009</v>
      </c>
      <c r="K267">
        <v>0</v>
      </c>
      <c r="L267" s="3">
        <f t="shared" si="89"/>
        <v>0</v>
      </c>
      <c r="M267">
        <v>21428</v>
      </c>
      <c r="N267">
        <f t="shared" si="90"/>
        <v>0.10025407730195456</v>
      </c>
      <c r="O267" s="15">
        <v>0.51867957399999998</v>
      </c>
      <c r="P267">
        <f t="shared" si="91"/>
        <v>0.52877021067341656</v>
      </c>
      <c r="Q267">
        <v>0.34350000000000003</v>
      </c>
      <c r="R267">
        <f t="shared" si="92"/>
        <v>0.76147195743737539</v>
      </c>
      <c r="S267">
        <f t="shared" si="99"/>
        <v>8.169221440410579E-2</v>
      </c>
      <c r="T267" s="14">
        <f t="shared" si="93"/>
        <v>0.13705047083965638</v>
      </c>
      <c r="U267" t="str">
        <f t="shared" si="100"/>
        <v>No Impact</v>
      </c>
      <c r="V267">
        <f t="shared" si="101"/>
        <v>9.6425821364639466E-2</v>
      </c>
      <c r="W267">
        <f t="shared" si="94"/>
        <v>0.12960104976255671</v>
      </c>
      <c r="X267" t="s">
        <v>1176</v>
      </c>
      <c r="Y267">
        <f t="shared" si="102"/>
        <v>6.6958607443572071E-2</v>
      </c>
      <c r="Z267">
        <f t="shared" si="95"/>
        <v>0.13416118001143282</v>
      </c>
      <c r="AA267" t="str">
        <f t="shared" si="103"/>
        <v>No Impact</v>
      </c>
      <c r="AB267">
        <f t="shared" si="104"/>
        <v>5.827995945433468E-2</v>
      </c>
      <c r="AC267">
        <f t="shared" si="96"/>
        <v>0.1368281141807994</v>
      </c>
      <c r="AD267" t="str">
        <f t="shared" si="105"/>
        <v>No Impact</v>
      </c>
      <c r="AE267">
        <f t="shared" si="106"/>
        <v>1.2695256410397834E-2</v>
      </c>
      <c r="AF267">
        <f t="shared" si="97"/>
        <v>6.9448635772870276E-2</v>
      </c>
      <c r="AG267" t="s">
        <v>1175</v>
      </c>
    </row>
    <row r="268" spans="1:33" x14ac:dyDescent="0.3">
      <c r="A268">
        <v>308276</v>
      </c>
      <c r="B268" t="s">
        <v>424</v>
      </c>
      <c r="C268" s="1" t="s">
        <v>805</v>
      </c>
      <c r="D268" t="s">
        <v>808</v>
      </c>
      <c r="E268" s="4">
        <v>5.6</v>
      </c>
      <c r="F268" s="3">
        <f t="shared" si="107"/>
        <v>0.53333333333333321</v>
      </c>
      <c r="G268">
        <v>53.169840000000001</v>
      </c>
      <c r="H268">
        <f t="shared" si="98"/>
        <v>0.50185186443672736</v>
      </c>
      <c r="I268">
        <v>125.10000000000002</v>
      </c>
      <c r="J268" s="3">
        <f t="shared" si="88"/>
        <v>0.38682745825602971</v>
      </c>
      <c r="K268">
        <v>0</v>
      </c>
      <c r="L268" s="3">
        <f t="shared" si="89"/>
        <v>0</v>
      </c>
      <c r="M268">
        <v>45411</v>
      </c>
      <c r="N268">
        <f t="shared" si="90"/>
        <v>0.2137277445789745</v>
      </c>
      <c r="O268" s="15">
        <v>0.28073603800000002</v>
      </c>
      <c r="P268">
        <f t="shared" si="91"/>
        <v>0.28619760907893449</v>
      </c>
      <c r="Q268">
        <v>0.35649999999999998</v>
      </c>
      <c r="R268">
        <f t="shared" si="92"/>
        <v>0.79029040124140981</v>
      </c>
      <c r="S268">
        <f t="shared" si="99"/>
        <v>7.983414138247491E-2</v>
      </c>
      <c r="T268" s="14">
        <f t="shared" si="93"/>
        <v>0.13393328538536936</v>
      </c>
      <c r="U268" t="str">
        <f t="shared" si="100"/>
        <v>No Impact</v>
      </c>
      <c r="V268">
        <f t="shared" si="101"/>
        <v>0.1172185013136271</v>
      </c>
      <c r="W268">
        <f t="shared" si="94"/>
        <v>0.15754743498001114</v>
      </c>
      <c r="X268" t="s">
        <v>1176</v>
      </c>
      <c r="Y268">
        <f t="shared" si="102"/>
        <v>4.2449781451322756E-2</v>
      </c>
      <c r="Z268">
        <f t="shared" si="95"/>
        <v>8.5054229593056099E-2</v>
      </c>
      <c r="AA268" t="str">
        <f t="shared" si="103"/>
        <v>No Impact</v>
      </c>
      <c r="AB268">
        <f t="shared" si="104"/>
        <v>6.4856693419130904E-2</v>
      </c>
      <c r="AC268">
        <f t="shared" si="96"/>
        <v>0.15226879249110234</v>
      </c>
      <c r="AD268" t="str">
        <f t="shared" si="105"/>
        <v>Low</v>
      </c>
      <c r="AE268">
        <f t="shared" si="106"/>
        <v>3.1700810068470253E-2</v>
      </c>
      <c r="AF268">
        <f t="shared" si="97"/>
        <v>0.17341737267684992</v>
      </c>
      <c r="AG268" t="s">
        <v>1175</v>
      </c>
    </row>
    <row r="269" spans="1:33" x14ac:dyDescent="0.3">
      <c r="A269">
        <v>308614</v>
      </c>
      <c r="B269" t="s">
        <v>69</v>
      </c>
      <c r="C269" s="1" t="s">
        <v>810</v>
      </c>
      <c r="D269" t="s">
        <v>809</v>
      </c>
      <c r="E269" s="4">
        <v>6.5</v>
      </c>
      <c r="F269" s="3">
        <f t="shared" si="107"/>
        <v>0.73333333333333328</v>
      </c>
      <c r="G269">
        <v>64.585080000000005</v>
      </c>
      <c r="H269">
        <f t="shared" si="98"/>
        <v>0.60959639549028533</v>
      </c>
      <c r="I269">
        <v>114.80000000000001</v>
      </c>
      <c r="J269" s="3">
        <f t="shared" si="88"/>
        <v>0.35497835497835495</v>
      </c>
      <c r="K269">
        <v>0</v>
      </c>
      <c r="L269" s="3">
        <f t="shared" si="89"/>
        <v>0</v>
      </c>
      <c r="M269">
        <v>19841</v>
      </c>
      <c r="N269">
        <f t="shared" si="90"/>
        <v>9.2745312344750253E-2</v>
      </c>
      <c r="O269" s="15">
        <v>0.22992965100000001</v>
      </c>
      <c r="P269">
        <f t="shared" si="91"/>
        <v>0.23440281070203692</v>
      </c>
      <c r="Q269">
        <v>0.29859999999999998</v>
      </c>
      <c r="R269">
        <f t="shared" si="92"/>
        <v>0.66193748614497894</v>
      </c>
      <c r="S269">
        <f t="shared" si="99"/>
        <v>0.10347282236550089</v>
      </c>
      <c r="T269" s="14">
        <f t="shared" si="93"/>
        <v>0.17359058176769532</v>
      </c>
      <c r="U269" t="str">
        <f t="shared" si="100"/>
        <v>Low</v>
      </c>
      <c r="V269">
        <f t="shared" si="101"/>
        <v>0.1528270906973084</v>
      </c>
      <c r="W269">
        <f t="shared" si="94"/>
        <v>0.20540713168134794</v>
      </c>
      <c r="X269" t="s">
        <v>1175</v>
      </c>
      <c r="Y269">
        <f t="shared" si="102"/>
        <v>5.4118554033693381E-2</v>
      </c>
      <c r="Z269">
        <f t="shared" si="95"/>
        <v>0.10843429018131109</v>
      </c>
      <c r="AA269" t="str">
        <f t="shared" si="103"/>
        <v>No Impact</v>
      </c>
      <c r="AB269">
        <f t="shared" si="104"/>
        <v>7.721956034445672E-2</v>
      </c>
      <c r="AC269">
        <f t="shared" si="96"/>
        <v>0.18129399743459504</v>
      </c>
      <c r="AD269" t="str">
        <f t="shared" si="105"/>
        <v>Low</v>
      </c>
      <c r="AE269">
        <f t="shared" si="106"/>
        <v>2.1412892543687917E-2</v>
      </c>
      <c r="AF269">
        <f t="shared" si="97"/>
        <v>0.1171379393245032</v>
      </c>
      <c r="AG269" t="s">
        <v>1175</v>
      </c>
    </row>
    <row r="270" spans="1:33" x14ac:dyDescent="0.3">
      <c r="A270">
        <v>308625</v>
      </c>
      <c r="B270" t="s">
        <v>126</v>
      </c>
      <c r="C270" s="1" t="s">
        <v>810</v>
      </c>
      <c r="D270" t="s">
        <v>811</v>
      </c>
      <c r="E270" s="4">
        <v>6.5</v>
      </c>
      <c r="F270" s="3">
        <f t="shared" si="107"/>
        <v>0.73333333333333328</v>
      </c>
      <c r="G270">
        <v>63.986760000000004</v>
      </c>
      <c r="H270">
        <f t="shared" si="98"/>
        <v>0.60394905843736624</v>
      </c>
      <c r="I270">
        <v>117.10000000000001</v>
      </c>
      <c r="J270" s="3">
        <f t="shared" si="88"/>
        <v>0.36209029066171922</v>
      </c>
      <c r="K270">
        <v>0</v>
      </c>
      <c r="L270" s="3">
        <f t="shared" si="89"/>
        <v>0</v>
      </c>
      <c r="M270">
        <v>5388</v>
      </c>
      <c r="N270">
        <f t="shared" si="90"/>
        <v>2.4362086178100144E-2</v>
      </c>
      <c r="O270" s="15">
        <v>0.59127578000000003</v>
      </c>
      <c r="P270">
        <f t="shared" si="91"/>
        <v>0.60277873744973942</v>
      </c>
      <c r="Q270">
        <v>0.33250000000000002</v>
      </c>
      <c r="R270">
        <f t="shared" si="92"/>
        <v>0.73708712037242297</v>
      </c>
      <c r="S270">
        <f t="shared" si="99"/>
        <v>0.15426208339187641</v>
      </c>
      <c r="T270" s="14">
        <f t="shared" si="93"/>
        <v>0.2587968916717287</v>
      </c>
      <c r="U270" t="str">
        <f t="shared" si="100"/>
        <v>Low</v>
      </c>
      <c r="V270">
        <f t="shared" si="101"/>
        <v>0.16972534103493894</v>
      </c>
      <c r="W270">
        <f t="shared" si="94"/>
        <v>0.22811921182662021</v>
      </c>
      <c r="X270" t="s">
        <v>1175</v>
      </c>
      <c r="Y270">
        <f t="shared" si="102"/>
        <v>0.13879882574881389</v>
      </c>
      <c r="Z270">
        <f t="shared" si="95"/>
        <v>0.27810336800022184</v>
      </c>
      <c r="AA270" t="str">
        <f t="shared" si="103"/>
        <v>Low</v>
      </c>
      <c r="AB270">
        <f t="shared" si="104"/>
        <v>0.10300692432153456</v>
      </c>
      <c r="AC270">
        <f t="shared" si="96"/>
        <v>0.24183687384895064</v>
      </c>
      <c r="AD270" t="str">
        <f t="shared" si="105"/>
        <v>Low</v>
      </c>
      <c r="AE270">
        <f t="shared" si="106"/>
        <v>5.6097349561764496E-3</v>
      </c>
      <c r="AF270">
        <f t="shared" si="97"/>
        <v>3.0687717298466758E-2</v>
      </c>
      <c r="AG270" t="s">
        <v>1176</v>
      </c>
    </row>
    <row r="271" spans="1:33" x14ac:dyDescent="0.3">
      <c r="A271">
        <v>308636</v>
      </c>
      <c r="B271" t="s">
        <v>192</v>
      </c>
      <c r="C271" s="1" t="s">
        <v>810</v>
      </c>
      <c r="D271" t="s">
        <v>812</v>
      </c>
      <c r="E271" s="4">
        <v>6.4</v>
      </c>
      <c r="F271" s="3">
        <f t="shared" si="107"/>
        <v>0.71111111111111114</v>
      </c>
      <c r="G271">
        <v>61.625520000000009</v>
      </c>
      <c r="H271">
        <f t="shared" si="98"/>
        <v>0.58166212478508184</v>
      </c>
      <c r="I271">
        <v>116.70000000000002</v>
      </c>
      <c r="J271" s="3">
        <f t="shared" si="88"/>
        <v>0.36085343228200373</v>
      </c>
      <c r="K271">
        <v>0</v>
      </c>
      <c r="L271" s="3">
        <f t="shared" si="89"/>
        <v>0</v>
      </c>
      <c r="M271">
        <v>3568</v>
      </c>
      <c r="N271">
        <f t="shared" si="90"/>
        <v>1.5750900152824893E-2</v>
      </c>
      <c r="O271" s="15">
        <v>0.45405647599999999</v>
      </c>
      <c r="P271">
        <f t="shared" si="91"/>
        <v>0.46288990449457934</v>
      </c>
      <c r="Q271">
        <v>0.3266</v>
      </c>
      <c r="R271">
        <f t="shared" si="92"/>
        <v>0.72400798049213033</v>
      </c>
      <c r="S271">
        <f t="shared" si="99"/>
        <v>0.1286430767597713</v>
      </c>
      <c r="T271" s="14">
        <f t="shared" si="93"/>
        <v>0.21581731342200725</v>
      </c>
      <c r="U271" t="str">
        <f t="shared" si="100"/>
        <v>Low</v>
      </c>
      <c r="V271">
        <f t="shared" si="101"/>
        <v>0.15694461231629719</v>
      </c>
      <c r="W271">
        <f t="shared" si="94"/>
        <v>0.21094128339184259</v>
      </c>
      <c r="X271" t="s">
        <v>1175</v>
      </c>
      <c r="Y271">
        <f t="shared" si="102"/>
        <v>0.10034154120324539</v>
      </c>
      <c r="Z271">
        <f t="shared" si="95"/>
        <v>0.2010486789668971</v>
      </c>
      <c r="AA271" t="str">
        <f t="shared" si="103"/>
        <v>Low</v>
      </c>
      <c r="AB271">
        <f t="shared" si="104"/>
        <v>8.6228100269004737E-2</v>
      </c>
      <c r="AC271">
        <f t="shared" si="96"/>
        <v>0.20244400407391275</v>
      </c>
      <c r="AD271" t="str">
        <f t="shared" si="105"/>
        <v>Low</v>
      </c>
      <c r="AE271">
        <f t="shared" si="106"/>
        <v>3.41435313522028E-3</v>
      </c>
      <c r="AF271">
        <f t="shared" si="97"/>
        <v>1.867801323757904E-2</v>
      </c>
      <c r="AG271" t="s">
        <v>1176</v>
      </c>
    </row>
    <row r="272" spans="1:33" x14ac:dyDescent="0.3">
      <c r="A272">
        <v>308665</v>
      </c>
      <c r="B272" t="s">
        <v>373</v>
      </c>
      <c r="C272" s="1" t="s">
        <v>810</v>
      </c>
      <c r="D272" t="s">
        <v>813</v>
      </c>
      <c r="E272" s="4">
        <v>6.5</v>
      </c>
      <c r="F272" s="3">
        <f t="shared" si="107"/>
        <v>0.73333333333333328</v>
      </c>
      <c r="G272">
        <v>64.585080000000005</v>
      </c>
      <c r="H272">
        <f t="shared" si="98"/>
        <v>0.60959639549028533</v>
      </c>
      <c r="I272">
        <v>115.6</v>
      </c>
      <c r="J272" s="3">
        <f t="shared" si="88"/>
        <v>0.35745207173778598</v>
      </c>
      <c r="K272">
        <v>0</v>
      </c>
      <c r="L272" s="3">
        <f t="shared" si="89"/>
        <v>0</v>
      </c>
      <c r="M272">
        <v>22687</v>
      </c>
      <c r="N272">
        <f t="shared" si="90"/>
        <v>0.1062109362062521</v>
      </c>
      <c r="O272" s="15">
        <v>0.61494416500000004</v>
      </c>
      <c r="P272">
        <f t="shared" si="91"/>
        <v>0.62690757835672595</v>
      </c>
      <c r="Q272">
        <v>0.30120000000000002</v>
      </c>
      <c r="R272">
        <f t="shared" si="92"/>
        <v>0.66770117490578595</v>
      </c>
      <c r="S272">
        <f t="shared" si="99"/>
        <v>0.14968347093784742</v>
      </c>
      <c r="T272" s="14">
        <f t="shared" si="93"/>
        <v>0.25111560897919527</v>
      </c>
      <c r="U272" t="str">
        <f t="shared" si="100"/>
        <v>Low</v>
      </c>
      <c r="V272">
        <f t="shared" si="101"/>
        <v>0.15440005199611201</v>
      </c>
      <c r="W272">
        <f t="shared" si="94"/>
        <v>0.20752126908433594</v>
      </c>
      <c r="X272" t="s">
        <v>1175</v>
      </c>
      <c r="Y272">
        <f t="shared" si="102"/>
        <v>0.14496688987958281</v>
      </c>
      <c r="Z272">
        <f t="shared" si="95"/>
        <v>0.29046196973589145</v>
      </c>
      <c r="AA272" t="str">
        <f t="shared" si="103"/>
        <v>Low</v>
      </c>
      <c r="AB272">
        <f t="shared" si="104"/>
        <v>0.10612620741179755</v>
      </c>
      <c r="AC272">
        <f t="shared" si="96"/>
        <v>0.24916024241050849</v>
      </c>
      <c r="AD272" t="str">
        <f t="shared" si="105"/>
        <v>Low</v>
      </c>
      <c r="AE272">
        <f t="shared" si="106"/>
        <v>2.4560349283667186E-2</v>
      </c>
      <c r="AF272">
        <f t="shared" si="97"/>
        <v>0.13435591190256443</v>
      </c>
      <c r="AG272" t="s">
        <v>1175</v>
      </c>
    </row>
    <row r="273" spans="1:33" x14ac:dyDescent="0.3">
      <c r="A273">
        <v>308669</v>
      </c>
      <c r="B273" t="s">
        <v>477</v>
      </c>
      <c r="C273" s="1" t="s">
        <v>810</v>
      </c>
      <c r="D273" t="s">
        <v>814</v>
      </c>
      <c r="E273" s="4">
        <v>6.4</v>
      </c>
      <c r="F273" s="3">
        <f t="shared" si="107"/>
        <v>0.71111111111111114</v>
      </c>
      <c r="G273">
        <v>64.404719999999998</v>
      </c>
      <c r="H273">
        <f t="shared" si="98"/>
        <v>0.60789403937505515</v>
      </c>
      <c r="I273">
        <v>117.1</v>
      </c>
      <c r="J273" s="3">
        <f t="shared" si="88"/>
        <v>0.36209029066171916</v>
      </c>
      <c r="K273">
        <v>0</v>
      </c>
      <c r="L273" s="3">
        <f t="shared" si="89"/>
        <v>0</v>
      </c>
      <c r="M273">
        <v>23823</v>
      </c>
      <c r="N273">
        <f t="shared" si="90"/>
        <v>0.11158583034070962</v>
      </c>
      <c r="O273" s="15">
        <v>0.54228625500000005</v>
      </c>
      <c r="P273">
        <f t="shared" si="91"/>
        <v>0.55283614716173135</v>
      </c>
      <c r="Q273">
        <v>0.32900000000000001</v>
      </c>
      <c r="R273">
        <f t="shared" si="92"/>
        <v>0.72932830857902908</v>
      </c>
      <c r="S273">
        <f t="shared" si="99"/>
        <v>0.1438648576527671</v>
      </c>
      <c r="T273" s="14">
        <f t="shared" si="93"/>
        <v>0.24135404606685412</v>
      </c>
      <c r="U273" t="str">
        <f t="shared" si="100"/>
        <v>Low</v>
      </c>
      <c r="V273">
        <f t="shared" si="101"/>
        <v>0.16366810486137828</v>
      </c>
      <c r="W273">
        <f t="shared" si="94"/>
        <v>0.21997798828666629</v>
      </c>
      <c r="X273" t="s">
        <v>1175</v>
      </c>
      <c r="Y273">
        <f t="shared" si="102"/>
        <v>0.12406161044415587</v>
      </c>
      <c r="Z273">
        <f t="shared" si="95"/>
        <v>0.24857524203043252</v>
      </c>
      <c r="AA273" t="str">
        <f t="shared" si="103"/>
        <v>Low</v>
      </c>
      <c r="AB273">
        <f t="shared" si="104"/>
        <v>0.10326663682098514</v>
      </c>
      <c r="AC273">
        <f t="shared" si="96"/>
        <v>0.24244661983816754</v>
      </c>
      <c r="AD273" t="str">
        <f t="shared" si="105"/>
        <v>Low</v>
      </c>
      <c r="AE273">
        <f t="shared" si="106"/>
        <v>2.5040905675017093E-2</v>
      </c>
      <c r="AF273">
        <f t="shared" si="97"/>
        <v>0.13698476670567422</v>
      </c>
      <c r="AG273" t="s">
        <v>1175</v>
      </c>
    </row>
    <row r="274" spans="1:33" s="15" customFormat="1" x14ac:dyDescent="0.3">
      <c r="A274" s="15">
        <v>308694</v>
      </c>
      <c r="B274" s="15" t="s">
        <v>535</v>
      </c>
      <c r="C274" s="16" t="s">
        <v>810</v>
      </c>
      <c r="D274" s="15" t="s">
        <v>815</v>
      </c>
      <c r="E274" s="17">
        <v>6.4</v>
      </c>
      <c r="F274" s="3">
        <f t="shared" si="107"/>
        <v>0.71111111111111114</v>
      </c>
      <c r="G274" s="15">
        <v>64.585080000000005</v>
      </c>
      <c r="H274">
        <f t="shared" si="98"/>
        <v>0.60959639549028533</v>
      </c>
      <c r="I274" s="15">
        <v>119.4</v>
      </c>
      <c r="J274" s="3">
        <f t="shared" si="88"/>
        <v>0.36920222634508348</v>
      </c>
      <c r="K274" s="15">
        <v>0</v>
      </c>
      <c r="L274" s="3">
        <f t="shared" si="89"/>
        <v>0</v>
      </c>
      <c r="M274" s="15">
        <v>35519</v>
      </c>
      <c r="N274">
        <f t="shared" si="90"/>
        <v>0.16692452910533562</v>
      </c>
      <c r="O274" s="15">
        <v>0.42197394199999999</v>
      </c>
      <c r="P274">
        <f t="shared" si="91"/>
        <v>0.43018322177081153</v>
      </c>
      <c r="Q274" s="15">
        <v>0.24229999999999999</v>
      </c>
      <c r="R274">
        <f t="shared" si="92"/>
        <v>0.53713145643981375</v>
      </c>
      <c r="S274">
        <f t="shared" si="99"/>
        <v>0.10926064462618494</v>
      </c>
      <c r="T274" s="14">
        <f t="shared" si="93"/>
        <v>0.18330048829610895</v>
      </c>
      <c r="U274" t="str">
        <f t="shared" si="100"/>
        <v>Low</v>
      </c>
      <c r="V274">
        <f t="shared" si="101"/>
        <v>0.12134071879934177</v>
      </c>
      <c r="W274">
        <f t="shared" si="94"/>
        <v>0.16308789816650468</v>
      </c>
      <c r="X274" t="s">
        <v>1176</v>
      </c>
      <c r="Y274">
        <f t="shared" si="102"/>
        <v>9.7180570453028109E-2</v>
      </c>
      <c r="Z274">
        <f t="shared" si="95"/>
        <v>0.19471522040164604</v>
      </c>
      <c r="AA274" t="str">
        <f t="shared" si="103"/>
        <v>Low</v>
      </c>
      <c r="AB274">
        <f t="shared" si="104"/>
        <v>8.4821606766184179E-2</v>
      </c>
      <c r="AC274">
        <f t="shared" si="96"/>
        <v>0.19914187662906996</v>
      </c>
      <c r="AD274" t="str">
        <f t="shared" si="105"/>
        <v>Low</v>
      </c>
      <c r="AE274">
        <f t="shared" si="106"/>
        <v>3.7709097287160355E-2</v>
      </c>
      <c r="AF274">
        <f t="shared" si="97"/>
        <v>0.20628534612934712</v>
      </c>
      <c r="AG274" t="s">
        <v>1175</v>
      </c>
    </row>
    <row r="275" spans="1:33" x14ac:dyDescent="0.3">
      <c r="A275">
        <v>309309</v>
      </c>
      <c r="B275" t="s">
        <v>53</v>
      </c>
      <c r="C275" s="1" t="s">
        <v>817</v>
      </c>
      <c r="D275" t="s">
        <v>816</v>
      </c>
      <c r="E275" s="4">
        <v>5.9</v>
      </c>
      <c r="F275" s="3">
        <f t="shared" si="107"/>
        <v>0.60000000000000009</v>
      </c>
      <c r="G275">
        <v>44.438400000000001</v>
      </c>
      <c r="H275">
        <f t="shared" si="98"/>
        <v>0.41943880012776164</v>
      </c>
      <c r="I275">
        <v>143.00000000000003</v>
      </c>
      <c r="J275" s="3">
        <f t="shared" si="88"/>
        <v>0.44217687074829937</v>
      </c>
      <c r="K275">
        <v>0</v>
      </c>
      <c r="L275" s="3">
        <f t="shared" si="89"/>
        <v>0</v>
      </c>
      <c r="M275">
        <v>14864</v>
      </c>
      <c r="N275">
        <f t="shared" si="90"/>
        <v>6.9197030560247549E-2</v>
      </c>
      <c r="O275" s="15">
        <v>0.525519819</v>
      </c>
      <c r="P275">
        <f t="shared" si="91"/>
        <v>0.53574352902064681</v>
      </c>
      <c r="Q275">
        <v>0.2621</v>
      </c>
      <c r="R275">
        <f t="shared" si="92"/>
        <v>0.581024163156728</v>
      </c>
      <c r="S275">
        <f t="shared" si="99"/>
        <v>8.583841470818683E-2</v>
      </c>
      <c r="T275" s="14">
        <f t="shared" si="93"/>
        <v>0.1440063197906829</v>
      </c>
      <c r="U275" t="str">
        <f t="shared" si="100"/>
        <v>No Impact</v>
      </c>
      <c r="V275">
        <f t="shared" si="101"/>
        <v>8.9318832236781734E-2</v>
      </c>
      <c r="W275">
        <f t="shared" si="94"/>
        <v>0.12004890658569591</v>
      </c>
      <c r="X275" t="s">
        <v>1176</v>
      </c>
      <c r="Y275">
        <f t="shared" si="102"/>
        <v>8.2357997179591913E-2</v>
      </c>
      <c r="Z275">
        <f t="shared" si="95"/>
        <v>0.16501606749070794</v>
      </c>
      <c r="AA275" t="str">
        <f t="shared" si="103"/>
        <v>Low</v>
      </c>
      <c r="AB275">
        <f t="shared" si="104"/>
        <v>5.9692087382685693E-2</v>
      </c>
      <c r="AC275">
        <f t="shared" si="96"/>
        <v>0.14014346997766994</v>
      </c>
      <c r="AD275" t="str">
        <f t="shared" si="105"/>
        <v>No Impact</v>
      </c>
      <c r="AE275">
        <f t="shared" si="106"/>
        <v>1.0637419845527196E-2</v>
      </c>
      <c r="AF275">
        <f t="shared" si="97"/>
        <v>5.819136475337796E-2</v>
      </c>
      <c r="AG275" t="s">
        <v>1175</v>
      </c>
    </row>
    <row r="276" spans="1:33" x14ac:dyDescent="0.3">
      <c r="A276">
        <v>309319</v>
      </c>
      <c r="B276" t="s">
        <v>73</v>
      </c>
      <c r="C276" s="1" t="s">
        <v>817</v>
      </c>
      <c r="D276" t="s">
        <v>818</v>
      </c>
      <c r="E276" s="4">
        <v>5.9</v>
      </c>
      <c r="F276" s="3">
        <f t="shared" si="107"/>
        <v>0.60000000000000009</v>
      </c>
      <c r="G276">
        <v>39.828600000000002</v>
      </c>
      <c r="H276">
        <f t="shared" si="98"/>
        <v>0.37592848065566192</v>
      </c>
      <c r="I276">
        <v>143.6</v>
      </c>
      <c r="J276" s="3">
        <f t="shared" si="88"/>
        <v>0.44403215831787252</v>
      </c>
      <c r="K276">
        <v>0</v>
      </c>
      <c r="L276" s="3">
        <f t="shared" si="89"/>
        <v>0</v>
      </c>
      <c r="M276">
        <v>8293</v>
      </c>
      <c r="N276">
        <f t="shared" si="90"/>
        <v>3.8106863872289488E-2</v>
      </c>
      <c r="O276" s="15">
        <v>0.294315995</v>
      </c>
      <c r="P276">
        <f t="shared" si="91"/>
        <v>0.30004175695707308</v>
      </c>
      <c r="Q276">
        <v>0.24229999999999999</v>
      </c>
      <c r="R276">
        <f t="shared" si="92"/>
        <v>0.53713145643981375</v>
      </c>
      <c r="S276">
        <f t="shared" si="99"/>
        <v>6.006998022878092E-2</v>
      </c>
      <c r="T276" s="14">
        <f t="shared" si="93"/>
        <v>0.10077605477749799</v>
      </c>
      <c r="U276" t="str">
        <f t="shared" si="100"/>
        <v>No Impact</v>
      </c>
      <c r="V276">
        <f t="shared" si="101"/>
        <v>7.7081959748034848E-2</v>
      </c>
      <c r="W276">
        <f t="shared" si="94"/>
        <v>0.10360194769120087</v>
      </c>
      <c r="X276" t="s">
        <v>1176</v>
      </c>
      <c r="Y276">
        <f t="shared" si="102"/>
        <v>4.3058000709526985E-2</v>
      </c>
      <c r="Z276">
        <f t="shared" si="95"/>
        <v>8.6272884169394534E-2</v>
      </c>
      <c r="AA276" t="str">
        <f t="shared" si="103"/>
        <v>No Impact</v>
      </c>
      <c r="AB276">
        <f t="shared" si="104"/>
        <v>4.1810092647968887E-2</v>
      </c>
      <c r="AC276">
        <f t="shared" si="96"/>
        <v>9.8160605880802373E-2</v>
      </c>
      <c r="AD276" t="str">
        <f t="shared" si="105"/>
        <v>No Impact</v>
      </c>
      <c r="AE276">
        <f t="shared" si="106"/>
        <v>5.4685900665674301E-3</v>
      </c>
      <c r="AF276">
        <f t="shared" si="97"/>
        <v>2.9915592678626049E-2</v>
      </c>
      <c r="AG276" t="s">
        <v>1176</v>
      </c>
    </row>
    <row r="277" spans="1:33" x14ac:dyDescent="0.3">
      <c r="A277">
        <v>309323</v>
      </c>
      <c r="B277" t="s">
        <v>137</v>
      </c>
      <c r="C277" s="1" t="s">
        <v>817</v>
      </c>
      <c r="D277" t="s">
        <v>819</v>
      </c>
      <c r="E277" s="4">
        <v>5.9</v>
      </c>
      <c r="F277" s="3">
        <f t="shared" si="107"/>
        <v>0.60000000000000009</v>
      </c>
      <c r="G277">
        <v>46.106999999999999</v>
      </c>
      <c r="H277">
        <f t="shared" si="98"/>
        <v>0.43518814263093869</v>
      </c>
      <c r="I277">
        <v>163.20000000000002</v>
      </c>
      <c r="J277" s="3">
        <f t="shared" si="88"/>
        <v>0.50463821892393323</v>
      </c>
      <c r="K277">
        <v>0</v>
      </c>
      <c r="L277" s="3">
        <f t="shared" si="89"/>
        <v>0</v>
      </c>
      <c r="M277">
        <v>27551</v>
      </c>
      <c r="N277">
        <f t="shared" si="90"/>
        <v>0.12922456742984487</v>
      </c>
      <c r="O277" s="15">
        <v>0.71449663600000002</v>
      </c>
      <c r="P277">
        <f t="shared" si="91"/>
        <v>0.72839679000578383</v>
      </c>
      <c r="Q277">
        <v>0.31790000000000002</v>
      </c>
      <c r="R277">
        <f t="shared" si="92"/>
        <v>0.70472179117712264</v>
      </c>
      <c r="S277">
        <f t="shared" si="99"/>
        <v>0.11823353012068122</v>
      </c>
      <c r="T277" s="14">
        <f t="shared" si="93"/>
        <v>0.1983537977305663</v>
      </c>
      <c r="U277" t="str">
        <f t="shared" si="100"/>
        <v>Low</v>
      </c>
      <c r="V277">
        <f t="shared" si="101"/>
        <v>0.11628032211412173</v>
      </c>
      <c r="W277">
        <f t="shared" si="94"/>
        <v>0.15628647596093787</v>
      </c>
      <c r="X277" t="s">
        <v>1176</v>
      </c>
      <c r="Y277">
        <f t="shared" si="102"/>
        <v>0.12018673812724068</v>
      </c>
      <c r="Z277">
        <f t="shared" si="95"/>
        <v>0.24081137921609494</v>
      </c>
      <c r="AA277" t="str">
        <f t="shared" si="103"/>
        <v>Low</v>
      </c>
      <c r="AB277">
        <f t="shared" si="104"/>
        <v>8.4216931667668096E-2</v>
      </c>
      <c r="AC277">
        <f t="shared" si="96"/>
        <v>0.19772223677007394</v>
      </c>
      <c r="AD277" t="str">
        <f t="shared" si="105"/>
        <v>Low</v>
      </c>
      <c r="AE277">
        <f t="shared" si="106"/>
        <v>2.1322278541580881E-2</v>
      </c>
      <c r="AF277">
        <f t="shared" si="97"/>
        <v>0.11664224088212283</v>
      </c>
      <c r="AG277" t="s">
        <v>1175</v>
      </c>
    </row>
    <row r="278" spans="1:33" x14ac:dyDescent="0.3">
      <c r="A278">
        <v>309325</v>
      </c>
      <c r="B278" t="s">
        <v>143</v>
      </c>
      <c r="C278" s="1" t="s">
        <v>817</v>
      </c>
      <c r="D278" t="s">
        <v>820</v>
      </c>
      <c r="E278" s="4">
        <v>5</v>
      </c>
      <c r="F278" s="3">
        <f t="shared" si="107"/>
        <v>0.39999999999999997</v>
      </c>
      <c r="G278">
        <v>44.425080000000001</v>
      </c>
      <c r="H278">
        <f t="shared" si="98"/>
        <v>0.41931307722104805</v>
      </c>
      <c r="I278">
        <v>147.19999999999999</v>
      </c>
      <c r="J278" s="3">
        <f t="shared" si="88"/>
        <v>0.45516388373531225</v>
      </c>
      <c r="K278">
        <v>0</v>
      </c>
      <c r="L278" s="3">
        <f t="shared" si="89"/>
        <v>0</v>
      </c>
      <c r="M278">
        <v>20219</v>
      </c>
      <c r="N278">
        <f t="shared" si="90"/>
        <v>9.453378944230742E-2</v>
      </c>
      <c r="O278" s="15">
        <v>0.579214652</v>
      </c>
      <c r="P278">
        <f t="shared" si="91"/>
        <v>0.59048296658616761</v>
      </c>
      <c r="Q278">
        <v>0.3785</v>
      </c>
      <c r="R278">
        <f t="shared" si="92"/>
        <v>0.83906007537131455</v>
      </c>
      <c r="S278">
        <f t="shared" si="99"/>
        <v>7.3981141873216763E-2</v>
      </c>
      <c r="T278" s="14">
        <f t="shared" si="93"/>
        <v>0.12411403462298837</v>
      </c>
      <c r="U278" t="str">
        <f t="shared" si="100"/>
        <v>No Impact</v>
      </c>
      <c r="V278">
        <f t="shared" si="101"/>
        <v>8.6845405355823357E-2</v>
      </c>
      <c r="W278">
        <f t="shared" si="94"/>
        <v>0.11672449912152796</v>
      </c>
      <c r="X278" t="s">
        <v>1176</v>
      </c>
      <c r="Y278">
        <f t="shared" si="102"/>
        <v>6.1116878390610169E-2</v>
      </c>
      <c r="Z278">
        <f t="shared" si="95"/>
        <v>0.1224564374402419</v>
      </c>
      <c r="AA278" t="str">
        <f t="shared" si="103"/>
        <v>No Impact</v>
      </c>
      <c r="AB278">
        <f t="shared" si="104"/>
        <v>5.215554789316653E-2</v>
      </c>
      <c r="AC278">
        <f t="shared" si="96"/>
        <v>0.12244938618874696</v>
      </c>
      <c r="AD278" t="str">
        <f t="shared" si="105"/>
        <v>No Impact</v>
      </c>
      <c r="AE278">
        <f t="shared" si="106"/>
        <v>9.7845500041294393E-3</v>
      </c>
      <c r="AF278">
        <f t="shared" si="97"/>
        <v>5.3525791639912799E-2</v>
      </c>
      <c r="AG278" t="s">
        <v>1176</v>
      </c>
    </row>
    <row r="279" spans="1:33" x14ac:dyDescent="0.3">
      <c r="A279">
        <v>309328</v>
      </c>
      <c r="B279" t="s">
        <v>182</v>
      </c>
      <c r="C279" s="1" t="s">
        <v>817</v>
      </c>
      <c r="D279" t="s">
        <v>821</v>
      </c>
      <c r="E279" s="4">
        <v>5.9</v>
      </c>
      <c r="F279" s="3">
        <f t="shared" si="107"/>
        <v>0.60000000000000009</v>
      </c>
      <c r="G279">
        <v>42.757919999999999</v>
      </c>
      <c r="H279">
        <f t="shared" si="98"/>
        <v>0.40357732638346161</v>
      </c>
      <c r="I279">
        <v>142.30000000000001</v>
      </c>
      <c r="J279" s="3">
        <f t="shared" si="88"/>
        <v>0.44001236858379716</v>
      </c>
      <c r="K279">
        <v>0</v>
      </c>
      <c r="L279" s="3">
        <f t="shared" si="89"/>
        <v>0</v>
      </c>
      <c r="M279">
        <v>34950</v>
      </c>
      <c r="N279">
        <f t="shared" si="90"/>
        <v>0.16423235061721386</v>
      </c>
      <c r="O279" s="15">
        <v>0.59510824799999995</v>
      </c>
      <c r="P279">
        <f t="shared" si="91"/>
        <v>0.60668576408688069</v>
      </c>
      <c r="Q279">
        <v>0.36299999999999999</v>
      </c>
      <c r="R279">
        <f t="shared" si="92"/>
        <v>0.80469962314342713</v>
      </c>
      <c r="S279">
        <f t="shared" si="99"/>
        <v>0.1056139985621974</v>
      </c>
      <c r="T279" s="14">
        <f t="shared" si="93"/>
        <v>0.17718271362565086</v>
      </c>
      <c r="U279" t="str">
        <f t="shared" si="100"/>
        <v>Low</v>
      </c>
      <c r="V279">
        <f t="shared" si="101"/>
        <v>0.12043137984934026</v>
      </c>
      <c r="W279">
        <f t="shared" si="94"/>
        <v>0.16186570186221275</v>
      </c>
      <c r="X279" t="s">
        <v>1176</v>
      </c>
      <c r="Y279">
        <f t="shared" si="102"/>
        <v>9.0796617275054517E-2</v>
      </c>
      <c r="Z279">
        <f t="shared" si="95"/>
        <v>0.18192405397518693</v>
      </c>
      <c r="AA279" t="str">
        <f t="shared" si="103"/>
        <v>Low</v>
      </c>
      <c r="AB279">
        <f t="shared" si="104"/>
        <v>7.7992625333990734E-2</v>
      </c>
      <c r="AC279">
        <f t="shared" si="96"/>
        <v>0.18310897853011243</v>
      </c>
      <c r="AD279" t="str">
        <f t="shared" si="105"/>
        <v>Low</v>
      </c>
      <c r="AE279">
        <f t="shared" si="106"/>
        <v>2.4579020583443738E-2</v>
      </c>
      <c r="AF279">
        <f t="shared" si="97"/>
        <v>0.13445805212373599</v>
      </c>
      <c r="AG279" t="s">
        <v>1175</v>
      </c>
    </row>
    <row r="280" spans="1:33" x14ac:dyDescent="0.3">
      <c r="A280">
        <v>309338</v>
      </c>
      <c r="B280" t="s">
        <v>191</v>
      </c>
      <c r="C280" s="1" t="s">
        <v>817</v>
      </c>
      <c r="D280" t="s">
        <v>822</v>
      </c>
      <c r="E280" s="4">
        <v>5.9</v>
      </c>
      <c r="F280" s="3">
        <f t="shared" si="107"/>
        <v>0.60000000000000009</v>
      </c>
      <c r="G280">
        <v>39.828600000000002</v>
      </c>
      <c r="H280">
        <f t="shared" si="98"/>
        <v>0.37592848065566192</v>
      </c>
      <c r="I280">
        <v>143.6</v>
      </c>
      <c r="J280" s="3">
        <f t="shared" si="88"/>
        <v>0.44403215831787252</v>
      </c>
      <c r="K280">
        <v>0</v>
      </c>
      <c r="L280" s="3">
        <f t="shared" si="89"/>
        <v>0</v>
      </c>
      <c r="M280">
        <v>19705</v>
      </c>
      <c r="N280">
        <f t="shared" si="90"/>
        <v>9.2101839103301109E-2</v>
      </c>
      <c r="O280" s="15">
        <v>0.91572158599999998</v>
      </c>
      <c r="P280">
        <f t="shared" si="91"/>
        <v>0.93353646493782139</v>
      </c>
      <c r="Q280">
        <v>0.34639999999999999</v>
      </c>
      <c r="R280">
        <f t="shared" si="92"/>
        <v>0.76790068720904447</v>
      </c>
      <c r="S280">
        <f t="shared" si="99"/>
        <v>0.12208381067911937</v>
      </c>
      <c r="T280" s="14">
        <f t="shared" si="93"/>
        <v>0.20481319863244959</v>
      </c>
      <c r="U280" t="str">
        <f t="shared" si="100"/>
        <v>Low</v>
      </c>
      <c r="V280">
        <f t="shared" si="101"/>
        <v>0.11019888921468951</v>
      </c>
      <c r="W280">
        <f t="shared" si="94"/>
        <v>0.14811273083050755</v>
      </c>
      <c r="X280" t="s">
        <v>1176</v>
      </c>
      <c r="Y280">
        <f t="shared" si="102"/>
        <v>0.13396873214354924</v>
      </c>
      <c r="Z280">
        <f t="shared" si="95"/>
        <v>0.26842558223990598</v>
      </c>
      <c r="AA280" t="str">
        <f t="shared" si="103"/>
        <v>Low</v>
      </c>
      <c r="AB280">
        <f t="shared" si="104"/>
        <v>8.338626153402813E-2</v>
      </c>
      <c r="AC280">
        <f t="shared" si="96"/>
        <v>0.19577201187361831</v>
      </c>
      <c r="AD280" t="str">
        <f t="shared" si="105"/>
        <v>Low</v>
      </c>
      <c r="AE280">
        <f t="shared" si="106"/>
        <v>1.3217230473777203E-2</v>
      </c>
      <c r="AF280">
        <f t="shared" si="97"/>
        <v>7.2304063456932535E-2</v>
      </c>
      <c r="AG280" t="s">
        <v>1175</v>
      </c>
    </row>
    <row r="281" spans="1:33" x14ac:dyDescent="0.3">
      <c r="A281">
        <v>309347</v>
      </c>
      <c r="B281" t="s">
        <v>247</v>
      </c>
      <c r="C281" s="1" t="s">
        <v>817</v>
      </c>
      <c r="D281" t="s">
        <v>823</v>
      </c>
      <c r="E281" s="4">
        <v>5.9</v>
      </c>
      <c r="F281" s="3">
        <f t="shared" si="107"/>
        <v>0.60000000000000009</v>
      </c>
      <c r="G281">
        <v>43.863120000000002</v>
      </c>
      <c r="H281">
        <f t="shared" si="98"/>
        <v>0.41400892972429304</v>
      </c>
      <c r="I281">
        <v>139.6</v>
      </c>
      <c r="J281" s="3">
        <f t="shared" si="88"/>
        <v>0.4316635745207173</v>
      </c>
      <c r="K281">
        <v>0</v>
      </c>
      <c r="L281" s="3">
        <f t="shared" si="89"/>
        <v>0</v>
      </c>
      <c r="M281">
        <v>36750</v>
      </c>
      <c r="N281">
        <f t="shared" si="90"/>
        <v>0.17274890822462893</v>
      </c>
      <c r="O281" s="15">
        <v>0.74610422700000001</v>
      </c>
      <c r="P281">
        <f t="shared" si="91"/>
        <v>0.7606192899647839</v>
      </c>
      <c r="Q281">
        <v>0.31900000000000001</v>
      </c>
      <c r="R281">
        <f t="shared" si="92"/>
        <v>0.70716027488361788</v>
      </c>
      <c r="S281">
        <f t="shared" si="99"/>
        <v>0.11093608001994451</v>
      </c>
      <c r="T281" s="14">
        <f t="shared" si="93"/>
        <v>0.18611127279070377</v>
      </c>
      <c r="U281" t="str">
        <f t="shared" si="100"/>
        <v>Low</v>
      </c>
      <c r="V281">
        <f t="shared" si="101"/>
        <v>0.10689560029338274</v>
      </c>
      <c r="W281">
        <f t="shared" si="94"/>
        <v>0.14367294794028501</v>
      </c>
      <c r="X281" t="s">
        <v>1176</v>
      </c>
      <c r="Y281">
        <f t="shared" si="102"/>
        <v>0.11497655974650631</v>
      </c>
      <c r="Z281">
        <f t="shared" si="95"/>
        <v>0.23037203905779716</v>
      </c>
      <c r="AA281" t="str">
        <f t="shared" si="103"/>
        <v>Low</v>
      </c>
      <c r="AB281">
        <f t="shared" si="104"/>
        <v>8.1045988908655192E-2</v>
      </c>
      <c r="AC281">
        <f t="shared" si="96"/>
        <v>0.19027758303398207</v>
      </c>
      <c r="AD281" t="str">
        <f t="shared" si="105"/>
        <v>Low</v>
      </c>
      <c r="AE281">
        <f t="shared" si="106"/>
        <v>2.6113031091483864E-2</v>
      </c>
      <c r="AF281">
        <f t="shared" si="97"/>
        <v>0.14284976424050574</v>
      </c>
      <c r="AG281" t="s">
        <v>1175</v>
      </c>
    </row>
    <row r="282" spans="1:33" x14ac:dyDescent="0.3">
      <c r="A282">
        <v>309357</v>
      </c>
      <c r="B282" t="s">
        <v>311</v>
      </c>
      <c r="C282" s="1" t="s">
        <v>817</v>
      </c>
      <c r="D282" t="s">
        <v>824</v>
      </c>
      <c r="E282" s="4">
        <v>5.3</v>
      </c>
      <c r="F282" s="3">
        <f t="shared" si="107"/>
        <v>0.46666666666666656</v>
      </c>
      <c r="G282">
        <v>44.425080000000001</v>
      </c>
      <c r="H282">
        <f t="shared" si="98"/>
        <v>0.41931307722104805</v>
      </c>
      <c r="I282">
        <v>147</v>
      </c>
      <c r="J282" s="3">
        <f t="shared" si="88"/>
        <v>0.45454545454545447</v>
      </c>
      <c r="K282">
        <v>0</v>
      </c>
      <c r="L282" s="3">
        <f t="shared" si="89"/>
        <v>0</v>
      </c>
      <c r="M282">
        <v>40172</v>
      </c>
      <c r="N282">
        <f t="shared" si="90"/>
        <v>0.18893983052050362</v>
      </c>
      <c r="O282" s="15">
        <v>0.92065773399999995</v>
      </c>
      <c r="P282">
        <f t="shared" si="91"/>
        <v>0.93856864308539412</v>
      </c>
      <c r="Q282">
        <v>0.39479999999999998</v>
      </c>
      <c r="R282">
        <f t="shared" si="92"/>
        <v>0.87519397029483481</v>
      </c>
      <c r="S282">
        <f t="shared" si="99"/>
        <v>0.10945696146309748</v>
      </c>
      <c r="T282" s="14">
        <f t="shared" si="93"/>
        <v>0.18362983810170394</v>
      </c>
      <c r="U282" t="str">
        <f t="shared" si="100"/>
        <v>Low</v>
      </c>
      <c r="V282">
        <f t="shared" si="101"/>
        <v>0.10563242617595489</v>
      </c>
      <c r="W282">
        <f t="shared" si="94"/>
        <v>0.14197517975605076</v>
      </c>
      <c r="X282" t="s">
        <v>1176</v>
      </c>
      <c r="Y282">
        <f t="shared" si="102"/>
        <v>0.11328149675024009</v>
      </c>
      <c r="Z282">
        <f t="shared" si="95"/>
        <v>0.22697573706683299</v>
      </c>
      <c r="AA282" t="str">
        <f t="shared" si="103"/>
        <v>Low</v>
      </c>
      <c r="AB282">
        <f t="shared" si="104"/>
        <v>7.8937297924766697E-2</v>
      </c>
      <c r="AC282">
        <f t="shared" si="96"/>
        <v>0.18532685531527809</v>
      </c>
      <c r="AD282" t="str">
        <f t="shared" si="105"/>
        <v>Low</v>
      </c>
      <c r="AE282">
        <f t="shared" si="106"/>
        <v>2.280428496602991E-2</v>
      </c>
      <c r="AF282">
        <f t="shared" si="97"/>
        <v>0.12474946779093239</v>
      </c>
      <c r="AG282" t="s">
        <v>1175</v>
      </c>
    </row>
    <row r="283" spans="1:33" x14ac:dyDescent="0.3">
      <c r="A283">
        <v>309366</v>
      </c>
      <c r="B283" t="s">
        <v>338</v>
      </c>
      <c r="C283" s="1" t="s">
        <v>817</v>
      </c>
      <c r="D283" t="s">
        <v>825</v>
      </c>
      <c r="E283" s="4">
        <v>5.9</v>
      </c>
      <c r="F283" s="3">
        <f t="shared" si="107"/>
        <v>0.60000000000000009</v>
      </c>
      <c r="G283">
        <v>50.24736</v>
      </c>
      <c r="H283">
        <f t="shared" si="98"/>
        <v>0.47426757912048328</v>
      </c>
      <c r="I283">
        <v>142.69999999999999</v>
      </c>
      <c r="J283" s="3">
        <f t="shared" si="88"/>
        <v>0.4412492269635126</v>
      </c>
      <c r="K283">
        <v>0</v>
      </c>
      <c r="L283" s="3">
        <f t="shared" si="89"/>
        <v>0</v>
      </c>
      <c r="M283">
        <v>80305</v>
      </c>
      <c r="N283">
        <f t="shared" si="90"/>
        <v>0.37882594521960888</v>
      </c>
      <c r="O283" s="15">
        <v>0.87243545700000003</v>
      </c>
      <c r="P283">
        <f t="shared" si="91"/>
        <v>0.88940822720126711</v>
      </c>
      <c r="Q283">
        <v>0.31480000000000002</v>
      </c>
      <c r="R283">
        <f t="shared" si="92"/>
        <v>0.69784970073154518</v>
      </c>
      <c r="S283">
        <f t="shared" si="99"/>
        <v>0.1323567770119824</v>
      </c>
      <c r="T283" s="14">
        <f t="shared" si="93"/>
        <v>0.222047581163376</v>
      </c>
      <c r="U283" t="str">
        <f t="shared" si="100"/>
        <v>Low</v>
      </c>
      <c r="V283">
        <f t="shared" si="101"/>
        <v>0.11638327407555848</v>
      </c>
      <c r="W283">
        <f t="shared" si="94"/>
        <v>0.15642484846415836</v>
      </c>
      <c r="X283" t="s">
        <v>1176</v>
      </c>
      <c r="Y283">
        <f t="shared" si="102"/>
        <v>0.14833027994840631</v>
      </c>
      <c r="Z283">
        <f t="shared" si="95"/>
        <v>0.29720100445748965</v>
      </c>
      <c r="AA283" t="str">
        <f t="shared" si="103"/>
        <v>Low</v>
      </c>
      <c r="AB283">
        <f t="shared" si="104"/>
        <v>0.10734565801278204</v>
      </c>
      <c r="AC283">
        <f t="shared" si="96"/>
        <v>0.25202323558400391</v>
      </c>
      <c r="AD283" t="str">
        <f t="shared" si="105"/>
        <v>Low</v>
      </c>
      <c r="AE283">
        <f t="shared" si="106"/>
        <v>6.3178366005184797E-2</v>
      </c>
      <c r="AF283">
        <f t="shared" si="97"/>
        <v>0.34561344706874425</v>
      </c>
      <c r="AG283" t="str">
        <f t="shared" ref="AG283:AG321" si="108">IF(AF283&gt;0.7,"High",IF(AF283&gt;0.3,"Moderate",IF(AF283&gt;0.15,"Low","No Impact")))</f>
        <v>Moderate</v>
      </c>
    </row>
    <row r="284" spans="1:33" x14ac:dyDescent="0.3">
      <c r="A284">
        <v>309376</v>
      </c>
      <c r="B284" t="s">
        <v>360</v>
      </c>
      <c r="C284" s="1" t="s">
        <v>817</v>
      </c>
      <c r="D284" t="s">
        <v>826</v>
      </c>
      <c r="E284" s="4">
        <v>5.2</v>
      </c>
      <c r="F284" s="3">
        <f t="shared" si="107"/>
        <v>0.44444444444444442</v>
      </c>
      <c r="G284">
        <v>47.349359999999997</v>
      </c>
      <c r="H284">
        <f t="shared" si="98"/>
        <v>0.44691435211928038</v>
      </c>
      <c r="I284">
        <v>160.20000000000002</v>
      </c>
      <c r="J284" s="3">
        <f t="shared" si="88"/>
        <v>0.49536178107606677</v>
      </c>
      <c r="K284">
        <v>0</v>
      </c>
      <c r="L284" s="3">
        <f t="shared" si="89"/>
        <v>0</v>
      </c>
      <c r="M284">
        <v>29372</v>
      </c>
      <c r="N284">
        <f t="shared" si="90"/>
        <v>0.13784048487601311</v>
      </c>
      <c r="O284" s="15">
        <v>0.54487756300000001</v>
      </c>
      <c r="P284">
        <f t="shared" si="91"/>
        <v>0.55547786768778329</v>
      </c>
      <c r="Q284">
        <v>0.28660000000000002</v>
      </c>
      <c r="R284">
        <f t="shared" si="92"/>
        <v>0.63533584571048551</v>
      </c>
      <c r="S284">
        <f t="shared" si="99"/>
        <v>7.3522981352669103E-2</v>
      </c>
      <c r="T284" s="14">
        <f t="shared" si="93"/>
        <v>0.12334540427651997</v>
      </c>
      <c r="U284" t="str">
        <f t="shared" si="100"/>
        <v>No Impact</v>
      </c>
      <c r="V284">
        <f t="shared" si="101"/>
        <v>7.8453556608029204E-2</v>
      </c>
      <c r="W284">
        <f t="shared" si="94"/>
        <v>0.10544544137775277</v>
      </c>
      <c r="X284" t="s">
        <v>1176</v>
      </c>
      <c r="Y284">
        <f t="shared" si="102"/>
        <v>6.8592406097308989E-2</v>
      </c>
      <c r="Z284">
        <f t="shared" si="95"/>
        <v>0.13743473009939058</v>
      </c>
      <c r="AA284" t="str">
        <f t="shared" si="103"/>
        <v>No Impact</v>
      </c>
      <c r="AB284">
        <f t="shared" si="104"/>
        <v>5.3993830333409078E-2</v>
      </c>
      <c r="AC284">
        <f t="shared" si="96"/>
        <v>0.12676525603466118</v>
      </c>
      <c r="AD284" t="str">
        <f t="shared" si="105"/>
        <v>No Impact</v>
      </c>
      <c r="AE284">
        <f t="shared" si="106"/>
        <v>1.7021039118303306E-2</v>
      </c>
      <c r="AF284">
        <f t="shared" si="97"/>
        <v>9.3112569607861892E-2</v>
      </c>
      <c r="AG284" t="s">
        <v>1175</v>
      </c>
    </row>
    <row r="285" spans="1:33" x14ac:dyDescent="0.3">
      <c r="A285">
        <v>309385</v>
      </c>
      <c r="B285" t="s">
        <v>454</v>
      </c>
      <c r="C285" s="1" t="s">
        <v>817</v>
      </c>
      <c r="D285" t="s">
        <v>1142</v>
      </c>
      <c r="E285" s="4">
        <v>5.9</v>
      </c>
      <c r="F285" s="3">
        <f t="shared" si="107"/>
        <v>0.60000000000000009</v>
      </c>
      <c r="G285">
        <v>51.118200000000002</v>
      </c>
      <c r="H285">
        <f t="shared" si="98"/>
        <v>0.48248713888643485</v>
      </c>
      <c r="I285">
        <v>117.19999999999999</v>
      </c>
      <c r="J285" s="3">
        <f t="shared" si="88"/>
        <v>0.36239950525664805</v>
      </c>
      <c r="K285">
        <v>0</v>
      </c>
      <c r="L285" s="3">
        <f t="shared" si="89"/>
        <v>0</v>
      </c>
      <c r="M285">
        <v>55940</v>
      </c>
      <c r="N285">
        <f t="shared" si="90"/>
        <v>0.26354487516145975</v>
      </c>
      <c r="O285" s="15">
        <v>0.61695330699999995</v>
      </c>
      <c r="P285">
        <f t="shared" si="91"/>
        <v>0.62895580715127797</v>
      </c>
      <c r="Q285">
        <v>0.37419999999999998</v>
      </c>
      <c r="R285">
        <f t="shared" si="92"/>
        <v>0.82952782088228771</v>
      </c>
      <c r="S285">
        <f t="shared" si="99"/>
        <v>0.11615717584977184</v>
      </c>
      <c r="T285" s="14">
        <f t="shared" si="93"/>
        <v>0.1948704140013604</v>
      </c>
      <c r="U285" t="str">
        <f t="shared" si="100"/>
        <v>Low</v>
      </c>
      <c r="V285">
        <f t="shared" si="101"/>
        <v>0.13213121780793058</v>
      </c>
      <c r="W285">
        <f t="shared" si="94"/>
        <v>0.17759085991662124</v>
      </c>
      <c r="X285" t="s">
        <v>1175</v>
      </c>
      <c r="Y285">
        <f t="shared" si="102"/>
        <v>0.10018313389161311</v>
      </c>
      <c r="Z285">
        <f t="shared" si="95"/>
        <v>0.2007312871831905</v>
      </c>
      <c r="AA285" t="str">
        <f t="shared" si="103"/>
        <v>Low</v>
      </c>
      <c r="AB285">
        <f t="shared" si="104"/>
        <v>9.0993413833786202E-2</v>
      </c>
      <c r="AC285">
        <f t="shared" si="96"/>
        <v>0.2136318785105813</v>
      </c>
      <c r="AD285" t="str">
        <f t="shared" si="105"/>
        <v>Low</v>
      </c>
      <c r="AE285">
        <f t="shared" si="106"/>
        <v>4.197870695293307E-2</v>
      </c>
      <c r="AF285">
        <f t="shared" si="97"/>
        <v>0.22964198871970212</v>
      </c>
      <c r="AG285" t="s">
        <v>1175</v>
      </c>
    </row>
    <row r="286" spans="1:33" x14ac:dyDescent="0.3">
      <c r="A286">
        <v>309395</v>
      </c>
      <c r="B286" t="s">
        <v>510</v>
      </c>
      <c r="C286" s="1" t="s">
        <v>817</v>
      </c>
      <c r="D286" t="s">
        <v>827</v>
      </c>
      <c r="E286" s="4">
        <v>5.9</v>
      </c>
      <c r="F286" s="3">
        <f t="shared" si="107"/>
        <v>0.60000000000000009</v>
      </c>
      <c r="G286">
        <v>44.438400000000001</v>
      </c>
      <c r="H286">
        <f t="shared" si="98"/>
        <v>0.41943880012776164</v>
      </c>
      <c r="I286">
        <v>156.20000000000002</v>
      </c>
      <c r="J286" s="3">
        <f t="shared" si="88"/>
        <v>0.48299319727891155</v>
      </c>
      <c r="K286">
        <v>0</v>
      </c>
      <c r="L286" s="3">
        <f t="shared" si="89"/>
        <v>0</v>
      </c>
      <c r="M286">
        <v>51021</v>
      </c>
      <c r="N286">
        <f t="shared" si="90"/>
        <v>0.24027101578875151</v>
      </c>
      <c r="O286" s="15">
        <v>0.66314428800000003</v>
      </c>
      <c r="P286">
        <f t="shared" si="91"/>
        <v>0.67604540924650491</v>
      </c>
      <c r="Q286">
        <v>0.29170000000000001</v>
      </c>
      <c r="R286">
        <f t="shared" si="92"/>
        <v>0.64664154289514519</v>
      </c>
      <c r="S286">
        <f t="shared" si="99"/>
        <v>0.10490527537895243</v>
      </c>
      <c r="T286" s="14">
        <f t="shared" si="93"/>
        <v>0.17599372827781554</v>
      </c>
      <c r="U286" t="str">
        <f t="shared" si="100"/>
        <v>Low</v>
      </c>
      <c r="V286">
        <f t="shared" si="101"/>
        <v>0.10257318864308437</v>
      </c>
      <c r="W286">
        <f t="shared" si="94"/>
        <v>0.13786341394351262</v>
      </c>
      <c r="X286" t="s">
        <v>1176</v>
      </c>
      <c r="Y286">
        <f t="shared" si="102"/>
        <v>0.10723736211482052</v>
      </c>
      <c r="Z286">
        <f t="shared" si="95"/>
        <v>0.21486544586164003</v>
      </c>
      <c r="AA286" t="str">
        <f t="shared" si="103"/>
        <v>Low</v>
      </c>
      <c r="AB286">
        <f t="shared" si="104"/>
        <v>8.1411328708659275E-2</v>
      </c>
      <c r="AC286">
        <f t="shared" si="96"/>
        <v>0.19113531794556721</v>
      </c>
      <c r="AD286" t="str">
        <f t="shared" si="105"/>
        <v>Low</v>
      </c>
      <c r="AE286">
        <f t="shared" si="106"/>
        <v>3.8112868711810299E-2</v>
      </c>
      <c r="AF286">
        <f t="shared" si="97"/>
        <v>0.20849415339558242</v>
      </c>
      <c r="AG286" t="s">
        <v>1175</v>
      </c>
    </row>
    <row r="287" spans="1:33" x14ac:dyDescent="0.3">
      <c r="A287">
        <v>400108</v>
      </c>
      <c r="B287" t="s">
        <v>25</v>
      </c>
      <c r="C287" s="1" t="s">
        <v>829</v>
      </c>
      <c r="D287" t="s">
        <v>828</v>
      </c>
      <c r="E287" s="4">
        <v>6.9</v>
      </c>
      <c r="F287" s="3">
        <f t="shared" si="107"/>
        <v>0.8222222222222223</v>
      </c>
      <c r="G287">
        <v>67.626720000000006</v>
      </c>
      <c r="H287">
        <f t="shared" si="98"/>
        <v>0.63830539113415652</v>
      </c>
      <c r="I287">
        <v>317.90000000000003</v>
      </c>
      <c r="J287" s="3">
        <f t="shared" si="88"/>
        <v>0.98299319727891155</v>
      </c>
      <c r="K287">
        <v>0</v>
      </c>
      <c r="L287" s="3">
        <f t="shared" si="89"/>
        <v>0</v>
      </c>
      <c r="M287">
        <v>24641</v>
      </c>
      <c r="N287">
        <f t="shared" si="90"/>
        <v>0.11545613263119048</v>
      </c>
      <c r="O287" s="15">
        <v>0.79242037099999996</v>
      </c>
      <c r="P287">
        <f t="shared" si="91"/>
        <v>0.80783649003995073</v>
      </c>
      <c r="Q287">
        <v>0.2369</v>
      </c>
      <c r="R287">
        <f t="shared" si="92"/>
        <v>0.52516071824429178</v>
      </c>
      <c r="S287">
        <f t="shared" si="99"/>
        <v>0.24765709882862968</v>
      </c>
      <c r="T287" s="14">
        <f t="shared" si="93"/>
        <v>0.41548049895365713</v>
      </c>
      <c r="U287" t="str">
        <f t="shared" si="100"/>
        <v>Moderate</v>
      </c>
      <c r="V287">
        <f t="shared" si="101"/>
        <v>0.19513886314367637</v>
      </c>
      <c r="W287">
        <f t="shared" si="94"/>
        <v>0.26227623633358621</v>
      </c>
      <c r="X287" t="s">
        <v>1175</v>
      </c>
      <c r="Y287">
        <f t="shared" si="102"/>
        <v>0.30017533451358308</v>
      </c>
      <c r="Z287">
        <f t="shared" si="95"/>
        <v>0.60144436430532311</v>
      </c>
      <c r="AA287" t="str">
        <f t="shared" si="103"/>
        <v>Moderate</v>
      </c>
      <c r="AB287">
        <f t="shared" si="104"/>
        <v>0.17336659143657313</v>
      </c>
      <c r="AC287">
        <f t="shared" si="96"/>
        <v>0.40702539930224851</v>
      </c>
      <c r="AD287" t="str">
        <f t="shared" si="105"/>
        <v>Moderate</v>
      </c>
      <c r="AE287">
        <f t="shared" si="106"/>
        <v>4.2901111377747103E-2</v>
      </c>
      <c r="AF287">
        <f t="shared" si="97"/>
        <v>0.23468794658485614</v>
      </c>
      <c r="AG287" t="s">
        <v>1175</v>
      </c>
    </row>
    <row r="288" spans="1:33" x14ac:dyDescent="0.3">
      <c r="A288">
        <v>400114</v>
      </c>
      <c r="B288" t="s">
        <v>112</v>
      </c>
      <c r="C288" s="1" t="s">
        <v>829</v>
      </c>
      <c r="D288" t="s">
        <v>830</v>
      </c>
      <c r="E288" s="4">
        <v>6.8</v>
      </c>
      <c r="F288" s="3">
        <f t="shared" si="107"/>
        <v>0.79999999999999993</v>
      </c>
      <c r="G288">
        <v>64.518480000000011</v>
      </c>
      <c r="H288">
        <f t="shared" si="98"/>
        <v>0.60896778095671744</v>
      </c>
      <c r="I288">
        <v>319</v>
      </c>
      <c r="J288" s="3">
        <f t="shared" si="88"/>
        <v>0.98639455782312913</v>
      </c>
      <c r="K288">
        <v>0</v>
      </c>
      <c r="L288" s="3">
        <f t="shared" si="89"/>
        <v>0</v>
      </c>
      <c r="M288">
        <v>9991</v>
      </c>
      <c r="N288">
        <f t="shared" si="90"/>
        <v>4.6140816548617715E-2</v>
      </c>
      <c r="O288" s="15">
        <v>0.70319240100000002</v>
      </c>
      <c r="P288">
        <f t="shared" si="91"/>
        <v>0.71687263709504712</v>
      </c>
      <c r="Q288">
        <v>0.2374</v>
      </c>
      <c r="R288">
        <f t="shared" si="92"/>
        <v>0.52626911992906233</v>
      </c>
      <c r="S288">
        <f t="shared" si="99"/>
        <v>0.21922358544883822</v>
      </c>
      <c r="T288" s="14">
        <f t="shared" si="93"/>
        <v>0.36777917974287272</v>
      </c>
      <c r="U288" t="str">
        <f t="shared" si="100"/>
        <v>Moderate</v>
      </c>
      <c r="V288">
        <f t="shared" si="101"/>
        <v>0.18561133954350179</v>
      </c>
      <c r="W288">
        <f t="shared" si="94"/>
        <v>0.2494707756930096</v>
      </c>
      <c r="X288" t="s">
        <v>1175</v>
      </c>
      <c r="Y288">
        <f t="shared" si="102"/>
        <v>0.25283583135417464</v>
      </c>
      <c r="Z288">
        <f t="shared" si="95"/>
        <v>0.50659287549003584</v>
      </c>
      <c r="AA288" t="str">
        <f t="shared" si="103"/>
        <v>Moderate</v>
      </c>
      <c r="AB288">
        <f t="shared" si="104"/>
        <v>0.14651045537985002</v>
      </c>
      <c r="AC288">
        <f t="shared" si="96"/>
        <v>0.34397328867571852</v>
      </c>
      <c r="AD288" t="str">
        <f t="shared" si="105"/>
        <v>Moderate</v>
      </c>
      <c r="AE288">
        <f t="shared" si="106"/>
        <v>1.6273534666777174E-2</v>
      </c>
      <c r="AF288">
        <f t="shared" si="97"/>
        <v>8.9023391515317116E-2</v>
      </c>
      <c r="AG288" t="s">
        <v>1175</v>
      </c>
    </row>
    <row r="289" spans="1:33" x14ac:dyDescent="0.3">
      <c r="A289">
        <v>400134</v>
      </c>
      <c r="B289" t="s">
        <v>161</v>
      </c>
      <c r="C289" s="1" t="s">
        <v>829</v>
      </c>
      <c r="D289" t="s">
        <v>831</v>
      </c>
      <c r="E289" s="4">
        <v>6.9</v>
      </c>
      <c r="F289" s="3">
        <f t="shared" si="107"/>
        <v>0.8222222222222223</v>
      </c>
      <c r="G289">
        <v>65.988</v>
      </c>
      <c r="H289">
        <f t="shared" si="98"/>
        <v>0.62283807569198568</v>
      </c>
      <c r="I289">
        <v>321.79999999999995</v>
      </c>
      <c r="J289" s="3">
        <f t="shared" si="88"/>
        <v>0.99505256648113771</v>
      </c>
      <c r="K289">
        <v>0</v>
      </c>
      <c r="L289" s="3">
        <f t="shared" si="89"/>
        <v>0</v>
      </c>
      <c r="M289">
        <v>15140</v>
      </c>
      <c r="N289">
        <f t="shared" si="90"/>
        <v>7.0502902726717859E-2</v>
      </c>
      <c r="O289" s="15">
        <v>0.82050649799999997</v>
      </c>
      <c r="P289">
        <f t="shared" si="91"/>
        <v>0.83646901778007399</v>
      </c>
      <c r="Q289">
        <v>0.32829999999999998</v>
      </c>
      <c r="R289">
        <f t="shared" si="92"/>
        <v>0.72777654622035026</v>
      </c>
      <c r="S289">
        <f t="shared" si="99"/>
        <v>0.28819299646846147</v>
      </c>
      <c r="T289" s="14">
        <f t="shared" si="93"/>
        <v>0.48348531309623777</v>
      </c>
      <c r="U289" t="str">
        <f t="shared" si="100"/>
        <v>Moderate</v>
      </c>
      <c r="V289">
        <f t="shared" si="101"/>
        <v>0.26816774609009353</v>
      </c>
      <c r="W289">
        <f t="shared" si="94"/>
        <v>0.3604306493206591</v>
      </c>
      <c r="X289" t="str">
        <f t="shared" ref="X289:X321" si="109">IF(W289&gt;0.7,"High",IF(W289&gt;0.3,"Moderate",IF(W289&gt;0.15,"Low","No Impact")))</f>
        <v>Moderate</v>
      </c>
      <c r="Y289">
        <f t="shared" si="102"/>
        <v>0.30821824684682936</v>
      </c>
      <c r="Z289">
        <f t="shared" si="95"/>
        <v>0.61755949349563921</v>
      </c>
      <c r="AA289" t="str">
        <f t="shared" si="103"/>
        <v>Moderate</v>
      </c>
      <c r="AB289">
        <f t="shared" si="104"/>
        <v>0.19541668976728044</v>
      </c>
      <c r="AC289">
        <f t="shared" si="96"/>
        <v>0.45879402440666212</v>
      </c>
      <c r="AD289" t="str">
        <f t="shared" si="105"/>
        <v>Moderate</v>
      </c>
      <c r="AE289">
        <f t="shared" si="106"/>
        <v>2.5978584519139824E-2</v>
      </c>
      <c r="AF289">
        <f t="shared" si="97"/>
        <v>0.14211428236193693</v>
      </c>
      <c r="AG289" t="s">
        <v>1175</v>
      </c>
    </row>
    <row r="290" spans="1:33" x14ac:dyDescent="0.3">
      <c r="A290">
        <v>400138</v>
      </c>
      <c r="B290" t="s">
        <v>232</v>
      </c>
      <c r="C290" s="1" t="s">
        <v>829</v>
      </c>
      <c r="D290" t="s">
        <v>1124</v>
      </c>
      <c r="E290" s="4">
        <v>6.9</v>
      </c>
      <c r="F290" s="3">
        <f t="shared" si="107"/>
        <v>0.8222222222222223</v>
      </c>
      <c r="G290">
        <v>67.626720000000006</v>
      </c>
      <c r="H290">
        <f t="shared" si="98"/>
        <v>0.63830539113415652</v>
      </c>
      <c r="I290">
        <v>317.40000000000003</v>
      </c>
      <c r="J290" s="3">
        <f t="shared" si="88"/>
        <v>0.98144712430426717</v>
      </c>
      <c r="K290">
        <v>0</v>
      </c>
      <c r="L290" s="3">
        <f t="shared" si="89"/>
        <v>0</v>
      </c>
      <c r="M290">
        <v>6938</v>
      </c>
      <c r="N290">
        <f t="shared" si="90"/>
        <v>3.1695788562263134E-2</v>
      </c>
      <c r="O290" s="15">
        <v>0.90067538899999999</v>
      </c>
      <c r="P290">
        <f t="shared" si="91"/>
        <v>0.91819755213628562</v>
      </c>
      <c r="Q290">
        <v>0.31719999999999998</v>
      </c>
      <c r="R290">
        <f t="shared" si="92"/>
        <v>0.70317002881844382</v>
      </c>
      <c r="S290">
        <f t="shared" si="99"/>
        <v>0.30102722170779012</v>
      </c>
      <c r="T290" s="14">
        <f t="shared" si="93"/>
        <v>0.50501657681264633</v>
      </c>
      <c r="U290" t="str">
        <f t="shared" si="100"/>
        <v>Moderate</v>
      </c>
      <c r="V290">
        <f t="shared" si="101"/>
        <v>0.26110466577697417</v>
      </c>
      <c r="W290">
        <f t="shared" si="94"/>
        <v>0.35093752175189358</v>
      </c>
      <c r="X290" t="str">
        <f t="shared" si="109"/>
        <v>Moderate</v>
      </c>
      <c r="Y290">
        <f t="shared" si="102"/>
        <v>0.34094977763860612</v>
      </c>
      <c r="Z290">
        <f t="shared" si="95"/>
        <v>0.68314181311460676</v>
      </c>
      <c r="AA290" t="str">
        <f t="shared" si="103"/>
        <v>Moderate</v>
      </c>
      <c r="AB290">
        <f t="shared" si="104"/>
        <v>0.19779087071924067</v>
      </c>
      <c r="AC290">
        <f t="shared" si="96"/>
        <v>0.46436806229931427</v>
      </c>
      <c r="AD290" t="str">
        <f t="shared" si="105"/>
        <v>Moderate</v>
      </c>
      <c r="AE290">
        <f t="shared" si="106"/>
        <v>1.1769441159193903E-2</v>
      </c>
      <c r="AF290">
        <f t="shared" si="97"/>
        <v>6.4384019187326627E-2</v>
      </c>
      <c r="AG290" t="s">
        <v>1175</v>
      </c>
    </row>
    <row r="291" spans="1:33" x14ac:dyDescent="0.3">
      <c r="A291">
        <v>400156</v>
      </c>
      <c r="B291" t="s">
        <v>345</v>
      </c>
      <c r="C291" s="1" t="s">
        <v>829</v>
      </c>
      <c r="D291" t="s">
        <v>832</v>
      </c>
      <c r="E291" s="4">
        <v>6.9</v>
      </c>
      <c r="F291" s="3">
        <f t="shared" si="107"/>
        <v>0.8222222222222223</v>
      </c>
      <c r="G291">
        <v>62.418240000000004</v>
      </c>
      <c r="H291">
        <f t="shared" si="98"/>
        <v>0.58914433669274002</v>
      </c>
      <c r="I291">
        <v>323.40000000000003</v>
      </c>
      <c r="J291" s="3">
        <f t="shared" si="88"/>
        <v>1</v>
      </c>
      <c r="K291">
        <v>0</v>
      </c>
      <c r="L291" s="3">
        <f t="shared" si="89"/>
        <v>0</v>
      </c>
      <c r="M291">
        <v>11647</v>
      </c>
      <c r="N291">
        <f t="shared" si="90"/>
        <v>5.3976049547439592E-2</v>
      </c>
      <c r="O291" s="15">
        <v>0.90006118000000002</v>
      </c>
      <c r="P291">
        <f t="shared" si="91"/>
        <v>0.91757139402517496</v>
      </c>
      <c r="Q291">
        <v>0.25569999999999998</v>
      </c>
      <c r="R291">
        <f t="shared" si="92"/>
        <v>0.56683662159166481</v>
      </c>
      <c r="S291">
        <f t="shared" si="99"/>
        <v>0.26586302040606408</v>
      </c>
      <c r="T291" s="14">
        <f t="shared" si="93"/>
        <v>0.44602355795209014</v>
      </c>
      <c r="U291" t="str">
        <f t="shared" si="100"/>
        <v>Moderate</v>
      </c>
      <c r="V291">
        <f t="shared" si="101"/>
        <v>0.20304511254003982</v>
      </c>
      <c r="W291">
        <f t="shared" si="94"/>
        <v>0.27290262464899895</v>
      </c>
      <c r="X291" t="s">
        <v>1175</v>
      </c>
      <c r="Y291">
        <f t="shared" si="102"/>
        <v>0.32868092827208828</v>
      </c>
      <c r="Z291">
        <f t="shared" si="95"/>
        <v>0.6585594125654064</v>
      </c>
      <c r="AA291" t="str">
        <f t="shared" si="103"/>
        <v>Moderate</v>
      </c>
      <c r="AB291">
        <f t="shared" si="104"/>
        <v>0.17643718633666036</v>
      </c>
      <c r="AC291">
        <f t="shared" si="96"/>
        <v>0.41423445904638445</v>
      </c>
      <c r="AD291" t="str">
        <f t="shared" si="105"/>
        <v>Moderate</v>
      </c>
      <c r="AE291">
        <f t="shared" si="106"/>
        <v>1.9334624188628455E-2</v>
      </c>
      <c r="AF291">
        <f t="shared" si="97"/>
        <v>0.1057688974270435</v>
      </c>
      <c r="AG291" t="s">
        <v>1175</v>
      </c>
    </row>
    <row r="292" spans="1:33" x14ac:dyDescent="0.3">
      <c r="A292">
        <v>400158</v>
      </c>
      <c r="B292" t="s">
        <v>346</v>
      </c>
      <c r="C292" s="1" t="s">
        <v>829</v>
      </c>
      <c r="D292" t="s">
        <v>833</v>
      </c>
      <c r="E292" s="4">
        <v>6.9</v>
      </c>
      <c r="F292" s="3">
        <f t="shared" si="107"/>
        <v>0.8222222222222223</v>
      </c>
      <c r="G292">
        <v>70.081199999999995</v>
      </c>
      <c r="H292">
        <f t="shared" si="98"/>
        <v>0.66147238513343609</v>
      </c>
      <c r="I292">
        <v>188.6</v>
      </c>
      <c r="J292" s="3">
        <f t="shared" si="88"/>
        <v>0.58317872603586884</v>
      </c>
      <c r="K292">
        <v>0</v>
      </c>
      <c r="L292" s="3">
        <f t="shared" si="89"/>
        <v>0</v>
      </c>
      <c r="M292">
        <v>34915</v>
      </c>
      <c r="N292">
        <f t="shared" si="90"/>
        <v>0.16406675088595857</v>
      </c>
      <c r="O292" s="15">
        <v>0.90301899299999999</v>
      </c>
      <c r="P292">
        <f t="shared" si="91"/>
        <v>0.92058674971208032</v>
      </c>
      <c r="Q292">
        <v>0.42920000000000003</v>
      </c>
      <c r="R292">
        <f t="shared" si="92"/>
        <v>0.95145200620704951</v>
      </c>
      <c r="S292">
        <f t="shared" si="99"/>
        <v>0.29339660259984851</v>
      </c>
      <c r="T292" s="14">
        <f t="shared" si="93"/>
        <v>0.49221511281549807</v>
      </c>
      <c r="U292" t="str">
        <f t="shared" si="100"/>
        <v>Moderate</v>
      </c>
      <c r="V292">
        <f t="shared" si="101"/>
        <v>0.29823398182897171</v>
      </c>
      <c r="W292">
        <f t="shared" si="94"/>
        <v>0.40084114994197967</v>
      </c>
      <c r="X292" t="str">
        <f t="shared" si="109"/>
        <v>Moderate</v>
      </c>
      <c r="Y292">
        <f t="shared" si="102"/>
        <v>0.28855922337072532</v>
      </c>
      <c r="Z292">
        <f t="shared" si="95"/>
        <v>0.5781698184691797</v>
      </c>
      <c r="AA292" t="str">
        <f t="shared" si="103"/>
        <v>Moderate</v>
      </c>
      <c r="AB292">
        <f t="shared" si="104"/>
        <v>0.20894909523044117</v>
      </c>
      <c r="AC292">
        <f t="shared" si="96"/>
        <v>0.49056504033032733</v>
      </c>
      <c r="AD292" t="str">
        <f t="shared" si="105"/>
        <v>Moderate</v>
      </c>
      <c r="AE292">
        <f t="shared" si="106"/>
        <v>5.1426955940238439E-2</v>
      </c>
      <c r="AF292">
        <f t="shared" si="97"/>
        <v>0.28132806589679149</v>
      </c>
      <c r="AG292" t="s">
        <v>1175</v>
      </c>
    </row>
    <row r="293" spans="1:33" x14ac:dyDescent="0.3">
      <c r="A293">
        <v>400160</v>
      </c>
      <c r="B293" t="s">
        <v>347</v>
      </c>
      <c r="C293" s="1" t="s">
        <v>829</v>
      </c>
      <c r="D293" t="s">
        <v>834</v>
      </c>
      <c r="E293" s="4">
        <v>6.9</v>
      </c>
      <c r="F293" s="3">
        <f t="shared" si="107"/>
        <v>0.8222222222222223</v>
      </c>
      <c r="G293">
        <v>67.626720000000006</v>
      </c>
      <c r="H293">
        <f t="shared" si="98"/>
        <v>0.63830539113415652</v>
      </c>
      <c r="I293">
        <v>237.5</v>
      </c>
      <c r="J293" s="3">
        <f t="shared" si="88"/>
        <v>0.73438466295609151</v>
      </c>
      <c r="K293">
        <v>0</v>
      </c>
      <c r="L293" s="3">
        <f t="shared" si="89"/>
        <v>0</v>
      </c>
      <c r="M293">
        <v>36030</v>
      </c>
      <c r="N293">
        <f t="shared" si="90"/>
        <v>0.16934228518166292</v>
      </c>
      <c r="O293" s="15">
        <v>0.85261157200000004</v>
      </c>
      <c r="P293">
        <f t="shared" si="91"/>
        <v>0.86919867900761572</v>
      </c>
      <c r="Q293">
        <v>0.30599999999999999</v>
      </c>
      <c r="R293">
        <f t="shared" si="92"/>
        <v>0.67834183107958324</v>
      </c>
      <c r="S293">
        <f t="shared" si="99"/>
        <v>0.25588352429370564</v>
      </c>
      <c r="T293" s="14">
        <f t="shared" si="93"/>
        <v>0.42928151403863118</v>
      </c>
      <c r="U293" t="str">
        <f t="shared" si="100"/>
        <v>Moderate</v>
      </c>
      <c r="V293">
        <f t="shared" si="101"/>
        <v>0.22432562802857914</v>
      </c>
      <c r="W293">
        <f t="shared" si="94"/>
        <v>0.30150468484171022</v>
      </c>
      <c r="X293" t="str">
        <f t="shared" si="109"/>
        <v>Moderate</v>
      </c>
      <c r="Y293">
        <f t="shared" si="102"/>
        <v>0.28744142055883215</v>
      </c>
      <c r="Z293">
        <f t="shared" si="95"/>
        <v>0.57593014010684118</v>
      </c>
      <c r="AA293" t="str">
        <f t="shared" si="103"/>
        <v>Moderate</v>
      </c>
      <c r="AB293">
        <f t="shared" si="104"/>
        <v>0.18434674267181056</v>
      </c>
      <c r="AC293">
        <f t="shared" si="96"/>
        <v>0.43280430170719469</v>
      </c>
      <c r="AD293" t="str">
        <f t="shared" si="105"/>
        <v>Moderate</v>
      </c>
      <c r="AE293">
        <f t="shared" si="106"/>
        <v>5.6000990554737798E-2</v>
      </c>
      <c r="AF293">
        <f t="shared" si="97"/>
        <v>0.30635004683879852</v>
      </c>
      <c r="AG293" t="str">
        <f t="shared" si="108"/>
        <v>Moderate</v>
      </c>
    </row>
    <row r="294" spans="1:33" x14ac:dyDescent="0.3">
      <c r="A294">
        <v>400173</v>
      </c>
      <c r="B294" t="s">
        <v>432</v>
      </c>
      <c r="C294" s="1" t="s">
        <v>829</v>
      </c>
      <c r="D294" t="s">
        <v>835</v>
      </c>
      <c r="E294" s="4">
        <v>6.8</v>
      </c>
      <c r="F294" s="3">
        <f t="shared" si="107"/>
        <v>0.79999999999999993</v>
      </c>
      <c r="G294">
        <v>70.081199999999995</v>
      </c>
      <c r="H294">
        <f t="shared" si="98"/>
        <v>0.66147238513343609</v>
      </c>
      <c r="I294">
        <v>196</v>
      </c>
      <c r="J294" s="3">
        <f t="shared" si="88"/>
        <v>0.60606060606060597</v>
      </c>
      <c r="K294">
        <v>0</v>
      </c>
      <c r="L294" s="3">
        <f t="shared" si="89"/>
        <v>0</v>
      </c>
      <c r="M294">
        <v>24278</v>
      </c>
      <c r="N294">
        <f t="shared" si="90"/>
        <v>0.11373862684702843</v>
      </c>
      <c r="O294" s="18">
        <v>0.78502164699999999</v>
      </c>
      <c r="P294">
        <f t="shared" si="91"/>
        <v>0.80029382777927249</v>
      </c>
      <c r="Q294">
        <v>0.2059</v>
      </c>
      <c r="R294">
        <f t="shared" si="92"/>
        <v>0.45643981378851695</v>
      </c>
      <c r="S294">
        <f t="shared" si="99"/>
        <v>0.19393967609567006</v>
      </c>
      <c r="T294" s="14">
        <f t="shared" si="93"/>
        <v>0.32536177550435169</v>
      </c>
      <c r="U294" t="str">
        <f t="shared" si="100"/>
        <v>Moderate</v>
      </c>
      <c r="V294">
        <f t="shared" si="101"/>
        <v>0.14087597676287397</v>
      </c>
      <c r="W294">
        <f t="shared" si="94"/>
        <v>0.18934424634820196</v>
      </c>
      <c r="X294" t="s">
        <v>1175</v>
      </c>
      <c r="Y294">
        <f t="shared" si="102"/>
        <v>0.24700337542846618</v>
      </c>
      <c r="Z294">
        <f t="shared" si="95"/>
        <v>0.49490671296019012</v>
      </c>
      <c r="AA294" t="str">
        <f t="shared" si="103"/>
        <v>Moderate</v>
      </c>
      <c r="AB294">
        <f t="shared" si="104"/>
        <v>0.13569414016585102</v>
      </c>
      <c r="AC294">
        <f t="shared" si="96"/>
        <v>0.31857903605486332</v>
      </c>
      <c r="AD294" t="str">
        <f t="shared" si="105"/>
        <v>Moderate</v>
      </c>
      <c r="AE294">
        <f t="shared" si="106"/>
        <v>3.510438762944363E-2</v>
      </c>
      <c r="AF294">
        <f t="shared" si="97"/>
        <v>0.19203643878434157</v>
      </c>
      <c r="AG294" t="s">
        <v>1175</v>
      </c>
    </row>
    <row r="295" spans="1:33" x14ac:dyDescent="0.3">
      <c r="A295">
        <v>400177</v>
      </c>
      <c r="B295" t="s">
        <v>460</v>
      </c>
      <c r="C295" s="1" t="s">
        <v>829</v>
      </c>
      <c r="D295" t="s">
        <v>836</v>
      </c>
      <c r="E295" s="4">
        <v>6.9</v>
      </c>
      <c r="F295" s="3">
        <f t="shared" si="107"/>
        <v>0.8222222222222223</v>
      </c>
      <c r="G295">
        <v>75.003839999999997</v>
      </c>
      <c r="H295">
        <f t="shared" si="98"/>
        <v>0.70793549395510669</v>
      </c>
      <c r="I295">
        <v>205.29999999999998</v>
      </c>
      <c r="J295" s="3">
        <f t="shared" si="88"/>
        <v>0.63481756338899187</v>
      </c>
      <c r="K295">
        <v>0.2</v>
      </c>
      <c r="L295" s="3">
        <f t="shared" si="89"/>
        <v>0.1</v>
      </c>
      <c r="M295">
        <v>16547</v>
      </c>
      <c r="N295">
        <f t="shared" si="90"/>
        <v>7.7160011923180644E-2</v>
      </c>
      <c r="O295" s="15">
        <v>0.78195704399999999</v>
      </c>
      <c r="P295">
        <f t="shared" si="91"/>
        <v>0.79716960454942076</v>
      </c>
      <c r="Q295">
        <v>0.43630000000000002</v>
      </c>
      <c r="R295">
        <f t="shared" si="92"/>
        <v>0.9671913101307914</v>
      </c>
      <c r="S295">
        <f t="shared" si="99"/>
        <v>0.32650665712917837</v>
      </c>
      <c r="T295" s="14">
        <f t="shared" si="93"/>
        <v>0.54776200422824073</v>
      </c>
      <c r="U295" t="str">
        <f t="shared" si="100"/>
        <v>Moderate</v>
      </c>
      <c r="V295">
        <f t="shared" si="101"/>
        <v>0.35797029830762539</v>
      </c>
      <c r="W295">
        <f t="shared" si="94"/>
        <v>0.48112969936802458</v>
      </c>
      <c r="X295" t="str">
        <f t="shared" si="109"/>
        <v>Moderate</v>
      </c>
      <c r="Y295">
        <f t="shared" si="102"/>
        <v>0.2950430159507314</v>
      </c>
      <c r="Z295">
        <f t="shared" si="95"/>
        <v>0.5911610274667094</v>
      </c>
      <c r="AA295" t="str">
        <f t="shared" si="103"/>
        <v>Moderate</v>
      </c>
      <c r="AB295">
        <f t="shared" si="104"/>
        <v>0.22379778858455182</v>
      </c>
      <c r="AC295">
        <f t="shared" si="96"/>
        <v>0.52542640140048869</v>
      </c>
      <c r="AD295" t="str">
        <f t="shared" si="105"/>
        <v>Moderate</v>
      </c>
      <c r="AE295">
        <f t="shared" si="106"/>
        <v>2.855794111903856E-2</v>
      </c>
      <c r="AF295">
        <f t="shared" si="97"/>
        <v>0.15622449733073432</v>
      </c>
      <c r="AG295" t="s">
        <v>1175</v>
      </c>
    </row>
    <row r="296" spans="1:33" x14ac:dyDescent="0.3">
      <c r="A296">
        <v>401807</v>
      </c>
      <c r="B296" t="s">
        <v>8</v>
      </c>
      <c r="C296" s="1" t="s">
        <v>838</v>
      </c>
      <c r="D296" t="s">
        <v>837</v>
      </c>
      <c r="E296" s="4">
        <v>6.3</v>
      </c>
      <c r="F296" s="3">
        <f t="shared" si="107"/>
        <v>0.68888888888888877</v>
      </c>
      <c r="G296">
        <v>46.352879999999999</v>
      </c>
      <c r="H296">
        <f t="shared" si="98"/>
        <v>0.43750891953054383</v>
      </c>
      <c r="I296">
        <v>53.5</v>
      </c>
      <c r="J296" s="3">
        <f t="shared" si="88"/>
        <v>0.16542980828695111</v>
      </c>
      <c r="K296">
        <v>0</v>
      </c>
      <c r="L296" s="3">
        <f t="shared" si="89"/>
        <v>0</v>
      </c>
      <c r="M296">
        <v>51862</v>
      </c>
      <c r="N296">
        <f t="shared" si="90"/>
        <v>0.24425014075977156</v>
      </c>
      <c r="O296" s="15">
        <v>0.57978069799999998</v>
      </c>
      <c r="P296">
        <f t="shared" si="91"/>
        <v>0.5910600247115968</v>
      </c>
      <c r="Q296">
        <v>0.3306</v>
      </c>
      <c r="R296">
        <f t="shared" si="92"/>
        <v>0.73287519397029488</v>
      </c>
      <c r="S296">
        <f t="shared" si="99"/>
        <v>9.4893430642405213E-2</v>
      </c>
      <c r="T296" s="14">
        <f t="shared" si="93"/>
        <v>0.15919741488214917</v>
      </c>
      <c r="U296" t="str">
        <f t="shared" si="100"/>
        <v>Low</v>
      </c>
      <c r="V296">
        <f t="shared" si="101"/>
        <v>0.10505807294377802</v>
      </c>
      <c r="W296">
        <f t="shared" si="94"/>
        <v>0.14120322074371158</v>
      </c>
      <c r="X296" t="s">
        <v>1176</v>
      </c>
      <c r="Y296">
        <f t="shared" si="102"/>
        <v>8.4728788341032396E-2</v>
      </c>
      <c r="Z296">
        <f t="shared" si="95"/>
        <v>0.16976628784210301</v>
      </c>
      <c r="AA296" t="str">
        <f t="shared" si="103"/>
        <v>Low</v>
      </c>
      <c r="AB296">
        <f t="shared" si="104"/>
        <v>7.4443650498630054E-2</v>
      </c>
      <c r="AC296">
        <f t="shared" si="96"/>
        <v>0.17477679129895957</v>
      </c>
      <c r="AD296" t="str">
        <f t="shared" si="105"/>
        <v>Low</v>
      </c>
      <c r="AE296">
        <f t="shared" si="106"/>
        <v>3.501339561713724E-2</v>
      </c>
      <c r="AF296">
        <f t="shared" si="97"/>
        <v>0.19153867245992678</v>
      </c>
      <c r="AG296" t="s">
        <v>1175</v>
      </c>
    </row>
    <row r="297" spans="1:33" x14ac:dyDescent="0.3">
      <c r="A297">
        <v>401823</v>
      </c>
      <c r="B297" t="s">
        <v>114</v>
      </c>
      <c r="C297" s="1" t="s">
        <v>838</v>
      </c>
      <c r="D297" t="s">
        <v>839</v>
      </c>
      <c r="E297" s="4">
        <v>6.3</v>
      </c>
      <c r="F297" s="3">
        <f t="shared" si="107"/>
        <v>0.68888888888888877</v>
      </c>
      <c r="G297">
        <v>47.454840000000004</v>
      </c>
      <c r="H297">
        <f t="shared" si="98"/>
        <v>0.44790994162379633</v>
      </c>
      <c r="I297">
        <v>49</v>
      </c>
      <c r="J297" s="3">
        <f t="shared" si="88"/>
        <v>0.15151515151515149</v>
      </c>
      <c r="K297">
        <v>0</v>
      </c>
      <c r="L297" s="3">
        <f t="shared" si="89"/>
        <v>0</v>
      </c>
      <c r="M297">
        <v>55839</v>
      </c>
      <c r="N297">
        <f t="shared" si="90"/>
        <v>0.2630670016512659</v>
      </c>
      <c r="O297" s="15">
        <v>0.69725995699999999</v>
      </c>
      <c r="P297">
        <f t="shared" si="91"/>
        <v>0.71082478053594478</v>
      </c>
      <c r="Q297">
        <v>0.28789999999999999</v>
      </c>
      <c r="R297">
        <f t="shared" si="92"/>
        <v>0.63821769009088891</v>
      </c>
      <c r="S297">
        <f t="shared" si="99"/>
        <v>9.7333072731070155E-2</v>
      </c>
      <c r="T297" s="14">
        <f t="shared" si="93"/>
        <v>0.16329026631689944</v>
      </c>
      <c r="U297" t="str">
        <f t="shared" si="100"/>
        <v>Low</v>
      </c>
      <c r="V297">
        <f t="shared" si="101"/>
        <v>9.209448953672765E-2</v>
      </c>
      <c r="W297">
        <f t="shared" si="94"/>
        <v>0.12377952660804202</v>
      </c>
      <c r="X297" t="s">
        <v>1176</v>
      </c>
      <c r="Y297">
        <f t="shared" si="102"/>
        <v>0.10257165592541265</v>
      </c>
      <c r="Z297">
        <f t="shared" si="95"/>
        <v>0.20551703388211792</v>
      </c>
      <c r="AA297" t="str">
        <f t="shared" si="103"/>
        <v>Low</v>
      </c>
      <c r="AB297">
        <f t="shared" si="104"/>
        <v>7.6290720415100904E-2</v>
      </c>
      <c r="AC297">
        <f t="shared" si="96"/>
        <v>0.17911329214413982</v>
      </c>
      <c r="AD297" t="str">
        <f t="shared" si="105"/>
        <v>Low</v>
      </c>
      <c r="AE297">
        <f t="shared" si="106"/>
        <v>3.7960435141778409E-2</v>
      </c>
      <c r="AF297">
        <f t="shared" si="97"/>
        <v>0.20766027472921436</v>
      </c>
      <c r="AG297" t="s">
        <v>1175</v>
      </c>
    </row>
    <row r="298" spans="1:33" x14ac:dyDescent="0.3">
      <c r="A298">
        <v>401831</v>
      </c>
      <c r="B298" t="s">
        <v>127</v>
      </c>
      <c r="C298" s="1" t="s">
        <v>838</v>
      </c>
      <c r="D298" t="s">
        <v>840</v>
      </c>
      <c r="E298" s="4">
        <v>5.7</v>
      </c>
      <c r="F298" s="3">
        <f t="shared" si="107"/>
        <v>0.55555555555555558</v>
      </c>
      <c r="G298">
        <v>47.454840000000004</v>
      </c>
      <c r="H298">
        <f t="shared" si="98"/>
        <v>0.44790994162379633</v>
      </c>
      <c r="I298">
        <v>36.900000000000006</v>
      </c>
      <c r="J298" s="3">
        <f t="shared" si="88"/>
        <v>0.11410018552875696</v>
      </c>
      <c r="K298">
        <v>0</v>
      </c>
      <c r="L298" s="3">
        <f t="shared" si="89"/>
        <v>0</v>
      </c>
      <c r="M298">
        <v>46381</v>
      </c>
      <c r="N298">
        <f t="shared" si="90"/>
        <v>0.21831722284519264</v>
      </c>
      <c r="O298" s="15">
        <v>0.406225685</v>
      </c>
      <c r="P298">
        <f t="shared" si="91"/>
        <v>0.41412859076344299</v>
      </c>
      <c r="Q298">
        <v>0.30590000000000001</v>
      </c>
      <c r="R298">
        <f t="shared" si="92"/>
        <v>0.6781201507426291</v>
      </c>
      <c r="S298">
        <f t="shared" si="99"/>
        <v>6.1282440230149664E-2</v>
      </c>
      <c r="T298" s="14">
        <f t="shared" si="93"/>
        <v>0.1028101312837346</v>
      </c>
      <c r="U298" t="str">
        <f t="shared" si="100"/>
        <v>No Impact</v>
      </c>
      <c r="V298">
        <f t="shared" si="101"/>
        <v>7.6094127697402744E-2</v>
      </c>
      <c r="W298">
        <f t="shared" si="94"/>
        <v>0.10227425279641859</v>
      </c>
      <c r="X298" t="s">
        <v>1176</v>
      </c>
      <c r="Y298">
        <f t="shared" si="102"/>
        <v>4.6470752762896576E-2</v>
      </c>
      <c r="Z298">
        <f t="shared" si="95"/>
        <v>9.3110822711535743E-2</v>
      </c>
      <c r="AA298" t="str">
        <f t="shared" si="103"/>
        <v>No Impact</v>
      </c>
      <c r="AB298">
        <f t="shared" si="104"/>
        <v>4.9148507261716316E-2</v>
      </c>
      <c r="AC298">
        <f t="shared" si="96"/>
        <v>0.11538953743938804</v>
      </c>
      <c r="AD298" t="str">
        <f t="shared" si="105"/>
        <v>No Impact</v>
      </c>
      <c r="AE298">
        <f t="shared" si="106"/>
        <v>2.4498104967875405E-2</v>
      </c>
      <c r="AF298">
        <f t="shared" si="97"/>
        <v>0.13401540812094609</v>
      </c>
      <c r="AG298" t="s">
        <v>1175</v>
      </c>
    </row>
    <row r="299" spans="1:33" x14ac:dyDescent="0.3">
      <c r="A299">
        <v>401855</v>
      </c>
      <c r="B299" t="s">
        <v>226</v>
      </c>
      <c r="C299" s="1" t="s">
        <v>838</v>
      </c>
      <c r="D299" t="s">
        <v>841</v>
      </c>
      <c r="E299" s="4">
        <v>6.3</v>
      </c>
      <c r="F299" s="3">
        <f t="shared" si="107"/>
        <v>0.68888888888888877</v>
      </c>
      <c r="G299">
        <v>50.250600000000006</v>
      </c>
      <c r="H299">
        <f t="shared" si="98"/>
        <v>0.47429816036806233</v>
      </c>
      <c r="I299">
        <v>45.1</v>
      </c>
      <c r="J299" s="3">
        <f t="shared" si="88"/>
        <v>0.13945578231292516</v>
      </c>
      <c r="K299">
        <v>0</v>
      </c>
      <c r="L299" s="3">
        <f t="shared" si="89"/>
        <v>0</v>
      </c>
      <c r="M299">
        <v>28593</v>
      </c>
      <c r="N299">
        <f t="shared" si="90"/>
        <v>0.13415470800035958</v>
      </c>
      <c r="O299" s="15">
        <v>0.37154365700000003</v>
      </c>
      <c r="P299">
        <f t="shared" si="91"/>
        <v>0.37877184225932448</v>
      </c>
      <c r="Q299">
        <v>0.32090000000000002</v>
      </c>
      <c r="R299">
        <f t="shared" si="92"/>
        <v>0.71137220128574596</v>
      </c>
      <c r="S299">
        <f t="shared" si="99"/>
        <v>8.1711420211941943E-2</v>
      </c>
      <c r="T299" s="14">
        <f t="shared" si="93"/>
        <v>0.13708269135205162</v>
      </c>
      <c r="U299" t="str">
        <f t="shared" si="100"/>
        <v>No Impact</v>
      </c>
      <c r="V299">
        <f t="shared" si="101"/>
        <v>0.1066413804864321</v>
      </c>
      <c r="W299">
        <f t="shared" si="94"/>
        <v>0.143331264007652</v>
      </c>
      <c r="X299" t="s">
        <v>1176</v>
      </c>
      <c r="Y299">
        <f t="shared" si="102"/>
        <v>5.6781459937451768E-2</v>
      </c>
      <c r="Z299">
        <f t="shared" si="95"/>
        <v>0.11376980434367936</v>
      </c>
      <c r="AA299" t="str">
        <f t="shared" si="103"/>
        <v>No Impact</v>
      </c>
      <c r="AB299">
        <f t="shared" si="104"/>
        <v>6.1397789316308481E-2</v>
      </c>
      <c r="AC299">
        <f t="shared" si="96"/>
        <v>0.14414807089224368</v>
      </c>
      <c r="AD299" t="str">
        <f t="shared" si="105"/>
        <v>No Impact</v>
      </c>
      <c r="AE299">
        <f t="shared" si="106"/>
        <v>2.0111051899490643E-2</v>
      </c>
      <c r="AF299">
        <f t="shared" si="97"/>
        <v>0.11001629846822827</v>
      </c>
      <c r="AG299" t="s">
        <v>1175</v>
      </c>
    </row>
    <row r="300" spans="1:33" x14ac:dyDescent="0.3">
      <c r="A300">
        <v>404104</v>
      </c>
      <c r="B300" t="s">
        <v>0</v>
      </c>
      <c r="C300" s="1" t="s">
        <v>843</v>
      </c>
      <c r="D300" t="s">
        <v>842</v>
      </c>
      <c r="E300" s="4">
        <v>5.8</v>
      </c>
      <c r="F300" s="3">
        <f t="shared" si="107"/>
        <v>0.57777777777777772</v>
      </c>
      <c r="G300">
        <v>57.958919999999999</v>
      </c>
      <c r="H300">
        <f t="shared" si="98"/>
        <v>0.54705434627486427</v>
      </c>
      <c r="I300">
        <v>205.2</v>
      </c>
      <c r="J300" s="3">
        <f t="shared" si="88"/>
        <v>0.63450834879406293</v>
      </c>
      <c r="K300">
        <v>0</v>
      </c>
      <c r="L300" s="3">
        <f t="shared" si="89"/>
        <v>0</v>
      </c>
      <c r="M300">
        <v>51104</v>
      </c>
      <c r="N300">
        <f t="shared" si="90"/>
        <v>0.2406637237228712</v>
      </c>
      <c r="O300" s="15">
        <v>0.34674158100000002</v>
      </c>
      <c r="P300">
        <f t="shared" si="91"/>
        <v>0.3534872549937807</v>
      </c>
      <c r="Q300">
        <v>0.29820000000000002</v>
      </c>
      <c r="R300">
        <f t="shared" si="92"/>
        <v>0.66105076479716252</v>
      </c>
      <c r="S300">
        <f t="shared" si="99"/>
        <v>0.10132764547254898</v>
      </c>
      <c r="T300" s="14">
        <f t="shared" si="93"/>
        <v>0.16999173816481419</v>
      </c>
      <c r="U300" t="str">
        <f t="shared" si="100"/>
        <v>Low</v>
      </c>
      <c r="V300">
        <f t="shared" si="101"/>
        <v>0.13204575132339894</v>
      </c>
      <c r="W300">
        <f t="shared" si="94"/>
        <v>0.17747598875495457</v>
      </c>
      <c r="X300" t="s">
        <v>1175</v>
      </c>
      <c r="Y300">
        <f t="shared" si="102"/>
        <v>7.0609539621699011E-2</v>
      </c>
      <c r="Z300">
        <f t="shared" si="95"/>
        <v>0.14147634661748867</v>
      </c>
      <c r="AA300" t="str">
        <f t="shared" si="103"/>
        <v>No Impact</v>
      </c>
      <c r="AB300">
        <f t="shared" si="104"/>
        <v>8.4224387151706187E-2</v>
      </c>
      <c r="AC300">
        <f t="shared" si="96"/>
        <v>0.19773974055406399</v>
      </c>
      <c r="AD300" t="str">
        <f t="shared" si="105"/>
        <v>Low</v>
      </c>
      <c r="AE300">
        <f t="shared" si="106"/>
        <v>4.8072892291448177E-2</v>
      </c>
      <c r="AF300">
        <f t="shared" si="97"/>
        <v>0.26297986266451351</v>
      </c>
      <c r="AG300" t="s">
        <v>1175</v>
      </c>
    </row>
    <row r="301" spans="1:33" x14ac:dyDescent="0.3">
      <c r="A301">
        <v>404109</v>
      </c>
      <c r="B301" t="s">
        <v>28</v>
      </c>
      <c r="C301" s="1" t="s">
        <v>843</v>
      </c>
      <c r="D301" t="s">
        <v>844</v>
      </c>
      <c r="E301" s="4">
        <v>5.7</v>
      </c>
      <c r="F301" s="3">
        <f t="shared" si="107"/>
        <v>0.55555555555555558</v>
      </c>
      <c r="G301">
        <v>56.572560000000003</v>
      </c>
      <c r="H301">
        <f t="shared" si="98"/>
        <v>0.53396897022745649</v>
      </c>
      <c r="I301">
        <v>125.8</v>
      </c>
      <c r="J301" s="3">
        <f t="shared" si="88"/>
        <v>0.3889919604205318</v>
      </c>
      <c r="K301">
        <v>0</v>
      </c>
      <c r="L301" s="3">
        <f t="shared" si="89"/>
        <v>0</v>
      </c>
      <c r="M301">
        <v>40351</v>
      </c>
      <c r="N301">
        <f t="shared" si="90"/>
        <v>0.18978675486035212</v>
      </c>
      <c r="O301" s="15">
        <v>0.46308536</v>
      </c>
      <c r="P301">
        <f t="shared" si="91"/>
        <v>0.47209444065552297</v>
      </c>
      <c r="Q301">
        <v>0.38690000000000002</v>
      </c>
      <c r="R301">
        <f t="shared" si="92"/>
        <v>0.85768122367546007</v>
      </c>
      <c r="S301">
        <f t="shared" si="99"/>
        <v>0.10763277371223989</v>
      </c>
      <c r="T301" s="14">
        <f t="shared" si="93"/>
        <v>0.1805695000758761</v>
      </c>
      <c r="U301" t="str">
        <f t="shared" si="100"/>
        <v>Low</v>
      </c>
      <c r="V301">
        <f t="shared" si="101"/>
        <v>0.1388423800213576</v>
      </c>
      <c r="W301">
        <f t="shared" si="94"/>
        <v>0.1866109922388324</v>
      </c>
      <c r="X301" t="s">
        <v>1175</v>
      </c>
      <c r="Y301">
        <f t="shared" si="102"/>
        <v>7.6423167403122202E-2</v>
      </c>
      <c r="Z301">
        <f t="shared" si="95"/>
        <v>0.15312478425801576</v>
      </c>
      <c r="AA301" t="str">
        <f t="shared" si="103"/>
        <v>Low</v>
      </c>
      <c r="AB301">
        <f t="shared" si="104"/>
        <v>8.227479425965159E-2</v>
      </c>
      <c r="AC301">
        <f t="shared" si="96"/>
        <v>0.19316253903680589</v>
      </c>
      <c r="AD301" t="str">
        <f t="shared" si="105"/>
        <v>Low</v>
      </c>
      <c r="AE301">
        <f t="shared" si="106"/>
        <v>3.0722888660685021E-2</v>
      </c>
      <c r="AF301">
        <f t="shared" si="97"/>
        <v>0.1680677124991993</v>
      </c>
      <c r="AG301" t="s">
        <v>1175</v>
      </c>
    </row>
    <row r="302" spans="1:33" x14ac:dyDescent="0.3">
      <c r="A302">
        <v>404111</v>
      </c>
      <c r="B302" t="s">
        <v>106</v>
      </c>
      <c r="C302" s="1" t="s">
        <v>843</v>
      </c>
      <c r="D302" t="s">
        <v>845</v>
      </c>
      <c r="E302" s="4">
        <v>5.8</v>
      </c>
      <c r="F302" s="3">
        <f t="shared" si="107"/>
        <v>0.57777777777777772</v>
      </c>
      <c r="G302">
        <v>54.352080000000001</v>
      </c>
      <c r="H302">
        <f t="shared" si="98"/>
        <v>0.51301062188665902</v>
      </c>
      <c r="I302">
        <v>112.8</v>
      </c>
      <c r="J302" s="3">
        <f t="shared" si="88"/>
        <v>0.34879406307977734</v>
      </c>
      <c r="K302">
        <v>0</v>
      </c>
      <c r="L302" s="3">
        <f t="shared" si="89"/>
        <v>0</v>
      </c>
      <c r="M302">
        <v>18322</v>
      </c>
      <c r="N302">
        <f t="shared" si="90"/>
        <v>8.5558284008270521E-2</v>
      </c>
      <c r="O302" s="15">
        <v>0.899494134</v>
      </c>
      <c r="P302">
        <f t="shared" si="91"/>
        <v>0.91699331644527493</v>
      </c>
      <c r="Q302">
        <v>0.37540000000000001</v>
      </c>
      <c r="R302">
        <f t="shared" si="92"/>
        <v>0.83218798492573709</v>
      </c>
      <c r="S302">
        <f t="shared" si="99"/>
        <v>0.13894407092719599</v>
      </c>
      <c r="T302" s="14">
        <f t="shared" si="93"/>
        <v>0.23309871668742238</v>
      </c>
      <c r="U302" t="str">
        <f t="shared" si="100"/>
        <v>Low</v>
      </c>
      <c r="V302">
        <f t="shared" si="101"/>
        <v>0.13220766344992688</v>
      </c>
      <c r="W302">
        <f t="shared" si="94"/>
        <v>0.17769360662193606</v>
      </c>
      <c r="X302" t="s">
        <v>1175</v>
      </c>
      <c r="Y302">
        <f t="shared" si="102"/>
        <v>0.14568047840446513</v>
      </c>
      <c r="Z302">
        <f t="shared" si="95"/>
        <v>0.29189174676077223</v>
      </c>
      <c r="AA302" t="str">
        <f t="shared" si="103"/>
        <v>Low</v>
      </c>
      <c r="AB302">
        <f t="shared" si="104"/>
        <v>9.4734177863001284E-2</v>
      </c>
      <c r="AC302">
        <f t="shared" si="96"/>
        <v>0.22241434322924541</v>
      </c>
      <c r="AD302" t="str">
        <f t="shared" si="105"/>
        <v>Low</v>
      </c>
      <c r="AE302">
        <f t="shared" si="106"/>
        <v>1.3592434669106767E-2</v>
      </c>
      <c r="AF302">
        <f t="shared" si="97"/>
        <v>7.4356595415290924E-2</v>
      </c>
      <c r="AG302" t="s">
        <v>1175</v>
      </c>
    </row>
    <row r="303" spans="1:33" x14ac:dyDescent="0.3">
      <c r="A303">
        <v>404123</v>
      </c>
      <c r="B303" t="s">
        <v>225</v>
      </c>
      <c r="C303" s="1" t="s">
        <v>843</v>
      </c>
      <c r="D303" t="s">
        <v>846</v>
      </c>
      <c r="E303" s="4">
        <v>5.8</v>
      </c>
      <c r="F303" s="3">
        <f t="shared" si="107"/>
        <v>0.57777777777777772</v>
      </c>
      <c r="G303">
        <v>60.707519999999995</v>
      </c>
      <c r="H303">
        <f t="shared" si="98"/>
        <v>0.57299743797103608</v>
      </c>
      <c r="I303">
        <v>127.8</v>
      </c>
      <c r="J303" s="3">
        <f t="shared" si="88"/>
        <v>0.39517625231910941</v>
      </c>
      <c r="K303">
        <v>0</v>
      </c>
      <c r="L303" s="3">
        <f t="shared" si="89"/>
        <v>0</v>
      </c>
      <c r="M303">
        <v>65394</v>
      </c>
      <c r="N303">
        <f t="shared" si="90"/>
        <v>0.30827572828396094</v>
      </c>
      <c r="O303" s="15">
        <v>0.93022699200000003</v>
      </c>
      <c r="P303">
        <f t="shared" si="91"/>
        <v>0.94832406593659035</v>
      </c>
      <c r="Q303">
        <v>0.37</v>
      </c>
      <c r="R303">
        <f t="shared" si="92"/>
        <v>0.82021724673021501</v>
      </c>
      <c r="S303">
        <f t="shared" si="99"/>
        <v>0.15748054459044333</v>
      </c>
      <c r="T303" s="14">
        <f t="shared" si="93"/>
        <v>0.26419632448010893</v>
      </c>
      <c r="U303" t="str">
        <f t="shared" si="100"/>
        <v>Low</v>
      </c>
      <c r="V303">
        <f t="shared" si="101"/>
        <v>0.14607321612722055</v>
      </c>
      <c r="W303">
        <f t="shared" si="94"/>
        <v>0.19632959184958448</v>
      </c>
      <c r="X303" t="s">
        <v>1175</v>
      </c>
      <c r="Y303">
        <f t="shared" si="102"/>
        <v>0.16888787305366612</v>
      </c>
      <c r="Z303">
        <f t="shared" si="95"/>
        <v>0.33839109270000312</v>
      </c>
      <c r="AA303" t="str">
        <f t="shared" si="103"/>
        <v>Moderate</v>
      </c>
      <c r="AB303">
        <f t="shared" si="104"/>
        <v>0.1210073717071686</v>
      </c>
      <c r="AC303">
        <f t="shared" si="96"/>
        <v>0.28409783787925108</v>
      </c>
      <c r="AD303" t="str">
        <f t="shared" si="105"/>
        <v>Low</v>
      </c>
      <c r="AE303">
        <f t="shared" si="106"/>
        <v>5.4901097561547416E-2</v>
      </c>
      <c r="AF303">
        <f t="shared" si="97"/>
        <v>0.30033314844747117</v>
      </c>
      <c r="AG303" t="str">
        <f t="shared" si="108"/>
        <v>Moderate</v>
      </c>
    </row>
    <row r="304" spans="1:33" x14ac:dyDescent="0.3">
      <c r="A304">
        <v>404138</v>
      </c>
      <c r="B304" t="s">
        <v>269</v>
      </c>
      <c r="C304" s="1" t="s">
        <v>843</v>
      </c>
      <c r="D304" t="s">
        <v>847</v>
      </c>
      <c r="E304" s="4">
        <v>5.8</v>
      </c>
      <c r="F304" s="3">
        <f t="shared" si="107"/>
        <v>0.57777777777777772</v>
      </c>
      <c r="G304">
        <v>65.43468</v>
      </c>
      <c r="H304">
        <f t="shared" si="98"/>
        <v>0.6176154781887746</v>
      </c>
      <c r="I304">
        <v>160.80000000000001</v>
      </c>
      <c r="J304" s="3">
        <f t="shared" si="88"/>
        <v>0.49721706864564008</v>
      </c>
      <c r="K304">
        <v>0</v>
      </c>
      <c r="L304" s="3">
        <f t="shared" si="89"/>
        <v>0</v>
      </c>
      <c r="M304">
        <v>45853</v>
      </c>
      <c r="N304">
        <f t="shared" si="90"/>
        <v>0.21581903261368421</v>
      </c>
      <c r="O304" s="15">
        <v>0.734732367</v>
      </c>
      <c r="P304">
        <f t="shared" si="91"/>
        <v>0.74902619644545321</v>
      </c>
      <c r="Q304">
        <v>0.31859999999999999</v>
      </c>
      <c r="R304">
        <f t="shared" si="92"/>
        <v>0.70627355353580135</v>
      </c>
      <c r="S304">
        <f t="shared" si="99"/>
        <v>0.14567113470992421</v>
      </c>
      <c r="T304" s="14">
        <f t="shared" si="93"/>
        <v>0.24438433632102319</v>
      </c>
      <c r="U304" t="str">
        <f t="shared" si="100"/>
        <v>Low</v>
      </c>
      <c r="V304">
        <f t="shared" si="101"/>
        <v>0.14139172354079746</v>
      </c>
      <c r="W304">
        <f t="shared" si="94"/>
        <v>0.19003743540155499</v>
      </c>
      <c r="X304" t="s">
        <v>1175</v>
      </c>
      <c r="Y304">
        <f t="shared" si="102"/>
        <v>0.14995054587905102</v>
      </c>
      <c r="Z304">
        <f t="shared" si="95"/>
        <v>0.30044743979249577</v>
      </c>
      <c r="AA304" t="str">
        <f t="shared" si="103"/>
        <v>Moderate</v>
      </c>
      <c r="AB304">
        <f t="shared" si="104"/>
        <v>0.10959425294524919</v>
      </c>
      <c r="AC304">
        <f t="shared" si="96"/>
        <v>0.2573024260132124</v>
      </c>
      <c r="AD304" t="str">
        <f t="shared" si="105"/>
        <v>Low</v>
      </c>
      <c r="AE304">
        <f t="shared" si="106"/>
        <v>4.3205674120728017E-2</v>
      </c>
      <c r="AF304">
        <f t="shared" si="97"/>
        <v>0.23635403873167909</v>
      </c>
      <c r="AG304" t="s">
        <v>1175</v>
      </c>
    </row>
    <row r="305" spans="1:33" x14ac:dyDescent="0.3">
      <c r="A305">
        <v>404147</v>
      </c>
      <c r="B305" t="s">
        <v>285</v>
      </c>
      <c r="C305" s="1" t="s">
        <v>843</v>
      </c>
      <c r="D305" s="15" t="s">
        <v>1172</v>
      </c>
      <c r="E305" s="4">
        <v>5.8</v>
      </c>
      <c r="F305" s="3">
        <f t="shared" si="107"/>
        <v>0.57777777777777772</v>
      </c>
      <c r="G305">
        <v>57.497400000000006</v>
      </c>
      <c r="H305">
        <f t="shared" si="98"/>
        <v>0.5426982174530578</v>
      </c>
      <c r="I305">
        <v>146.20000000000002</v>
      </c>
      <c r="J305" s="3">
        <f t="shared" si="88"/>
        <v>0.4520717377860235</v>
      </c>
      <c r="K305">
        <v>0</v>
      </c>
      <c r="L305" s="3">
        <f t="shared" si="89"/>
        <v>0</v>
      </c>
      <c r="M305">
        <v>77221</v>
      </c>
      <c r="N305">
        <f t="shared" si="90"/>
        <v>0.36423424318557107</v>
      </c>
      <c r="O305" s="15">
        <v>0.6790564</v>
      </c>
      <c r="P305">
        <f t="shared" si="91"/>
        <v>0.6922670829662011</v>
      </c>
      <c r="Q305">
        <v>0</v>
      </c>
      <c r="R305">
        <f t="shared" si="92"/>
        <v>0</v>
      </c>
      <c r="S305">
        <f t="shared" si="99"/>
        <v>6.1495119519193391E-2</v>
      </c>
      <c r="T305" s="14">
        <f t="shared" si="93"/>
        <v>0.10316693146247748</v>
      </c>
      <c r="U305" t="str">
        <f t="shared" si="100"/>
        <v>No Impact</v>
      </c>
      <c r="V305">
        <f t="shared" si="101"/>
        <v>0</v>
      </c>
      <c r="W305">
        <f t="shared" si="94"/>
        <v>0</v>
      </c>
      <c r="X305" t="s">
        <v>1176</v>
      </c>
      <c r="Y305">
        <f t="shared" si="102"/>
        <v>0.12299023903838678</v>
      </c>
      <c r="Z305">
        <f t="shared" si="95"/>
        <v>0.24642859565416764</v>
      </c>
      <c r="AA305" t="str">
        <f t="shared" si="103"/>
        <v>Low</v>
      </c>
      <c r="AB305">
        <f t="shared" si="104"/>
        <v>5.9545902210858523E-2</v>
      </c>
      <c r="AC305">
        <f t="shared" si="96"/>
        <v>0.1398002603809306</v>
      </c>
      <c r="AD305" t="str">
        <f t="shared" si="105"/>
        <v>No Impact</v>
      </c>
      <c r="AE305">
        <f t="shared" si="106"/>
        <v>6.471094428383567E-2</v>
      </c>
      <c r="AF305">
        <f t="shared" si="97"/>
        <v>0.35399732426087899</v>
      </c>
      <c r="AG305" t="str">
        <f t="shared" si="108"/>
        <v>Moderate</v>
      </c>
    </row>
    <row r="306" spans="1:33" x14ac:dyDescent="0.3">
      <c r="A306">
        <v>404161</v>
      </c>
      <c r="B306" t="s">
        <v>320</v>
      </c>
      <c r="C306" s="1" t="s">
        <v>843</v>
      </c>
      <c r="D306" t="s">
        <v>848</v>
      </c>
      <c r="E306" s="4">
        <v>5.8</v>
      </c>
      <c r="F306" s="3">
        <f t="shared" si="107"/>
        <v>0.57777777777777772</v>
      </c>
      <c r="G306">
        <v>60.707519999999995</v>
      </c>
      <c r="H306">
        <f t="shared" si="98"/>
        <v>0.57299743797103608</v>
      </c>
      <c r="I306">
        <v>142</v>
      </c>
      <c r="J306" s="3">
        <f t="shared" si="88"/>
        <v>0.43908472479901045</v>
      </c>
      <c r="K306">
        <v>0</v>
      </c>
      <c r="L306" s="3">
        <f t="shared" si="89"/>
        <v>0</v>
      </c>
      <c r="M306">
        <v>71555</v>
      </c>
      <c r="N306">
        <f t="shared" si="90"/>
        <v>0.33742601240578557</v>
      </c>
      <c r="O306" s="15">
        <v>0.74044336700000002</v>
      </c>
      <c r="P306">
        <f t="shared" si="91"/>
        <v>0.75484830092870381</v>
      </c>
      <c r="Q306">
        <v>0.34820000000000001</v>
      </c>
      <c r="R306">
        <f t="shared" si="92"/>
        <v>0.77189093327421865</v>
      </c>
      <c r="S306">
        <f t="shared" si="99"/>
        <v>0.13982240802319773</v>
      </c>
      <c r="T306" s="14">
        <f t="shared" si="93"/>
        <v>0.23457225383464073</v>
      </c>
      <c r="U306" t="str">
        <f t="shared" si="100"/>
        <v>Low</v>
      </c>
      <c r="V306">
        <f t="shared" si="101"/>
        <v>0.14138321280257315</v>
      </c>
      <c r="W306">
        <f t="shared" si="94"/>
        <v>0.19002599655050331</v>
      </c>
      <c r="X306" t="s">
        <v>1175</v>
      </c>
      <c r="Y306">
        <f t="shared" si="102"/>
        <v>0.13826160324382228</v>
      </c>
      <c r="Z306">
        <f t="shared" si="95"/>
        <v>0.27702696560850376</v>
      </c>
      <c r="AA306" t="str">
        <f t="shared" si="103"/>
        <v>Low</v>
      </c>
      <c r="AB306">
        <f t="shared" si="104"/>
        <v>0.11259419883234395</v>
      </c>
      <c r="AC306">
        <f t="shared" si="96"/>
        <v>0.26434561791346162</v>
      </c>
      <c r="AD306" t="str">
        <f t="shared" si="105"/>
        <v>Low</v>
      </c>
      <c r="AE306">
        <f t="shared" si="106"/>
        <v>6.1804552509418992E-2</v>
      </c>
      <c r="AF306">
        <f t="shared" si="97"/>
        <v>0.33809808306166916</v>
      </c>
      <c r="AG306" t="str">
        <f t="shared" si="108"/>
        <v>Moderate</v>
      </c>
    </row>
    <row r="307" spans="1:33" x14ac:dyDescent="0.3">
      <c r="A307">
        <v>404190</v>
      </c>
      <c r="B307" t="s">
        <v>478</v>
      </c>
      <c r="C307" s="1" t="s">
        <v>843</v>
      </c>
      <c r="D307" t="s">
        <v>849</v>
      </c>
      <c r="E307" s="4">
        <v>5.8</v>
      </c>
      <c r="F307" s="3">
        <f t="shared" si="107"/>
        <v>0.57777777777777772</v>
      </c>
      <c r="G307">
        <v>59.31324</v>
      </c>
      <c r="H307">
        <f t="shared" si="98"/>
        <v>0.55983730776287977</v>
      </c>
      <c r="I307">
        <v>116.90000000000002</v>
      </c>
      <c r="J307" s="3">
        <f t="shared" si="88"/>
        <v>0.3614718614718615</v>
      </c>
      <c r="K307">
        <v>0</v>
      </c>
      <c r="L307" s="3">
        <f t="shared" si="89"/>
        <v>0</v>
      </c>
      <c r="M307">
        <v>72161</v>
      </c>
      <c r="N307">
        <f t="shared" si="90"/>
        <v>0.34029325346694866</v>
      </c>
      <c r="O307" s="15">
        <v>0.77926263299999998</v>
      </c>
      <c r="P307">
        <f t="shared" si="91"/>
        <v>0.79442277520905669</v>
      </c>
      <c r="Q307">
        <v>0.3634</v>
      </c>
      <c r="R307">
        <f t="shared" si="92"/>
        <v>0.80558634449124367</v>
      </c>
      <c r="S307">
        <f t="shared" si="99"/>
        <v>0.13692454364669399</v>
      </c>
      <c r="T307" s="14">
        <f t="shared" si="93"/>
        <v>0.22971066842988341</v>
      </c>
      <c r="U307" t="str">
        <f t="shared" si="100"/>
        <v>Low</v>
      </c>
      <c r="V307">
        <f t="shared" si="101"/>
        <v>0.13787989234478015</v>
      </c>
      <c r="W307">
        <f t="shared" si="94"/>
        <v>0.18531736143016911</v>
      </c>
      <c r="X307" t="s">
        <v>1175</v>
      </c>
      <c r="Y307">
        <f t="shared" si="102"/>
        <v>0.13596919494860779</v>
      </c>
      <c r="Z307">
        <f t="shared" si="95"/>
        <v>0.27243379657921718</v>
      </c>
      <c r="AA307" t="str">
        <f t="shared" si="103"/>
        <v>Low</v>
      </c>
      <c r="AB307">
        <f t="shared" si="104"/>
        <v>0.10943369768089775</v>
      </c>
      <c r="AC307">
        <f t="shared" si="96"/>
        <v>0.25692547870150023</v>
      </c>
      <c r="AD307" t="str">
        <f t="shared" si="105"/>
        <v>Low</v>
      </c>
      <c r="AE307">
        <f t="shared" si="106"/>
        <v>5.8242791073263862E-2</v>
      </c>
      <c r="AF307">
        <f t="shared" si="97"/>
        <v>0.31861368158973064</v>
      </c>
      <c r="AG307" t="str">
        <f t="shared" si="108"/>
        <v>Moderate</v>
      </c>
    </row>
    <row r="308" spans="1:33" x14ac:dyDescent="0.3">
      <c r="A308">
        <v>404414</v>
      </c>
      <c r="B308" t="s">
        <v>202</v>
      </c>
      <c r="C308" s="1" t="s">
        <v>851</v>
      </c>
      <c r="D308" t="s">
        <v>850</v>
      </c>
      <c r="E308" s="4">
        <v>4.7</v>
      </c>
      <c r="F308" s="3">
        <f t="shared" si="107"/>
        <v>0.33333333333333331</v>
      </c>
      <c r="G308">
        <v>48.546720000000001</v>
      </c>
      <c r="H308">
        <f t="shared" si="98"/>
        <v>0.45821582205791406</v>
      </c>
      <c r="I308">
        <v>73.000000000000014</v>
      </c>
      <c r="J308" s="3">
        <f t="shared" si="88"/>
        <v>0.22572665429808289</v>
      </c>
      <c r="K308">
        <v>0</v>
      </c>
      <c r="L308" s="3">
        <f t="shared" si="89"/>
        <v>0</v>
      </c>
      <c r="M308">
        <v>28168</v>
      </c>
      <c r="N308">
        <f t="shared" si="90"/>
        <v>0.13214385412083102</v>
      </c>
      <c r="O308" s="15">
        <v>0.80317088299999995</v>
      </c>
      <c r="P308">
        <f t="shared" si="91"/>
        <v>0.81879614756270303</v>
      </c>
      <c r="Q308">
        <v>0.376</v>
      </c>
      <c r="R308">
        <f t="shared" si="92"/>
        <v>0.83351806694746178</v>
      </c>
      <c r="S308">
        <f t="shared" si="99"/>
        <v>6.2906813056334929E-2</v>
      </c>
      <c r="T308" s="14">
        <f t="shared" si="93"/>
        <v>0.10553525095727653</v>
      </c>
      <c r="U308" t="str">
        <f t="shared" si="100"/>
        <v>No Impact</v>
      </c>
      <c r="V308">
        <f t="shared" si="101"/>
        <v>6.3467305136131025E-2</v>
      </c>
      <c r="W308">
        <f t="shared" si="94"/>
        <v>8.5303181812039552E-2</v>
      </c>
      <c r="X308" t="s">
        <v>1176</v>
      </c>
      <c r="Y308">
        <f t="shared" si="102"/>
        <v>6.2346320976538833E-2</v>
      </c>
      <c r="Z308">
        <f t="shared" si="95"/>
        <v>0.12491980211256576</v>
      </c>
      <c r="AA308" t="str">
        <f t="shared" si="103"/>
        <v>No Impact</v>
      </c>
      <c r="AB308">
        <f t="shared" si="104"/>
        <v>4.4439134413872615E-2</v>
      </c>
      <c r="AC308">
        <f t="shared" si="96"/>
        <v>0.10433299910652227</v>
      </c>
      <c r="AD308" t="str">
        <f t="shared" si="105"/>
        <v>No Impact</v>
      </c>
      <c r="AE308">
        <f t="shared" si="106"/>
        <v>1.0061946637900297E-2</v>
      </c>
      <c r="AF308">
        <f t="shared" si="97"/>
        <v>5.5043273222056668E-2</v>
      </c>
      <c r="AG308" t="s">
        <v>1176</v>
      </c>
    </row>
    <row r="309" spans="1:33" x14ac:dyDescent="0.3">
      <c r="A309">
        <v>404419</v>
      </c>
      <c r="B309" t="s">
        <v>223</v>
      </c>
      <c r="C309" s="1" t="s">
        <v>851</v>
      </c>
      <c r="D309" t="s">
        <v>1143</v>
      </c>
      <c r="E309" s="4">
        <v>4.5999999999999996</v>
      </c>
      <c r="F309" s="3">
        <f t="shared" si="107"/>
        <v>0.31111111111111101</v>
      </c>
      <c r="G309">
        <v>49.661999999999999</v>
      </c>
      <c r="H309">
        <f t="shared" si="98"/>
        <v>0.46874256705788009</v>
      </c>
      <c r="I309">
        <v>102.6</v>
      </c>
      <c r="J309" s="3">
        <f t="shared" si="88"/>
        <v>0.31725417439703146</v>
      </c>
      <c r="K309">
        <v>0</v>
      </c>
      <c r="L309" s="3">
        <f t="shared" si="89"/>
        <v>0</v>
      </c>
      <c r="M309">
        <v>45089</v>
      </c>
      <c r="N309">
        <f t="shared" si="90"/>
        <v>0.2122042270514258</v>
      </c>
      <c r="O309" s="15">
        <v>0.70244275</v>
      </c>
      <c r="P309">
        <f t="shared" si="91"/>
        <v>0.71610840203149018</v>
      </c>
      <c r="Q309">
        <v>0.38019999999999998</v>
      </c>
      <c r="R309">
        <f t="shared" si="92"/>
        <v>0.84282864109953448</v>
      </c>
      <c r="S309">
        <f t="shared" si="99"/>
        <v>6.0855187167077253E-2</v>
      </c>
      <c r="T309" s="14">
        <f t="shared" si="93"/>
        <v>0.10209335265447497</v>
      </c>
      <c r="U309" t="str">
        <f t="shared" si="100"/>
        <v>No Impact</v>
      </c>
      <c r="V309">
        <f t="shared" si="101"/>
        <v>6.5801880749298117E-2</v>
      </c>
      <c r="W309">
        <f t="shared" si="94"/>
        <v>8.844096633836844E-2</v>
      </c>
      <c r="X309" t="s">
        <v>1176</v>
      </c>
      <c r="Y309">
        <f t="shared" si="102"/>
        <v>5.5908493584856382E-2</v>
      </c>
      <c r="Z309">
        <f t="shared" si="95"/>
        <v>0.11202069096683424</v>
      </c>
      <c r="AA309" t="str">
        <f t="shared" si="103"/>
        <v>No Impact</v>
      </c>
      <c r="AB309">
        <f t="shared" si="104"/>
        <v>4.5601778902416096E-2</v>
      </c>
      <c r="AC309">
        <f t="shared" si="96"/>
        <v>0.10706262442403393</v>
      </c>
      <c r="AD309" t="str">
        <f t="shared" si="105"/>
        <v>No Impact</v>
      </c>
      <c r="AE309">
        <f t="shared" si="106"/>
        <v>1.656735018487095E-2</v>
      </c>
      <c r="AF309">
        <f t="shared" si="97"/>
        <v>9.0630691615518275E-2</v>
      </c>
      <c r="AG309" t="s">
        <v>1175</v>
      </c>
    </row>
    <row r="310" spans="1:33" x14ac:dyDescent="0.3">
      <c r="A310">
        <v>404433</v>
      </c>
      <c r="B310" t="s">
        <v>244</v>
      </c>
      <c r="C310" s="1" t="s">
        <v>851</v>
      </c>
      <c r="D310" t="s">
        <v>1136</v>
      </c>
      <c r="E310" s="4">
        <v>4.5999999999999996</v>
      </c>
      <c r="F310" s="3">
        <f t="shared" si="107"/>
        <v>0.31111111111111101</v>
      </c>
      <c r="G310">
        <v>50.859000000000002</v>
      </c>
      <c r="H310">
        <f t="shared" si="98"/>
        <v>0.48004063908011607</v>
      </c>
      <c r="I310">
        <v>116.6</v>
      </c>
      <c r="J310" s="3">
        <f t="shared" si="88"/>
        <v>0.36054421768707479</v>
      </c>
      <c r="K310">
        <v>0</v>
      </c>
      <c r="L310" s="3">
        <f t="shared" si="89"/>
        <v>0</v>
      </c>
      <c r="M310">
        <v>31560</v>
      </c>
      <c r="N310">
        <f t="shared" si="90"/>
        <v>0.14819283378991546</v>
      </c>
      <c r="O310" s="15">
        <v>0.51600356000000003</v>
      </c>
      <c r="P310">
        <f t="shared" si="91"/>
        <v>0.52604213623695339</v>
      </c>
      <c r="Q310">
        <v>0.38450000000000001</v>
      </c>
      <c r="R310">
        <f t="shared" si="92"/>
        <v>0.85236089558856132</v>
      </c>
      <c r="S310">
        <f t="shared" si="99"/>
        <v>5.6633241385217817E-2</v>
      </c>
      <c r="T310" s="14">
        <f t="shared" si="93"/>
        <v>9.5010429740902236E-2</v>
      </c>
      <c r="U310" t="str">
        <f t="shared" si="100"/>
        <v>No Impact</v>
      </c>
      <c r="V310">
        <f t="shared" si="101"/>
        <v>7.0040415223488778E-2</v>
      </c>
      <c r="W310">
        <f t="shared" si="94"/>
        <v>9.4137765282217914E-2</v>
      </c>
      <c r="X310" t="s">
        <v>1176</v>
      </c>
      <c r="Y310">
        <f t="shared" si="102"/>
        <v>4.3226067546946856E-2</v>
      </c>
      <c r="Z310">
        <f t="shared" si="95"/>
        <v>8.6609630199365975E-2</v>
      </c>
      <c r="AA310" t="str">
        <f t="shared" si="103"/>
        <v>No Impact</v>
      </c>
      <c r="AB310">
        <f t="shared" si="104"/>
        <v>4.1744034257032415E-2</v>
      </c>
      <c r="AC310">
        <f t="shared" si="96"/>
        <v>9.8005515775347898E-2</v>
      </c>
      <c r="AD310" t="str">
        <f t="shared" si="105"/>
        <v>No Impact</v>
      </c>
      <c r="AE310">
        <f t="shared" si="106"/>
        <v>1.2177339042077975E-2</v>
      </c>
      <c r="AF310">
        <f t="shared" si="97"/>
        <v>6.6615399994865043E-2</v>
      </c>
      <c r="AG310" t="s">
        <v>1175</v>
      </c>
    </row>
    <row r="311" spans="1:33" x14ac:dyDescent="0.3">
      <c r="A311">
        <v>404442</v>
      </c>
      <c r="B311" t="s">
        <v>282</v>
      </c>
      <c r="C311" s="1" t="s">
        <v>851</v>
      </c>
      <c r="D311" t="s">
        <v>852</v>
      </c>
      <c r="E311" s="4">
        <v>4.5999999999999996</v>
      </c>
      <c r="F311" s="3">
        <f t="shared" si="107"/>
        <v>0.31111111111111101</v>
      </c>
      <c r="G311">
        <v>47.182319999999997</v>
      </c>
      <c r="H311">
        <f t="shared" si="98"/>
        <v>0.44533771891076385</v>
      </c>
      <c r="I311">
        <v>67.599999999999994</v>
      </c>
      <c r="J311" s="3">
        <f t="shared" si="88"/>
        <v>0.20902906617192327</v>
      </c>
      <c r="K311">
        <v>0</v>
      </c>
      <c r="L311" s="3">
        <f t="shared" si="89"/>
        <v>0</v>
      </c>
      <c r="M311">
        <v>23944</v>
      </c>
      <c r="N311">
        <f t="shared" si="90"/>
        <v>0.11215833226876364</v>
      </c>
      <c r="O311" s="15">
        <v>0.69499129900000001</v>
      </c>
      <c r="P311">
        <f t="shared" si="91"/>
        <v>0.70851198699492535</v>
      </c>
      <c r="Q311">
        <v>0.35709999999999997</v>
      </c>
      <c r="R311">
        <f t="shared" si="92"/>
        <v>0.7916204832631345</v>
      </c>
      <c r="S311">
        <f t="shared" si="99"/>
        <v>5.1324075728476741E-2</v>
      </c>
      <c r="T311" s="14">
        <f t="shared" si="93"/>
        <v>8.6103538694678766E-2</v>
      </c>
      <c r="U311" t="str">
        <f t="shared" si="100"/>
        <v>No Impact</v>
      </c>
      <c r="V311">
        <f t="shared" si="101"/>
        <v>5.4167469122538545E-2</v>
      </c>
      <c r="W311">
        <f t="shared" si="94"/>
        <v>7.2803744494068179E-2</v>
      </c>
      <c r="X311" t="s">
        <v>1176</v>
      </c>
      <c r="Y311">
        <f t="shared" si="102"/>
        <v>4.848068233441493E-2</v>
      </c>
      <c r="Z311">
        <f t="shared" si="95"/>
        <v>9.7138005076133474E-2</v>
      </c>
      <c r="AA311" t="str">
        <f t="shared" si="103"/>
        <v>No Impact</v>
      </c>
      <c r="AB311">
        <f t="shared" si="104"/>
        <v>3.6188912286395772E-2</v>
      </c>
      <c r="AC311">
        <f t="shared" si="96"/>
        <v>8.4963350502701943E-2</v>
      </c>
      <c r="AD311" t="str">
        <f t="shared" si="105"/>
        <v>No Impact</v>
      </c>
      <c r="AE311">
        <f t="shared" si="106"/>
        <v>7.6745525519508733E-3</v>
      </c>
      <c r="AF311">
        <f t="shared" si="97"/>
        <v>4.1983177627169008E-2</v>
      </c>
      <c r="AG311" t="s">
        <v>1176</v>
      </c>
    </row>
    <row r="312" spans="1:33" x14ac:dyDescent="0.3">
      <c r="A312">
        <v>404471</v>
      </c>
      <c r="B312" t="s">
        <v>316</v>
      </c>
      <c r="C312" s="1" t="s">
        <v>851</v>
      </c>
      <c r="D312" t="s">
        <v>853</v>
      </c>
      <c r="E312" s="4">
        <v>4.5999999999999996</v>
      </c>
      <c r="F312" s="3">
        <f t="shared" si="107"/>
        <v>0.31111111111111101</v>
      </c>
      <c r="G312">
        <v>54.352080000000001</v>
      </c>
      <c r="H312">
        <f t="shared" si="98"/>
        <v>0.51301062188665902</v>
      </c>
      <c r="I312">
        <v>85.3</v>
      </c>
      <c r="J312" s="3">
        <f t="shared" si="88"/>
        <v>0.26376004947433518</v>
      </c>
      <c r="K312">
        <v>0</v>
      </c>
      <c r="L312" s="3">
        <f t="shared" si="89"/>
        <v>0</v>
      </c>
      <c r="M312">
        <v>47194</v>
      </c>
      <c r="N312">
        <f t="shared" si="90"/>
        <v>0.22216386803120844</v>
      </c>
      <c r="O312" s="15">
        <v>0.72227638699999996</v>
      </c>
      <c r="P312">
        <f t="shared" si="91"/>
        <v>0.7363278919451417</v>
      </c>
      <c r="Q312">
        <v>0.36320000000000002</v>
      </c>
      <c r="R312">
        <f t="shared" si="92"/>
        <v>0.8051429838173354</v>
      </c>
      <c r="S312">
        <f t="shared" si="99"/>
        <v>6.1853875988940606E-2</v>
      </c>
      <c r="T312" s="14">
        <f t="shared" si="93"/>
        <v>0.10376879717825317</v>
      </c>
      <c r="U312" t="str">
        <f t="shared" si="100"/>
        <v>No Impact</v>
      </c>
      <c r="V312">
        <f t="shared" si="101"/>
        <v>6.4615186777070024E-2</v>
      </c>
      <c r="W312">
        <f t="shared" si="94"/>
        <v>8.684599123345263E-2</v>
      </c>
      <c r="X312" t="s">
        <v>1176</v>
      </c>
      <c r="Y312">
        <f t="shared" si="102"/>
        <v>5.9092565200811201E-2</v>
      </c>
      <c r="Z312">
        <f t="shared" si="95"/>
        <v>0.11840043543206082</v>
      </c>
      <c r="AA312" t="str">
        <f t="shared" si="103"/>
        <v>No Impact</v>
      </c>
      <c r="AB312">
        <f t="shared" si="104"/>
        <v>4.658335037670118E-2</v>
      </c>
      <c r="AC312">
        <f t="shared" si="96"/>
        <v>0.10936713141095677</v>
      </c>
      <c r="AD312" t="str">
        <f t="shared" si="105"/>
        <v>No Impact</v>
      </c>
      <c r="AE312">
        <f t="shared" si="106"/>
        <v>1.782932984138089E-2</v>
      </c>
      <c r="AF312">
        <f t="shared" si="97"/>
        <v>9.7534275338801588E-2</v>
      </c>
      <c r="AG312" t="s">
        <v>1175</v>
      </c>
    </row>
    <row r="313" spans="1:33" x14ac:dyDescent="0.3">
      <c r="A313">
        <v>404480</v>
      </c>
      <c r="B313" t="s">
        <v>474</v>
      </c>
      <c r="C313" s="1" t="s">
        <v>851</v>
      </c>
      <c r="D313" t="s">
        <v>854</v>
      </c>
      <c r="E313" s="4">
        <v>4.5999999999999996</v>
      </c>
      <c r="F313" s="3">
        <f t="shared" si="107"/>
        <v>0.31111111111111101</v>
      </c>
      <c r="G313">
        <v>49.661999999999999</v>
      </c>
      <c r="H313">
        <f t="shared" si="98"/>
        <v>0.46874256705788009</v>
      </c>
      <c r="I313">
        <v>87.799999999999983</v>
      </c>
      <c r="J313" s="3">
        <f t="shared" si="88"/>
        <v>0.27149041434755711</v>
      </c>
      <c r="K313">
        <v>0</v>
      </c>
      <c r="L313" s="3">
        <f t="shared" si="89"/>
        <v>0</v>
      </c>
      <c r="M313">
        <v>21848</v>
      </c>
      <c r="N313">
        <f t="shared" si="90"/>
        <v>0.10224127407701807</v>
      </c>
      <c r="O313" s="15">
        <v>0.68044292100000003</v>
      </c>
      <c r="P313">
        <f t="shared" si="91"/>
        <v>0.69368057799863336</v>
      </c>
      <c r="Q313">
        <v>0.38719999999999999</v>
      </c>
      <c r="R313">
        <f t="shared" si="92"/>
        <v>0.85834626468632225</v>
      </c>
      <c r="S313">
        <f t="shared" si="99"/>
        <v>5.8375722326905966E-2</v>
      </c>
      <c r="T313" s="14">
        <f t="shared" si="93"/>
        <v>9.7933692811066814E-2</v>
      </c>
      <c r="U313" t="str">
        <f t="shared" si="100"/>
        <v>No Impact</v>
      </c>
      <c r="V313">
        <f t="shared" si="101"/>
        <v>6.4569222425280903E-2</v>
      </c>
      <c r="W313">
        <f t="shared" si="94"/>
        <v>8.6784212882392506E-2</v>
      </c>
      <c r="X313" t="s">
        <v>1176</v>
      </c>
      <c r="Y313">
        <f t="shared" si="102"/>
        <v>5.2182222228531014E-2</v>
      </c>
      <c r="Z313">
        <f t="shared" si="95"/>
        <v>0.10455457150446772</v>
      </c>
      <c r="AA313" t="str">
        <f t="shared" si="103"/>
        <v>No Impact</v>
      </c>
      <c r="AB313">
        <f t="shared" si="104"/>
        <v>4.0945784659514158E-2</v>
      </c>
      <c r="AC313">
        <f t="shared" si="96"/>
        <v>9.6131406937650654E-2</v>
      </c>
      <c r="AD313" t="str">
        <f t="shared" si="105"/>
        <v>No Impact</v>
      </c>
      <c r="AE313">
        <f t="shared" si="106"/>
        <v>7.6911146917329649E-3</v>
      </c>
      <c r="AF313">
        <f t="shared" si="97"/>
        <v>4.2073779815589851E-2</v>
      </c>
      <c r="AG313" t="s">
        <v>1176</v>
      </c>
    </row>
    <row r="314" spans="1:33" x14ac:dyDescent="0.3">
      <c r="A314">
        <v>404712</v>
      </c>
      <c r="B314" t="s">
        <v>54</v>
      </c>
      <c r="C314" s="1" t="s">
        <v>856</v>
      </c>
      <c r="D314" t="s">
        <v>855</v>
      </c>
      <c r="E314" s="4">
        <v>6.9</v>
      </c>
      <c r="F314" s="3">
        <f t="shared" si="107"/>
        <v>0.8222222222222223</v>
      </c>
      <c r="G314">
        <v>74.532240000000002</v>
      </c>
      <c r="H314">
        <f t="shared" si="98"/>
        <v>0.70348422347416562</v>
      </c>
      <c r="I314">
        <v>200.3</v>
      </c>
      <c r="J314" s="3">
        <f t="shared" si="88"/>
        <v>0.6193568336425479</v>
      </c>
      <c r="K314">
        <v>0</v>
      </c>
      <c r="L314" s="3">
        <f t="shared" si="89"/>
        <v>0</v>
      </c>
      <c r="M314">
        <v>34844</v>
      </c>
      <c r="N314">
        <f t="shared" si="90"/>
        <v>0.16373082000255496</v>
      </c>
      <c r="O314" s="15">
        <v>0.59758126700000003</v>
      </c>
      <c r="P314">
        <f t="shared" si="91"/>
        <v>0.60920689436302577</v>
      </c>
      <c r="Q314">
        <v>0.3387</v>
      </c>
      <c r="R314">
        <f t="shared" si="92"/>
        <v>0.75083130126357789</v>
      </c>
      <c r="S314">
        <f t="shared" si="99"/>
        <v>0.22659455955465213</v>
      </c>
      <c r="T314" s="14">
        <f t="shared" si="93"/>
        <v>0.38014505180445735</v>
      </c>
      <c r="U314" t="str">
        <f t="shared" si="100"/>
        <v>Moderate</v>
      </c>
      <c r="V314">
        <f t="shared" si="101"/>
        <v>0.25019045576331278</v>
      </c>
      <c r="W314">
        <f t="shared" si="94"/>
        <v>0.33626828632219946</v>
      </c>
      <c r="X314" t="str">
        <f t="shared" si="109"/>
        <v>Moderate</v>
      </c>
      <c r="Y314">
        <f t="shared" si="102"/>
        <v>0.20299866334599151</v>
      </c>
      <c r="Z314">
        <f t="shared" si="95"/>
        <v>0.40673695668168036</v>
      </c>
      <c r="AA314" t="str">
        <f t="shared" si="103"/>
        <v>Moderate</v>
      </c>
      <c r="AB314">
        <f t="shared" si="104"/>
        <v>0.16756157453069256</v>
      </c>
      <c r="AC314">
        <f t="shared" si="96"/>
        <v>0.39339653745237607</v>
      </c>
      <c r="AD314" t="str">
        <f t="shared" si="105"/>
        <v>Moderate</v>
      </c>
      <c r="AE314">
        <f t="shared" si="106"/>
        <v>5.4558045742101872E-2</v>
      </c>
      <c r="AF314">
        <f t="shared" si="97"/>
        <v>0.29845650412539343</v>
      </c>
      <c r="AG314" t="s">
        <v>1175</v>
      </c>
    </row>
    <row r="315" spans="1:33" x14ac:dyDescent="0.3">
      <c r="A315">
        <v>404717</v>
      </c>
      <c r="B315" t="s">
        <v>121</v>
      </c>
      <c r="C315" s="1" t="s">
        <v>856</v>
      </c>
      <c r="D315" t="s">
        <v>857</v>
      </c>
      <c r="E315" s="4">
        <v>6.9</v>
      </c>
      <c r="F315" s="3">
        <f t="shared" si="107"/>
        <v>0.8222222222222223</v>
      </c>
      <c r="G315">
        <v>74.532240000000002</v>
      </c>
      <c r="H315">
        <f t="shared" si="98"/>
        <v>0.70348422347416562</v>
      </c>
      <c r="I315">
        <v>204.29999999999998</v>
      </c>
      <c r="J315" s="3">
        <f t="shared" si="88"/>
        <v>0.63172541743970301</v>
      </c>
      <c r="K315">
        <v>0</v>
      </c>
      <c r="L315" s="3">
        <f t="shared" si="89"/>
        <v>0</v>
      </c>
      <c r="M315">
        <v>30636</v>
      </c>
      <c r="N315">
        <f t="shared" si="90"/>
        <v>0.1438210008847757</v>
      </c>
      <c r="O315" s="15">
        <v>0.32681349700000001</v>
      </c>
      <c r="P315">
        <f t="shared" si="91"/>
        <v>0.33317148066371705</v>
      </c>
      <c r="Q315">
        <v>0.42080000000000001</v>
      </c>
      <c r="R315">
        <f t="shared" si="92"/>
        <v>0.93283085790290399</v>
      </c>
      <c r="S315">
        <f t="shared" si="99"/>
        <v>0.21221483199479313</v>
      </c>
      <c r="T315" s="14">
        <f t="shared" si="93"/>
        <v>0.35602098506198926</v>
      </c>
      <c r="U315" t="str">
        <f t="shared" si="100"/>
        <v>Moderate</v>
      </c>
      <c r="V315">
        <f t="shared" si="101"/>
        <v>0.31273329876081618</v>
      </c>
      <c r="W315">
        <f t="shared" si="94"/>
        <v>0.42032894552010636</v>
      </c>
      <c r="X315" t="str">
        <f t="shared" si="109"/>
        <v>Moderate</v>
      </c>
      <c r="Y315">
        <f t="shared" si="102"/>
        <v>0.11169636522877009</v>
      </c>
      <c r="Z315">
        <f t="shared" si="95"/>
        <v>0.22379969856315071</v>
      </c>
      <c r="AA315" t="str">
        <f t="shared" si="103"/>
        <v>Low</v>
      </c>
      <c r="AB315">
        <f t="shared" si="104"/>
        <v>0.1598412554565056</v>
      </c>
      <c r="AC315">
        <f t="shared" si="96"/>
        <v>0.37527098091998407</v>
      </c>
      <c r="AD315" t="str">
        <f t="shared" si="105"/>
        <v>Moderate</v>
      </c>
      <c r="AE315">
        <f t="shared" si="106"/>
        <v>4.8216260918825408E-2</v>
      </c>
      <c r="AF315">
        <f t="shared" si="97"/>
        <v>0.2637641521079172</v>
      </c>
      <c r="AG315" t="s">
        <v>1175</v>
      </c>
    </row>
    <row r="316" spans="1:33" x14ac:dyDescent="0.3">
      <c r="A316">
        <v>404730</v>
      </c>
      <c r="B316" t="s">
        <v>158</v>
      </c>
      <c r="C316" s="1" t="s">
        <v>856</v>
      </c>
      <c r="D316" t="s">
        <v>858</v>
      </c>
      <c r="E316" s="4">
        <v>6.9</v>
      </c>
      <c r="F316" s="3">
        <f t="shared" si="107"/>
        <v>0.8222222222222223</v>
      </c>
      <c r="G316">
        <v>74.532240000000002</v>
      </c>
      <c r="H316">
        <f t="shared" si="98"/>
        <v>0.70348422347416562</v>
      </c>
      <c r="I316">
        <v>205.50000000000003</v>
      </c>
      <c r="J316" s="3">
        <f t="shared" si="88"/>
        <v>0.63543599257884975</v>
      </c>
      <c r="K316">
        <v>0</v>
      </c>
      <c r="L316" s="3">
        <f t="shared" si="89"/>
        <v>0</v>
      </c>
      <c r="M316">
        <v>69387</v>
      </c>
      <c r="N316">
        <f t="shared" si="90"/>
        <v>0.32716829190974339</v>
      </c>
      <c r="O316" s="15">
        <v>0.83397326599999999</v>
      </c>
      <c r="P316">
        <f t="shared" si="91"/>
        <v>0.85019777462610713</v>
      </c>
      <c r="Q316">
        <v>0.2404</v>
      </c>
      <c r="R316">
        <f t="shared" si="92"/>
        <v>0.53291953003768566</v>
      </c>
      <c r="S316">
        <f t="shared" si="99"/>
        <v>0.23226831592664751</v>
      </c>
      <c r="T316" s="14">
        <f t="shared" si="93"/>
        <v>0.38966359635467568</v>
      </c>
      <c r="U316" t="str">
        <f t="shared" si="100"/>
        <v>Moderate</v>
      </c>
      <c r="V316">
        <f t="shared" si="101"/>
        <v>0.17898745297870758</v>
      </c>
      <c r="W316">
        <f t="shared" si="94"/>
        <v>0.24056794613805976</v>
      </c>
      <c r="X316" t="s">
        <v>1175</v>
      </c>
      <c r="Y316">
        <f t="shared" si="102"/>
        <v>0.28554917887458747</v>
      </c>
      <c r="Z316">
        <f t="shared" si="95"/>
        <v>0.57213876231513572</v>
      </c>
      <c r="AA316" t="str">
        <f t="shared" si="103"/>
        <v>Moderate</v>
      </c>
      <c r="AB316">
        <f t="shared" si="104"/>
        <v>0.18676955836360543</v>
      </c>
      <c r="AC316">
        <f t="shared" si="96"/>
        <v>0.43849252292800206</v>
      </c>
      <c r="AD316" t="str">
        <f t="shared" si="105"/>
        <v>Moderate</v>
      </c>
      <c r="AE316">
        <f t="shared" si="106"/>
        <v>0.10988341759623303</v>
      </c>
      <c r="AF316">
        <f t="shared" si="97"/>
        <v>0.60111061954359135</v>
      </c>
      <c r="AG316" t="str">
        <f t="shared" si="108"/>
        <v>Moderate</v>
      </c>
    </row>
    <row r="317" spans="1:33" x14ac:dyDescent="0.3">
      <c r="A317" s="15">
        <v>404733</v>
      </c>
      <c r="B317" s="15" t="s">
        <v>1173</v>
      </c>
      <c r="C317" s="15" t="s">
        <v>856</v>
      </c>
      <c r="D317" s="15" t="s">
        <v>1174</v>
      </c>
      <c r="E317" s="4">
        <v>6.9</v>
      </c>
      <c r="F317" s="3">
        <f t="shared" si="107"/>
        <v>0.8222222222222223</v>
      </c>
      <c r="G317">
        <v>74.532240000000002</v>
      </c>
      <c r="H317">
        <f t="shared" si="98"/>
        <v>0.70348422347416562</v>
      </c>
      <c r="I317">
        <v>205.50000000000003</v>
      </c>
      <c r="J317" s="3">
        <f t="shared" si="88"/>
        <v>0.63543599257884975</v>
      </c>
      <c r="K317">
        <v>0</v>
      </c>
      <c r="L317" s="3">
        <f t="shared" si="89"/>
        <v>0</v>
      </c>
      <c r="M317">
        <v>68200</v>
      </c>
      <c r="N317">
        <f t="shared" si="90"/>
        <v>0.32155209530974249</v>
      </c>
      <c r="O317" s="15">
        <v>0.83397326599999999</v>
      </c>
      <c r="P317">
        <f t="shared" si="91"/>
        <v>0.85019777462610713</v>
      </c>
      <c r="Q317">
        <v>0.2404</v>
      </c>
      <c r="R317">
        <f t="shared" si="92"/>
        <v>0.53291953003768566</v>
      </c>
      <c r="S317">
        <f t="shared" si="99"/>
        <v>0.23226831592664751</v>
      </c>
      <c r="T317" s="14">
        <f t="shared" si="93"/>
        <v>0.38966359635467568</v>
      </c>
      <c r="U317" t="str">
        <f t="shared" si="100"/>
        <v>Moderate</v>
      </c>
      <c r="V317">
        <f t="shared" si="101"/>
        <v>0.17898745297870758</v>
      </c>
      <c r="W317">
        <f t="shared" si="94"/>
        <v>0.24056794613805976</v>
      </c>
      <c r="X317" t="s">
        <v>1175</v>
      </c>
      <c r="Y317">
        <f t="shared" si="102"/>
        <v>0.28554917887458747</v>
      </c>
      <c r="Z317">
        <f t="shared" si="95"/>
        <v>0.57213876231513572</v>
      </c>
      <c r="AA317" t="str">
        <f t="shared" si="103"/>
        <v>Moderate</v>
      </c>
      <c r="AB317">
        <f t="shared" si="104"/>
        <v>0.18610936478113951</v>
      </c>
      <c r="AC317">
        <f t="shared" si="96"/>
        <v>0.43694253827240437</v>
      </c>
      <c r="AD317" t="str">
        <f t="shared" si="105"/>
        <v>Moderate</v>
      </c>
      <c r="AE317">
        <f t="shared" si="106"/>
        <v>0.10799715021775894</v>
      </c>
      <c r="AF317">
        <f t="shared" si="97"/>
        <v>0.59079190742757592</v>
      </c>
      <c r="AG317" t="str">
        <f t="shared" si="108"/>
        <v>Moderate</v>
      </c>
    </row>
    <row r="318" spans="1:33" x14ac:dyDescent="0.3">
      <c r="A318">
        <v>404740</v>
      </c>
      <c r="B318" t="s">
        <v>149</v>
      </c>
      <c r="C318" s="1" t="s">
        <v>856</v>
      </c>
      <c r="D318" t="s">
        <v>859</v>
      </c>
      <c r="E318" s="4">
        <v>6.9</v>
      </c>
      <c r="F318" s="3">
        <f t="shared" si="107"/>
        <v>0.8222222222222223</v>
      </c>
      <c r="G318">
        <v>57.823200000000007</v>
      </c>
      <c r="H318">
        <f t="shared" si="98"/>
        <v>0.54577333179294463</v>
      </c>
      <c r="I318">
        <v>207.6</v>
      </c>
      <c r="J318" s="3">
        <f t="shared" si="88"/>
        <v>0.64192949907235608</v>
      </c>
      <c r="K318">
        <v>0</v>
      </c>
      <c r="L318" s="3">
        <f t="shared" si="89"/>
        <v>0</v>
      </c>
      <c r="M318">
        <v>17988</v>
      </c>
      <c r="N318">
        <f t="shared" si="90"/>
        <v>8.3977989430005728E-2</v>
      </c>
      <c r="O318" s="15">
        <v>0.80642657200000001</v>
      </c>
      <c r="P318">
        <f t="shared" si="91"/>
        <v>0.82211517426957925</v>
      </c>
      <c r="Q318">
        <v>0.26379999999999998</v>
      </c>
      <c r="R318">
        <f t="shared" si="92"/>
        <v>0.58479272888494782</v>
      </c>
      <c r="S318">
        <f t="shared" si="99"/>
        <v>0.20052695241651805</v>
      </c>
      <c r="T318" s="14">
        <f t="shared" si="93"/>
        <v>0.33641288151131238</v>
      </c>
      <c r="U318" t="str">
        <f t="shared" si="100"/>
        <v>Moderate</v>
      </c>
      <c r="V318">
        <f t="shared" si="101"/>
        <v>0.16670132203494736</v>
      </c>
      <c r="W318">
        <f t="shared" si="94"/>
        <v>0.22405478145564339</v>
      </c>
      <c r="X318" t="s">
        <v>1175</v>
      </c>
      <c r="Y318">
        <f t="shared" si="102"/>
        <v>0.23435258279808874</v>
      </c>
      <c r="Z318">
        <f t="shared" si="95"/>
        <v>0.46955903426478574</v>
      </c>
      <c r="AA318" t="str">
        <f t="shared" si="103"/>
        <v>Moderate</v>
      </c>
      <c r="AB318">
        <f t="shared" si="104"/>
        <v>0.13702982095210356</v>
      </c>
      <c r="AC318">
        <f t="shared" si="96"/>
        <v>0.32171491131698776</v>
      </c>
      <c r="AD318" t="str">
        <f t="shared" si="105"/>
        <v>Moderate</v>
      </c>
      <c r="AE318">
        <f t="shared" si="106"/>
        <v>2.3938809715558215E-2</v>
      </c>
      <c r="AF318">
        <f t="shared" si="97"/>
        <v>0.13095581712002238</v>
      </c>
      <c r="AG318" t="s">
        <v>1175</v>
      </c>
    </row>
    <row r="319" spans="1:33" x14ac:dyDescent="0.3">
      <c r="A319">
        <v>404748</v>
      </c>
      <c r="B319" t="s">
        <v>272</v>
      </c>
      <c r="C319" s="1" t="s">
        <v>856</v>
      </c>
      <c r="D319" t="s">
        <v>860</v>
      </c>
      <c r="E319" s="4">
        <v>6</v>
      </c>
      <c r="F319" s="3">
        <f t="shared" si="107"/>
        <v>0.62222222222222223</v>
      </c>
      <c r="G319">
        <v>57.888720000000006</v>
      </c>
      <c r="H319">
        <f t="shared" si="98"/>
        <v>0.54639175257731964</v>
      </c>
      <c r="I319">
        <v>205.2</v>
      </c>
      <c r="J319" s="3">
        <f t="shared" si="88"/>
        <v>0.63450834879406293</v>
      </c>
      <c r="K319">
        <v>0</v>
      </c>
      <c r="L319" s="3">
        <f t="shared" si="89"/>
        <v>0</v>
      </c>
      <c r="M319">
        <v>12622</v>
      </c>
      <c r="N319">
        <f t="shared" si="90"/>
        <v>5.8589184918122761E-2</v>
      </c>
      <c r="O319" s="15">
        <v>0.86114365800000003</v>
      </c>
      <c r="P319">
        <f t="shared" si="91"/>
        <v>0.87789675222633035</v>
      </c>
      <c r="Q319">
        <v>0.26650000000000001</v>
      </c>
      <c r="R319">
        <f t="shared" si="92"/>
        <v>0.59077809798270897</v>
      </c>
      <c r="S319">
        <f t="shared" si="99"/>
        <v>0.15784720652495848</v>
      </c>
      <c r="T319" s="14">
        <f t="shared" si="93"/>
        <v>0.26481145275311302</v>
      </c>
      <c r="U319" t="str">
        <f t="shared" si="100"/>
        <v>Low</v>
      </c>
      <c r="V319">
        <f t="shared" si="101"/>
        <v>0.12698885996369583</v>
      </c>
      <c r="W319">
        <f t="shared" si="94"/>
        <v>0.17067927787940626</v>
      </c>
      <c r="X319" t="s">
        <v>1176</v>
      </c>
      <c r="Y319">
        <f t="shared" si="102"/>
        <v>0.18870555308622114</v>
      </c>
      <c r="Z319">
        <f t="shared" si="95"/>
        <v>0.37809865890793548</v>
      </c>
      <c r="AA319" t="str">
        <f t="shared" si="103"/>
        <v>Moderate</v>
      </c>
      <c r="AB319">
        <f t="shared" si="104"/>
        <v>0.10546561621990638</v>
      </c>
      <c r="AC319">
        <f t="shared" si="96"/>
        <v>0.24760932425824489</v>
      </c>
      <c r="AD319" t="str">
        <f t="shared" si="105"/>
        <v>Low</v>
      </c>
      <c r="AE319">
        <f t="shared" si="106"/>
        <v>1.2593855162132859E-2</v>
      </c>
      <c r="AF319">
        <f t="shared" si="97"/>
        <v>6.8893926349915965E-2</v>
      </c>
      <c r="AG319" t="s">
        <v>1175</v>
      </c>
    </row>
    <row r="320" spans="1:33" x14ac:dyDescent="0.3">
      <c r="A320">
        <v>404753</v>
      </c>
      <c r="B320" t="s">
        <v>286</v>
      </c>
      <c r="C320" s="1" t="s">
        <v>856</v>
      </c>
      <c r="D320" t="s">
        <v>861</v>
      </c>
      <c r="E320" s="4">
        <v>6.9</v>
      </c>
      <c r="F320" s="3">
        <f t="shared" si="107"/>
        <v>0.8222222222222223</v>
      </c>
      <c r="G320">
        <v>67.32396</v>
      </c>
      <c r="H320">
        <f t="shared" si="98"/>
        <v>0.63544774344372024</v>
      </c>
      <c r="I320">
        <v>117.50000000000001</v>
      </c>
      <c r="J320" s="3">
        <f t="shared" si="88"/>
        <v>0.36332714904143476</v>
      </c>
      <c r="K320">
        <v>0</v>
      </c>
      <c r="L320" s="3">
        <f t="shared" si="89"/>
        <v>0</v>
      </c>
      <c r="M320">
        <v>26404</v>
      </c>
      <c r="N320">
        <f t="shared" si="90"/>
        <v>0.12379762766556425</v>
      </c>
      <c r="O320" s="15">
        <v>0.87911751599999999</v>
      </c>
      <c r="P320">
        <f t="shared" si="91"/>
        <v>0.89622028212356519</v>
      </c>
      <c r="Q320">
        <v>0.40810000000000002</v>
      </c>
      <c r="R320">
        <f t="shared" si="92"/>
        <v>0.90467745510973185</v>
      </c>
      <c r="S320">
        <f t="shared" si="99"/>
        <v>0.24198557854589023</v>
      </c>
      <c r="T320" s="14">
        <f t="shared" si="93"/>
        <v>0.40596570576564145</v>
      </c>
      <c r="U320" t="str">
        <f t="shared" si="100"/>
        <v>Moderate</v>
      </c>
      <c r="V320">
        <f t="shared" si="101"/>
        <v>0.24312196394724248</v>
      </c>
      <c r="W320">
        <f t="shared" si="94"/>
        <v>0.32676788542712665</v>
      </c>
      <c r="X320" t="str">
        <f t="shared" si="109"/>
        <v>Moderate</v>
      </c>
      <c r="Y320">
        <f t="shared" si="102"/>
        <v>0.24084919314453798</v>
      </c>
      <c r="Z320">
        <f t="shared" si="95"/>
        <v>0.48257592549700906</v>
      </c>
      <c r="AA320" t="str">
        <f t="shared" si="103"/>
        <v>Moderate</v>
      </c>
      <c r="AB320">
        <f t="shared" si="104"/>
        <v>0.16899167584044922</v>
      </c>
      <c r="AC320">
        <f t="shared" si="96"/>
        <v>0.39675409066850037</v>
      </c>
      <c r="AD320" t="str">
        <f t="shared" si="105"/>
        <v>Moderate</v>
      </c>
      <c r="AE320">
        <f t="shared" si="106"/>
        <v>3.3269230044436958E-2</v>
      </c>
      <c r="AF320">
        <f t="shared" si="97"/>
        <v>0.18199731971601274</v>
      </c>
      <c r="AG320" t="s">
        <v>1175</v>
      </c>
    </row>
    <row r="321" spans="1:33" x14ac:dyDescent="0.3">
      <c r="A321">
        <v>404764</v>
      </c>
      <c r="B321" t="s">
        <v>391</v>
      </c>
      <c r="C321" s="1" t="s">
        <v>856</v>
      </c>
      <c r="D321" t="s">
        <v>862</v>
      </c>
      <c r="E321" s="4">
        <v>6.9</v>
      </c>
      <c r="F321" s="3">
        <f t="shared" si="107"/>
        <v>0.8222222222222223</v>
      </c>
      <c r="G321">
        <v>74.532240000000002</v>
      </c>
      <c r="H321">
        <f t="shared" si="98"/>
        <v>0.70348422347416562</v>
      </c>
      <c r="I321">
        <v>188.6</v>
      </c>
      <c r="J321" s="3">
        <f t="shared" si="88"/>
        <v>0.58317872603586884</v>
      </c>
      <c r="K321">
        <v>0</v>
      </c>
      <c r="L321" s="3">
        <f t="shared" si="89"/>
        <v>0</v>
      </c>
      <c r="M321">
        <v>42872</v>
      </c>
      <c r="N321">
        <f t="shared" si="90"/>
        <v>0.20171466693162624</v>
      </c>
      <c r="O321" s="15">
        <v>0.85624456500000001</v>
      </c>
      <c r="P321">
        <f t="shared" si="91"/>
        <v>0.87290234996417637</v>
      </c>
      <c r="Q321">
        <v>0.33279999999999998</v>
      </c>
      <c r="R321">
        <f t="shared" si="92"/>
        <v>0.73775216138328525</v>
      </c>
      <c r="S321">
        <f t="shared" si="99"/>
        <v>0.26355836073168615</v>
      </c>
      <c r="T321" s="14">
        <f t="shared" si="93"/>
        <v>0.44215715898368629</v>
      </c>
      <c r="U321" t="str">
        <f t="shared" si="100"/>
        <v>Moderate</v>
      </c>
      <c r="V321">
        <f t="shared" si="101"/>
        <v>0.24144315110478828</v>
      </c>
      <c r="W321">
        <f t="shared" si="94"/>
        <v>0.32451147833971228</v>
      </c>
      <c r="X321" t="str">
        <f t="shared" si="109"/>
        <v>Moderate</v>
      </c>
      <c r="Y321">
        <f t="shared" si="102"/>
        <v>0.28567357035858409</v>
      </c>
      <c r="Z321">
        <f t="shared" si="95"/>
        <v>0.5723879985061725</v>
      </c>
      <c r="AA321" t="str">
        <f t="shared" si="103"/>
        <v>Moderate</v>
      </c>
      <c r="AB321">
        <f t="shared" si="104"/>
        <v>0.19331238408383938</v>
      </c>
      <c r="AC321">
        <f t="shared" si="96"/>
        <v>0.45385359237786521</v>
      </c>
      <c r="AD321" t="str">
        <f t="shared" si="105"/>
        <v>Moderate</v>
      </c>
      <c r="AE321">
        <f t="shared" si="106"/>
        <v>6.6014885970252193E-2</v>
      </c>
      <c r="AF321">
        <f t="shared" si="97"/>
        <v>0.36113045874210414</v>
      </c>
      <c r="AG321" t="str">
        <f t="shared" si="108"/>
        <v>Moderate</v>
      </c>
    </row>
    <row r="322" spans="1:33" x14ac:dyDescent="0.3">
      <c r="A322">
        <v>404769</v>
      </c>
      <c r="B322" t="s">
        <v>413</v>
      </c>
      <c r="C322" s="1" t="s">
        <v>856</v>
      </c>
      <c r="D322" t="s">
        <v>863</v>
      </c>
      <c r="E322" s="4">
        <v>6.9</v>
      </c>
      <c r="F322" s="3">
        <f t="shared" si="107"/>
        <v>0.8222222222222223</v>
      </c>
      <c r="G322">
        <v>57.888720000000006</v>
      </c>
      <c r="H322">
        <f t="shared" si="98"/>
        <v>0.54639175257731964</v>
      </c>
      <c r="I322">
        <v>166.3</v>
      </c>
      <c r="J322" s="3">
        <f t="shared" ref="J322:J385" si="110">(I322-$AJ$7)/$AK$7</f>
        <v>0.51422387136672854</v>
      </c>
      <c r="K322">
        <v>0</v>
      </c>
      <c r="L322" s="3">
        <f t="shared" ref="L322:L385" si="111">(K322-$AJ$8)/$AK$8</f>
        <v>0</v>
      </c>
      <c r="M322">
        <v>16829</v>
      </c>
      <c r="N322">
        <f t="shared" ref="N322:N385" si="112">(M322-$AJ$9)/$AK$9</f>
        <v>7.849427261500902E-2</v>
      </c>
      <c r="O322" s="15">
        <v>0.82442064599999998</v>
      </c>
      <c r="P322">
        <f t="shared" ref="P322:P385" si="113">(O322-$AJ$11)/$AK$11</f>
        <v>0.84045931345839764</v>
      </c>
      <c r="Q322">
        <v>0.29049999999999998</v>
      </c>
      <c r="R322">
        <f t="shared" ref="R322:R385" si="114">(Q322-$AJ$12)/$AK$12</f>
        <v>0.64398137885169582</v>
      </c>
      <c r="S322">
        <f t="shared" si="99"/>
        <v>0.19614169838751075</v>
      </c>
      <c r="T322" s="14">
        <f t="shared" ref="T322:T385" si="115">(S322-$AJ$10)/$AK$10</f>
        <v>0.32905598546178205</v>
      </c>
      <c r="U322" t="str">
        <f t="shared" si="100"/>
        <v>Moderate</v>
      </c>
      <c r="V322">
        <f t="shared" si="101"/>
        <v>0.17018073141249709</v>
      </c>
      <c r="W322">
        <f t="shared" ref="W322:W385" si="116">(V322-$AJ$13)/$AK$13</f>
        <v>0.2287312789072844</v>
      </c>
      <c r="X322" t="s">
        <v>1175</v>
      </c>
      <c r="Y322">
        <f t="shared" si="102"/>
        <v>0.2221026653625244</v>
      </c>
      <c r="Z322">
        <f t="shared" ref="Z322:Z385" si="117">(Y322-$AJ$14)/$AK$14</f>
        <v>0.44501456655638949</v>
      </c>
      <c r="AA322" t="str">
        <f t="shared" si="103"/>
        <v>Moderate</v>
      </c>
      <c r="AB322">
        <f t="shared" si="104"/>
        <v>0.13345416374817856</v>
      </c>
      <c r="AC322">
        <f t="shared" ref="AC322:AC385" si="118">(AB322-$AJ$15)/$AK$15</f>
        <v>0.31332007994183214</v>
      </c>
      <c r="AD322" t="str">
        <f t="shared" si="105"/>
        <v>Moderate</v>
      </c>
      <c r="AE322">
        <f t="shared" si="106"/>
        <v>2.0743166128706452E-2</v>
      </c>
      <c r="AF322">
        <f t="shared" ref="AF322:AF385" si="119">(AE322-$AJ$16)/$AK$16</f>
        <v>0.1134742412976226</v>
      </c>
      <c r="AG322" t="s">
        <v>1175</v>
      </c>
    </row>
    <row r="323" spans="1:33" x14ac:dyDescent="0.3">
      <c r="A323">
        <v>404775</v>
      </c>
      <c r="B323" t="s">
        <v>448</v>
      </c>
      <c r="C323" s="1" t="s">
        <v>856</v>
      </c>
      <c r="D323" t="s">
        <v>864</v>
      </c>
      <c r="E323" s="4">
        <v>6.4</v>
      </c>
      <c r="F323" s="3">
        <f t="shared" si="107"/>
        <v>0.71111111111111114</v>
      </c>
      <c r="G323">
        <v>62.418240000000004</v>
      </c>
      <c r="H323">
        <f t="shared" ref="H323:H386" si="120">(G323-$AJ$6)/$AK$6</f>
        <v>0.58914433669274002</v>
      </c>
      <c r="I323">
        <v>286.50000000000006</v>
      </c>
      <c r="J323" s="3">
        <f t="shared" si="110"/>
        <v>0.88589981447124311</v>
      </c>
      <c r="K323">
        <v>0</v>
      </c>
      <c r="L323" s="3">
        <f t="shared" si="111"/>
        <v>0</v>
      </c>
      <c r="M323">
        <v>27731</v>
      </c>
      <c r="N323">
        <f t="shared" si="112"/>
        <v>0.13007622319058637</v>
      </c>
      <c r="O323" s="15">
        <v>0.71351089899999998</v>
      </c>
      <c r="P323">
        <f t="shared" si="113"/>
        <v>0.72739187601401245</v>
      </c>
      <c r="Q323">
        <v>0.27789999999999998</v>
      </c>
      <c r="R323">
        <f t="shared" si="114"/>
        <v>0.61604965639547771</v>
      </c>
      <c r="S323">
        <f t="shared" ref="S323:S386" si="121">F323*(R323*0.5+P323*0.5)*(H323*0.4+J323*0.2+L323*0.4)</f>
        <v>0.19719939877747664</v>
      </c>
      <c r="T323" s="14">
        <f t="shared" si="115"/>
        <v>0.33083043040135796</v>
      </c>
      <c r="U323" t="str">
        <f t="shared" ref="U323:U386" si="122">IF(T323&gt;0.7,"High",IF(T323&gt;0.3,"Moderate",IF(T323&gt;0.15,"Low","No Impact")))</f>
        <v>Moderate</v>
      </c>
      <c r="V323">
        <f t="shared" ref="V323:V386" si="123">F323*(R323*1)*(H323*0.4+J323*0.2+L323*0.4)</f>
        <v>0.18085583767888144</v>
      </c>
      <c r="W323">
        <f t="shared" si="116"/>
        <v>0.24307914713252315</v>
      </c>
      <c r="X323" t="s">
        <v>1175</v>
      </c>
      <c r="Y323">
        <f t="shared" ref="Y323:Y386" si="124">F323*(P323*1)*(H323*0.4+J323*0.2+L323*0.4)</f>
        <v>0.21354295987607178</v>
      </c>
      <c r="Z323">
        <f t="shared" si="117"/>
        <v>0.42786396811270783</v>
      </c>
      <c r="AA323" t="str">
        <f t="shared" ref="AA323:AA386" si="125">IF(Z323&gt;0.7,"High",IF(Z323&gt;0.3,"Moderate",IF(Z323&gt;0.15,"Low","No Impact")))</f>
        <v>Moderate</v>
      </c>
      <c r="AB323">
        <f t="shared" ref="AB323:AB386" si="126">F323*(R323*0.35+P323*0.3+N323*0.35)*(H323*0.4+J323*0.2+L323*0.4)</f>
        <v>0.14072785619702369</v>
      </c>
      <c r="AC323">
        <f t="shared" si="118"/>
        <v>0.33039705855034379</v>
      </c>
      <c r="AD323" t="str">
        <f t="shared" ref="AD323:AD386" si="127">IF(AC323&gt;0.7,"High",IF(AC323&gt;0.3,"Moderate",IF(AC323&gt;0.15,"Low","No Impact")))</f>
        <v>Moderate</v>
      </c>
      <c r="AE323">
        <f t="shared" ref="AE323:AE386" si="128">F323*(N323*1)*(H323*0.4+J323*0.2+L323*0.4)</f>
        <v>3.8186928704553265E-2</v>
      </c>
      <c r="AF323">
        <f t="shared" si="119"/>
        <v>0.20889929412650415</v>
      </c>
      <c r="AG323" t="s">
        <v>1175</v>
      </c>
    </row>
    <row r="324" spans="1:33" x14ac:dyDescent="0.3">
      <c r="A324">
        <v>404794</v>
      </c>
      <c r="B324" t="s">
        <v>520</v>
      </c>
      <c r="C324" s="1" t="s">
        <v>856</v>
      </c>
      <c r="D324" t="s">
        <v>865</v>
      </c>
      <c r="E324" s="4">
        <v>6.9</v>
      </c>
      <c r="F324" s="3">
        <f t="shared" si="107"/>
        <v>0.8222222222222223</v>
      </c>
      <c r="G324">
        <v>62.418240000000004</v>
      </c>
      <c r="H324">
        <f t="shared" si="120"/>
        <v>0.58914433669274002</v>
      </c>
      <c r="I324">
        <v>286.50000000000006</v>
      </c>
      <c r="J324" s="3">
        <f t="shared" si="110"/>
        <v>0.88589981447124311</v>
      </c>
      <c r="K324">
        <v>0</v>
      </c>
      <c r="L324" s="3">
        <f t="shared" si="111"/>
        <v>0</v>
      </c>
      <c r="M324">
        <v>14270</v>
      </c>
      <c r="N324">
        <f t="shared" si="112"/>
        <v>6.6386566549800574E-2</v>
      </c>
      <c r="O324" s="15">
        <v>0.85121782800000001</v>
      </c>
      <c r="P324">
        <f t="shared" si="113"/>
        <v>0.86777782045554019</v>
      </c>
      <c r="Q324">
        <v>0.27100000000000002</v>
      </c>
      <c r="R324">
        <f t="shared" si="114"/>
        <v>0.60075371314564407</v>
      </c>
      <c r="S324">
        <f t="shared" si="121"/>
        <v>0.24924235060316294</v>
      </c>
      <c r="T324" s="14">
        <f t="shared" si="115"/>
        <v>0.41813998742124192</v>
      </c>
      <c r="U324" t="str">
        <f t="shared" si="122"/>
        <v>Moderate</v>
      </c>
      <c r="V324">
        <f t="shared" si="123"/>
        <v>0.2039224411215978</v>
      </c>
      <c r="W324">
        <f t="shared" si="116"/>
        <v>0.27408179744262895</v>
      </c>
      <c r="X324" t="s">
        <v>1175</v>
      </c>
      <c r="Y324">
        <f t="shared" si="124"/>
        <v>0.29456226008472808</v>
      </c>
      <c r="Z324">
        <f t="shared" si="117"/>
        <v>0.59019776409037972</v>
      </c>
      <c r="AA324" t="str">
        <f t="shared" si="125"/>
        <v>Moderate</v>
      </c>
      <c r="AB324">
        <f t="shared" si="126"/>
        <v>0.16762862265862033</v>
      </c>
      <c r="AC324">
        <f t="shared" si="118"/>
        <v>0.39355395123559767</v>
      </c>
      <c r="AD324" t="str">
        <f t="shared" si="127"/>
        <v>Moderate</v>
      </c>
      <c r="AE324">
        <f t="shared" si="128"/>
        <v>2.253454354469336E-2</v>
      </c>
      <c r="AF324">
        <f t="shared" si="119"/>
        <v>0.12327386358746666</v>
      </c>
      <c r="AG324" t="s">
        <v>1175</v>
      </c>
    </row>
    <row r="325" spans="1:33" x14ac:dyDescent="0.3">
      <c r="A325">
        <v>405015</v>
      </c>
      <c r="B325" t="s">
        <v>70</v>
      </c>
      <c r="C325" s="1" t="s">
        <v>867</v>
      </c>
      <c r="D325" t="s">
        <v>866</v>
      </c>
      <c r="E325" s="4">
        <v>5.6</v>
      </c>
      <c r="F325" s="3">
        <f t="shared" si="107"/>
        <v>0.53333333333333321</v>
      </c>
      <c r="G325">
        <v>42.234479999999998</v>
      </c>
      <c r="H325">
        <f t="shared" si="120"/>
        <v>0.3986367559412568</v>
      </c>
      <c r="I325">
        <v>55</v>
      </c>
      <c r="J325" s="3">
        <f t="shared" si="110"/>
        <v>0.17006802721088435</v>
      </c>
      <c r="K325">
        <v>0</v>
      </c>
      <c r="L325" s="3">
        <f t="shared" si="111"/>
        <v>0</v>
      </c>
      <c r="M325">
        <v>38100</v>
      </c>
      <c r="N325">
        <f t="shared" si="112"/>
        <v>0.17913632643019026</v>
      </c>
      <c r="O325" s="15">
        <v>0.87550333599999997</v>
      </c>
      <c r="P325">
        <f t="shared" si="113"/>
        <v>0.89253579016396545</v>
      </c>
      <c r="Q325">
        <v>0.34160000000000001</v>
      </c>
      <c r="R325">
        <f t="shared" si="114"/>
        <v>0.75726003103524719</v>
      </c>
      <c r="S325">
        <f t="shared" si="121"/>
        <v>8.5115521539664146E-2</v>
      </c>
      <c r="T325" s="14">
        <f t="shared" si="115"/>
        <v>0.14279356224903123</v>
      </c>
      <c r="U325" t="str">
        <f t="shared" si="122"/>
        <v>No Impact</v>
      </c>
      <c r="V325">
        <f t="shared" si="123"/>
        <v>7.8136435617658678E-2</v>
      </c>
      <c r="W325">
        <f t="shared" si="116"/>
        <v>0.10501921515875753</v>
      </c>
      <c r="X325" t="s">
        <v>1176</v>
      </c>
      <c r="Y325">
        <f t="shared" si="124"/>
        <v>9.2094607461669573E-2</v>
      </c>
      <c r="Z325">
        <f t="shared" si="117"/>
        <v>0.18452476360353889</v>
      </c>
      <c r="AA325" t="str">
        <f t="shared" si="125"/>
        <v>Low</v>
      </c>
      <c r="AB325">
        <f t="shared" si="126"/>
        <v>6.1445479067431398E-2</v>
      </c>
      <c r="AC325">
        <f t="shared" si="118"/>
        <v>0.14426003560143352</v>
      </c>
      <c r="AD325" t="str">
        <f t="shared" si="127"/>
        <v>No Impact</v>
      </c>
      <c r="AE325">
        <f t="shared" si="128"/>
        <v>1.8483841036428538E-2</v>
      </c>
      <c r="AF325">
        <f t="shared" si="119"/>
        <v>0.10111473942118918</v>
      </c>
      <c r="AG325" t="s">
        <v>1175</v>
      </c>
    </row>
    <row r="326" spans="1:33" x14ac:dyDescent="0.3">
      <c r="A326">
        <v>405039</v>
      </c>
      <c r="B326" t="s">
        <v>133</v>
      </c>
      <c r="C326" s="1" t="s">
        <v>867</v>
      </c>
      <c r="D326" t="s">
        <v>1140</v>
      </c>
      <c r="E326" s="4">
        <v>5.0999999999999996</v>
      </c>
      <c r="F326" s="3">
        <f t="shared" ref="F326:F389" si="129">(E326-$AJ$5)/$AK$5</f>
        <v>0.42222222222222211</v>
      </c>
      <c r="G326">
        <v>42.475320000000004</v>
      </c>
      <c r="H326">
        <f t="shared" si="120"/>
        <v>0.4009099620112947</v>
      </c>
      <c r="I326">
        <v>55</v>
      </c>
      <c r="J326" s="3">
        <f t="shared" si="110"/>
        <v>0.17006802721088435</v>
      </c>
      <c r="K326">
        <v>0</v>
      </c>
      <c r="L326" s="3">
        <f t="shared" si="111"/>
        <v>0</v>
      </c>
      <c r="M326">
        <v>15743</v>
      </c>
      <c r="N326">
        <f t="shared" si="112"/>
        <v>7.3355949525201913E-2</v>
      </c>
      <c r="O326" s="15">
        <v>0.84775803900000002</v>
      </c>
      <c r="P326">
        <f t="shared" si="113"/>
        <v>0.86425072309115547</v>
      </c>
      <c r="Q326">
        <v>0.23100000000000001</v>
      </c>
      <c r="R326">
        <f t="shared" si="114"/>
        <v>0.51208157836399915</v>
      </c>
      <c r="S326">
        <f t="shared" si="121"/>
        <v>5.6478166295280741E-2</v>
      </c>
      <c r="T326" s="14">
        <f t="shared" si="115"/>
        <v>9.4750268913503854E-2</v>
      </c>
      <c r="U326" t="str">
        <f t="shared" si="122"/>
        <v>No Impact</v>
      </c>
      <c r="V326">
        <f t="shared" si="123"/>
        <v>4.2026810689560982E-2</v>
      </c>
      <c r="W326">
        <f t="shared" si="116"/>
        <v>5.6486102025952993E-2</v>
      </c>
      <c r="X326" t="s">
        <v>1176</v>
      </c>
      <c r="Y326">
        <f t="shared" si="124"/>
        <v>7.0929521901000492E-2</v>
      </c>
      <c r="Z326">
        <f t="shared" si="117"/>
        <v>0.1421174770383985</v>
      </c>
      <c r="AA326" t="str">
        <f t="shared" si="125"/>
        <v>No Impact</v>
      </c>
      <c r="AB326">
        <f t="shared" si="126"/>
        <v>3.8095367099382722E-2</v>
      </c>
      <c r="AC326">
        <f t="shared" si="118"/>
        <v>8.9439273603443073E-2</v>
      </c>
      <c r="AD326" t="str">
        <f t="shared" si="127"/>
        <v>No Impact</v>
      </c>
      <c r="AE326">
        <f t="shared" si="128"/>
        <v>6.0203622506749205E-3</v>
      </c>
      <c r="AF326">
        <f t="shared" si="119"/>
        <v>3.2934029187895529E-2</v>
      </c>
      <c r="AG326" t="s">
        <v>1176</v>
      </c>
    </row>
    <row r="327" spans="1:33" x14ac:dyDescent="0.3">
      <c r="A327">
        <v>405063</v>
      </c>
      <c r="B327" t="s">
        <v>277</v>
      </c>
      <c r="C327" s="1" t="s">
        <v>867</v>
      </c>
      <c r="D327" t="s">
        <v>868</v>
      </c>
      <c r="E327" s="4">
        <v>5.5</v>
      </c>
      <c r="F327" s="3">
        <f t="shared" si="129"/>
        <v>0.51111111111111107</v>
      </c>
      <c r="G327">
        <v>48.97296</v>
      </c>
      <c r="H327">
        <f t="shared" si="120"/>
        <v>0.46223895507274937</v>
      </c>
      <c r="I327">
        <v>74.599999999999994</v>
      </c>
      <c r="J327" s="3">
        <f t="shared" si="110"/>
        <v>0.23067408781694493</v>
      </c>
      <c r="K327">
        <v>0</v>
      </c>
      <c r="L327" s="3">
        <f t="shared" si="111"/>
        <v>0</v>
      </c>
      <c r="M327">
        <v>11398</v>
      </c>
      <c r="N327">
        <f t="shared" si="112"/>
        <v>5.2797925745080507E-2</v>
      </c>
      <c r="O327" s="15">
        <v>0.24304545699999999</v>
      </c>
      <c r="P327">
        <f t="shared" si="113"/>
        <v>0.24777377776805762</v>
      </c>
      <c r="Q327">
        <v>0.36349999999999999</v>
      </c>
      <c r="R327">
        <f t="shared" si="114"/>
        <v>0.80580802482819769</v>
      </c>
      <c r="S327">
        <f t="shared" si="121"/>
        <v>6.2204630796836795E-2</v>
      </c>
      <c r="T327" s="14">
        <f t="shared" si="115"/>
        <v>0.10435723895232057</v>
      </c>
      <c r="U327" t="str">
        <f t="shared" si="122"/>
        <v>No Impact</v>
      </c>
      <c r="V327">
        <f t="shared" si="123"/>
        <v>9.5151587762900655E-2</v>
      </c>
      <c r="W327">
        <f t="shared" si="116"/>
        <v>0.12788841708708715</v>
      </c>
      <c r="X327" t="s">
        <v>1176</v>
      </c>
      <c r="Y327">
        <f t="shared" si="124"/>
        <v>2.9257673830772928E-2</v>
      </c>
      <c r="Z327">
        <f t="shared" si="117"/>
        <v>5.8621948624514468E-2</v>
      </c>
      <c r="AA327" t="str">
        <f t="shared" si="125"/>
        <v>No Impact</v>
      </c>
      <c r="AB327">
        <f t="shared" si="126"/>
        <v>4.4262431274123798E-2</v>
      </c>
      <c r="AC327">
        <f t="shared" si="118"/>
        <v>0.10391814024924044</v>
      </c>
      <c r="AD327" t="str">
        <f t="shared" si="127"/>
        <v>No Impact</v>
      </c>
      <c r="AE327">
        <f t="shared" si="128"/>
        <v>6.2344954510762541E-3</v>
      </c>
      <c r="AF327">
        <f t="shared" si="119"/>
        <v>3.4105431967076195E-2</v>
      </c>
      <c r="AG327" t="s">
        <v>1176</v>
      </c>
    </row>
    <row r="328" spans="1:33" x14ac:dyDescent="0.3">
      <c r="A328">
        <v>405071</v>
      </c>
      <c r="B328" t="s">
        <v>289</v>
      </c>
      <c r="C328" s="1" t="s">
        <v>867</v>
      </c>
      <c r="D328" t="s">
        <v>869</v>
      </c>
      <c r="E328" s="4">
        <v>5.5</v>
      </c>
      <c r="F328" s="3">
        <f t="shared" si="129"/>
        <v>0.51111111111111107</v>
      </c>
      <c r="G328">
        <v>47.392920000000004</v>
      </c>
      <c r="H328">
        <f t="shared" si="120"/>
        <v>0.44732550000339794</v>
      </c>
      <c r="I328">
        <v>74.599999999999994</v>
      </c>
      <c r="J328" s="3">
        <f t="shared" si="110"/>
        <v>0.23067408781694493</v>
      </c>
      <c r="K328">
        <v>0</v>
      </c>
      <c r="L328" s="3">
        <f t="shared" si="111"/>
        <v>0</v>
      </c>
      <c r="M328">
        <v>32093</v>
      </c>
      <c r="N328">
        <f t="shared" si="112"/>
        <v>0.15071468112588893</v>
      </c>
      <c r="O328" s="15">
        <v>0.152673157</v>
      </c>
      <c r="P328">
        <f t="shared" si="113"/>
        <v>0.15564333248848083</v>
      </c>
      <c r="Q328">
        <v>0.34379999999999999</v>
      </c>
      <c r="R328">
        <f t="shared" si="114"/>
        <v>0.76213699844823768</v>
      </c>
      <c r="S328">
        <f t="shared" si="121"/>
        <v>5.2787618499617966E-2</v>
      </c>
      <c r="T328" s="14">
        <f t="shared" si="115"/>
        <v>8.855884275690773E-2</v>
      </c>
      <c r="U328" t="str">
        <f t="shared" si="122"/>
        <v>No Impact</v>
      </c>
      <c r="V328">
        <f t="shared" si="123"/>
        <v>8.7671081548387389E-2</v>
      </c>
      <c r="W328">
        <f t="shared" si="116"/>
        <v>0.11783424856214295</v>
      </c>
      <c r="X328" t="s">
        <v>1176</v>
      </c>
      <c r="Y328">
        <f t="shared" si="124"/>
        <v>1.7904155450848558E-2</v>
      </c>
      <c r="Z328">
        <f t="shared" si="117"/>
        <v>3.5873545076609295E-2</v>
      </c>
      <c r="AA328" t="str">
        <f t="shared" si="125"/>
        <v>No Impact</v>
      </c>
      <c r="AB328">
        <f t="shared" si="126"/>
        <v>4.2124144042893524E-2</v>
      </c>
      <c r="AC328">
        <f t="shared" si="118"/>
        <v>9.8897927260668081E-2</v>
      </c>
      <c r="AD328" t="str">
        <f t="shared" si="127"/>
        <v>No Impact</v>
      </c>
      <c r="AE328">
        <f t="shared" si="128"/>
        <v>1.7337196759152511E-2</v>
      </c>
      <c r="AF328">
        <f t="shared" si="119"/>
        <v>9.4842090945309085E-2</v>
      </c>
      <c r="AG328" t="s">
        <v>1175</v>
      </c>
    </row>
    <row r="329" spans="1:33" x14ac:dyDescent="0.3">
      <c r="A329">
        <v>405079</v>
      </c>
      <c r="B329" t="s">
        <v>291</v>
      </c>
      <c r="C329" s="1" t="s">
        <v>867</v>
      </c>
      <c r="D329" t="s">
        <v>870</v>
      </c>
      <c r="E329" s="4">
        <v>5.5</v>
      </c>
      <c r="F329" s="3">
        <f t="shared" si="129"/>
        <v>0.51111111111111107</v>
      </c>
      <c r="G329">
        <v>47.392920000000004</v>
      </c>
      <c r="H329">
        <f t="shared" si="120"/>
        <v>0.44732550000339794</v>
      </c>
      <c r="I329">
        <v>63.900000000000013</v>
      </c>
      <c r="J329" s="3">
        <f t="shared" si="110"/>
        <v>0.19758812615955476</v>
      </c>
      <c r="K329">
        <v>0</v>
      </c>
      <c r="L329" s="3">
        <f t="shared" si="111"/>
        <v>0</v>
      </c>
      <c r="M329">
        <v>55212</v>
      </c>
      <c r="N329">
        <f t="shared" si="112"/>
        <v>0.26010040075134966</v>
      </c>
      <c r="O329" s="15">
        <v>0.25990746599999998</v>
      </c>
      <c r="P329">
        <f t="shared" si="113"/>
        <v>0.26496382823128839</v>
      </c>
      <c r="Q329">
        <v>0.37140000000000001</v>
      </c>
      <c r="R329">
        <f t="shared" si="114"/>
        <v>0.82332077144757265</v>
      </c>
      <c r="S329">
        <f t="shared" si="121"/>
        <v>6.0754092142202946E-2</v>
      </c>
      <c r="T329" s="14">
        <f t="shared" si="115"/>
        <v>0.1019237511709109</v>
      </c>
      <c r="U329" t="str">
        <f t="shared" si="122"/>
        <v>No Impact</v>
      </c>
      <c r="V329">
        <f t="shared" si="123"/>
        <v>9.1924678573740246E-2</v>
      </c>
      <c r="W329">
        <f t="shared" si="116"/>
        <v>0.12355129231609718</v>
      </c>
      <c r="X329" t="s">
        <v>1176</v>
      </c>
      <c r="Y329">
        <f t="shared" si="124"/>
        <v>2.958350571066564E-2</v>
      </c>
      <c r="Z329">
        <f t="shared" si="117"/>
        <v>5.9274799559752164E-2</v>
      </c>
      <c r="AA329" t="str">
        <f t="shared" si="125"/>
        <v>No Impact</v>
      </c>
      <c r="AB329">
        <f t="shared" si="126"/>
        <v>5.121286373480425E-2</v>
      </c>
      <c r="AC329">
        <f t="shared" si="118"/>
        <v>0.12023617779147805</v>
      </c>
      <c r="AD329" t="str">
        <f t="shared" si="127"/>
        <v>No Impact</v>
      </c>
      <c r="AE329">
        <f t="shared" si="128"/>
        <v>2.9040498630844225E-2</v>
      </c>
      <c r="AF329">
        <f t="shared" si="119"/>
        <v>0.15886429914280376</v>
      </c>
      <c r="AG329" t="s">
        <v>1175</v>
      </c>
    </row>
    <row r="330" spans="1:33" x14ac:dyDescent="0.3">
      <c r="A330">
        <v>405094</v>
      </c>
      <c r="B330" t="s">
        <v>335</v>
      </c>
      <c r="C330" s="1" t="s">
        <v>867</v>
      </c>
      <c r="D330" t="s">
        <v>1133</v>
      </c>
      <c r="E330" s="4">
        <v>5.2</v>
      </c>
      <c r="F330" s="3">
        <f t="shared" si="129"/>
        <v>0.44444444444444442</v>
      </c>
      <c r="G330">
        <v>42.744599999999998</v>
      </c>
      <c r="H330">
        <f t="shared" si="120"/>
        <v>0.40345160347674802</v>
      </c>
      <c r="I330">
        <v>53.5</v>
      </c>
      <c r="J330" s="3">
        <f t="shared" si="110"/>
        <v>0.16542980828695111</v>
      </c>
      <c r="K330">
        <v>0</v>
      </c>
      <c r="L330" s="3">
        <f t="shared" si="111"/>
        <v>0</v>
      </c>
      <c r="M330">
        <v>51537</v>
      </c>
      <c r="N330">
        <f t="shared" si="112"/>
        <v>0.24271242896954384</v>
      </c>
      <c r="O330" s="15">
        <v>0.397460851</v>
      </c>
      <c r="P330">
        <f t="shared" si="113"/>
        <v>0.40519324155553776</v>
      </c>
      <c r="Q330">
        <v>0</v>
      </c>
      <c r="R330">
        <f t="shared" si="114"/>
        <v>0</v>
      </c>
      <c r="S330">
        <f t="shared" si="121"/>
        <v>1.7510345169633193E-2</v>
      </c>
      <c r="T330" s="14">
        <f t="shared" si="115"/>
        <v>2.9376129262356238E-2</v>
      </c>
      <c r="U330" t="str">
        <f t="shared" si="122"/>
        <v>No Impact</v>
      </c>
      <c r="V330">
        <f t="shared" si="123"/>
        <v>0</v>
      </c>
      <c r="W330">
        <f t="shared" si="116"/>
        <v>0</v>
      </c>
      <c r="X330" t="s">
        <v>1176</v>
      </c>
      <c r="Y330">
        <f t="shared" si="124"/>
        <v>3.5020690339266386E-2</v>
      </c>
      <c r="Z330">
        <f t="shared" si="117"/>
        <v>7.0168979315922211E-2</v>
      </c>
      <c r="AA330" t="str">
        <f t="shared" si="125"/>
        <v>No Impact</v>
      </c>
      <c r="AB330">
        <f t="shared" si="126"/>
        <v>1.7848345569664477E-2</v>
      </c>
      <c r="AC330">
        <f t="shared" si="118"/>
        <v>4.1903863496301326E-2</v>
      </c>
      <c r="AD330" t="str">
        <f t="shared" si="127"/>
        <v>No Impact</v>
      </c>
      <c r="AE330">
        <f t="shared" si="128"/>
        <v>2.0977538479670169E-2</v>
      </c>
      <c r="AF330">
        <f t="shared" si="119"/>
        <v>0.11475636113129363</v>
      </c>
      <c r="AG330" t="s">
        <v>1175</v>
      </c>
    </row>
    <row r="331" spans="1:33" x14ac:dyDescent="0.3">
      <c r="A331">
        <v>405557</v>
      </c>
      <c r="B331" t="s">
        <v>312</v>
      </c>
      <c r="C331" s="1" t="s">
        <v>872</v>
      </c>
      <c r="D331" t="s">
        <v>871</v>
      </c>
      <c r="E331" s="4">
        <v>4.9000000000000004</v>
      </c>
      <c r="F331" s="3">
        <f t="shared" si="129"/>
        <v>0.37777777777777782</v>
      </c>
      <c r="G331">
        <v>61.399799999999999</v>
      </c>
      <c r="H331">
        <f t="shared" si="120"/>
        <v>0.57953163120374585</v>
      </c>
      <c r="I331">
        <v>116.9</v>
      </c>
      <c r="J331" s="3">
        <f t="shared" si="110"/>
        <v>0.36147186147186144</v>
      </c>
      <c r="K331">
        <v>0</v>
      </c>
      <c r="L331" s="3">
        <f t="shared" si="111"/>
        <v>0</v>
      </c>
      <c r="M331">
        <v>51857</v>
      </c>
      <c r="N331">
        <f t="shared" si="112"/>
        <v>0.24422648365530653</v>
      </c>
      <c r="O331" s="15">
        <v>0.57828783399999995</v>
      </c>
      <c r="P331">
        <f t="shared" si="113"/>
        <v>0.58953811783236654</v>
      </c>
      <c r="Q331">
        <v>0.36409999999999998</v>
      </c>
      <c r="R331">
        <f t="shared" si="114"/>
        <v>0.80713810684992238</v>
      </c>
      <c r="S331">
        <f t="shared" si="121"/>
        <v>8.0228487460850553E-2</v>
      </c>
      <c r="T331" s="14">
        <f t="shared" si="115"/>
        <v>0.13459485780214592</v>
      </c>
      <c r="U331" t="str">
        <f t="shared" si="122"/>
        <v>No Impact</v>
      </c>
      <c r="V331">
        <f t="shared" si="123"/>
        <v>9.2727961341668844E-2</v>
      </c>
      <c r="W331">
        <f t="shared" si="116"/>
        <v>0.12463094389185131</v>
      </c>
      <c r="X331" t="s">
        <v>1176</v>
      </c>
      <c r="Y331">
        <f t="shared" si="124"/>
        <v>6.7729013580032235E-2</v>
      </c>
      <c r="Z331">
        <f t="shared" si="117"/>
        <v>0.13570479927565732</v>
      </c>
      <c r="AA331" t="str">
        <f t="shared" si="125"/>
        <v>No Impact</v>
      </c>
      <c r="AB331">
        <f t="shared" si="126"/>
        <v>6.2593765797583412E-2</v>
      </c>
      <c r="AC331">
        <f t="shared" si="118"/>
        <v>0.14695595216171609</v>
      </c>
      <c r="AD331" t="str">
        <f t="shared" si="127"/>
        <v>No Impact</v>
      </c>
      <c r="AE331">
        <f t="shared" si="128"/>
        <v>2.8057929297113274E-2</v>
      </c>
      <c r="AF331">
        <f t="shared" si="119"/>
        <v>0.15348921276613289</v>
      </c>
      <c r="AG331" t="s">
        <v>1175</v>
      </c>
    </row>
    <row r="332" spans="1:33" x14ac:dyDescent="0.3">
      <c r="A332">
        <v>405566</v>
      </c>
      <c r="B332" t="s">
        <v>342</v>
      </c>
      <c r="C332" s="1" t="s">
        <v>872</v>
      </c>
      <c r="D332" t="s">
        <v>1134</v>
      </c>
      <c r="E332" s="4">
        <v>4.8</v>
      </c>
      <c r="F332" s="3">
        <f t="shared" si="129"/>
        <v>0.35555555555555546</v>
      </c>
      <c r="G332">
        <v>65.45808000000001</v>
      </c>
      <c r="H332">
        <f t="shared" si="120"/>
        <v>0.61783634275462296</v>
      </c>
      <c r="I332">
        <v>129.20000000000002</v>
      </c>
      <c r="J332" s="3">
        <f t="shared" si="110"/>
        <v>0.39950525664811382</v>
      </c>
      <c r="K332">
        <v>0</v>
      </c>
      <c r="L332" s="3">
        <f t="shared" si="111"/>
        <v>0</v>
      </c>
      <c r="M332">
        <v>16134</v>
      </c>
      <c r="N332">
        <f t="shared" si="112"/>
        <v>7.5205935094368195E-2</v>
      </c>
      <c r="O332" s="15">
        <v>0.437201856</v>
      </c>
      <c r="P332">
        <f t="shared" si="113"/>
        <v>0.44570738678043398</v>
      </c>
      <c r="Q332">
        <v>0.1173</v>
      </c>
      <c r="R332">
        <f t="shared" si="114"/>
        <v>0.26003103524717358</v>
      </c>
      <c r="S332">
        <f t="shared" si="121"/>
        <v>4.1031392022488365E-2</v>
      </c>
      <c r="T332" s="14">
        <f t="shared" si="115"/>
        <v>6.8836077426809528E-2</v>
      </c>
      <c r="U332" t="str">
        <f t="shared" si="122"/>
        <v>No Impact</v>
      </c>
      <c r="V332">
        <f t="shared" si="123"/>
        <v>3.0236232043557052E-2</v>
      </c>
      <c r="W332">
        <f t="shared" si="116"/>
        <v>4.0638984021620847E-2</v>
      </c>
      <c r="X332" t="s">
        <v>1176</v>
      </c>
      <c r="Y332">
        <f t="shared" si="124"/>
        <v>5.1826552001419675E-2</v>
      </c>
      <c r="Z332">
        <f t="shared" si="117"/>
        <v>0.10384193515813384</v>
      </c>
      <c r="AA332" t="str">
        <f t="shared" si="125"/>
        <v>No Impact</v>
      </c>
      <c r="AB332">
        <f t="shared" si="126"/>
        <v>2.9191360071846525E-2</v>
      </c>
      <c r="AC332">
        <f t="shared" si="118"/>
        <v>6.8534686475427348E-2</v>
      </c>
      <c r="AD332" t="str">
        <f t="shared" si="127"/>
        <v>No Impact</v>
      </c>
      <c r="AE332">
        <f t="shared" si="128"/>
        <v>8.7448950176447233E-3</v>
      </c>
      <c r="AF332">
        <f t="shared" si="119"/>
        <v>4.7838421637154203E-2</v>
      </c>
      <c r="AG332" t="s">
        <v>1176</v>
      </c>
    </row>
    <row r="333" spans="1:33" x14ac:dyDescent="0.3">
      <c r="A333">
        <v>405585</v>
      </c>
      <c r="B333" t="s">
        <v>476</v>
      </c>
      <c r="C333" s="1" t="s">
        <v>872</v>
      </c>
      <c r="D333" t="s">
        <v>873</v>
      </c>
      <c r="E333" s="4">
        <v>4.9000000000000004</v>
      </c>
      <c r="F333" s="3">
        <f t="shared" si="129"/>
        <v>0.37777777777777782</v>
      </c>
      <c r="G333">
        <v>56.19312</v>
      </c>
      <c r="H333">
        <f t="shared" si="120"/>
        <v>0.53038756634431761</v>
      </c>
      <c r="I333">
        <v>114.1</v>
      </c>
      <c r="J333" s="3">
        <f t="shared" si="110"/>
        <v>0.35281385281385275</v>
      </c>
      <c r="K333">
        <v>0</v>
      </c>
      <c r="L333" s="3">
        <f t="shared" si="111"/>
        <v>0</v>
      </c>
      <c r="M333">
        <v>23104</v>
      </c>
      <c r="N333">
        <f t="shared" si="112"/>
        <v>0.10818393871863659</v>
      </c>
      <c r="O333" s="15">
        <v>0.79234898200000003</v>
      </c>
      <c r="P333">
        <f t="shared" si="113"/>
        <v>0.80776371220472842</v>
      </c>
      <c r="Q333">
        <v>0.34889999999999999</v>
      </c>
      <c r="R333">
        <f t="shared" si="114"/>
        <v>0.77344269563289736</v>
      </c>
      <c r="S333">
        <f t="shared" si="121"/>
        <v>8.4439980783841767E-2</v>
      </c>
      <c r="T333" s="14">
        <f t="shared" si="115"/>
        <v>0.14166024520857429</v>
      </c>
      <c r="U333" t="str">
        <f t="shared" si="122"/>
        <v>No Impact</v>
      </c>
      <c r="V333">
        <f t="shared" si="123"/>
        <v>8.2607161257281292E-2</v>
      </c>
      <c r="W333">
        <f t="shared" si="116"/>
        <v>0.1110280904568418</v>
      </c>
      <c r="X333" t="s">
        <v>1176</v>
      </c>
      <c r="Y333">
        <f t="shared" si="124"/>
        <v>8.6272800310402228E-2</v>
      </c>
      <c r="Z333">
        <f t="shared" si="117"/>
        <v>0.17285993742161376</v>
      </c>
      <c r="AA333" t="str">
        <f t="shared" si="125"/>
        <v>Low</v>
      </c>
      <c r="AB333">
        <f t="shared" si="126"/>
        <v>5.8838432594842886E-2</v>
      </c>
      <c r="AC333">
        <f t="shared" si="118"/>
        <v>0.13813928233108341</v>
      </c>
      <c r="AD333" t="str">
        <f t="shared" si="127"/>
        <v>No Impact</v>
      </c>
      <c r="AE333">
        <f t="shared" si="128"/>
        <v>1.1554531604782196E-2</v>
      </c>
      <c r="AF333">
        <f t="shared" si="119"/>
        <v>6.3208369410278853E-2</v>
      </c>
      <c r="AG333" t="s">
        <v>1175</v>
      </c>
    </row>
    <row r="334" spans="1:33" x14ac:dyDescent="0.3">
      <c r="A334">
        <v>405595</v>
      </c>
      <c r="B334" t="s">
        <v>500</v>
      </c>
      <c r="C334" s="1" t="s">
        <v>872</v>
      </c>
      <c r="D334" t="s">
        <v>1137</v>
      </c>
      <c r="E334" s="4">
        <v>3.8</v>
      </c>
      <c r="F334" s="3">
        <f t="shared" si="129"/>
        <v>0.13333333333333325</v>
      </c>
      <c r="G334">
        <v>50.886000000000003</v>
      </c>
      <c r="H334">
        <f t="shared" si="120"/>
        <v>0.48029548280994094</v>
      </c>
      <c r="I334">
        <v>101.4</v>
      </c>
      <c r="J334" s="3">
        <f t="shared" si="110"/>
        <v>0.31354359925788494</v>
      </c>
      <c r="K334">
        <v>0</v>
      </c>
      <c r="L334" s="3">
        <f t="shared" si="111"/>
        <v>0</v>
      </c>
      <c r="M334">
        <v>24428</v>
      </c>
      <c r="N334">
        <f t="shared" si="112"/>
        <v>0.11444833998097968</v>
      </c>
      <c r="O334" s="15">
        <v>0.48989489800000002</v>
      </c>
      <c r="P334">
        <f t="shared" si="113"/>
        <v>0.49942554403210782</v>
      </c>
      <c r="Q334">
        <v>0.36130000000000001</v>
      </c>
      <c r="R334">
        <f t="shared" si="114"/>
        <v>0.80093105741520731</v>
      </c>
      <c r="S334">
        <f t="shared" si="121"/>
        <v>2.2091057234280072E-2</v>
      </c>
      <c r="T334" s="14">
        <f t="shared" si="115"/>
        <v>3.7060934354494826E-2</v>
      </c>
      <c r="U334" t="str">
        <f t="shared" si="122"/>
        <v>No Impact</v>
      </c>
      <c r="V334">
        <f t="shared" si="123"/>
        <v>2.7213171848981713E-2</v>
      </c>
      <c r="W334">
        <f t="shared" si="116"/>
        <v>3.657584233231357E-2</v>
      </c>
      <c r="X334" t="s">
        <v>1176</v>
      </c>
      <c r="Y334">
        <f t="shared" si="124"/>
        <v>1.6968942619578434E-2</v>
      </c>
      <c r="Z334">
        <f t="shared" si="117"/>
        <v>3.3999711946032775E-2</v>
      </c>
      <c r="AA334" t="str">
        <f t="shared" si="125"/>
        <v>No Impact</v>
      </c>
      <c r="AB334">
        <f t="shared" si="126"/>
        <v>1.5976303734401846E-2</v>
      </c>
      <c r="AC334">
        <f t="shared" si="118"/>
        <v>3.7508734254880806E-2</v>
      </c>
      <c r="AD334" t="str">
        <f t="shared" si="127"/>
        <v>No Impact</v>
      </c>
      <c r="AE334">
        <f t="shared" si="128"/>
        <v>3.8886022896706183E-3</v>
      </c>
      <c r="AF334">
        <f t="shared" si="119"/>
        <v>2.1272364681007752E-2</v>
      </c>
      <c r="AG334" t="s">
        <v>1176</v>
      </c>
    </row>
    <row r="335" spans="1:33" x14ac:dyDescent="0.3">
      <c r="A335">
        <v>405747</v>
      </c>
      <c r="B335" t="s">
        <v>176</v>
      </c>
      <c r="C335" s="1" t="s">
        <v>875</v>
      </c>
      <c r="D335" t="s">
        <v>874</v>
      </c>
      <c r="E335" s="4">
        <v>4.9000000000000004</v>
      </c>
      <c r="F335" s="3">
        <f t="shared" si="129"/>
        <v>0.37777777777777782</v>
      </c>
      <c r="G335">
        <v>44.760960000000004</v>
      </c>
      <c r="H335">
        <f t="shared" si="120"/>
        <v>0.42248333322006948</v>
      </c>
      <c r="I335">
        <v>53.5</v>
      </c>
      <c r="J335" s="3">
        <f t="shared" si="110"/>
        <v>0.16542980828695111</v>
      </c>
      <c r="K335">
        <v>0</v>
      </c>
      <c r="L335" s="3">
        <f t="shared" si="111"/>
        <v>0</v>
      </c>
      <c r="M335">
        <v>56017</v>
      </c>
      <c r="N335">
        <f t="shared" si="112"/>
        <v>0.26390919457022138</v>
      </c>
      <c r="O335" s="15">
        <v>0.92513437200000004</v>
      </c>
      <c r="P335">
        <f t="shared" si="113"/>
        <v>0.94313237170904851</v>
      </c>
      <c r="Q335">
        <v>0.34820000000000001</v>
      </c>
      <c r="R335">
        <f t="shared" si="114"/>
        <v>0.77189093327421865</v>
      </c>
      <c r="S335">
        <f t="shared" si="121"/>
        <v>6.5463354498462745E-2</v>
      </c>
      <c r="T335" s="14">
        <f t="shared" si="115"/>
        <v>0.10982421791600672</v>
      </c>
      <c r="U335" t="str">
        <f t="shared" si="122"/>
        <v>No Impact</v>
      </c>
      <c r="V335">
        <f t="shared" si="123"/>
        <v>5.8926977437863376E-2</v>
      </c>
      <c r="W335">
        <f t="shared" si="116"/>
        <v>7.9200757921489368E-2</v>
      </c>
      <c r="X335" t="s">
        <v>1176</v>
      </c>
      <c r="Y335">
        <f t="shared" si="124"/>
        <v>7.1999731559062127E-2</v>
      </c>
      <c r="Z335">
        <f t="shared" si="117"/>
        <v>0.1442617956863958</v>
      </c>
      <c r="AA335" t="str">
        <f t="shared" si="125"/>
        <v>No Impact</v>
      </c>
      <c r="AB335">
        <f t="shared" si="126"/>
        <v>4.9275849895676654E-2</v>
      </c>
      <c r="AC335">
        <f t="shared" si="118"/>
        <v>0.1156885090348172</v>
      </c>
      <c r="AD335" t="str">
        <f t="shared" si="127"/>
        <v>No Impact</v>
      </c>
      <c r="AE335">
        <f t="shared" si="128"/>
        <v>2.014710949915954E-2</v>
      </c>
      <c r="AF335">
        <f t="shared" si="119"/>
        <v>0.11021354939607864</v>
      </c>
      <c r="AG335" t="s">
        <v>1175</v>
      </c>
    </row>
    <row r="336" spans="1:33" x14ac:dyDescent="0.3">
      <c r="A336">
        <v>405760</v>
      </c>
      <c r="B336" t="s">
        <v>349</v>
      </c>
      <c r="C336" s="1" t="s">
        <v>875</v>
      </c>
      <c r="D336" t="s">
        <v>877</v>
      </c>
      <c r="E336" s="4">
        <v>5.4</v>
      </c>
      <c r="F336" s="3">
        <f t="shared" si="129"/>
        <v>0.48888888888888893</v>
      </c>
      <c r="G336">
        <v>41.72616</v>
      </c>
      <c r="H336">
        <f t="shared" si="120"/>
        <v>0.3938388979877539</v>
      </c>
      <c r="I336">
        <v>31.1</v>
      </c>
      <c r="J336" s="3">
        <f t="shared" si="110"/>
        <v>9.6165739022881877E-2</v>
      </c>
      <c r="K336">
        <v>0</v>
      </c>
      <c r="L336" s="3">
        <f t="shared" si="111"/>
        <v>0</v>
      </c>
      <c r="M336">
        <v>60437</v>
      </c>
      <c r="N336">
        <f t="shared" si="112"/>
        <v>0.28482207491731842</v>
      </c>
      <c r="O336" s="15">
        <v>0.38351469500000002</v>
      </c>
      <c r="P336">
        <f t="shared" si="113"/>
        <v>0.39097577046961385</v>
      </c>
      <c r="Q336">
        <v>0.31159999999999999</v>
      </c>
      <c r="R336">
        <f t="shared" si="114"/>
        <v>0.69075592994901347</v>
      </c>
      <c r="S336">
        <f t="shared" si="121"/>
        <v>4.6741765645315583E-2</v>
      </c>
      <c r="T336" s="14">
        <f t="shared" si="115"/>
        <v>7.8416052696025529E-2</v>
      </c>
      <c r="U336" t="str">
        <f t="shared" si="122"/>
        <v>No Impact</v>
      </c>
      <c r="V336">
        <f t="shared" si="123"/>
        <v>5.969530482150754E-2</v>
      </c>
      <c r="W336">
        <f t="shared" si="116"/>
        <v>8.023342774034474E-2</v>
      </c>
      <c r="X336" t="s">
        <v>1176</v>
      </c>
      <c r="Y336">
        <f t="shared" si="124"/>
        <v>3.3788226469123633E-2</v>
      </c>
      <c r="Z336">
        <f t="shared" si="117"/>
        <v>6.7699561067056255E-2</v>
      </c>
      <c r="AA336" t="str">
        <f t="shared" si="125"/>
        <v>No Impact</v>
      </c>
      <c r="AB336">
        <f t="shared" si="126"/>
        <v>3.9644863523650681E-2</v>
      </c>
      <c r="AC336">
        <f t="shared" si="118"/>
        <v>9.307713944356262E-2</v>
      </c>
      <c r="AD336" t="str">
        <f t="shared" si="127"/>
        <v>No Impact</v>
      </c>
      <c r="AE336">
        <f t="shared" si="128"/>
        <v>2.4614396843959899E-2</v>
      </c>
      <c r="AF336">
        <f t="shared" si="119"/>
        <v>0.13465157582677684</v>
      </c>
      <c r="AG336" t="s">
        <v>1175</v>
      </c>
    </row>
    <row r="337" spans="1:33" x14ac:dyDescent="0.3">
      <c r="A337">
        <v>405787</v>
      </c>
      <c r="B337" t="s">
        <v>332</v>
      </c>
      <c r="C337" s="1" t="s">
        <v>875</v>
      </c>
      <c r="D337" t="s">
        <v>876</v>
      </c>
      <c r="E337" s="4">
        <v>5.4</v>
      </c>
      <c r="F337" s="3">
        <f t="shared" si="129"/>
        <v>0.48888888888888893</v>
      </c>
      <c r="G337">
        <v>44.760960000000004</v>
      </c>
      <c r="H337">
        <f t="shared" si="120"/>
        <v>0.42248333322006948</v>
      </c>
      <c r="I337">
        <v>46.4</v>
      </c>
      <c r="J337" s="3">
        <f t="shared" si="110"/>
        <v>0.14347557204700059</v>
      </c>
      <c r="K337">
        <v>0</v>
      </c>
      <c r="L337" s="3">
        <f t="shared" si="111"/>
        <v>0</v>
      </c>
      <c r="M337">
        <v>21638</v>
      </c>
      <c r="N337">
        <f t="shared" si="112"/>
        <v>0.10124767568948631</v>
      </c>
      <c r="O337" s="15">
        <v>0.25806512999999998</v>
      </c>
      <c r="P337">
        <f t="shared" si="113"/>
        <v>0.26308565055920752</v>
      </c>
      <c r="Q337">
        <v>0.31909999999999999</v>
      </c>
      <c r="R337">
        <f t="shared" si="114"/>
        <v>0.7073819552205719</v>
      </c>
      <c r="S337">
        <f t="shared" si="121"/>
        <v>4.6896723995548541E-2</v>
      </c>
      <c r="T337" s="14">
        <f t="shared" si="115"/>
        <v>7.8676017675734733E-2</v>
      </c>
      <c r="U337" t="str">
        <f t="shared" si="122"/>
        <v>No Impact</v>
      </c>
      <c r="V337">
        <f t="shared" si="123"/>
        <v>6.8366828765510659E-2</v>
      </c>
      <c r="W337">
        <f t="shared" si="116"/>
        <v>9.1888382712769529E-2</v>
      </c>
      <c r="X337" t="s">
        <v>1176</v>
      </c>
      <c r="Y337">
        <f t="shared" si="124"/>
        <v>2.5426619225586429E-2</v>
      </c>
      <c r="Z337">
        <f t="shared" si="117"/>
        <v>5.0945880884408025E-2</v>
      </c>
      <c r="AA337" t="str">
        <f t="shared" si="125"/>
        <v>No Impact</v>
      </c>
      <c r="AB337">
        <f t="shared" si="126"/>
        <v>3.4981249568231523E-2</v>
      </c>
      <c r="AC337">
        <f t="shared" si="118"/>
        <v>8.2128032602003187E-2</v>
      </c>
      <c r="AD337" t="str">
        <f t="shared" si="127"/>
        <v>No Impact</v>
      </c>
      <c r="AE337">
        <f t="shared" si="128"/>
        <v>9.7853535217910549E-3</v>
      </c>
      <c r="AF337">
        <f t="shared" si="119"/>
        <v>5.3530187234898413E-2</v>
      </c>
      <c r="AG337" t="s">
        <v>1176</v>
      </c>
    </row>
    <row r="338" spans="1:33" x14ac:dyDescent="0.3">
      <c r="A338">
        <v>406528</v>
      </c>
      <c r="B338" t="s">
        <v>241</v>
      </c>
      <c r="C338" s="1" t="s">
        <v>879</v>
      </c>
      <c r="D338" t="s">
        <v>878</v>
      </c>
      <c r="E338" s="4">
        <v>5.5</v>
      </c>
      <c r="F338" s="3">
        <f t="shared" si="129"/>
        <v>0.51111111111111107</v>
      </c>
      <c r="G338">
        <v>62.418240000000004</v>
      </c>
      <c r="H338">
        <f t="shared" si="120"/>
        <v>0.58914433669274002</v>
      </c>
      <c r="I338">
        <v>322.90000000000003</v>
      </c>
      <c r="J338" s="3">
        <f t="shared" si="110"/>
        <v>0.99845392702535563</v>
      </c>
      <c r="K338">
        <v>0</v>
      </c>
      <c r="L338" s="3">
        <f t="shared" si="111"/>
        <v>0</v>
      </c>
      <c r="M338">
        <v>44158</v>
      </c>
      <c r="N338">
        <f t="shared" si="112"/>
        <v>0.20779927420003502</v>
      </c>
      <c r="O338" s="15">
        <v>0.31309130800000001</v>
      </c>
      <c r="P338">
        <f t="shared" si="113"/>
        <v>0.31918233373727484</v>
      </c>
      <c r="Q338">
        <v>0.30249999999999999</v>
      </c>
      <c r="R338">
        <f t="shared" si="114"/>
        <v>0.67058301928618924</v>
      </c>
      <c r="S338">
        <f t="shared" si="121"/>
        <v>0.11011706975943869</v>
      </c>
      <c r="T338" s="14">
        <f t="shared" si="115"/>
        <v>0.18473726496580153</v>
      </c>
      <c r="U338" t="str">
        <f t="shared" si="122"/>
        <v>Low</v>
      </c>
      <c r="V338">
        <f t="shared" si="123"/>
        <v>0.14921241057521997</v>
      </c>
      <c r="W338">
        <f t="shared" si="116"/>
        <v>0.20054882369134416</v>
      </c>
      <c r="X338" t="s">
        <v>1175</v>
      </c>
      <c r="Y338">
        <f t="shared" si="124"/>
        <v>7.1021728943657422E-2</v>
      </c>
      <c r="Z338">
        <f t="shared" si="117"/>
        <v>0.14230222708205262</v>
      </c>
      <c r="AA338" t="str">
        <f t="shared" si="125"/>
        <v>No Impact</v>
      </c>
      <c r="AB338">
        <f t="shared" si="126"/>
        <v>8.9714064768911458E-2</v>
      </c>
      <c r="AC338">
        <f t="shared" si="118"/>
        <v>0.21062825734191967</v>
      </c>
      <c r="AD338" t="str">
        <f t="shared" si="127"/>
        <v>Low</v>
      </c>
      <c r="AE338">
        <f t="shared" si="128"/>
        <v>4.6237721098535009E-2</v>
      </c>
      <c r="AF338">
        <f t="shared" si="119"/>
        <v>0.25294066915495161</v>
      </c>
      <c r="AG338" t="s">
        <v>1175</v>
      </c>
    </row>
    <row r="339" spans="1:33" x14ac:dyDescent="0.3">
      <c r="A339">
        <v>406552</v>
      </c>
      <c r="B339" t="s">
        <v>304</v>
      </c>
      <c r="C339" s="1" t="s">
        <v>879</v>
      </c>
      <c r="D339" t="s">
        <v>1127</v>
      </c>
      <c r="E339" s="4">
        <v>5.4</v>
      </c>
      <c r="F339" s="3">
        <f t="shared" si="129"/>
        <v>0.48888888888888893</v>
      </c>
      <c r="G339">
        <v>65.831040000000002</v>
      </c>
      <c r="H339">
        <f t="shared" si="120"/>
        <v>0.62135658414260375</v>
      </c>
      <c r="I339">
        <v>186.8</v>
      </c>
      <c r="J339" s="3">
        <f t="shared" si="110"/>
        <v>0.57761286332714901</v>
      </c>
      <c r="K339">
        <v>0</v>
      </c>
      <c r="L339" s="3">
        <f t="shared" si="111"/>
        <v>0</v>
      </c>
      <c r="M339">
        <v>38864</v>
      </c>
      <c r="N339">
        <f t="shared" si="112"/>
        <v>0.18275113199244866</v>
      </c>
      <c r="O339" s="15">
        <v>0.42685585599999998</v>
      </c>
      <c r="P339">
        <f t="shared" si="113"/>
        <v>0.43516011082461009</v>
      </c>
      <c r="Q339">
        <v>0.41299999999999998</v>
      </c>
      <c r="R339">
        <f t="shared" si="114"/>
        <v>0.91553979162048327</v>
      </c>
      <c r="S339">
        <f t="shared" si="121"/>
        <v>0.12020380500661251</v>
      </c>
      <c r="T339" s="14">
        <f t="shared" si="115"/>
        <v>0.20165921799331857</v>
      </c>
      <c r="U339" t="str">
        <f t="shared" si="122"/>
        <v>Low</v>
      </c>
      <c r="V339">
        <f t="shared" si="123"/>
        <v>0.16295457842045244</v>
      </c>
      <c r="W339">
        <f t="shared" si="116"/>
        <v>0.21901897363199577</v>
      </c>
      <c r="X339" t="s">
        <v>1175</v>
      </c>
      <c r="Y339">
        <f t="shared" si="124"/>
        <v>7.7453031592772573E-2</v>
      </c>
      <c r="Z339">
        <f t="shared" si="117"/>
        <v>0.15518826496960986</v>
      </c>
      <c r="AA339" t="str">
        <f t="shared" si="125"/>
        <v>Low</v>
      </c>
      <c r="AB339">
        <f t="shared" si="126"/>
        <v>9.1654603703292759E-2</v>
      </c>
      <c r="AC339">
        <f t="shared" si="118"/>
        <v>0.21518420222197507</v>
      </c>
      <c r="AD339" t="str">
        <f t="shared" si="127"/>
        <v>Low</v>
      </c>
      <c r="AE339">
        <f t="shared" si="128"/>
        <v>3.252740508086472E-2</v>
      </c>
      <c r="AF339">
        <f t="shared" si="119"/>
        <v>0.1779392109203404</v>
      </c>
      <c r="AG339" t="s">
        <v>1175</v>
      </c>
    </row>
    <row r="340" spans="1:33" x14ac:dyDescent="0.3">
      <c r="A340">
        <v>406576</v>
      </c>
      <c r="B340" t="s">
        <v>371</v>
      </c>
      <c r="C340" s="1" t="s">
        <v>879</v>
      </c>
      <c r="D340" t="s">
        <v>880</v>
      </c>
      <c r="E340" s="4">
        <v>5.5</v>
      </c>
      <c r="F340" s="3">
        <f t="shared" si="129"/>
        <v>0.51111111111111107</v>
      </c>
      <c r="G340">
        <v>61.399799999999999</v>
      </c>
      <c r="H340">
        <f t="shared" si="120"/>
        <v>0.57953163120374585</v>
      </c>
      <c r="I340">
        <v>164.60000000000002</v>
      </c>
      <c r="J340" s="3">
        <f t="shared" si="110"/>
        <v>0.50896722325293753</v>
      </c>
      <c r="K340">
        <v>0</v>
      </c>
      <c r="L340" s="3">
        <f t="shared" si="111"/>
        <v>0</v>
      </c>
      <c r="M340">
        <v>41242</v>
      </c>
      <c r="N340">
        <f t="shared" si="112"/>
        <v>0.19400245087602258</v>
      </c>
      <c r="O340" s="15">
        <v>0.73897785299999996</v>
      </c>
      <c r="P340">
        <f t="shared" si="113"/>
        <v>0.75335427612925243</v>
      </c>
      <c r="Q340">
        <v>0.32300000000000001</v>
      </c>
      <c r="R340">
        <f t="shared" si="114"/>
        <v>0.71602748836178232</v>
      </c>
      <c r="S340">
        <f t="shared" si="121"/>
        <v>0.12527198288805524</v>
      </c>
      <c r="T340" s="14">
        <f t="shared" si="115"/>
        <v>0.21016181729262157</v>
      </c>
      <c r="U340" t="str">
        <f t="shared" si="122"/>
        <v>Low</v>
      </c>
      <c r="V340">
        <f t="shared" si="123"/>
        <v>0.12208969164729505</v>
      </c>
      <c r="W340">
        <f t="shared" si="116"/>
        <v>0.16409455453680752</v>
      </c>
      <c r="X340" t="s">
        <v>1176</v>
      </c>
      <c r="Y340">
        <f t="shared" si="124"/>
        <v>0.12845427412881544</v>
      </c>
      <c r="Z340">
        <f t="shared" si="117"/>
        <v>0.25737657416422782</v>
      </c>
      <c r="AA340" t="str">
        <f t="shared" si="125"/>
        <v>Low</v>
      </c>
      <c r="AB340">
        <f t="shared" si="126"/>
        <v>9.2845434843864871E-2</v>
      </c>
      <c r="AC340">
        <f t="shared" si="118"/>
        <v>0.2179800033995638</v>
      </c>
      <c r="AD340" t="str">
        <f t="shared" si="127"/>
        <v>Low</v>
      </c>
      <c r="AE340">
        <f t="shared" si="128"/>
        <v>3.3079315796191319E-2</v>
      </c>
      <c r="AF340">
        <f t="shared" si="119"/>
        <v>0.18095840525630263</v>
      </c>
      <c r="AG340" t="s">
        <v>1175</v>
      </c>
    </row>
    <row r="341" spans="1:33" x14ac:dyDescent="0.3">
      <c r="A341">
        <v>408704</v>
      </c>
      <c r="B341" t="s">
        <v>14</v>
      </c>
      <c r="C341" s="1" t="s">
        <v>882</v>
      </c>
      <c r="D341" t="s">
        <v>881</v>
      </c>
      <c r="E341" s="4">
        <v>6.9</v>
      </c>
      <c r="F341" s="3">
        <f t="shared" si="129"/>
        <v>0.8222222222222223</v>
      </c>
      <c r="G341">
        <v>72.619560000000007</v>
      </c>
      <c r="H341">
        <f t="shared" si="120"/>
        <v>0.68543109365337174</v>
      </c>
      <c r="I341">
        <v>163</v>
      </c>
      <c r="J341" s="3">
        <f t="shared" si="110"/>
        <v>0.50401978973407535</v>
      </c>
      <c r="K341">
        <v>0</v>
      </c>
      <c r="L341" s="3">
        <f t="shared" si="111"/>
        <v>0</v>
      </c>
      <c r="M341">
        <v>39423</v>
      </c>
      <c r="N341">
        <f t="shared" si="112"/>
        <v>0.18539599627164033</v>
      </c>
      <c r="O341" s="15">
        <v>0.57268364400000005</v>
      </c>
      <c r="P341">
        <f t="shared" si="113"/>
        <v>0.58382490128115183</v>
      </c>
      <c r="Q341">
        <v>0.28079999999999999</v>
      </c>
      <c r="R341">
        <f t="shared" si="114"/>
        <v>0.62247838616714701</v>
      </c>
      <c r="S341">
        <f t="shared" si="121"/>
        <v>0.18596005071517896</v>
      </c>
      <c r="T341" s="14">
        <f t="shared" si="115"/>
        <v>0.31197480315334375</v>
      </c>
      <c r="U341" t="str">
        <f t="shared" si="122"/>
        <v>Moderate</v>
      </c>
      <c r="V341">
        <f t="shared" si="123"/>
        <v>0.19191875453743487</v>
      </c>
      <c r="W341">
        <f t="shared" si="116"/>
        <v>0.25794825188074766</v>
      </c>
      <c r="X341" t="s">
        <v>1175</v>
      </c>
      <c r="Y341">
        <f t="shared" si="124"/>
        <v>0.18000134689292302</v>
      </c>
      <c r="Z341">
        <f t="shared" si="117"/>
        <v>0.36065853255913399</v>
      </c>
      <c r="AA341" t="str">
        <f t="shared" si="125"/>
        <v>Moderate</v>
      </c>
      <c r="AB341">
        <f t="shared" si="126"/>
        <v>0.14117802671476432</v>
      </c>
      <c r="AC341">
        <f t="shared" si="118"/>
        <v>0.33145395672904804</v>
      </c>
      <c r="AD341" t="str">
        <f t="shared" si="127"/>
        <v>Moderate</v>
      </c>
      <c r="AE341">
        <f t="shared" si="128"/>
        <v>5.716016731081483E-2</v>
      </c>
      <c r="AF341">
        <f t="shared" si="119"/>
        <v>0.3126912534853406</v>
      </c>
      <c r="AG341" t="str">
        <f t="shared" ref="AG341:AG351" si="130">IF(AF341&gt;0.7,"High",IF(AF341&gt;0.3,"Moderate",IF(AF341&gt;0.15,"Low","No Impact")))</f>
        <v>Moderate</v>
      </c>
    </row>
    <row r="342" spans="1:33" x14ac:dyDescent="0.3">
      <c r="A342">
        <v>408725</v>
      </c>
      <c r="B342" t="s">
        <v>134</v>
      </c>
      <c r="C342" s="1" t="s">
        <v>882</v>
      </c>
      <c r="D342" t="s">
        <v>883</v>
      </c>
      <c r="E342" s="4">
        <v>6.7</v>
      </c>
      <c r="F342" s="3">
        <f t="shared" si="129"/>
        <v>0.77777777777777779</v>
      </c>
      <c r="G342">
        <v>63.097200000000008</v>
      </c>
      <c r="H342">
        <f t="shared" si="120"/>
        <v>0.59555280701873614</v>
      </c>
      <c r="I342">
        <v>129.5</v>
      </c>
      <c r="J342" s="3">
        <f t="shared" si="110"/>
        <v>0.40043290043290042</v>
      </c>
      <c r="K342">
        <v>0</v>
      </c>
      <c r="L342" s="3">
        <f t="shared" si="111"/>
        <v>0</v>
      </c>
      <c r="M342">
        <v>18680</v>
      </c>
      <c r="N342">
        <f t="shared" si="112"/>
        <v>8.7252132687967526E-2</v>
      </c>
      <c r="O342" s="15">
        <v>0.84076068699999995</v>
      </c>
      <c r="P342">
        <f t="shared" si="113"/>
        <v>0.85711724131036704</v>
      </c>
      <c r="Q342">
        <v>0.27739999999999998</v>
      </c>
      <c r="R342">
        <f t="shared" si="114"/>
        <v>0.61494125471070715</v>
      </c>
      <c r="S342">
        <f t="shared" si="121"/>
        <v>0.18222071715329</v>
      </c>
      <c r="T342" s="14">
        <f t="shared" si="115"/>
        <v>0.30570153183830329</v>
      </c>
      <c r="U342" t="str">
        <f t="shared" si="122"/>
        <v>Moderate</v>
      </c>
      <c r="V342">
        <f t="shared" si="123"/>
        <v>0.15224264082359515</v>
      </c>
      <c r="W342">
        <f t="shared" si="116"/>
        <v>0.20462160228585133</v>
      </c>
      <c r="X342" t="s">
        <v>1175</v>
      </c>
      <c r="Y342">
        <f t="shared" si="124"/>
        <v>0.21219879348298487</v>
      </c>
      <c r="Z342">
        <f t="shared" si="117"/>
        <v>0.42517073782741216</v>
      </c>
      <c r="AA342" t="str">
        <f t="shared" si="125"/>
        <v>Moderate</v>
      </c>
      <c r="AB342">
        <f t="shared" si="126"/>
        <v>0.12450499716924976</v>
      </c>
      <c r="AC342">
        <f t="shared" si="118"/>
        <v>0.29230946843919164</v>
      </c>
      <c r="AD342" t="str">
        <f t="shared" si="127"/>
        <v>Low</v>
      </c>
      <c r="AE342">
        <f t="shared" si="128"/>
        <v>2.160124238884573E-2</v>
      </c>
      <c r="AF342">
        <f t="shared" si="119"/>
        <v>0.11816829581131885</v>
      </c>
      <c r="AG342" t="s">
        <v>1175</v>
      </c>
    </row>
    <row r="343" spans="1:33" x14ac:dyDescent="0.3">
      <c r="A343">
        <v>408743</v>
      </c>
      <c r="B343" t="s">
        <v>240</v>
      </c>
      <c r="C343" s="1" t="s">
        <v>882</v>
      </c>
      <c r="D343" t="s">
        <v>884</v>
      </c>
      <c r="E343" s="4">
        <v>6.5</v>
      </c>
      <c r="F343" s="3">
        <f t="shared" si="129"/>
        <v>0.73333333333333328</v>
      </c>
      <c r="G343">
        <v>64.213920000000002</v>
      </c>
      <c r="H343">
        <f t="shared" si="120"/>
        <v>0.60609314368429279</v>
      </c>
      <c r="I343">
        <v>149.29999999999998</v>
      </c>
      <c r="J343" s="3">
        <f t="shared" si="110"/>
        <v>0.46165739022881869</v>
      </c>
      <c r="K343">
        <v>0</v>
      </c>
      <c r="L343" s="3">
        <f t="shared" si="111"/>
        <v>0</v>
      </c>
      <c r="M343">
        <v>48599</v>
      </c>
      <c r="N343">
        <f t="shared" si="112"/>
        <v>0.22881151438588523</v>
      </c>
      <c r="O343" s="15">
        <v>0.74131448</v>
      </c>
      <c r="P343">
        <f t="shared" si="113"/>
        <v>0.75573636097120389</v>
      </c>
      <c r="Q343">
        <v>0.34229999999999999</v>
      </c>
      <c r="R343">
        <f t="shared" si="114"/>
        <v>0.7588117933939259</v>
      </c>
      <c r="S343">
        <f t="shared" si="121"/>
        <v>0.18590856919073193</v>
      </c>
      <c r="T343" s="14">
        <f t="shared" si="115"/>
        <v>0.31188843547171735</v>
      </c>
      <c r="U343" t="str">
        <f t="shared" si="122"/>
        <v>Moderate</v>
      </c>
      <c r="V343">
        <f t="shared" si="123"/>
        <v>0.18628607401928637</v>
      </c>
      <c r="W343">
        <f t="shared" si="116"/>
        <v>0.25037765203728246</v>
      </c>
      <c r="X343" t="s">
        <v>1175</v>
      </c>
      <c r="Y343">
        <f t="shared" si="124"/>
        <v>0.18553106436217751</v>
      </c>
      <c r="Z343">
        <f t="shared" si="117"/>
        <v>0.37173811514200378</v>
      </c>
      <c r="AA343" t="str">
        <f t="shared" si="125"/>
        <v>Moderate</v>
      </c>
      <c r="AB343">
        <f t="shared" si="126"/>
        <v>0.14051984016017363</v>
      </c>
      <c r="AC343">
        <f t="shared" si="118"/>
        <v>0.32990868411926927</v>
      </c>
      <c r="AD343" t="str">
        <f t="shared" si="127"/>
        <v>Moderate</v>
      </c>
      <c r="AE343">
        <f t="shared" si="128"/>
        <v>5.6172556985057555E-2</v>
      </c>
      <c r="AF343">
        <f t="shared" si="119"/>
        <v>0.30728859066532332</v>
      </c>
      <c r="AG343" t="str">
        <f t="shared" si="130"/>
        <v>Moderate</v>
      </c>
    </row>
    <row r="344" spans="1:33" x14ac:dyDescent="0.3">
      <c r="A344">
        <v>408747</v>
      </c>
      <c r="B344" t="s">
        <v>245</v>
      </c>
      <c r="C344" s="1" t="s">
        <v>882</v>
      </c>
      <c r="D344" t="s">
        <v>1136</v>
      </c>
      <c r="E344" s="4">
        <v>6.9</v>
      </c>
      <c r="F344" s="3">
        <f t="shared" si="129"/>
        <v>0.8222222222222223</v>
      </c>
      <c r="G344">
        <v>67.25376</v>
      </c>
      <c r="H344">
        <f t="shared" si="120"/>
        <v>0.63478514974617561</v>
      </c>
      <c r="I344">
        <v>155.5</v>
      </c>
      <c r="J344" s="3">
        <f t="shared" si="110"/>
        <v>0.48082869511440934</v>
      </c>
      <c r="K344">
        <v>0</v>
      </c>
      <c r="L344" s="3">
        <f t="shared" si="111"/>
        <v>0</v>
      </c>
      <c r="M344">
        <v>39782</v>
      </c>
      <c r="N344">
        <f t="shared" si="112"/>
        <v>0.18709457637223034</v>
      </c>
      <c r="O344" s="15">
        <v>0.52200981999999996</v>
      </c>
      <c r="P344">
        <f t="shared" si="113"/>
        <v>0.53216524484727878</v>
      </c>
      <c r="Q344">
        <v>0.32590000000000002</v>
      </c>
      <c r="R344">
        <f t="shared" si="114"/>
        <v>0.72245621813345162</v>
      </c>
      <c r="S344">
        <f t="shared" si="121"/>
        <v>0.18056724767622392</v>
      </c>
      <c r="T344" s="14">
        <f t="shared" si="115"/>
        <v>0.30292759833675875</v>
      </c>
      <c r="U344" t="str">
        <f t="shared" si="122"/>
        <v>Moderate</v>
      </c>
      <c r="V344">
        <f t="shared" si="123"/>
        <v>0.20795424711610344</v>
      </c>
      <c r="W344">
        <f t="shared" si="116"/>
        <v>0.27950074313510004</v>
      </c>
      <c r="X344" t="s">
        <v>1175</v>
      </c>
      <c r="Y344">
        <f t="shared" si="124"/>
        <v>0.15318024823634441</v>
      </c>
      <c r="Z344">
        <f t="shared" si="117"/>
        <v>0.30691861199698556</v>
      </c>
      <c r="AA344" t="str">
        <f t="shared" si="125"/>
        <v>Moderate</v>
      </c>
      <c r="AB344">
        <f t="shared" si="126"/>
        <v>0.13758693896598115</v>
      </c>
      <c r="AC344">
        <f t="shared" si="118"/>
        <v>0.32302289793758165</v>
      </c>
      <c r="AD344" t="str">
        <f t="shared" si="127"/>
        <v>Moderate</v>
      </c>
      <c r="AE344">
        <f t="shared" si="128"/>
        <v>5.3853937155547572E-2</v>
      </c>
      <c r="AF344">
        <f t="shared" si="119"/>
        <v>0.29460472049917935</v>
      </c>
      <c r="AG344" t="s">
        <v>1175</v>
      </c>
    </row>
    <row r="345" spans="1:33" x14ac:dyDescent="0.3">
      <c r="A345">
        <v>408782</v>
      </c>
      <c r="B345" t="s">
        <v>464</v>
      </c>
      <c r="C345" s="1" t="s">
        <v>882</v>
      </c>
      <c r="D345" t="s">
        <v>885</v>
      </c>
      <c r="E345" s="4">
        <v>7</v>
      </c>
      <c r="F345" s="3">
        <f t="shared" si="129"/>
        <v>0.84444444444444444</v>
      </c>
      <c r="G345">
        <v>70.437600000000003</v>
      </c>
      <c r="H345">
        <f t="shared" si="120"/>
        <v>0.66483632236712442</v>
      </c>
      <c r="I345">
        <v>153.89999999999998</v>
      </c>
      <c r="J345" s="3">
        <f t="shared" si="110"/>
        <v>0.47588126159554717</v>
      </c>
      <c r="K345">
        <v>0</v>
      </c>
      <c r="L345" s="3">
        <f t="shared" si="111"/>
        <v>0</v>
      </c>
      <c r="M345">
        <v>45523</v>
      </c>
      <c r="N345">
        <f t="shared" si="112"/>
        <v>0.21425766371899144</v>
      </c>
      <c r="O345" s="15">
        <v>0.54732803699999999</v>
      </c>
      <c r="P345">
        <f t="shared" si="113"/>
        <v>0.55797601436288202</v>
      </c>
      <c r="Q345">
        <v>0.26900000000000002</v>
      </c>
      <c r="R345">
        <f t="shared" si="114"/>
        <v>0.59632010640656175</v>
      </c>
      <c r="S345">
        <f t="shared" si="121"/>
        <v>0.17599437123740172</v>
      </c>
      <c r="T345" s="14">
        <f t="shared" si="115"/>
        <v>0.29525593863694954</v>
      </c>
      <c r="U345" t="str">
        <f t="shared" si="122"/>
        <v>Low</v>
      </c>
      <c r="V345">
        <f t="shared" si="123"/>
        <v>0.18184065647432868</v>
      </c>
      <c r="W345">
        <f t="shared" si="116"/>
        <v>0.24440279206403176</v>
      </c>
      <c r="X345" t="s">
        <v>1175</v>
      </c>
      <c r="Y345">
        <f t="shared" si="124"/>
        <v>0.17014808600047474</v>
      </c>
      <c r="Z345">
        <f t="shared" si="117"/>
        <v>0.3409161102065576</v>
      </c>
      <c r="AA345" t="str">
        <f t="shared" si="125"/>
        <v>Moderate</v>
      </c>
      <c r="AB345">
        <f t="shared" si="126"/>
        <v>0.13755601125710254</v>
      </c>
      <c r="AC345">
        <f t="shared" si="118"/>
        <v>0.3229502866982909</v>
      </c>
      <c r="AD345" t="str">
        <f t="shared" si="127"/>
        <v>Moderate</v>
      </c>
      <c r="AE345">
        <f t="shared" si="128"/>
        <v>6.5335301974128845E-2</v>
      </c>
      <c r="AF345">
        <f t="shared" si="119"/>
        <v>0.35741283541114199</v>
      </c>
      <c r="AG345" t="str">
        <f t="shared" si="130"/>
        <v>Moderate</v>
      </c>
    </row>
    <row r="346" spans="1:33" x14ac:dyDescent="0.3">
      <c r="A346">
        <v>408786</v>
      </c>
      <c r="B346" t="s">
        <v>538</v>
      </c>
      <c r="C346" s="1" t="s">
        <v>882</v>
      </c>
      <c r="D346" t="s">
        <v>886</v>
      </c>
      <c r="E346" s="4">
        <v>6.9</v>
      </c>
      <c r="F346" s="3">
        <f t="shared" si="129"/>
        <v>0.8222222222222223</v>
      </c>
      <c r="G346">
        <v>68.44932</v>
      </c>
      <c r="H346">
        <f t="shared" si="120"/>
        <v>0.64606963010282092</v>
      </c>
      <c r="I346">
        <v>110.9</v>
      </c>
      <c r="J346" s="3">
        <f t="shared" si="110"/>
        <v>0.34291898577612862</v>
      </c>
      <c r="K346">
        <v>0</v>
      </c>
      <c r="L346" s="3">
        <f t="shared" si="111"/>
        <v>0</v>
      </c>
      <c r="M346">
        <v>55956</v>
      </c>
      <c r="N346">
        <f t="shared" si="112"/>
        <v>0.26362057789574789</v>
      </c>
      <c r="O346" s="15">
        <v>0.53750267500000004</v>
      </c>
      <c r="P346">
        <f t="shared" si="113"/>
        <v>0.54795950514387326</v>
      </c>
      <c r="Q346">
        <v>0.37880000000000003</v>
      </c>
      <c r="R346">
        <f t="shared" si="114"/>
        <v>0.83972511638217695</v>
      </c>
      <c r="S346">
        <f t="shared" si="121"/>
        <v>0.18655771506707927</v>
      </c>
      <c r="T346" s="14">
        <f t="shared" si="115"/>
        <v>0.31297747129533865</v>
      </c>
      <c r="U346" t="str">
        <f t="shared" si="122"/>
        <v>Moderate</v>
      </c>
      <c r="V346">
        <f t="shared" si="123"/>
        <v>0.22578213603667191</v>
      </c>
      <c r="W346">
        <f t="shared" si="116"/>
        <v>0.30346230329043017</v>
      </c>
      <c r="X346" t="str">
        <f t="shared" ref="X346" si="131">IF(W346&gt;0.7,"High",IF(W346&gt;0.3,"Moderate",IF(W346&gt;0.15,"Low","No Impact")))</f>
        <v>Moderate</v>
      </c>
      <c r="Y346">
        <f t="shared" si="124"/>
        <v>0.14733329409748658</v>
      </c>
      <c r="Z346">
        <f t="shared" si="117"/>
        <v>0.2952034002162901</v>
      </c>
      <c r="AA346" t="str">
        <f t="shared" si="125"/>
        <v>Low</v>
      </c>
      <c r="AB346">
        <f t="shared" si="126"/>
        <v>0.14803219471364135</v>
      </c>
      <c r="AC346">
        <f t="shared" si="118"/>
        <v>0.34754598716876678</v>
      </c>
      <c r="AD346" t="str">
        <f t="shared" si="127"/>
        <v>Moderate</v>
      </c>
      <c r="AE346">
        <f t="shared" si="128"/>
        <v>7.088131106160056E-2</v>
      </c>
      <c r="AF346">
        <f t="shared" si="119"/>
        <v>0.38775194418198894</v>
      </c>
      <c r="AG346" t="str">
        <f t="shared" si="130"/>
        <v>Moderate</v>
      </c>
    </row>
    <row r="347" spans="1:33" x14ac:dyDescent="0.3">
      <c r="A347">
        <v>408790</v>
      </c>
      <c r="B347" t="s">
        <v>509</v>
      </c>
      <c r="C347" s="1" t="s">
        <v>882</v>
      </c>
      <c r="D347" t="s">
        <v>887</v>
      </c>
      <c r="E347" s="4">
        <v>7</v>
      </c>
      <c r="F347" s="3">
        <f t="shared" si="129"/>
        <v>0.84444444444444444</v>
      </c>
      <c r="G347">
        <v>72.619560000000007</v>
      </c>
      <c r="H347">
        <f t="shared" si="120"/>
        <v>0.68543109365337174</v>
      </c>
      <c r="I347">
        <v>157.20000000000002</v>
      </c>
      <c r="J347" s="3">
        <f t="shared" si="110"/>
        <v>0.48608534322820035</v>
      </c>
      <c r="K347">
        <v>0</v>
      </c>
      <c r="L347" s="3">
        <f t="shared" si="111"/>
        <v>0</v>
      </c>
      <c r="M347">
        <v>36530</v>
      </c>
      <c r="N347">
        <f t="shared" si="112"/>
        <v>0.1717079956281671</v>
      </c>
      <c r="O347" s="15">
        <v>0.62694208299999998</v>
      </c>
      <c r="P347">
        <f t="shared" si="113"/>
        <v>0.63913890950319285</v>
      </c>
      <c r="Q347">
        <v>0.2913</v>
      </c>
      <c r="R347">
        <f t="shared" si="114"/>
        <v>0.64575482154732877</v>
      </c>
      <c r="S347">
        <f t="shared" si="121"/>
        <v>0.20148277589603483</v>
      </c>
      <c r="T347" s="14">
        <f t="shared" si="115"/>
        <v>0.33801641324151349</v>
      </c>
      <c r="U347" t="str">
        <f t="shared" si="122"/>
        <v>Moderate</v>
      </c>
      <c r="V347">
        <f t="shared" si="123"/>
        <v>0.20252020980323168</v>
      </c>
      <c r="W347">
        <f t="shared" si="116"/>
        <v>0.27219712953627057</v>
      </c>
      <c r="X347" t="s">
        <v>1175</v>
      </c>
      <c r="Y347">
        <f t="shared" si="124"/>
        <v>0.20044534198883793</v>
      </c>
      <c r="Z347">
        <f t="shared" si="117"/>
        <v>0.4016210108861708</v>
      </c>
      <c r="AA347" t="str">
        <f t="shared" si="125"/>
        <v>Moderate</v>
      </c>
      <c r="AB347">
        <f t="shared" si="126"/>
        <v>0.14986341567866795</v>
      </c>
      <c r="AC347">
        <f t="shared" si="118"/>
        <v>0.35184527827395812</v>
      </c>
      <c r="AD347" t="str">
        <f t="shared" si="127"/>
        <v>Moderate</v>
      </c>
      <c r="AE347">
        <f t="shared" si="128"/>
        <v>5.3850684716815707E-2</v>
      </c>
      <c r="AF347">
        <f t="shared" si="119"/>
        <v>0.29458692822893595</v>
      </c>
      <c r="AG347" t="s">
        <v>1175</v>
      </c>
    </row>
    <row r="348" spans="1:33" x14ac:dyDescent="0.3">
      <c r="A348">
        <v>453907</v>
      </c>
      <c r="B348" t="s">
        <v>34</v>
      </c>
      <c r="C348" s="1" t="s">
        <v>889</v>
      </c>
      <c r="D348" t="s">
        <v>888</v>
      </c>
      <c r="E348" s="4">
        <v>6.7</v>
      </c>
      <c r="F348" s="3">
        <f t="shared" si="129"/>
        <v>0.77777777777777779</v>
      </c>
      <c r="G348">
        <v>39.592799999999997</v>
      </c>
      <c r="H348">
        <f t="shared" si="120"/>
        <v>0.37370284541519133</v>
      </c>
      <c r="I348">
        <v>104.4</v>
      </c>
      <c r="J348" s="3">
        <f t="shared" si="110"/>
        <v>0.32282003710575136</v>
      </c>
      <c r="K348">
        <v>0</v>
      </c>
      <c r="L348" s="3">
        <f t="shared" si="111"/>
        <v>0</v>
      </c>
      <c r="M348">
        <v>31094</v>
      </c>
      <c r="N348">
        <f t="shared" si="112"/>
        <v>0.14598799165377355</v>
      </c>
      <c r="O348" s="15">
        <v>0.71091130800000002</v>
      </c>
      <c r="P348">
        <f t="shared" si="113"/>
        <v>0.72474171134657817</v>
      </c>
      <c r="Q348">
        <v>0.35920000000000002</v>
      </c>
      <c r="R348">
        <f t="shared" si="114"/>
        <v>0.79627577033917096</v>
      </c>
      <c r="S348">
        <f t="shared" si="121"/>
        <v>0.12660915878650014</v>
      </c>
      <c r="T348" s="14">
        <f t="shared" si="115"/>
        <v>0.21240512270200587</v>
      </c>
      <c r="U348" t="str">
        <f t="shared" si="122"/>
        <v>Low</v>
      </c>
      <c r="V348">
        <f t="shared" si="123"/>
        <v>0.1325636380365337</v>
      </c>
      <c r="W348">
        <f t="shared" si="116"/>
        <v>0.17817205398655406</v>
      </c>
      <c r="X348" t="s">
        <v>1175</v>
      </c>
      <c r="Y348">
        <f t="shared" si="124"/>
        <v>0.12065467953646662</v>
      </c>
      <c r="Z348">
        <f t="shared" si="117"/>
        <v>0.24174896698912132</v>
      </c>
      <c r="AA348" t="str">
        <f t="shared" si="125"/>
        <v>Low</v>
      </c>
      <c r="AB348">
        <f t="shared" si="126"/>
        <v>9.1100082870662472E-2</v>
      </c>
      <c r="AC348">
        <f t="shared" si="118"/>
        <v>0.21388231319334217</v>
      </c>
      <c r="AD348" t="str">
        <f t="shared" si="127"/>
        <v>Low</v>
      </c>
      <c r="AE348">
        <f t="shared" si="128"/>
        <v>2.4304016276959075E-2</v>
      </c>
      <c r="AF348">
        <f t="shared" si="119"/>
        <v>0.13295365762396191</v>
      </c>
      <c r="AG348" t="s">
        <v>1175</v>
      </c>
    </row>
    <row r="349" spans="1:33" x14ac:dyDescent="0.3">
      <c r="A349">
        <v>453915</v>
      </c>
      <c r="B349" t="s">
        <v>140</v>
      </c>
      <c r="C349" s="1" t="s">
        <v>889</v>
      </c>
      <c r="D349" t="s">
        <v>890</v>
      </c>
      <c r="E349" s="4">
        <v>6.7</v>
      </c>
      <c r="F349" s="3">
        <f t="shared" si="129"/>
        <v>0.77777777777777779</v>
      </c>
      <c r="G349">
        <v>46.207439999999998</v>
      </c>
      <c r="H349">
        <f t="shared" si="120"/>
        <v>0.43613616130588717</v>
      </c>
      <c r="I349">
        <v>70.8</v>
      </c>
      <c r="J349" s="3">
        <f t="shared" si="110"/>
        <v>0.21892393320964745</v>
      </c>
      <c r="K349">
        <v>0</v>
      </c>
      <c r="L349" s="3">
        <f t="shared" si="111"/>
        <v>0</v>
      </c>
      <c r="M349">
        <v>33936</v>
      </c>
      <c r="N349">
        <f t="shared" si="112"/>
        <v>0.15943468983170336</v>
      </c>
      <c r="O349" s="15">
        <v>0.86127333699999997</v>
      </c>
      <c r="P349">
        <f t="shared" si="113"/>
        <v>0.87802895406266079</v>
      </c>
      <c r="Q349">
        <v>0.31769999999999998</v>
      </c>
      <c r="R349">
        <f t="shared" si="114"/>
        <v>0.70427843050321437</v>
      </c>
      <c r="S349">
        <f t="shared" si="121"/>
        <v>0.13429172505753434</v>
      </c>
      <c r="T349" s="14">
        <f t="shared" si="115"/>
        <v>0.22529373555676013</v>
      </c>
      <c r="U349" t="str">
        <f t="shared" si="122"/>
        <v>Low</v>
      </c>
      <c r="V349">
        <f t="shared" si="123"/>
        <v>0.11954537566547255</v>
      </c>
      <c r="W349">
        <f t="shared" si="116"/>
        <v>0.16067486863208605</v>
      </c>
      <c r="X349" t="s">
        <v>1176</v>
      </c>
      <c r="Y349">
        <f t="shared" si="124"/>
        <v>0.14903807444959608</v>
      </c>
      <c r="Z349">
        <f t="shared" si="117"/>
        <v>0.29861917232433555</v>
      </c>
      <c r="AA349" t="str">
        <f t="shared" si="125"/>
        <v>Low</v>
      </c>
      <c r="AB349">
        <f t="shared" si="126"/>
        <v>9.6024250810047354E-2</v>
      </c>
      <c r="AC349">
        <f t="shared" si="118"/>
        <v>0.22544314163872767</v>
      </c>
      <c r="AD349" t="str">
        <f t="shared" si="127"/>
        <v>Low</v>
      </c>
      <c r="AE349">
        <f t="shared" si="128"/>
        <v>2.7062705692151804E-2</v>
      </c>
      <c r="AF349">
        <f t="shared" si="119"/>
        <v>0.14804490196064787</v>
      </c>
      <c r="AG349" t="s">
        <v>1175</v>
      </c>
    </row>
    <row r="350" spans="1:33" x14ac:dyDescent="0.3">
      <c r="A350">
        <v>453929</v>
      </c>
      <c r="B350" t="s">
        <v>214</v>
      </c>
      <c r="C350" s="1" t="s">
        <v>889</v>
      </c>
      <c r="D350" t="s">
        <v>891</v>
      </c>
      <c r="E350" s="4">
        <v>6.7</v>
      </c>
      <c r="F350" s="3">
        <f t="shared" si="129"/>
        <v>0.77777777777777779</v>
      </c>
      <c r="G350">
        <v>37.591200000000001</v>
      </c>
      <c r="H350">
        <f t="shared" si="120"/>
        <v>0.35481043024417425</v>
      </c>
      <c r="I350">
        <v>104.4</v>
      </c>
      <c r="J350" s="3">
        <f t="shared" si="110"/>
        <v>0.32282003710575136</v>
      </c>
      <c r="K350">
        <v>0</v>
      </c>
      <c r="L350" s="3">
        <f t="shared" si="111"/>
        <v>0</v>
      </c>
      <c r="M350">
        <v>49714</v>
      </c>
      <c r="N350">
        <f t="shared" si="112"/>
        <v>0.23408704868158955</v>
      </c>
      <c r="O350" s="15">
        <v>0.59772746399999999</v>
      </c>
      <c r="P350">
        <f t="shared" si="113"/>
        <v>0.60935593554830636</v>
      </c>
      <c r="Q350">
        <v>0.3</v>
      </c>
      <c r="R350">
        <f t="shared" si="114"/>
        <v>0.66504101086233647</v>
      </c>
      <c r="S350">
        <f t="shared" si="121"/>
        <v>0.10233529656337433</v>
      </c>
      <c r="T350" s="14">
        <f t="shared" si="115"/>
        <v>0.17168221818726254</v>
      </c>
      <c r="U350" t="str">
        <f t="shared" si="122"/>
        <v>Low</v>
      </c>
      <c r="V350">
        <f t="shared" si="123"/>
        <v>0.10680686149647083</v>
      </c>
      <c r="W350">
        <f t="shared" si="116"/>
        <v>0.14355367862972387</v>
      </c>
      <c r="X350" t="s">
        <v>1176</v>
      </c>
      <c r="Y350">
        <f t="shared" si="124"/>
        <v>9.7863731630277812E-2</v>
      </c>
      <c r="Z350">
        <f t="shared" si="117"/>
        <v>0.19608403186856699</v>
      </c>
      <c r="AA350" t="str">
        <f t="shared" si="125"/>
        <v>Low</v>
      </c>
      <c r="AB350">
        <f t="shared" si="126"/>
        <v>7.9899711113006713E-2</v>
      </c>
      <c r="AC350">
        <f t="shared" si="118"/>
        <v>0.1875863829958489</v>
      </c>
      <c r="AD350" t="str">
        <f t="shared" si="127"/>
        <v>Low</v>
      </c>
      <c r="AE350">
        <f t="shared" si="128"/>
        <v>3.759482885759597E-2</v>
      </c>
      <c r="AF350">
        <f t="shared" si="119"/>
        <v>0.20566024756586673</v>
      </c>
      <c r="AG350" t="s">
        <v>1175</v>
      </c>
    </row>
    <row r="351" spans="1:33" x14ac:dyDescent="0.3">
      <c r="A351">
        <v>453936</v>
      </c>
      <c r="B351" t="s">
        <v>220</v>
      </c>
      <c r="C351" s="1" t="s">
        <v>889</v>
      </c>
      <c r="D351" t="s">
        <v>892</v>
      </c>
      <c r="E351" s="4">
        <v>6.7</v>
      </c>
      <c r="F351" s="3">
        <f t="shared" si="129"/>
        <v>0.77777777777777779</v>
      </c>
      <c r="G351">
        <v>41.896799999999999</v>
      </c>
      <c r="H351">
        <f t="shared" si="120"/>
        <v>0.39544951036024706</v>
      </c>
      <c r="I351">
        <v>156.39999999999998</v>
      </c>
      <c r="J351" s="3">
        <f t="shared" si="110"/>
        <v>0.48361162646876921</v>
      </c>
      <c r="K351">
        <v>0</v>
      </c>
      <c r="L351" s="3">
        <f t="shared" si="111"/>
        <v>0</v>
      </c>
      <c r="M351">
        <v>72151</v>
      </c>
      <c r="N351">
        <f t="shared" si="112"/>
        <v>0.34024593925801855</v>
      </c>
      <c r="O351" s="15">
        <v>0.62551191299999997</v>
      </c>
      <c r="P351">
        <f t="shared" si="113"/>
        <v>0.63768091630256063</v>
      </c>
      <c r="Q351">
        <v>0.374</v>
      </c>
      <c r="R351">
        <f t="shared" si="114"/>
        <v>0.82908446020837956</v>
      </c>
      <c r="S351">
        <f t="shared" si="121"/>
        <v>0.14539840694491482</v>
      </c>
      <c r="T351" s="14">
        <f t="shared" si="115"/>
        <v>0.24392679616400542</v>
      </c>
      <c r="U351" t="str">
        <f t="shared" si="122"/>
        <v>Low</v>
      </c>
      <c r="V351">
        <f t="shared" si="123"/>
        <v>0.16437197341518223</v>
      </c>
      <c r="W351">
        <f t="shared" si="116"/>
        <v>0.22092402226570684</v>
      </c>
      <c r="X351" t="s">
        <v>1175</v>
      </c>
      <c r="Y351">
        <f t="shared" si="124"/>
        <v>0.12642484047464742</v>
      </c>
      <c r="Z351">
        <f t="shared" si="117"/>
        <v>0.25331031257078673</v>
      </c>
      <c r="AA351" t="str">
        <f t="shared" si="125"/>
        <v>Low</v>
      </c>
      <c r="AB351">
        <f t="shared" si="126"/>
        <v>0.1190673167711697</v>
      </c>
      <c r="AC351">
        <f t="shared" si="118"/>
        <v>0.27954302931752112</v>
      </c>
      <c r="AD351" t="str">
        <f t="shared" si="127"/>
        <v>Low</v>
      </c>
      <c r="AE351">
        <f t="shared" si="128"/>
        <v>6.7456211238462058E-2</v>
      </c>
      <c r="AF351">
        <f t="shared" si="119"/>
        <v>0.3690151418352442</v>
      </c>
      <c r="AG351" t="str">
        <f t="shared" si="130"/>
        <v>Moderate</v>
      </c>
    </row>
    <row r="352" spans="1:33" x14ac:dyDescent="0.3">
      <c r="A352">
        <v>453958</v>
      </c>
      <c r="B352" t="s">
        <v>307</v>
      </c>
      <c r="C352" s="1" t="s">
        <v>889</v>
      </c>
      <c r="D352" t="s">
        <v>893</v>
      </c>
      <c r="E352" s="4">
        <v>5.7</v>
      </c>
      <c r="F352" s="3">
        <f t="shared" si="129"/>
        <v>0.55555555555555558</v>
      </c>
      <c r="G352">
        <v>36.663120000000006</v>
      </c>
      <c r="H352">
        <f t="shared" si="120"/>
        <v>0.34605060177099406</v>
      </c>
      <c r="I352">
        <v>100.8</v>
      </c>
      <c r="J352" s="3">
        <f t="shared" si="110"/>
        <v>0.31168831168831163</v>
      </c>
      <c r="K352">
        <v>0</v>
      </c>
      <c r="L352" s="3">
        <f t="shared" si="111"/>
        <v>0</v>
      </c>
      <c r="M352">
        <v>42481</v>
      </c>
      <c r="N352">
        <f t="shared" si="112"/>
        <v>0.19986468136245997</v>
      </c>
      <c r="O352" s="15">
        <v>0.90690850300000003</v>
      </c>
      <c r="P352">
        <f t="shared" si="113"/>
        <v>0.92455192807115028</v>
      </c>
      <c r="Q352">
        <v>0.3639</v>
      </c>
      <c r="R352">
        <f t="shared" si="114"/>
        <v>0.80669474617601422</v>
      </c>
      <c r="S352">
        <f t="shared" si="121"/>
        <v>9.6544847771479439E-2</v>
      </c>
      <c r="T352" s="14">
        <f t="shared" si="115"/>
        <v>0.16196790527395963</v>
      </c>
      <c r="U352" t="str">
        <f t="shared" si="122"/>
        <v>Low</v>
      </c>
      <c r="V352">
        <f t="shared" si="123"/>
        <v>8.9972414244761226E-2</v>
      </c>
      <c r="W352">
        <f t="shared" si="116"/>
        <v>0.12092735297216479</v>
      </c>
      <c r="X352" t="s">
        <v>1176</v>
      </c>
      <c r="Y352">
        <f t="shared" si="124"/>
        <v>0.10311728129819765</v>
      </c>
      <c r="Z352">
        <f t="shared" si="117"/>
        <v>0.20661027262545206</v>
      </c>
      <c r="AA352" t="str">
        <f t="shared" si="125"/>
        <v>Low</v>
      </c>
      <c r="AB352">
        <f t="shared" si="126"/>
        <v>7.0227498826877802E-2</v>
      </c>
      <c r="AC352">
        <f t="shared" si="118"/>
        <v>0.16487822431731802</v>
      </c>
      <c r="AD352" t="str">
        <f t="shared" si="127"/>
        <v>Low</v>
      </c>
      <c r="AE352">
        <f t="shared" si="128"/>
        <v>2.2291341290720225E-2</v>
      </c>
      <c r="AF352">
        <f t="shared" si="119"/>
        <v>0.12194344030105805</v>
      </c>
      <c r="AG352" t="s">
        <v>1175</v>
      </c>
    </row>
    <row r="353" spans="1:33" x14ac:dyDescent="0.3">
      <c r="A353">
        <v>453961</v>
      </c>
      <c r="B353" t="s">
        <v>333</v>
      </c>
      <c r="C353" s="1" t="s">
        <v>889</v>
      </c>
      <c r="D353" t="s">
        <v>894</v>
      </c>
      <c r="E353" s="4">
        <v>5.9</v>
      </c>
      <c r="F353" s="3">
        <f t="shared" si="129"/>
        <v>0.60000000000000009</v>
      </c>
      <c r="G353">
        <v>37.668240000000004</v>
      </c>
      <c r="H353">
        <f t="shared" si="120"/>
        <v>0.35553758435327459</v>
      </c>
      <c r="I353">
        <v>103.00000000000001</v>
      </c>
      <c r="J353" s="3">
        <f t="shared" si="110"/>
        <v>0.31849103277674706</v>
      </c>
      <c r="K353">
        <v>0</v>
      </c>
      <c r="L353" s="3">
        <f t="shared" si="111"/>
        <v>0</v>
      </c>
      <c r="M353">
        <v>49997</v>
      </c>
      <c r="N353">
        <f t="shared" si="112"/>
        <v>0.23542604079431093</v>
      </c>
      <c r="O353" s="15">
        <v>0.75408750599999996</v>
      </c>
      <c r="P353">
        <f t="shared" si="113"/>
        <v>0.768757879433693</v>
      </c>
      <c r="Q353">
        <v>0.36759999999999998</v>
      </c>
      <c r="R353">
        <f t="shared" si="114"/>
        <v>0.81489691864331626</v>
      </c>
      <c r="S353">
        <f t="shared" si="121"/>
        <v>9.7828647295016599E-2</v>
      </c>
      <c r="T353" s="14">
        <f t="shared" si="115"/>
        <v>0.1641216641168054</v>
      </c>
      <c r="U353" t="str">
        <f t="shared" si="122"/>
        <v>Low</v>
      </c>
      <c r="V353">
        <f t="shared" si="123"/>
        <v>0.10067883901536503</v>
      </c>
      <c r="W353">
        <f t="shared" si="116"/>
        <v>0.13531731480849643</v>
      </c>
      <c r="X353" t="s">
        <v>1176</v>
      </c>
      <c r="Y353">
        <f t="shared" si="124"/>
        <v>9.497845557466815E-2</v>
      </c>
      <c r="Z353">
        <f t="shared" si="117"/>
        <v>0.19030296719207207</v>
      </c>
      <c r="AA353" t="str">
        <f t="shared" si="125"/>
        <v>Low</v>
      </c>
      <c r="AB353">
        <f t="shared" si="126"/>
        <v>7.3911371498913914E-2</v>
      </c>
      <c r="AC353">
        <f t="shared" si="118"/>
        <v>0.17352712104470572</v>
      </c>
      <c r="AD353" t="str">
        <f t="shared" si="127"/>
        <v>Low</v>
      </c>
      <c r="AE353">
        <f t="shared" si="128"/>
        <v>2.9086403346102033E-2</v>
      </c>
      <c r="AF353">
        <f t="shared" si="119"/>
        <v>0.15911541812355831</v>
      </c>
      <c r="AG353" t="s">
        <v>1175</v>
      </c>
    </row>
    <row r="354" spans="1:33" x14ac:dyDescent="0.3">
      <c r="A354">
        <v>453985</v>
      </c>
      <c r="B354" t="s">
        <v>462</v>
      </c>
      <c r="C354" s="1" t="s">
        <v>889</v>
      </c>
      <c r="D354" t="s">
        <v>895</v>
      </c>
      <c r="E354" s="4">
        <v>6.7</v>
      </c>
      <c r="F354" s="3">
        <f t="shared" si="129"/>
        <v>0.77777777777777779</v>
      </c>
      <c r="G354">
        <v>39.395519999999998</v>
      </c>
      <c r="H354">
        <f t="shared" si="120"/>
        <v>0.37184078722927094</v>
      </c>
      <c r="I354">
        <v>129.6</v>
      </c>
      <c r="J354" s="3">
        <f t="shared" si="110"/>
        <v>0.40074211502782925</v>
      </c>
      <c r="K354">
        <v>0</v>
      </c>
      <c r="L354" s="3">
        <f t="shared" si="111"/>
        <v>0</v>
      </c>
      <c r="M354">
        <v>35824</v>
      </c>
      <c r="N354">
        <f t="shared" si="112"/>
        <v>0.16836761247770318</v>
      </c>
      <c r="O354" s="15">
        <v>0.87816459199999997</v>
      </c>
      <c r="P354">
        <f t="shared" si="113"/>
        <v>0.89524881949134716</v>
      </c>
      <c r="Q354">
        <v>0.33650000000000002</v>
      </c>
      <c r="R354">
        <f t="shared" si="114"/>
        <v>0.74595433385058751</v>
      </c>
      <c r="S354">
        <f t="shared" si="121"/>
        <v>0.14608469306233005</v>
      </c>
      <c r="T354" s="14">
        <f t="shared" si="115"/>
        <v>0.245078140098168</v>
      </c>
      <c r="U354" t="str">
        <f t="shared" si="122"/>
        <v>Low</v>
      </c>
      <c r="V354">
        <f t="shared" si="123"/>
        <v>0.13279588170078807</v>
      </c>
      <c r="W354">
        <f t="shared" si="116"/>
        <v>0.17848420090179004</v>
      </c>
      <c r="X354" t="s">
        <v>1175</v>
      </c>
      <c r="Y354">
        <f t="shared" si="124"/>
        <v>0.15937350442387202</v>
      </c>
      <c r="Z354">
        <f t="shared" si="117"/>
        <v>0.3193276896339724</v>
      </c>
      <c r="AA354" t="str">
        <f t="shared" si="125"/>
        <v>Moderate</v>
      </c>
      <c r="AB354">
        <f t="shared" si="126"/>
        <v>0.10478117695446575</v>
      </c>
      <c r="AC354">
        <f t="shared" si="118"/>
        <v>0.24600241624323649</v>
      </c>
      <c r="AD354" t="str">
        <f t="shared" si="127"/>
        <v>Low</v>
      </c>
      <c r="AE354">
        <f t="shared" si="128"/>
        <v>2.9973048662938057E-2</v>
      </c>
      <c r="AF354">
        <f t="shared" si="119"/>
        <v>0.16396575794168386</v>
      </c>
      <c r="AG354" t="s">
        <v>1175</v>
      </c>
    </row>
    <row r="355" spans="1:33" x14ac:dyDescent="0.3">
      <c r="A355">
        <v>456113</v>
      </c>
      <c r="B355" t="s">
        <v>65</v>
      </c>
      <c r="C355" s="1" t="s">
        <v>897</v>
      </c>
      <c r="D355" t="s">
        <v>896</v>
      </c>
      <c r="E355" s="4">
        <v>4.4000000000000004</v>
      </c>
      <c r="F355" s="3">
        <f t="shared" si="129"/>
        <v>0.26666666666666672</v>
      </c>
      <c r="G355">
        <v>47.956319999999998</v>
      </c>
      <c r="H355">
        <f t="shared" si="120"/>
        <v>0.45264323916574351</v>
      </c>
      <c r="I355">
        <v>141.1</v>
      </c>
      <c r="J355" s="3">
        <f t="shared" si="110"/>
        <v>0.43630179344465053</v>
      </c>
      <c r="K355">
        <v>0</v>
      </c>
      <c r="L355" s="3">
        <f t="shared" si="111"/>
        <v>0</v>
      </c>
      <c r="M355">
        <v>67704</v>
      </c>
      <c r="N355">
        <f t="shared" si="112"/>
        <v>0.31920531054681034</v>
      </c>
      <c r="O355" s="15">
        <v>0.83858760399999999</v>
      </c>
      <c r="P355">
        <f t="shared" si="113"/>
        <v>0.85490188213040297</v>
      </c>
      <c r="Q355">
        <v>0.3543</v>
      </c>
      <c r="R355">
        <f t="shared" si="114"/>
        <v>0.78541343382841944</v>
      </c>
      <c r="S355">
        <f t="shared" si="121"/>
        <v>5.8683407730803369E-2</v>
      </c>
      <c r="T355" s="14">
        <f t="shared" si="115"/>
        <v>9.8449879448706909E-2</v>
      </c>
      <c r="U355" t="str">
        <f t="shared" si="122"/>
        <v>No Impact</v>
      </c>
      <c r="V355">
        <f t="shared" si="123"/>
        <v>5.6197410737047003E-2</v>
      </c>
      <c r="W355">
        <f t="shared" si="116"/>
        <v>7.5532085932842483E-2</v>
      </c>
      <c r="X355" t="s">
        <v>1176</v>
      </c>
      <c r="Y355">
        <f t="shared" si="124"/>
        <v>6.1169404724559721E-2</v>
      </c>
      <c r="Z355">
        <f t="shared" si="117"/>
        <v>0.12256168148896686</v>
      </c>
      <c r="AA355" t="str">
        <f t="shared" si="125"/>
        <v>No Impact</v>
      </c>
      <c r="AB355">
        <f t="shared" si="126"/>
        <v>4.601376772580857E-2</v>
      </c>
      <c r="AC355">
        <f t="shared" si="118"/>
        <v>0.10802988065235249</v>
      </c>
      <c r="AD355" t="str">
        <f t="shared" si="127"/>
        <v>No Impact</v>
      </c>
      <c r="AE355">
        <f t="shared" si="128"/>
        <v>2.2839578715640567E-2</v>
      </c>
      <c r="AF355">
        <f t="shared" si="119"/>
        <v>0.12494254012303289</v>
      </c>
      <c r="AG355" t="s">
        <v>1175</v>
      </c>
    </row>
    <row r="356" spans="1:33" x14ac:dyDescent="0.3">
      <c r="A356">
        <v>456116</v>
      </c>
      <c r="B356" t="s">
        <v>146</v>
      </c>
      <c r="C356" s="1" t="s">
        <v>897</v>
      </c>
      <c r="D356" t="s">
        <v>898</v>
      </c>
      <c r="E356" s="4">
        <v>5.3</v>
      </c>
      <c r="F356" s="3">
        <f t="shared" si="129"/>
        <v>0.46666666666666656</v>
      </c>
      <c r="G356">
        <v>52.985880000000002</v>
      </c>
      <c r="H356">
        <f t="shared" si="120"/>
        <v>0.50011552915752056</v>
      </c>
      <c r="I356">
        <v>109.8</v>
      </c>
      <c r="J356" s="3">
        <f t="shared" si="110"/>
        <v>0.33951762523191092</v>
      </c>
      <c r="K356">
        <v>0</v>
      </c>
      <c r="L356" s="3">
        <f t="shared" si="111"/>
        <v>0</v>
      </c>
      <c r="M356">
        <v>30622</v>
      </c>
      <c r="N356">
        <f t="shared" si="112"/>
        <v>0.14375476099227358</v>
      </c>
      <c r="O356" s="15">
        <v>0.58664485499999997</v>
      </c>
      <c r="P356">
        <f t="shared" si="113"/>
        <v>0.59805772025413495</v>
      </c>
      <c r="Q356">
        <v>0.35959999999999998</v>
      </c>
      <c r="R356">
        <f t="shared" si="114"/>
        <v>0.79716249168698727</v>
      </c>
      <c r="S356">
        <f t="shared" si="121"/>
        <v>8.7231407302956823E-2</v>
      </c>
      <c r="T356" s="14">
        <f t="shared" si="115"/>
        <v>0.14634326575771237</v>
      </c>
      <c r="U356" t="str">
        <f t="shared" si="122"/>
        <v>No Impact</v>
      </c>
      <c r="V356">
        <f t="shared" si="123"/>
        <v>9.9679757222327262E-2</v>
      </c>
      <c r="W356">
        <f t="shared" si="116"/>
        <v>0.13397449970623548</v>
      </c>
      <c r="X356" t="s">
        <v>1176</v>
      </c>
      <c r="Y356">
        <f t="shared" si="124"/>
        <v>7.4783057383586385E-2</v>
      </c>
      <c r="Z356">
        <f t="shared" si="117"/>
        <v>0.14983858844286335</v>
      </c>
      <c r="AA356" t="str">
        <f t="shared" si="125"/>
        <v>No Impact</v>
      </c>
      <c r="AB356">
        <f t="shared" si="126"/>
        <v>6.3614277134795283E-2</v>
      </c>
      <c r="AC356">
        <f t="shared" si="118"/>
        <v>0.14935188110672909</v>
      </c>
      <c r="AD356" t="str">
        <f t="shared" si="127"/>
        <v>No Impact</v>
      </c>
      <c r="AE356">
        <f t="shared" si="128"/>
        <v>1.797555683401382E-2</v>
      </c>
      <c r="AF356">
        <f t="shared" si="119"/>
        <v>9.8334201297225643E-2</v>
      </c>
      <c r="AG356" t="s">
        <v>1175</v>
      </c>
    </row>
    <row r="357" spans="1:33" x14ac:dyDescent="0.3">
      <c r="A357">
        <v>456120</v>
      </c>
      <c r="B357" t="s">
        <v>169</v>
      </c>
      <c r="C357" s="1" t="s">
        <v>897</v>
      </c>
      <c r="D357" t="s">
        <v>899</v>
      </c>
      <c r="E357" s="4">
        <v>5.4</v>
      </c>
      <c r="F357" s="3">
        <f t="shared" si="129"/>
        <v>0.48888888888888893</v>
      </c>
      <c r="G357">
        <v>42.814800000000005</v>
      </c>
      <c r="H357">
        <f t="shared" si="120"/>
        <v>0.40411419717429276</v>
      </c>
      <c r="I357">
        <v>147</v>
      </c>
      <c r="J357" s="3">
        <f t="shared" si="110"/>
        <v>0.45454545454545447</v>
      </c>
      <c r="K357">
        <v>0</v>
      </c>
      <c r="L357" s="3">
        <f t="shared" si="111"/>
        <v>0</v>
      </c>
      <c r="M357">
        <v>47760</v>
      </c>
      <c r="N357">
        <f t="shared" si="112"/>
        <v>0.22484185225665118</v>
      </c>
      <c r="O357" s="15">
        <v>0.69734470999999998</v>
      </c>
      <c r="P357">
        <f t="shared" si="113"/>
        <v>0.71091118236071615</v>
      </c>
      <c r="Q357">
        <v>0.38269999999999998</v>
      </c>
      <c r="R357">
        <f t="shared" si="114"/>
        <v>0.84837064952338725</v>
      </c>
      <c r="S357">
        <f t="shared" si="121"/>
        <v>9.6263215661987672E-2</v>
      </c>
      <c r="T357" s="14">
        <f t="shared" si="115"/>
        <v>0.16149542679493981</v>
      </c>
      <c r="U357" t="str">
        <f t="shared" si="122"/>
        <v>Low</v>
      </c>
      <c r="V357">
        <f t="shared" si="123"/>
        <v>0.10474935977121094</v>
      </c>
      <c r="W357">
        <f t="shared" si="116"/>
        <v>0.14078829504565687</v>
      </c>
      <c r="X357" t="s">
        <v>1176</v>
      </c>
      <c r="Y357">
        <f t="shared" si="124"/>
        <v>8.7777071552764444E-2</v>
      </c>
      <c r="Z357">
        <f t="shared" si="117"/>
        <v>0.17587396075091694</v>
      </c>
      <c r="AA357" t="str">
        <f t="shared" si="125"/>
        <v>Low</v>
      </c>
      <c r="AB357">
        <f t="shared" si="126"/>
        <v>7.271192167901E-2</v>
      </c>
      <c r="AC357">
        <f t="shared" si="118"/>
        <v>0.17071108516464395</v>
      </c>
      <c r="AD357" t="str">
        <f t="shared" si="127"/>
        <v>Low</v>
      </c>
      <c r="AE357">
        <f t="shared" si="128"/>
        <v>2.7761497980733886E-2</v>
      </c>
      <c r="AF357">
        <f t="shared" si="119"/>
        <v>0.1518676030989155</v>
      </c>
      <c r="AG357" t="s">
        <v>1175</v>
      </c>
    </row>
    <row r="358" spans="1:33" x14ac:dyDescent="0.3">
      <c r="A358">
        <v>456122</v>
      </c>
      <c r="B358" t="s">
        <v>173</v>
      </c>
      <c r="C358" s="1" t="s">
        <v>897</v>
      </c>
      <c r="D358" t="s">
        <v>900</v>
      </c>
      <c r="E358" s="4">
        <v>5.3</v>
      </c>
      <c r="F358" s="3">
        <f t="shared" si="129"/>
        <v>0.46666666666666656</v>
      </c>
      <c r="G358">
        <v>48.006720000000001</v>
      </c>
      <c r="H358">
        <f t="shared" si="120"/>
        <v>0.45311894746141662</v>
      </c>
      <c r="I358">
        <v>150.60000000000002</v>
      </c>
      <c r="J358" s="3">
        <f t="shared" si="110"/>
        <v>0.46567717996289426</v>
      </c>
      <c r="K358">
        <v>0</v>
      </c>
      <c r="L358" s="3">
        <f t="shared" si="111"/>
        <v>0</v>
      </c>
      <c r="M358">
        <v>46008</v>
      </c>
      <c r="N358">
        <f t="shared" si="112"/>
        <v>0.21655240285210051</v>
      </c>
      <c r="O358" s="15">
        <v>0.76704802999999999</v>
      </c>
      <c r="P358">
        <f t="shared" si="113"/>
        <v>0.78197054357056506</v>
      </c>
      <c r="Q358">
        <v>0.37209999999999999</v>
      </c>
      <c r="R358">
        <f t="shared" si="114"/>
        <v>0.82487253380625136</v>
      </c>
      <c r="S358">
        <f t="shared" si="121"/>
        <v>0.10287443790535462</v>
      </c>
      <c r="T358" s="14">
        <f t="shared" si="115"/>
        <v>0.17258670554026798</v>
      </c>
      <c r="U358" t="str">
        <f t="shared" si="122"/>
        <v>Low</v>
      </c>
      <c r="V358">
        <f t="shared" si="123"/>
        <v>0.10562113930554508</v>
      </c>
      <c r="W358">
        <f t="shared" si="116"/>
        <v>0.14196000964670719</v>
      </c>
      <c r="X358" t="s">
        <v>1176</v>
      </c>
      <c r="Y358">
        <f t="shared" si="124"/>
        <v>0.10012773650516416</v>
      </c>
      <c r="Z358">
        <f t="shared" si="117"/>
        <v>0.2006202905687253</v>
      </c>
      <c r="AA358" t="str">
        <f t="shared" si="125"/>
        <v>Low</v>
      </c>
      <c r="AB358">
        <f t="shared" si="126"/>
        <v>7.6710708903690472E-2</v>
      </c>
      <c r="AC358">
        <f t="shared" si="118"/>
        <v>0.18009932977027068</v>
      </c>
      <c r="AD358" t="str">
        <f t="shared" si="127"/>
        <v>Low</v>
      </c>
      <c r="AE358">
        <f t="shared" si="128"/>
        <v>2.772854055771554E-2</v>
      </c>
      <c r="AF358">
        <f t="shared" si="119"/>
        <v>0.15168731150076087</v>
      </c>
      <c r="AG358" t="s">
        <v>1175</v>
      </c>
    </row>
    <row r="359" spans="1:33" x14ac:dyDescent="0.3">
      <c r="A359">
        <v>456123</v>
      </c>
      <c r="B359" t="s">
        <v>177</v>
      </c>
      <c r="C359" s="1" t="s">
        <v>897</v>
      </c>
      <c r="D359" t="s">
        <v>901</v>
      </c>
      <c r="E359" s="4">
        <v>5.4</v>
      </c>
      <c r="F359" s="3">
        <f t="shared" si="129"/>
        <v>0.48888888888888893</v>
      </c>
      <c r="G359">
        <v>45.660600000000002</v>
      </c>
      <c r="H359">
        <f t="shared" si="120"/>
        <v>0.43097472629783418</v>
      </c>
      <c r="I359">
        <v>145.6</v>
      </c>
      <c r="J359" s="3">
        <f t="shared" si="110"/>
        <v>0.45021645021645013</v>
      </c>
      <c r="K359">
        <v>0</v>
      </c>
      <c r="L359" s="3">
        <f t="shared" si="111"/>
        <v>0</v>
      </c>
      <c r="M359">
        <v>52514</v>
      </c>
      <c r="N359">
        <f t="shared" si="112"/>
        <v>0.24733502718201303</v>
      </c>
      <c r="O359" s="15">
        <v>0.448382471</v>
      </c>
      <c r="P359">
        <f t="shared" si="113"/>
        <v>0.45710551472947936</v>
      </c>
      <c r="Q359">
        <v>0.39029999999999998</v>
      </c>
      <c r="R359">
        <f t="shared" si="114"/>
        <v>0.86521835513189971</v>
      </c>
      <c r="S359">
        <f t="shared" si="121"/>
        <v>8.4827516620326129E-2</v>
      </c>
      <c r="T359" s="14">
        <f t="shared" si="115"/>
        <v>0.1423103924624447</v>
      </c>
      <c r="U359" t="str">
        <f t="shared" si="122"/>
        <v>No Impact</v>
      </c>
      <c r="V359">
        <f t="shared" si="123"/>
        <v>0.11100809124447929</v>
      </c>
      <c r="W359">
        <f t="shared" si="116"/>
        <v>0.14920033818553502</v>
      </c>
      <c r="X359" t="s">
        <v>1176</v>
      </c>
      <c r="Y359">
        <f t="shared" si="124"/>
        <v>5.8646941996172978E-2</v>
      </c>
      <c r="Z359">
        <f t="shared" si="117"/>
        <v>0.11750756538506764</v>
      </c>
      <c r="AA359" t="str">
        <f t="shared" si="125"/>
        <v>No Impact</v>
      </c>
      <c r="AB359">
        <f t="shared" si="126"/>
        <v>6.7553551588388369E-2</v>
      </c>
      <c r="AC359">
        <f t="shared" si="118"/>
        <v>0.15860040323633143</v>
      </c>
      <c r="AD359" t="str">
        <f t="shared" si="127"/>
        <v>Low</v>
      </c>
      <c r="AE359">
        <f t="shared" si="128"/>
        <v>3.1733248725624941E-2</v>
      </c>
      <c r="AF359">
        <f t="shared" si="119"/>
        <v>0.17359482639758392</v>
      </c>
      <c r="AG359" t="s">
        <v>1175</v>
      </c>
    </row>
    <row r="360" spans="1:33" x14ac:dyDescent="0.3">
      <c r="A360">
        <v>456124</v>
      </c>
      <c r="B360" t="s">
        <v>201</v>
      </c>
      <c r="C360" s="1" t="s">
        <v>897</v>
      </c>
      <c r="D360" t="s">
        <v>902</v>
      </c>
      <c r="E360" s="4">
        <v>5.4</v>
      </c>
      <c r="F360" s="3">
        <f t="shared" si="129"/>
        <v>0.48888888888888893</v>
      </c>
      <c r="G360">
        <v>52.985880000000002</v>
      </c>
      <c r="H360">
        <f t="shared" si="120"/>
        <v>0.50011552915752056</v>
      </c>
      <c r="I360">
        <v>138.29999999999998</v>
      </c>
      <c r="J360" s="3">
        <f t="shared" si="110"/>
        <v>0.42764378478664183</v>
      </c>
      <c r="K360">
        <v>0</v>
      </c>
      <c r="L360" s="3">
        <f t="shared" si="111"/>
        <v>0</v>
      </c>
      <c r="M360">
        <v>39702</v>
      </c>
      <c r="N360">
        <f t="shared" si="112"/>
        <v>0.18671606270078966</v>
      </c>
      <c r="O360" s="15">
        <v>0.94972968199999996</v>
      </c>
      <c r="P360">
        <f t="shared" si="113"/>
        <v>0.96820617045146429</v>
      </c>
      <c r="Q360">
        <v>0.37230000000000002</v>
      </c>
      <c r="R360">
        <f t="shared" si="114"/>
        <v>0.82531589448015963</v>
      </c>
      <c r="S360">
        <f t="shared" si="121"/>
        <v>0.1252007795897784</v>
      </c>
      <c r="T360" s="14">
        <f t="shared" si="115"/>
        <v>0.21004236349123598</v>
      </c>
      <c r="U360" t="str">
        <f t="shared" si="122"/>
        <v>Low</v>
      </c>
      <c r="V360">
        <f t="shared" si="123"/>
        <v>0.11522600743770679</v>
      </c>
      <c r="W360">
        <f t="shared" si="116"/>
        <v>0.1548694251449875</v>
      </c>
      <c r="X360" t="s">
        <v>1176</v>
      </c>
      <c r="Y360">
        <f t="shared" si="124"/>
        <v>0.13517555174185</v>
      </c>
      <c r="Z360">
        <f t="shared" si="117"/>
        <v>0.27084361850963273</v>
      </c>
      <c r="AA360" t="str">
        <f t="shared" si="125"/>
        <v>Low</v>
      </c>
      <c r="AB360">
        <f t="shared" si="126"/>
        <v>9.0005657900186151E-2</v>
      </c>
      <c r="AC360">
        <f t="shared" si="118"/>
        <v>0.21131285181717241</v>
      </c>
      <c r="AD360" t="str">
        <f t="shared" si="127"/>
        <v>Low</v>
      </c>
      <c r="AE360">
        <f t="shared" si="128"/>
        <v>2.6068256498382177E-2</v>
      </c>
      <c r="AF360">
        <f t="shared" si="119"/>
        <v>0.14260482752495815</v>
      </c>
      <c r="AG360" t="s">
        <v>1175</v>
      </c>
    </row>
    <row r="361" spans="1:33" x14ac:dyDescent="0.3">
      <c r="A361">
        <v>456131</v>
      </c>
      <c r="B361" t="s">
        <v>213</v>
      </c>
      <c r="C361" s="1" t="s">
        <v>897</v>
      </c>
      <c r="D361" t="s">
        <v>903</v>
      </c>
      <c r="E361" s="4">
        <v>5.4</v>
      </c>
      <c r="F361" s="3">
        <f t="shared" si="129"/>
        <v>0.48888888888888893</v>
      </c>
      <c r="G361">
        <v>48.650399999999998</v>
      </c>
      <c r="H361">
        <f t="shared" si="120"/>
        <v>0.45919442198044153</v>
      </c>
      <c r="I361">
        <v>141.80000000000001</v>
      </c>
      <c r="J361" s="3">
        <f t="shared" si="110"/>
        <v>0.43846629560915273</v>
      </c>
      <c r="K361">
        <v>0</v>
      </c>
      <c r="L361" s="3">
        <f t="shared" si="111"/>
        <v>0</v>
      </c>
      <c r="M361">
        <v>55685</v>
      </c>
      <c r="N361">
        <f t="shared" si="112"/>
        <v>0.26233836283374262</v>
      </c>
      <c r="O361" s="15">
        <v>0.76896176900000002</v>
      </c>
      <c r="P361">
        <f t="shared" si="113"/>
        <v>0.78392151335023086</v>
      </c>
      <c r="Q361">
        <v>0.40260000000000001</v>
      </c>
      <c r="R361">
        <f t="shared" si="114"/>
        <v>0.89248503657725564</v>
      </c>
      <c r="S361">
        <f t="shared" si="121"/>
        <v>0.1112046634491458</v>
      </c>
      <c r="T361" s="14">
        <f t="shared" si="115"/>
        <v>0.18656186022673141</v>
      </c>
      <c r="U361" t="str">
        <f t="shared" si="122"/>
        <v>Low</v>
      </c>
      <c r="V361">
        <f t="shared" si="123"/>
        <v>0.11840623997832188</v>
      </c>
      <c r="W361">
        <f t="shared" si="116"/>
        <v>0.15914381420301943</v>
      </c>
      <c r="X361" t="s">
        <v>1176</v>
      </c>
      <c r="Y361">
        <f t="shared" si="124"/>
        <v>0.10400308691996975</v>
      </c>
      <c r="Z361">
        <f t="shared" si="117"/>
        <v>0.20838511132080362</v>
      </c>
      <c r="AA361" t="str">
        <f t="shared" si="125"/>
        <v>Low</v>
      </c>
      <c r="AB361">
        <f t="shared" si="126"/>
        <v>8.4824686515352965E-2</v>
      </c>
      <c r="AC361">
        <f t="shared" si="118"/>
        <v>0.19914910718095882</v>
      </c>
      <c r="AD361" t="str">
        <f t="shared" si="127"/>
        <v>Low</v>
      </c>
      <c r="AE361">
        <f t="shared" si="128"/>
        <v>3.4804504134141143E-2</v>
      </c>
      <c r="AF361">
        <f t="shared" si="119"/>
        <v>0.19039594418019162</v>
      </c>
      <c r="AG361" t="s">
        <v>1175</v>
      </c>
    </row>
    <row r="362" spans="1:33" x14ac:dyDescent="0.3">
      <c r="A362">
        <v>456152</v>
      </c>
      <c r="B362" t="s">
        <v>355</v>
      </c>
      <c r="C362" s="1" t="s">
        <v>897</v>
      </c>
      <c r="D362" t="s">
        <v>904</v>
      </c>
      <c r="E362" s="4">
        <v>5.3</v>
      </c>
      <c r="F362" s="3">
        <f t="shared" si="129"/>
        <v>0.46666666666666656</v>
      </c>
      <c r="G362">
        <v>43.908479999999997</v>
      </c>
      <c r="H362">
        <f t="shared" si="120"/>
        <v>0.4144370671903988</v>
      </c>
      <c r="I362">
        <v>153.89999999999998</v>
      </c>
      <c r="J362" s="3">
        <f t="shared" si="110"/>
        <v>0.47588126159554717</v>
      </c>
      <c r="K362">
        <v>0</v>
      </c>
      <c r="L362" s="3">
        <f t="shared" si="111"/>
        <v>0</v>
      </c>
      <c r="M362">
        <v>87952</v>
      </c>
      <c r="N362">
        <f t="shared" si="112"/>
        <v>0.41500712078844398</v>
      </c>
      <c r="O362" s="15">
        <v>0.663446282</v>
      </c>
      <c r="P362">
        <f t="shared" si="113"/>
        <v>0.67635327837998671</v>
      </c>
      <c r="Q362">
        <v>0.35249999999999998</v>
      </c>
      <c r="R362">
        <f t="shared" si="114"/>
        <v>0.78142318776324537</v>
      </c>
      <c r="S362">
        <f t="shared" si="121"/>
        <v>8.876194648195973E-2</v>
      </c>
      <c r="T362" s="14">
        <f t="shared" si="115"/>
        <v>0.1489109659559622</v>
      </c>
      <c r="U362" t="str">
        <f t="shared" si="122"/>
        <v>No Impact</v>
      </c>
      <c r="V362">
        <f t="shared" si="123"/>
        <v>9.5159504605678846E-2</v>
      </c>
      <c r="W362">
        <f t="shared" si="116"/>
        <v>0.1278990577134291</v>
      </c>
      <c r="X362" t="s">
        <v>1176</v>
      </c>
      <c r="Y362">
        <f t="shared" si="124"/>
        <v>8.2364388358240642E-2</v>
      </c>
      <c r="Z362">
        <f t="shared" si="117"/>
        <v>0.16502887313440204</v>
      </c>
      <c r="AA362" t="str">
        <f t="shared" si="125"/>
        <v>Low</v>
      </c>
      <c r="AB362">
        <f t="shared" si="126"/>
        <v>7.5703580606559184E-2</v>
      </c>
      <c r="AC362">
        <f t="shared" si="118"/>
        <v>0.1777348211651717</v>
      </c>
      <c r="AD362" t="str">
        <f t="shared" si="127"/>
        <v>Low</v>
      </c>
      <c r="AE362">
        <f t="shared" si="128"/>
        <v>5.0538392820284023E-2</v>
      </c>
      <c r="AF362">
        <f t="shared" si="119"/>
        <v>0.27646723485218355</v>
      </c>
      <c r="AG362" t="s">
        <v>1175</v>
      </c>
    </row>
    <row r="363" spans="1:33" x14ac:dyDescent="0.3">
      <c r="A363">
        <v>456165</v>
      </c>
      <c r="B363" t="s">
        <v>351</v>
      </c>
      <c r="C363" s="1" t="s">
        <v>897</v>
      </c>
      <c r="D363" t="s">
        <v>905</v>
      </c>
      <c r="E363" s="4">
        <v>5.3</v>
      </c>
      <c r="F363" s="3">
        <f t="shared" si="129"/>
        <v>0.46666666666666656</v>
      </c>
      <c r="G363">
        <v>44.425080000000001</v>
      </c>
      <c r="H363">
        <f t="shared" si="120"/>
        <v>0.41931307722104805</v>
      </c>
      <c r="I363">
        <v>156.89999999999998</v>
      </c>
      <c r="J363" s="3">
        <f t="shared" si="110"/>
        <v>0.48515769944341358</v>
      </c>
      <c r="K363">
        <v>0</v>
      </c>
      <c r="L363" s="3">
        <f t="shared" si="111"/>
        <v>0</v>
      </c>
      <c r="M363">
        <v>36359</v>
      </c>
      <c r="N363">
        <f t="shared" si="112"/>
        <v>0.17089892265546267</v>
      </c>
      <c r="O363" s="15">
        <v>0.90594151300000003</v>
      </c>
      <c r="P363">
        <f t="shared" si="113"/>
        <v>0.92356612579234465</v>
      </c>
      <c r="Q363">
        <v>0.37969999999999998</v>
      </c>
      <c r="R363">
        <f t="shared" si="114"/>
        <v>0.84172023941476382</v>
      </c>
      <c r="S363">
        <f t="shared" si="121"/>
        <v>0.10905335409478577</v>
      </c>
      <c r="T363" s="14">
        <f t="shared" si="115"/>
        <v>0.18295272853545017</v>
      </c>
      <c r="U363" t="str">
        <f t="shared" si="122"/>
        <v>Low</v>
      </c>
      <c r="V363">
        <f t="shared" si="123"/>
        <v>0.10399719515975159</v>
      </c>
      <c r="W363">
        <f t="shared" si="116"/>
        <v>0.13977734878811091</v>
      </c>
      <c r="X363" t="s">
        <v>1176</v>
      </c>
      <c r="Y363">
        <f t="shared" si="124"/>
        <v>0.11410951302981993</v>
      </c>
      <c r="Z363">
        <f t="shared" si="117"/>
        <v>0.22863478652109062</v>
      </c>
      <c r="AA363" t="str">
        <f t="shared" si="125"/>
        <v>Low</v>
      </c>
      <c r="AB363">
        <f t="shared" si="126"/>
        <v>7.8022157873811546E-2</v>
      </c>
      <c r="AC363">
        <f t="shared" si="118"/>
        <v>0.18317831422918437</v>
      </c>
      <c r="AD363" t="str">
        <f t="shared" si="127"/>
        <v>Low</v>
      </c>
      <c r="AE363">
        <f t="shared" si="128"/>
        <v>2.1115101882721466E-2</v>
      </c>
      <c r="AF363">
        <f t="shared" si="119"/>
        <v>0.11550889344457259</v>
      </c>
      <c r="AG363" t="s">
        <v>1175</v>
      </c>
    </row>
    <row r="364" spans="1:33" x14ac:dyDescent="0.3">
      <c r="A364">
        <v>456172</v>
      </c>
      <c r="B364" t="s">
        <v>366</v>
      </c>
      <c r="C364" s="1" t="s">
        <v>897</v>
      </c>
      <c r="D364" t="s">
        <v>906</v>
      </c>
      <c r="E364" s="4">
        <v>5.4</v>
      </c>
      <c r="F364" s="3">
        <f t="shared" si="129"/>
        <v>0.48888888888888893</v>
      </c>
      <c r="G364">
        <v>49.956119999999999</v>
      </c>
      <c r="H364">
        <f t="shared" si="120"/>
        <v>0.47151866475477233</v>
      </c>
      <c r="I364">
        <v>141.80000000000001</v>
      </c>
      <c r="J364" s="3">
        <f t="shared" si="110"/>
        <v>0.43846629560915273</v>
      </c>
      <c r="K364">
        <v>0</v>
      </c>
      <c r="L364" s="3">
        <f t="shared" si="111"/>
        <v>0</v>
      </c>
      <c r="M364">
        <v>50033</v>
      </c>
      <c r="N364">
        <f t="shared" si="112"/>
        <v>0.23559637194645924</v>
      </c>
      <c r="O364" s="15">
        <v>0.79514502899999995</v>
      </c>
      <c r="P364">
        <f t="shared" si="113"/>
        <v>0.81061415481969579</v>
      </c>
      <c r="Q364">
        <v>0.4032</v>
      </c>
      <c r="R364">
        <f t="shared" si="114"/>
        <v>0.89381511859898033</v>
      </c>
      <c r="S364">
        <f t="shared" si="121"/>
        <v>0.11511745519933161</v>
      </c>
      <c r="T364" s="14">
        <f t="shared" si="115"/>
        <v>0.19312613266777245</v>
      </c>
      <c r="U364" t="str">
        <f t="shared" si="122"/>
        <v>Low</v>
      </c>
      <c r="V364">
        <f t="shared" si="123"/>
        <v>0.120736863038527</v>
      </c>
      <c r="W364">
        <f t="shared" si="116"/>
        <v>0.16227628630363222</v>
      </c>
      <c r="X364" t="s">
        <v>1176</v>
      </c>
      <c r="Y364">
        <f t="shared" si="124"/>
        <v>0.10949804736013624</v>
      </c>
      <c r="Z364">
        <f t="shared" si="117"/>
        <v>0.21939505320751546</v>
      </c>
      <c r="AA364" t="str">
        <f t="shared" si="125"/>
        <v>Low</v>
      </c>
      <c r="AB364">
        <f t="shared" si="126"/>
        <v>8.6245870772405836E-2</v>
      </c>
      <c r="AC364">
        <f t="shared" si="118"/>
        <v>0.20248572518166885</v>
      </c>
      <c r="AD364" t="str">
        <f t="shared" si="127"/>
        <v>Low</v>
      </c>
      <c r="AE364">
        <f t="shared" si="128"/>
        <v>3.182444143108721E-2</v>
      </c>
      <c r="AF364">
        <f t="shared" si="119"/>
        <v>0.17409369060182359</v>
      </c>
      <c r="AG364" t="s">
        <v>1175</v>
      </c>
    </row>
    <row r="365" spans="1:33" x14ac:dyDescent="0.3">
      <c r="A365">
        <v>456181</v>
      </c>
      <c r="B365" t="s">
        <v>412</v>
      </c>
      <c r="C365" s="1" t="s">
        <v>897</v>
      </c>
      <c r="D365" t="s">
        <v>907</v>
      </c>
      <c r="E365" s="4">
        <v>5.4</v>
      </c>
      <c r="F365" s="3">
        <f t="shared" si="129"/>
        <v>0.48888888888888893</v>
      </c>
      <c r="G365">
        <v>52.785359999999997</v>
      </c>
      <c r="H365">
        <f t="shared" si="120"/>
        <v>0.49822288972402118</v>
      </c>
      <c r="I365">
        <v>149.5</v>
      </c>
      <c r="J365" s="3">
        <f t="shared" si="110"/>
        <v>0.46227581941867651</v>
      </c>
      <c r="K365">
        <v>0</v>
      </c>
      <c r="L365" s="3">
        <f t="shared" si="111"/>
        <v>0</v>
      </c>
      <c r="M365">
        <v>71423</v>
      </c>
      <c r="N365">
        <f t="shared" si="112"/>
        <v>0.33680146484790846</v>
      </c>
      <c r="O365" s="15">
        <v>0.47625525899999999</v>
      </c>
      <c r="P365">
        <f t="shared" si="113"/>
        <v>0.48552055307223752</v>
      </c>
      <c r="Q365">
        <v>0.37590000000000001</v>
      </c>
      <c r="R365">
        <f t="shared" si="114"/>
        <v>0.83329638661050764</v>
      </c>
      <c r="S365">
        <f t="shared" si="121"/>
        <v>9.4051796904585788E-2</v>
      </c>
      <c r="T365" s="14">
        <f t="shared" si="115"/>
        <v>0.15778545291142684</v>
      </c>
      <c r="U365" t="str">
        <f t="shared" si="122"/>
        <v>Low</v>
      </c>
      <c r="V365">
        <f t="shared" si="123"/>
        <v>0.1188535272130643</v>
      </c>
      <c r="W365">
        <f t="shared" si="116"/>
        <v>0.15974499026092198</v>
      </c>
      <c r="X365" t="s">
        <v>1176</v>
      </c>
      <c r="Y365">
        <f t="shared" si="124"/>
        <v>6.9250066596107288E-2</v>
      </c>
      <c r="Z365">
        <f t="shared" si="117"/>
        <v>0.13875244729713912</v>
      </c>
      <c r="AA365" t="str">
        <f t="shared" si="125"/>
        <v>No Impact</v>
      </c>
      <c r="AB365">
        <f t="shared" si="126"/>
        <v>7.9187117610238791E-2</v>
      </c>
      <c r="AC365">
        <f t="shared" si="118"/>
        <v>0.18591337522312346</v>
      </c>
      <c r="AD365" t="str">
        <f t="shared" si="127"/>
        <v>Low</v>
      </c>
      <c r="AE365">
        <f t="shared" si="128"/>
        <v>4.8038180305240319E-2</v>
      </c>
      <c r="AF365">
        <f t="shared" si="119"/>
        <v>0.26278997283407829</v>
      </c>
      <c r="AG365" t="s">
        <v>1175</v>
      </c>
    </row>
    <row r="366" spans="1:33" x14ac:dyDescent="0.3">
      <c r="A366">
        <v>456194</v>
      </c>
      <c r="B366" t="s">
        <v>525</v>
      </c>
      <c r="C366" s="1" t="s">
        <v>897</v>
      </c>
      <c r="D366" t="s">
        <v>908</v>
      </c>
      <c r="E366" s="4">
        <v>5.3</v>
      </c>
      <c r="F366" s="3">
        <f t="shared" si="129"/>
        <v>0.46666666666666656</v>
      </c>
      <c r="G366">
        <v>42.408359999999995</v>
      </c>
      <c r="H366">
        <f t="shared" si="120"/>
        <v>0.40027794956132889</v>
      </c>
      <c r="I366">
        <v>150.60000000000002</v>
      </c>
      <c r="J366" s="3">
        <f t="shared" si="110"/>
        <v>0.46567717996289426</v>
      </c>
      <c r="K366">
        <v>0</v>
      </c>
      <c r="L366" s="3">
        <f t="shared" si="111"/>
        <v>0</v>
      </c>
      <c r="M366">
        <v>46016</v>
      </c>
      <c r="N366">
        <f t="shared" si="112"/>
        <v>0.21659025421924458</v>
      </c>
      <c r="O366" s="15">
        <v>0.79630923399999998</v>
      </c>
      <c r="P366">
        <f t="shared" si="113"/>
        <v>0.81180100881197792</v>
      </c>
      <c r="Q366">
        <v>0.35730000000000001</v>
      </c>
      <c r="R366">
        <f t="shared" si="114"/>
        <v>0.79206384393704277</v>
      </c>
      <c r="S366">
        <f t="shared" si="121"/>
        <v>9.4773780776896091E-2</v>
      </c>
      <c r="T366" s="14">
        <f t="shared" si="115"/>
        <v>0.15899668497754882</v>
      </c>
      <c r="U366" t="str">
        <f t="shared" si="122"/>
        <v>Low</v>
      </c>
      <c r="V366">
        <f t="shared" si="123"/>
        <v>9.360749439446904E-2</v>
      </c>
      <c r="W366">
        <f t="shared" si="116"/>
        <v>0.12581307960332966</v>
      </c>
      <c r="X366" t="s">
        <v>1176</v>
      </c>
      <c r="Y366">
        <f t="shared" si="124"/>
        <v>9.5940067159323156E-2</v>
      </c>
      <c r="Z366">
        <f t="shared" si="117"/>
        <v>0.19222969401384327</v>
      </c>
      <c r="AA366" t="str">
        <f t="shared" si="125"/>
        <v>Low</v>
      </c>
      <c r="AB366">
        <f t="shared" si="126"/>
        <v>7.0503598839526366E-2</v>
      </c>
      <c r="AC366">
        <f t="shared" si="118"/>
        <v>0.16552644446725823</v>
      </c>
      <c r="AD366" t="str">
        <f t="shared" si="127"/>
        <v>Low</v>
      </c>
      <c r="AE366">
        <f t="shared" si="128"/>
        <v>2.5597016153329277E-2</v>
      </c>
      <c r="AF366">
        <f t="shared" si="119"/>
        <v>0.1400269355921685</v>
      </c>
      <c r="AG366" t="s">
        <v>1175</v>
      </c>
    </row>
    <row r="367" spans="1:33" x14ac:dyDescent="0.3">
      <c r="A367">
        <v>457204</v>
      </c>
      <c r="B367" t="s">
        <v>16</v>
      </c>
      <c r="C367" s="1" t="s">
        <v>910</v>
      </c>
      <c r="D367" t="s">
        <v>909</v>
      </c>
      <c r="E367" s="4">
        <v>5.7</v>
      </c>
      <c r="F367" s="3">
        <f t="shared" si="129"/>
        <v>0.55555555555555558</v>
      </c>
      <c r="G367">
        <v>48.919680000000007</v>
      </c>
      <c r="H367">
        <f t="shared" si="120"/>
        <v>0.46173606344589502</v>
      </c>
      <c r="I367">
        <v>104.10000000000001</v>
      </c>
      <c r="J367" s="3">
        <f t="shared" si="110"/>
        <v>0.32189239332096475</v>
      </c>
      <c r="K367">
        <v>0</v>
      </c>
      <c r="L367" s="3">
        <f t="shared" si="111"/>
        <v>0</v>
      </c>
      <c r="M367">
        <v>26281</v>
      </c>
      <c r="N367">
        <f t="shared" si="112"/>
        <v>0.12321566289572422</v>
      </c>
      <c r="O367" s="15">
        <v>0.84841649699999999</v>
      </c>
      <c r="P367">
        <f t="shared" si="113"/>
        <v>0.86492199104314849</v>
      </c>
      <c r="Q367">
        <v>0.3281</v>
      </c>
      <c r="R367">
        <f t="shared" si="114"/>
        <v>0.727333185546442</v>
      </c>
      <c r="S367">
        <f t="shared" si="121"/>
        <v>0.11016322800276503</v>
      </c>
      <c r="T367" s="14">
        <f t="shared" si="115"/>
        <v>0.18481470207565526</v>
      </c>
      <c r="U367" t="str">
        <f t="shared" si="122"/>
        <v>Low</v>
      </c>
      <c r="V367">
        <f t="shared" si="123"/>
        <v>0.10064388262809548</v>
      </c>
      <c r="W367">
        <f t="shared" si="116"/>
        <v>0.13527033170353631</v>
      </c>
      <c r="X367" t="s">
        <v>1176</v>
      </c>
      <c r="Y367">
        <f t="shared" si="124"/>
        <v>0.11968257337743458</v>
      </c>
      <c r="Z367">
        <f t="shared" si="117"/>
        <v>0.23980121278138891</v>
      </c>
      <c r="AA367" t="str">
        <f t="shared" si="125"/>
        <v>Low</v>
      </c>
      <c r="AB367">
        <f t="shared" si="126"/>
        <v>7.7097569290473858E-2</v>
      </c>
      <c r="AC367">
        <f t="shared" si="118"/>
        <v>0.18100759013404635</v>
      </c>
      <c r="AD367" t="str">
        <f t="shared" si="127"/>
        <v>Low</v>
      </c>
      <c r="AE367">
        <f t="shared" si="128"/>
        <v>1.7049823878314458E-2</v>
      </c>
      <c r="AF367">
        <f t="shared" si="119"/>
        <v>9.3270034904284482E-2</v>
      </c>
      <c r="AG367" t="s">
        <v>1175</v>
      </c>
    </row>
    <row r="368" spans="1:33" x14ac:dyDescent="0.3">
      <c r="A368">
        <v>457209</v>
      </c>
      <c r="B368" t="s">
        <v>48</v>
      </c>
      <c r="C368" s="1" t="s">
        <v>910</v>
      </c>
      <c r="D368" t="s">
        <v>911</v>
      </c>
      <c r="E368" s="4">
        <v>5.5</v>
      </c>
      <c r="F368" s="3">
        <f t="shared" si="129"/>
        <v>0.51111111111111107</v>
      </c>
      <c r="G368">
        <v>48.919680000000007</v>
      </c>
      <c r="H368">
        <f t="shared" si="120"/>
        <v>0.46173606344589502</v>
      </c>
      <c r="I368">
        <v>101.70000000000002</v>
      </c>
      <c r="J368" s="3">
        <f t="shared" si="110"/>
        <v>0.31447124304267166</v>
      </c>
      <c r="K368">
        <v>0</v>
      </c>
      <c r="L368" s="3">
        <f t="shared" si="111"/>
        <v>0</v>
      </c>
      <c r="M368">
        <v>31977</v>
      </c>
      <c r="N368">
        <f t="shared" si="112"/>
        <v>0.15016583630229993</v>
      </c>
      <c r="O368" s="15">
        <v>0.93585433799999995</v>
      </c>
      <c r="P368">
        <f t="shared" si="113"/>
        <v>0.95406088897553298</v>
      </c>
      <c r="Q368">
        <v>0.3574</v>
      </c>
      <c r="R368">
        <f t="shared" si="114"/>
        <v>0.7922855242739969</v>
      </c>
      <c r="S368">
        <f t="shared" si="121"/>
        <v>0.11049598482109979</v>
      </c>
      <c r="T368" s="14">
        <f t="shared" si="115"/>
        <v>0.18537294962666784</v>
      </c>
      <c r="U368" t="str">
        <f t="shared" si="122"/>
        <v>Low</v>
      </c>
      <c r="V368">
        <f t="shared" si="123"/>
        <v>0.10026002699115998</v>
      </c>
      <c r="W368">
        <f t="shared" si="116"/>
        <v>0.13475441083503792</v>
      </c>
      <c r="X368" t="s">
        <v>1176</v>
      </c>
      <c r="Y368">
        <f t="shared" si="124"/>
        <v>0.12073194265103959</v>
      </c>
      <c r="Z368">
        <f t="shared" si="117"/>
        <v>0.24190377472808458</v>
      </c>
      <c r="AA368" t="str">
        <f t="shared" si="125"/>
        <v>Low</v>
      </c>
      <c r="AB368">
        <f t="shared" si="126"/>
        <v>7.7961566693777087E-2</v>
      </c>
      <c r="AC368">
        <f t="shared" si="118"/>
        <v>0.18303605989377086</v>
      </c>
      <c r="AD368" t="str">
        <f t="shared" si="127"/>
        <v>Low</v>
      </c>
      <c r="AE368">
        <f t="shared" si="128"/>
        <v>1.9002784147312022E-2</v>
      </c>
      <c r="AF368">
        <f t="shared" si="119"/>
        <v>0.10395358646212562</v>
      </c>
      <c r="AG368" t="s">
        <v>1175</v>
      </c>
    </row>
    <row r="369" spans="1:33" x14ac:dyDescent="0.3">
      <c r="A369">
        <v>457218</v>
      </c>
      <c r="B369" t="s">
        <v>159</v>
      </c>
      <c r="C369" s="1" t="s">
        <v>910</v>
      </c>
      <c r="D369" t="s">
        <v>1144</v>
      </c>
      <c r="E369" s="4">
        <v>5.7</v>
      </c>
      <c r="F369" s="3">
        <f t="shared" si="129"/>
        <v>0.55555555555555558</v>
      </c>
      <c r="G369">
        <v>52.00956</v>
      </c>
      <c r="H369">
        <f t="shared" si="120"/>
        <v>0.49090037988705321</v>
      </c>
      <c r="I369">
        <v>104.8</v>
      </c>
      <c r="J369" s="3">
        <f t="shared" si="110"/>
        <v>0.32405689548546684</v>
      </c>
      <c r="K369">
        <v>0</v>
      </c>
      <c r="L369" s="3">
        <f t="shared" si="111"/>
        <v>0</v>
      </c>
      <c r="M369">
        <v>33559</v>
      </c>
      <c r="N369">
        <f t="shared" si="112"/>
        <v>0.15765094415503919</v>
      </c>
      <c r="O369" s="15">
        <v>0.69046991199999996</v>
      </c>
      <c r="P369">
        <f t="shared" si="113"/>
        <v>0.70390263880315318</v>
      </c>
      <c r="Q369">
        <v>0.28920000000000001</v>
      </c>
      <c r="R369">
        <f t="shared" si="114"/>
        <v>0.64109953447129242</v>
      </c>
      <c r="S369">
        <f t="shared" si="121"/>
        <v>9.7576743572844321E-2</v>
      </c>
      <c r="T369" s="14">
        <f t="shared" si="115"/>
        <v>0.16369905929476941</v>
      </c>
      <c r="U369" t="str">
        <f t="shared" si="122"/>
        <v>Low</v>
      </c>
      <c r="V369">
        <f t="shared" si="123"/>
        <v>9.3020526096965109E-2</v>
      </c>
      <c r="W369">
        <f t="shared" si="116"/>
        <v>0.12502416532230753</v>
      </c>
      <c r="X369" t="s">
        <v>1176</v>
      </c>
      <c r="Y369">
        <f t="shared" si="124"/>
        <v>0.10213296104872355</v>
      </c>
      <c r="Z369">
        <f t="shared" si="117"/>
        <v>0.20463804573453467</v>
      </c>
      <c r="AA369" t="str">
        <f t="shared" si="125"/>
        <v>Low</v>
      </c>
      <c r="AB369">
        <f t="shared" si="126"/>
        <v>7.1203116037367634E-2</v>
      </c>
      <c r="AC369">
        <f t="shared" si="118"/>
        <v>0.16716875204457654</v>
      </c>
      <c r="AD369" t="str">
        <f t="shared" si="127"/>
        <v>Low</v>
      </c>
      <c r="AE369">
        <f t="shared" si="128"/>
        <v>2.2874410253750824E-2</v>
      </c>
      <c r="AF369">
        <f t="shared" si="119"/>
        <v>0.12513308395495162</v>
      </c>
      <c r="AG369" t="s">
        <v>1175</v>
      </c>
    </row>
    <row r="370" spans="1:33" x14ac:dyDescent="0.3">
      <c r="A370">
        <v>457238</v>
      </c>
      <c r="B370" t="s">
        <v>271</v>
      </c>
      <c r="C370" s="1" t="s">
        <v>910</v>
      </c>
      <c r="D370" t="s">
        <v>912</v>
      </c>
      <c r="E370" s="4">
        <v>5.7</v>
      </c>
      <c r="F370" s="3">
        <f t="shared" si="129"/>
        <v>0.55555555555555558</v>
      </c>
      <c r="G370">
        <v>53.6616</v>
      </c>
      <c r="H370">
        <f t="shared" si="120"/>
        <v>0.50649341823593774</v>
      </c>
      <c r="I370">
        <v>101.7</v>
      </c>
      <c r="J370" s="3">
        <f t="shared" si="110"/>
        <v>0.3144712430426716</v>
      </c>
      <c r="K370">
        <v>0</v>
      </c>
      <c r="L370" s="3">
        <f t="shared" si="111"/>
        <v>0</v>
      </c>
      <c r="M370">
        <v>1928</v>
      </c>
      <c r="N370">
        <f t="shared" si="112"/>
        <v>7.9913698882911523E-3</v>
      </c>
      <c r="O370" s="15">
        <v>0.40621866099999998</v>
      </c>
      <c r="P370">
        <f t="shared" si="113"/>
        <v>0.41412143011523944</v>
      </c>
      <c r="Q370">
        <v>8.2400000000000001E-2</v>
      </c>
      <c r="R370">
        <f t="shared" si="114"/>
        <v>0.18266459765018844</v>
      </c>
      <c r="S370">
        <f t="shared" si="121"/>
        <v>4.401157968325612E-2</v>
      </c>
      <c r="T370" s="14">
        <f t="shared" si="115"/>
        <v>7.3835772013105719E-2</v>
      </c>
      <c r="U370" t="str">
        <f t="shared" si="122"/>
        <v>No Impact</v>
      </c>
      <c r="V370">
        <f t="shared" si="123"/>
        <v>2.694217733244629E-2</v>
      </c>
      <c r="W370">
        <f t="shared" si="116"/>
        <v>3.6211612364387503E-2</v>
      </c>
      <c r="X370" t="s">
        <v>1176</v>
      </c>
      <c r="Y370">
        <f t="shared" si="124"/>
        <v>6.1080982034065943E-2</v>
      </c>
      <c r="Z370">
        <f t="shared" si="117"/>
        <v>0.12238451393800744</v>
      </c>
      <c r="AA370" t="str">
        <f t="shared" si="125"/>
        <v>No Impact</v>
      </c>
      <c r="AB370">
        <f t="shared" si="126"/>
        <v>2.8166598119199367E-2</v>
      </c>
      <c r="AC370">
        <f t="shared" si="118"/>
        <v>6.6128778050339801E-2</v>
      </c>
      <c r="AD370" t="str">
        <f t="shared" si="127"/>
        <v>No Impact</v>
      </c>
      <c r="AE370">
        <f t="shared" si="128"/>
        <v>1.1786898360668172E-3</v>
      </c>
      <c r="AF370">
        <f t="shared" si="119"/>
        <v>6.4479517756840131E-3</v>
      </c>
      <c r="AG370" t="s">
        <v>1176</v>
      </c>
    </row>
    <row r="371" spans="1:33" x14ac:dyDescent="0.3">
      <c r="A371">
        <v>457240</v>
      </c>
      <c r="B371" t="s">
        <v>249</v>
      </c>
      <c r="C371" s="1" t="s">
        <v>910</v>
      </c>
      <c r="D371" t="s">
        <v>913</v>
      </c>
      <c r="E371" s="4">
        <v>5.7</v>
      </c>
      <c r="F371" s="3">
        <f t="shared" si="129"/>
        <v>0.55555555555555558</v>
      </c>
      <c r="G371">
        <v>43.182720000000003</v>
      </c>
      <c r="H371">
        <f t="shared" si="120"/>
        <v>0.4075868677327063</v>
      </c>
      <c r="I371">
        <v>100.8</v>
      </c>
      <c r="J371" s="3">
        <f t="shared" si="110"/>
        <v>0.31168831168831163</v>
      </c>
      <c r="K371">
        <v>0</v>
      </c>
      <c r="L371" s="3">
        <f t="shared" si="111"/>
        <v>0</v>
      </c>
      <c r="M371">
        <v>27627</v>
      </c>
      <c r="N371">
        <f t="shared" si="112"/>
        <v>0.12958415541771348</v>
      </c>
      <c r="O371" s="15">
        <v>0.72643644600000001</v>
      </c>
      <c r="P371">
        <f t="shared" si="113"/>
        <v>0.74056888269185628</v>
      </c>
      <c r="Q371">
        <v>0.29559999999999997</v>
      </c>
      <c r="R371">
        <f t="shared" si="114"/>
        <v>0.6552870760363555</v>
      </c>
      <c r="S371">
        <f t="shared" si="121"/>
        <v>8.7385394621344287E-2</v>
      </c>
      <c r="T371" s="14">
        <f t="shared" si="115"/>
        <v>0.14660160169146419</v>
      </c>
      <c r="U371" t="str">
        <f t="shared" si="122"/>
        <v>No Impact</v>
      </c>
      <c r="V371">
        <f t="shared" si="123"/>
        <v>8.2046459552856194E-2</v>
      </c>
      <c r="W371">
        <f t="shared" si="116"/>
        <v>0.11027447976969658</v>
      </c>
      <c r="X371" t="s">
        <v>1176</v>
      </c>
      <c r="Y371">
        <f t="shared" si="124"/>
        <v>9.272432968983238E-2</v>
      </c>
      <c r="Z371">
        <f t="shared" si="117"/>
        <v>0.18578650246632733</v>
      </c>
      <c r="AA371" t="str">
        <f t="shared" si="125"/>
        <v>Low</v>
      </c>
      <c r="AB371">
        <f t="shared" si="126"/>
        <v>6.2212250120276251E-2</v>
      </c>
      <c r="AC371">
        <f t="shared" si="118"/>
        <v>0.14606023996244366</v>
      </c>
      <c r="AD371" t="str">
        <f t="shared" si="127"/>
        <v>No Impact</v>
      </c>
      <c r="AE371">
        <f t="shared" si="128"/>
        <v>1.6224829628076778E-2</v>
      </c>
      <c r="AF371">
        <f t="shared" si="119"/>
        <v>8.8756953533785918E-2</v>
      </c>
      <c r="AG371" t="s">
        <v>1175</v>
      </c>
    </row>
    <row r="372" spans="1:33" x14ac:dyDescent="0.3">
      <c r="A372">
        <v>457247</v>
      </c>
      <c r="B372" t="s">
        <v>267</v>
      </c>
      <c r="C372" s="1" t="s">
        <v>910</v>
      </c>
      <c r="D372" t="s">
        <v>914</v>
      </c>
      <c r="E372" s="4">
        <v>5.7</v>
      </c>
      <c r="F372" s="3">
        <f t="shared" si="129"/>
        <v>0.55555555555555558</v>
      </c>
      <c r="G372">
        <v>51.800399999999996</v>
      </c>
      <c r="H372">
        <f t="shared" si="120"/>
        <v>0.48892619046000985</v>
      </c>
      <c r="I372">
        <v>108.60000000000002</v>
      </c>
      <c r="J372" s="3">
        <f t="shared" si="110"/>
        <v>0.3358070500927644</v>
      </c>
      <c r="K372">
        <v>0</v>
      </c>
      <c r="L372" s="3">
        <f t="shared" si="111"/>
        <v>0</v>
      </c>
      <c r="M372">
        <v>54514</v>
      </c>
      <c r="N372">
        <f t="shared" si="112"/>
        <v>0.25679786896802981</v>
      </c>
      <c r="O372" s="15">
        <v>0.51925480000000002</v>
      </c>
      <c r="P372">
        <f t="shared" si="113"/>
        <v>0.52935662739088851</v>
      </c>
      <c r="Q372">
        <v>0.38100000000000001</v>
      </c>
      <c r="R372">
        <f t="shared" si="114"/>
        <v>0.84460208379516732</v>
      </c>
      <c r="S372">
        <f t="shared" si="121"/>
        <v>0.10027298993176291</v>
      </c>
      <c r="T372" s="14">
        <f t="shared" si="115"/>
        <v>0.16822240139884792</v>
      </c>
      <c r="U372" t="str">
        <f t="shared" si="122"/>
        <v>Low</v>
      </c>
      <c r="V372">
        <f t="shared" si="123"/>
        <v>0.12327994364784127</v>
      </c>
      <c r="W372">
        <f t="shared" si="116"/>
        <v>0.16569431180690053</v>
      </c>
      <c r="X372" t="s">
        <v>1176</v>
      </c>
      <c r="Y372">
        <f t="shared" si="124"/>
        <v>7.7266036215684564E-2</v>
      </c>
      <c r="Z372">
        <f t="shared" si="117"/>
        <v>0.15481359289376134</v>
      </c>
      <c r="AA372" t="str">
        <f t="shared" si="125"/>
        <v>Low</v>
      </c>
      <c r="AB372">
        <f t="shared" si="126"/>
        <v>7.9446761124987927E-2</v>
      </c>
      <c r="AC372">
        <f t="shared" si="118"/>
        <v>0.18652295925192217</v>
      </c>
      <c r="AD372" t="str">
        <f t="shared" si="127"/>
        <v>Low</v>
      </c>
      <c r="AE372">
        <f t="shared" si="128"/>
        <v>3.7482771381537501E-2</v>
      </c>
      <c r="AF372">
        <f t="shared" si="119"/>
        <v>0.20504724389041218</v>
      </c>
      <c r="AG372" t="s">
        <v>1175</v>
      </c>
    </row>
    <row r="373" spans="1:33" x14ac:dyDescent="0.3">
      <c r="A373">
        <v>457256</v>
      </c>
      <c r="B373" t="s">
        <v>306</v>
      </c>
      <c r="C373" s="1" t="s">
        <v>910</v>
      </c>
      <c r="D373" t="s">
        <v>915</v>
      </c>
      <c r="E373" s="4">
        <v>5.8</v>
      </c>
      <c r="F373" s="3">
        <f t="shared" si="129"/>
        <v>0.57777777777777772</v>
      </c>
      <c r="G373">
        <v>53.6616</v>
      </c>
      <c r="H373">
        <f t="shared" si="120"/>
        <v>0.50649341823593774</v>
      </c>
      <c r="I373">
        <v>104.10000000000001</v>
      </c>
      <c r="J373" s="3">
        <f t="shared" si="110"/>
        <v>0.32189239332096475</v>
      </c>
      <c r="K373">
        <v>0</v>
      </c>
      <c r="L373" s="3">
        <f t="shared" si="111"/>
        <v>0</v>
      </c>
      <c r="M373">
        <v>20648</v>
      </c>
      <c r="N373">
        <f t="shared" si="112"/>
        <v>9.6563569005408009E-2</v>
      </c>
      <c r="O373" s="15">
        <v>0.84726896699999998</v>
      </c>
      <c r="P373">
        <f t="shared" si="113"/>
        <v>0.86375213645416848</v>
      </c>
      <c r="Q373">
        <v>0.27089999999999997</v>
      </c>
      <c r="R373">
        <f t="shared" si="114"/>
        <v>0.60053203280868983</v>
      </c>
      <c r="S373">
        <f t="shared" si="121"/>
        <v>0.11293490139033285</v>
      </c>
      <c r="T373" s="14">
        <f t="shared" si="115"/>
        <v>0.18946458389794094</v>
      </c>
      <c r="U373" t="str">
        <f t="shared" si="122"/>
        <v>Low</v>
      </c>
      <c r="V373">
        <f t="shared" si="123"/>
        <v>9.2633694102050676E-2</v>
      </c>
      <c r="W373">
        <f t="shared" si="116"/>
        <v>0.12450424408219625</v>
      </c>
      <c r="X373" t="s">
        <v>1176</v>
      </c>
      <c r="Y373">
        <f t="shared" si="124"/>
        <v>0.13323610867861502</v>
      </c>
      <c r="Z373">
        <f t="shared" si="117"/>
        <v>0.26695766598070853</v>
      </c>
      <c r="AA373" t="str">
        <f t="shared" si="125"/>
        <v>Low</v>
      </c>
      <c r="AB373">
        <f t="shared" si="126"/>
        <v>7.7605942845266146E-2</v>
      </c>
      <c r="AC373">
        <f t="shared" si="118"/>
        <v>0.18220113583059272</v>
      </c>
      <c r="AD373" t="str">
        <f t="shared" si="127"/>
        <v>Low</v>
      </c>
      <c r="AE373">
        <f t="shared" si="128"/>
        <v>1.4895192302754032E-2</v>
      </c>
      <c r="AF373">
        <f t="shared" si="119"/>
        <v>8.1483252607137277E-2</v>
      </c>
      <c r="AG373" t="s">
        <v>1175</v>
      </c>
    </row>
    <row r="374" spans="1:33" x14ac:dyDescent="0.3">
      <c r="A374">
        <v>457263</v>
      </c>
      <c r="B374" t="s">
        <v>343</v>
      </c>
      <c r="C374" s="1" t="s">
        <v>910</v>
      </c>
      <c r="D374" t="s">
        <v>1145</v>
      </c>
      <c r="E374" s="4">
        <v>5.8</v>
      </c>
      <c r="F374" s="3">
        <f t="shared" si="129"/>
        <v>0.57777777777777772</v>
      </c>
      <c r="G374">
        <v>52.725239999999999</v>
      </c>
      <c r="H374">
        <f t="shared" si="120"/>
        <v>0.49765543768561116</v>
      </c>
      <c r="I374">
        <v>101.7</v>
      </c>
      <c r="J374" s="3">
        <f t="shared" si="110"/>
        <v>0.3144712430426716</v>
      </c>
      <c r="K374">
        <v>0</v>
      </c>
      <c r="L374" s="3">
        <f t="shared" si="111"/>
        <v>0</v>
      </c>
      <c r="M374">
        <v>14378</v>
      </c>
      <c r="N374">
        <f t="shared" si="112"/>
        <v>6.6897560006245471E-2</v>
      </c>
      <c r="O374" s="15">
        <v>0.72856632799999999</v>
      </c>
      <c r="P374">
        <f t="shared" si="113"/>
        <v>0.74274020041922351</v>
      </c>
      <c r="Q374">
        <v>0.26819999999999999</v>
      </c>
      <c r="R374">
        <f t="shared" si="114"/>
        <v>0.59454666371092879</v>
      </c>
      <c r="S374">
        <f t="shared" si="121"/>
        <v>0.10120092215003126</v>
      </c>
      <c r="T374" s="14">
        <f t="shared" si="115"/>
        <v>0.16977914151598905</v>
      </c>
      <c r="U374" t="str">
        <f t="shared" si="122"/>
        <v>Low</v>
      </c>
      <c r="V374">
        <f t="shared" si="123"/>
        <v>8.9986183582095758E-2</v>
      </c>
      <c r="W374">
        <f t="shared" si="116"/>
        <v>0.12094585963923628</v>
      </c>
      <c r="X374" t="s">
        <v>1176</v>
      </c>
      <c r="Y374">
        <f t="shared" si="124"/>
        <v>0.11241566071796676</v>
      </c>
      <c r="Z374">
        <f t="shared" si="117"/>
        <v>0.22524091031010723</v>
      </c>
      <c r="AA374" t="str">
        <f t="shared" si="125"/>
        <v>Low</v>
      </c>
      <c r="AB374">
        <f t="shared" si="126"/>
        <v>6.8763654351530118E-2</v>
      </c>
      <c r="AC374">
        <f t="shared" si="118"/>
        <v>0.16144144980870245</v>
      </c>
      <c r="AD374" t="str">
        <f t="shared" si="127"/>
        <v>Low</v>
      </c>
      <c r="AE374">
        <f t="shared" si="128"/>
        <v>1.0125119664018757E-2</v>
      </c>
      <c r="AF374">
        <f t="shared" si="119"/>
        <v>5.5388857457596613E-2</v>
      </c>
      <c r="AG374" t="s">
        <v>1176</v>
      </c>
    </row>
    <row r="375" spans="1:33" x14ac:dyDescent="0.3">
      <c r="A375">
        <v>457274</v>
      </c>
      <c r="B375" t="s">
        <v>382</v>
      </c>
      <c r="C375" s="1" t="s">
        <v>910</v>
      </c>
      <c r="D375" t="s">
        <v>916</v>
      </c>
      <c r="E375" s="4">
        <v>5.8</v>
      </c>
      <c r="F375" s="3">
        <f t="shared" si="129"/>
        <v>0.57777777777777772</v>
      </c>
      <c r="G375">
        <v>48.919680000000007</v>
      </c>
      <c r="H375">
        <f t="shared" si="120"/>
        <v>0.46173606344589502</v>
      </c>
      <c r="I375">
        <v>108.30000000000001</v>
      </c>
      <c r="J375" s="3">
        <f t="shared" si="110"/>
        <v>0.33487940630797774</v>
      </c>
      <c r="K375">
        <v>0</v>
      </c>
      <c r="L375" s="3">
        <f t="shared" si="111"/>
        <v>0</v>
      </c>
      <c r="M375">
        <v>65362</v>
      </c>
      <c r="N375">
        <f t="shared" si="112"/>
        <v>0.30812432281538471</v>
      </c>
      <c r="O375" s="15">
        <v>0.76487669899999999</v>
      </c>
      <c r="P375">
        <f t="shared" si="113"/>
        <v>0.77975697047483383</v>
      </c>
      <c r="Q375">
        <v>0.37919999999999998</v>
      </c>
      <c r="R375">
        <f t="shared" si="114"/>
        <v>0.84061183772999326</v>
      </c>
      <c r="S375">
        <f t="shared" si="121"/>
        <v>0.11780851761776497</v>
      </c>
      <c r="T375" s="14">
        <f t="shared" si="115"/>
        <v>0.19764077796408921</v>
      </c>
      <c r="U375" t="str">
        <f t="shared" si="122"/>
        <v>Low</v>
      </c>
      <c r="V375">
        <f t="shared" si="123"/>
        <v>0.12223295584741642</v>
      </c>
      <c r="W375">
        <f t="shared" si="116"/>
        <v>0.16428710867289217</v>
      </c>
      <c r="X375" t="s">
        <v>1176</v>
      </c>
      <c r="Y375">
        <f t="shared" si="124"/>
        <v>0.11338407938811351</v>
      </c>
      <c r="Z375">
        <f t="shared" si="117"/>
        <v>0.2271812761046241</v>
      </c>
      <c r="AA375" t="str">
        <f t="shared" si="125"/>
        <v>Low</v>
      </c>
      <c r="AB375">
        <f t="shared" si="126"/>
        <v>9.2478230797167563E-2</v>
      </c>
      <c r="AC375">
        <f t="shared" si="118"/>
        <v>0.21711789165996112</v>
      </c>
      <c r="AD375" t="str">
        <f t="shared" si="127"/>
        <v>Low</v>
      </c>
      <c r="AE375">
        <f t="shared" si="128"/>
        <v>4.4804206954679404E-2</v>
      </c>
      <c r="AF375">
        <f t="shared" si="119"/>
        <v>0.24509871634725985</v>
      </c>
      <c r="AG375" t="s">
        <v>1175</v>
      </c>
    </row>
    <row r="376" spans="1:33" x14ac:dyDescent="0.3">
      <c r="A376">
        <v>457283</v>
      </c>
      <c r="B376" t="s">
        <v>419</v>
      </c>
      <c r="C376" s="1" t="s">
        <v>910</v>
      </c>
      <c r="D376" t="s">
        <v>917</v>
      </c>
      <c r="E376" s="4">
        <v>5.3</v>
      </c>
      <c r="F376" s="3">
        <f t="shared" si="129"/>
        <v>0.46666666666666656</v>
      </c>
      <c r="G376">
        <v>52.785359999999997</v>
      </c>
      <c r="H376">
        <f t="shared" si="120"/>
        <v>0.49822288972402118</v>
      </c>
      <c r="I376">
        <v>119.2</v>
      </c>
      <c r="J376" s="3">
        <f t="shared" si="110"/>
        <v>0.36858379715522571</v>
      </c>
      <c r="K376">
        <v>0</v>
      </c>
      <c r="L376" s="3">
        <f t="shared" si="111"/>
        <v>0</v>
      </c>
      <c r="M376">
        <v>51043</v>
      </c>
      <c r="N376">
        <f t="shared" si="112"/>
        <v>0.24037510704839771</v>
      </c>
      <c r="O376" s="15">
        <v>0.60690794400000003</v>
      </c>
      <c r="P376">
        <f t="shared" si="113"/>
        <v>0.61871501692921904</v>
      </c>
      <c r="Q376">
        <v>0.376</v>
      </c>
      <c r="R376">
        <f t="shared" si="114"/>
        <v>0.83351806694746178</v>
      </c>
      <c r="S376">
        <f t="shared" si="121"/>
        <v>9.2509251875294046E-2</v>
      </c>
      <c r="T376" s="14">
        <f t="shared" si="115"/>
        <v>0.15519761116790348</v>
      </c>
      <c r="U376" t="str">
        <f t="shared" si="122"/>
        <v>Low</v>
      </c>
      <c r="V376">
        <f t="shared" si="123"/>
        <v>0.10619250264153703</v>
      </c>
      <c r="W376">
        <f t="shared" si="116"/>
        <v>0.14272795009141825</v>
      </c>
      <c r="X376" t="s">
        <v>1176</v>
      </c>
      <c r="Y376">
        <f t="shared" si="124"/>
        <v>7.8826001109051053E-2</v>
      </c>
      <c r="Z376">
        <f t="shared" si="117"/>
        <v>0.15793920644608661</v>
      </c>
      <c r="AA376" t="str">
        <f t="shared" si="125"/>
        <v>Low</v>
      </c>
      <c r="AB376">
        <f t="shared" si="126"/>
        <v>7.1533734523527778E-2</v>
      </c>
      <c r="AC376">
        <f t="shared" si="118"/>
        <v>0.16794496919363014</v>
      </c>
      <c r="AD376" t="str">
        <f t="shared" si="127"/>
        <v>Low</v>
      </c>
      <c r="AE376">
        <f t="shared" si="128"/>
        <v>3.0624452189355687E-2</v>
      </c>
      <c r="AF376">
        <f t="shared" si="119"/>
        <v>0.16752922170995316</v>
      </c>
      <c r="AG376" t="s">
        <v>1175</v>
      </c>
    </row>
    <row r="377" spans="1:33" x14ac:dyDescent="0.3">
      <c r="A377">
        <v>458937</v>
      </c>
      <c r="B377" t="s">
        <v>224</v>
      </c>
      <c r="C377" s="1" t="s">
        <v>919</v>
      </c>
      <c r="D377" t="s">
        <v>918</v>
      </c>
      <c r="E377" s="4">
        <v>4.7</v>
      </c>
      <c r="F377" s="3">
        <f t="shared" si="129"/>
        <v>0.33333333333333331</v>
      </c>
      <c r="G377">
        <v>36.566279999999999</v>
      </c>
      <c r="H377">
        <f t="shared" si="120"/>
        <v>0.34513656226002215</v>
      </c>
      <c r="I377">
        <v>126.19999999999997</v>
      </c>
      <c r="J377" s="3">
        <f t="shared" si="110"/>
        <v>0.39022881880024723</v>
      </c>
      <c r="K377">
        <v>0</v>
      </c>
      <c r="L377" s="3">
        <f t="shared" si="111"/>
        <v>0</v>
      </c>
      <c r="M377">
        <v>16994</v>
      </c>
      <c r="N377">
        <f t="shared" si="112"/>
        <v>7.9274957062355392E-2</v>
      </c>
      <c r="O377" s="15">
        <v>0.49302737800000002</v>
      </c>
      <c r="P377">
        <f t="shared" si="113"/>
        <v>0.5026189647730801</v>
      </c>
      <c r="Q377">
        <v>0.37990000000000002</v>
      </c>
      <c r="R377">
        <f t="shared" si="114"/>
        <v>0.84216360008867219</v>
      </c>
      <c r="S377">
        <f t="shared" si="121"/>
        <v>4.8434672489212315E-2</v>
      </c>
      <c r="T377" s="14">
        <f t="shared" si="115"/>
        <v>8.1256148067856498E-2</v>
      </c>
      <c r="U377" t="str">
        <f t="shared" si="122"/>
        <v>No Impact</v>
      </c>
      <c r="V377">
        <f t="shared" si="123"/>
        <v>6.0663960432628207E-2</v>
      </c>
      <c r="W377">
        <f t="shared" si="116"/>
        <v>8.1535348556605117E-2</v>
      </c>
      <c r="X377" t="s">
        <v>1176</v>
      </c>
      <c r="Y377">
        <f t="shared" si="124"/>
        <v>3.6205384545796408E-2</v>
      </c>
      <c r="Z377">
        <f t="shared" si="117"/>
        <v>7.2542684187767395E-2</v>
      </c>
      <c r="AA377" t="str">
        <f t="shared" si="125"/>
        <v>No Impact</v>
      </c>
      <c r="AB377">
        <f t="shared" si="126"/>
        <v>3.4092658902283968E-2</v>
      </c>
      <c r="AC377">
        <f t="shared" si="118"/>
        <v>8.0041823444710752E-2</v>
      </c>
      <c r="AD377" t="str">
        <f t="shared" si="127"/>
        <v>No Impact</v>
      </c>
      <c r="AE377">
        <f t="shared" si="128"/>
        <v>5.7104496775005108E-3</v>
      </c>
      <c r="AF377">
        <f t="shared" si="119"/>
        <v>3.1238671117128674E-2</v>
      </c>
      <c r="AG377" t="s">
        <v>1176</v>
      </c>
    </row>
    <row r="378" spans="1:33" x14ac:dyDescent="0.3">
      <c r="A378">
        <v>458967</v>
      </c>
      <c r="B378" t="s">
        <v>363</v>
      </c>
      <c r="C378" s="1" t="s">
        <v>919</v>
      </c>
      <c r="D378" t="s">
        <v>920</v>
      </c>
      <c r="E378" s="4">
        <v>5.8</v>
      </c>
      <c r="F378" s="3">
        <f t="shared" si="129"/>
        <v>0.57777777777777772</v>
      </c>
      <c r="G378">
        <v>39.390480000000004</v>
      </c>
      <c r="H378">
        <f t="shared" si="120"/>
        <v>0.3717932163997037</v>
      </c>
      <c r="I378">
        <v>145</v>
      </c>
      <c r="J378" s="3">
        <f t="shared" si="110"/>
        <v>0.44836116264687687</v>
      </c>
      <c r="K378">
        <v>0</v>
      </c>
      <c r="L378" s="3">
        <f t="shared" si="111"/>
        <v>0</v>
      </c>
      <c r="M378">
        <v>17930</v>
      </c>
      <c r="N378">
        <f t="shared" si="112"/>
        <v>8.3703567018211245E-2</v>
      </c>
      <c r="O378" s="15">
        <v>0.87073674300000004</v>
      </c>
      <c r="P378">
        <f t="shared" si="113"/>
        <v>0.88767646561920444</v>
      </c>
      <c r="Q378">
        <v>0.36049999999999999</v>
      </c>
      <c r="R378">
        <f t="shared" si="114"/>
        <v>0.79915761471957436</v>
      </c>
      <c r="S378">
        <f t="shared" si="121"/>
        <v>0.11616902994531766</v>
      </c>
      <c r="T378" s="14">
        <f t="shared" si="115"/>
        <v>0.19489030095616736</v>
      </c>
      <c r="U378" t="str">
        <f t="shared" si="122"/>
        <v>Low</v>
      </c>
      <c r="V378">
        <f t="shared" si="123"/>
        <v>0.11007290634860979</v>
      </c>
      <c r="W378">
        <f t="shared" si="116"/>
        <v>0.14794340365792083</v>
      </c>
      <c r="X378" t="s">
        <v>1176</v>
      </c>
      <c r="Y378">
        <f t="shared" si="124"/>
        <v>0.1222651535420255</v>
      </c>
      <c r="Z378">
        <f t="shared" si="117"/>
        <v>0.24497578279686641</v>
      </c>
      <c r="AA378" t="str">
        <f t="shared" si="125"/>
        <v>Low</v>
      </c>
      <c r="AB378">
        <f t="shared" si="126"/>
        <v>7.9240216242320929E-2</v>
      </c>
      <c r="AC378">
        <f t="shared" si="118"/>
        <v>0.18603803875689054</v>
      </c>
      <c r="AD378" t="str">
        <f t="shared" si="127"/>
        <v>Low</v>
      </c>
      <c r="AE378">
        <f t="shared" si="128"/>
        <v>1.1529008450571017E-2</v>
      </c>
      <c r="AF378">
        <f t="shared" si="119"/>
        <v>6.3068746531993763E-2</v>
      </c>
      <c r="AG378" t="s">
        <v>1175</v>
      </c>
    </row>
    <row r="379" spans="1:33" x14ac:dyDescent="0.3">
      <c r="A379">
        <v>458970</v>
      </c>
      <c r="B379" t="s">
        <v>365</v>
      </c>
      <c r="C379" s="1" t="s">
        <v>919</v>
      </c>
      <c r="D379" t="s">
        <v>921</v>
      </c>
      <c r="E379" s="4">
        <v>5.8</v>
      </c>
      <c r="F379" s="3">
        <f t="shared" si="129"/>
        <v>0.57777777777777772</v>
      </c>
      <c r="G379">
        <v>47.906280000000002</v>
      </c>
      <c r="H379">
        <f t="shared" si="120"/>
        <v>0.45217092878646814</v>
      </c>
      <c r="I379">
        <v>132.1</v>
      </c>
      <c r="J379" s="3">
        <f t="shared" si="110"/>
        <v>0.40847247990105129</v>
      </c>
      <c r="K379">
        <v>0</v>
      </c>
      <c r="L379" s="3">
        <f t="shared" si="111"/>
        <v>0</v>
      </c>
      <c r="M379">
        <v>28699</v>
      </c>
      <c r="N379">
        <f t="shared" si="112"/>
        <v>0.13465623861501846</v>
      </c>
      <c r="O379" s="15">
        <v>0.79858452999999996</v>
      </c>
      <c r="P379">
        <f t="shared" si="113"/>
        <v>0.81412056949177514</v>
      </c>
      <c r="Q379">
        <v>0.38350000000000001</v>
      </c>
      <c r="R379">
        <f t="shared" si="114"/>
        <v>0.85014409221902021</v>
      </c>
      <c r="S379">
        <f t="shared" si="121"/>
        <v>0.12623696275639093</v>
      </c>
      <c r="T379" s="14">
        <f t="shared" si="115"/>
        <v>0.21178071018554759</v>
      </c>
      <c r="U379" t="str">
        <f t="shared" si="122"/>
        <v>Low</v>
      </c>
      <c r="V379">
        <f t="shared" si="123"/>
        <v>0.1289694008123661</v>
      </c>
      <c r="W379">
        <f t="shared" si="116"/>
        <v>0.17334122225750642</v>
      </c>
      <c r="X379" t="s">
        <v>1176</v>
      </c>
      <c r="Y379">
        <f t="shared" si="124"/>
        <v>0.12350452470041574</v>
      </c>
      <c r="Z379">
        <f t="shared" si="117"/>
        <v>0.24745904078908046</v>
      </c>
      <c r="AA379" t="str">
        <f t="shared" si="125"/>
        <v>Low</v>
      </c>
      <c r="AB379">
        <f t="shared" si="126"/>
        <v>8.934036160656593E-2</v>
      </c>
      <c r="AC379">
        <f t="shared" si="118"/>
        <v>0.20975088715419324</v>
      </c>
      <c r="AD379" t="str">
        <f t="shared" si="127"/>
        <v>Low</v>
      </c>
      <c r="AE379">
        <f t="shared" si="128"/>
        <v>2.0427754034608801E-2</v>
      </c>
      <c r="AF379">
        <f t="shared" si="119"/>
        <v>0.11174879842878813</v>
      </c>
      <c r="AG379" t="s">
        <v>1175</v>
      </c>
    </row>
    <row r="380" spans="1:33" x14ac:dyDescent="0.3">
      <c r="A380">
        <v>458988</v>
      </c>
      <c r="B380" t="s">
        <v>481</v>
      </c>
      <c r="C380" s="1" t="s">
        <v>919</v>
      </c>
      <c r="D380" t="s">
        <v>922</v>
      </c>
      <c r="E380" s="4">
        <v>5.8</v>
      </c>
      <c r="F380" s="3">
        <f t="shared" si="129"/>
        <v>0.57777777777777772</v>
      </c>
      <c r="G380">
        <v>39.390480000000004</v>
      </c>
      <c r="H380">
        <f t="shared" si="120"/>
        <v>0.3717932163997037</v>
      </c>
      <c r="I380">
        <v>145</v>
      </c>
      <c r="J380" s="3">
        <f t="shared" si="110"/>
        <v>0.44836116264687687</v>
      </c>
      <c r="K380">
        <v>0</v>
      </c>
      <c r="L380" s="3">
        <f t="shared" si="111"/>
        <v>0</v>
      </c>
      <c r="M380">
        <v>54612</v>
      </c>
      <c r="N380">
        <f t="shared" si="112"/>
        <v>0.25726154821554459</v>
      </c>
      <c r="O380" s="15">
        <v>0.83411692699999995</v>
      </c>
      <c r="P380">
        <f t="shared" si="113"/>
        <v>0.85034423047484953</v>
      </c>
      <c r="Q380">
        <v>0.37709999999999999</v>
      </c>
      <c r="R380">
        <f t="shared" si="114"/>
        <v>0.83595655065395702</v>
      </c>
      <c r="S380">
        <f t="shared" si="121"/>
        <v>0.11613230265090549</v>
      </c>
      <c r="T380" s="14">
        <f t="shared" si="115"/>
        <v>0.1948286856231938</v>
      </c>
      <c r="U380" t="str">
        <f t="shared" si="122"/>
        <v>Low</v>
      </c>
      <c r="V380">
        <f t="shared" si="123"/>
        <v>0.11514145071861513</v>
      </c>
      <c r="W380">
        <f t="shared" si="116"/>
        <v>0.15475577675284866</v>
      </c>
      <c r="X380" t="s">
        <v>1176</v>
      </c>
      <c r="Y380">
        <f t="shared" si="124"/>
        <v>0.11712315458319585</v>
      </c>
      <c r="Z380">
        <f t="shared" si="117"/>
        <v>0.23467304989556606</v>
      </c>
      <c r="AA380" t="str">
        <f t="shared" si="125"/>
        <v>Low</v>
      </c>
      <c r="AB380">
        <f t="shared" si="126"/>
        <v>8.7838430937791326E-2</v>
      </c>
      <c r="AC380">
        <f t="shared" si="118"/>
        <v>0.2062246949096746</v>
      </c>
      <c r="AD380" t="str">
        <f t="shared" si="127"/>
        <v>Low</v>
      </c>
      <c r="AE380">
        <f t="shared" si="128"/>
        <v>3.5434219460906552E-2</v>
      </c>
      <c r="AF380">
        <f t="shared" si="119"/>
        <v>0.19384076395817626</v>
      </c>
      <c r="AG380" t="s">
        <v>1175</v>
      </c>
    </row>
    <row r="381" spans="1:33" x14ac:dyDescent="0.3">
      <c r="A381">
        <v>458990</v>
      </c>
      <c r="B381" t="s">
        <v>496</v>
      </c>
      <c r="C381" s="1" t="s">
        <v>919</v>
      </c>
      <c r="D381" t="s">
        <v>923</v>
      </c>
      <c r="E381" s="4">
        <v>5.8</v>
      </c>
      <c r="F381" s="3">
        <f t="shared" si="129"/>
        <v>0.57777777777777772</v>
      </c>
      <c r="G381">
        <v>36.566279999999999</v>
      </c>
      <c r="H381">
        <f t="shared" si="120"/>
        <v>0.34513656226002215</v>
      </c>
      <c r="I381">
        <v>124.7</v>
      </c>
      <c r="J381" s="3">
        <f t="shared" si="110"/>
        <v>0.38559059987631411</v>
      </c>
      <c r="K381">
        <v>0</v>
      </c>
      <c r="L381" s="3">
        <f t="shared" si="111"/>
        <v>0</v>
      </c>
      <c r="M381">
        <v>22103</v>
      </c>
      <c r="N381">
        <f t="shared" si="112"/>
        <v>0.1034477864047352</v>
      </c>
      <c r="O381" s="15">
        <v>0.84620272100000005</v>
      </c>
      <c r="P381">
        <f t="shared" si="113"/>
        <v>0.8626651472024004</v>
      </c>
      <c r="Q381">
        <v>0.39050000000000001</v>
      </c>
      <c r="R381">
        <f t="shared" si="114"/>
        <v>0.86566171580580809</v>
      </c>
      <c r="S381">
        <f t="shared" si="121"/>
        <v>0.10743455238014984</v>
      </c>
      <c r="T381" s="14">
        <f t="shared" si="115"/>
        <v>0.1802369552049656</v>
      </c>
      <c r="U381" t="str">
        <f t="shared" si="122"/>
        <v>Low</v>
      </c>
      <c r="V381">
        <f t="shared" si="123"/>
        <v>0.10762082212661619</v>
      </c>
      <c r="W381">
        <f t="shared" si="116"/>
        <v>0.14464768177783621</v>
      </c>
      <c r="X381" t="s">
        <v>1176</v>
      </c>
      <c r="Y381">
        <f t="shared" si="124"/>
        <v>0.10724828263368349</v>
      </c>
      <c r="Z381">
        <f t="shared" si="117"/>
        <v>0.21488732668851099</v>
      </c>
      <c r="AA381" t="str">
        <f t="shared" si="125"/>
        <v>Low</v>
      </c>
      <c r="AB381">
        <f t="shared" si="126"/>
        <v>7.4343066129682112E-2</v>
      </c>
      <c r="AC381">
        <f t="shared" si="118"/>
        <v>0.17454064203516337</v>
      </c>
      <c r="AD381" t="str">
        <f t="shared" si="127"/>
        <v>Low</v>
      </c>
      <c r="AE381">
        <f t="shared" si="128"/>
        <v>1.2860838843603964E-2</v>
      </c>
      <c r="AF381">
        <f t="shared" si="119"/>
        <v>7.0354444503499744E-2</v>
      </c>
      <c r="AG381" t="s">
        <v>1175</v>
      </c>
    </row>
    <row r="382" spans="1:33" x14ac:dyDescent="0.3">
      <c r="A382">
        <v>501006</v>
      </c>
      <c r="B382" t="s">
        <v>2</v>
      </c>
      <c r="C382" s="1" t="s">
        <v>925</v>
      </c>
      <c r="D382" t="s">
        <v>924</v>
      </c>
      <c r="E382" s="4">
        <v>6.2</v>
      </c>
      <c r="F382" s="3">
        <f t="shared" si="129"/>
        <v>0.66666666666666663</v>
      </c>
      <c r="G382">
        <v>45.560519999999997</v>
      </c>
      <c r="H382">
        <f t="shared" si="120"/>
        <v>0.43003010553928328</v>
      </c>
      <c r="I382">
        <v>28.7</v>
      </c>
      <c r="J382" s="3">
        <f t="shared" si="110"/>
        <v>8.8744588744588737E-2</v>
      </c>
      <c r="K382">
        <v>0</v>
      </c>
      <c r="L382" s="3">
        <f t="shared" si="111"/>
        <v>0</v>
      </c>
      <c r="M382">
        <v>21874</v>
      </c>
      <c r="N382">
        <f t="shared" si="112"/>
        <v>0.10236429102023628</v>
      </c>
      <c r="O382" s="15">
        <v>0.81099589800000005</v>
      </c>
      <c r="P382">
        <f t="shared" si="113"/>
        <v>0.82677339408923145</v>
      </c>
      <c r="Q382">
        <v>0.3836</v>
      </c>
      <c r="R382">
        <f t="shared" si="114"/>
        <v>0.85036577255597423</v>
      </c>
      <c r="S382">
        <f t="shared" si="121"/>
        <v>0.10608517941895851</v>
      </c>
      <c r="T382" s="14">
        <f t="shared" si="115"/>
        <v>0.17797318746383459</v>
      </c>
      <c r="U382" t="str">
        <f t="shared" si="122"/>
        <v>Low</v>
      </c>
      <c r="V382">
        <f t="shared" si="123"/>
        <v>0.10757748354752451</v>
      </c>
      <c r="W382">
        <f t="shared" si="116"/>
        <v>0.1445894325945157</v>
      </c>
      <c r="X382" t="s">
        <v>1176</v>
      </c>
      <c r="Y382">
        <f t="shared" si="124"/>
        <v>0.1045928752903925</v>
      </c>
      <c r="Z382">
        <f t="shared" si="117"/>
        <v>0.20956683696824363</v>
      </c>
      <c r="AA382" t="str">
        <f t="shared" si="125"/>
        <v>Low</v>
      </c>
      <c r="AB382">
        <f t="shared" si="126"/>
        <v>7.3562422592441071E-2</v>
      </c>
      <c r="AC382">
        <f t="shared" si="118"/>
        <v>0.17270786823009898</v>
      </c>
      <c r="AD382" t="str">
        <f t="shared" si="127"/>
        <v>Low</v>
      </c>
      <c r="AE382">
        <f t="shared" si="128"/>
        <v>1.2949830753399266E-2</v>
      </c>
      <c r="AF382">
        <f t="shared" si="119"/>
        <v>7.0841269387559913E-2</v>
      </c>
      <c r="AG382" t="s">
        <v>1175</v>
      </c>
    </row>
    <row r="383" spans="1:33" x14ac:dyDescent="0.3">
      <c r="A383">
        <v>501020</v>
      </c>
      <c r="B383" t="s">
        <v>87</v>
      </c>
      <c r="C383" s="1" t="s">
        <v>925</v>
      </c>
      <c r="D383" t="s">
        <v>926</v>
      </c>
      <c r="E383" s="4">
        <v>6.1</v>
      </c>
      <c r="F383" s="3">
        <f t="shared" si="129"/>
        <v>0.64444444444444438</v>
      </c>
      <c r="G383">
        <v>38.726640000000003</v>
      </c>
      <c r="H383">
        <f t="shared" si="120"/>
        <v>0.36552745856240954</v>
      </c>
      <c r="I383">
        <v>58</v>
      </c>
      <c r="J383" s="3">
        <f t="shared" si="110"/>
        <v>0.17934446505875076</v>
      </c>
      <c r="K383">
        <v>0</v>
      </c>
      <c r="L383" s="3">
        <f t="shared" si="111"/>
        <v>0</v>
      </c>
      <c r="M383">
        <v>69668</v>
      </c>
      <c r="N383">
        <f t="shared" si="112"/>
        <v>0.32849782118067877</v>
      </c>
      <c r="O383" s="15">
        <v>0.80755239599999995</v>
      </c>
      <c r="P383">
        <f t="shared" si="113"/>
        <v>0.82326290057981399</v>
      </c>
      <c r="Q383">
        <v>0.3422</v>
      </c>
      <c r="R383">
        <f t="shared" si="114"/>
        <v>0.75859011305697188</v>
      </c>
      <c r="S383">
        <f t="shared" si="121"/>
        <v>9.2807604851742845E-2</v>
      </c>
      <c r="T383" s="14">
        <f t="shared" si="115"/>
        <v>0.15569814131263005</v>
      </c>
      <c r="U383" t="str">
        <f t="shared" si="122"/>
        <v>Low</v>
      </c>
      <c r="V383">
        <f t="shared" si="123"/>
        <v>8.9013240610983618E-2</v>
      </c>
      <c r="W383">
        <f t="shared" si="116"/>
        <v>0.11963817640013374</v>
      </c>
      <c r="X383" t="s">
        <v>1176</v>
      </c>
      <c r="Y383">
        <f t="shared" si="124"/>
        <v>9.6601969092502099E-2</v>
      </c>
      <c r="Z383">
        <f t="shared" si="117"/>
        <v>0.19355590953411034</v>
      </c>
      <c r="AA383" t="str">
        <f t="shared" si="125"/>
        <v>Low</v>
      </c>
      <c r="AB383">
        <f t="shared" si="126"/>
        <v>7.3626343903964303E-2</v>
      </c>
      <c r="AC383">
        <f t="shared" si="118"/>
        <v>0.17285794095824733</v>
      </c>
      <c r="AD383" t="str">
        <f t="shared" si="127"/>
        <v>Low</v>
      </c>
      <c r="AE383">
        <f t="shared" si="128"/>
        <v>3.8546054178198327E-2</v>
      </c>
      <c r="AF383">
        <f t="shared" si="119"/>
        <v>0.21086386840603649</v>
      </c>
      <c r="AG383" t="s">
        <v>1175</v>
      </c>
    </row>
    <row r="384" spans="1:33" x14ac:dyDescent="0.3">
      <c r="A384">
        <v>501027</v>
      </c>
      <c r="B384" t="s">
        <v>147</v>
      </c>
      <c r="C384" s="1" t="s">
        <v>925</v>
      </c>
      <c r="D384" t="s">
        <v>927</v>
      </c>
      <c r="E384" s="4">
        <v>4.8</v>
      </c>
      <c r="F384" s="3">
        <f t="shared" si="129"/>
        <v>0.35555555555555546</v>
      </c>
      <c r="G384">
        <v>37.121400000000001</v>
      </c>
      <c r="H384">
        <f t="shared" si="120"/>
        <v>0.35037614934522149</v>
      </c>
      <c r="I384">
        <v>96.7</v>
      </c>
      <c r="J384" s="3">
        <f t="shared" si="110"/>
        <v>0.29901051329622758</v>
      </c>
      <c r="K384">
        <v>0</v>
      </c>
      <c r="L384" s="3">
        <f t="shared" si="111"/>
        <v>0</v>
      </c>
      <c r="M384">
        <v>18408</v>
      </c>
      <c r="N384">
        <f t="shared" si="112"/>
        <v>8.5965186205069238E-2</v>
      </c>
      <c r="O384" s="15">
        <v>0.90189240699999995</v>
      </c>
      <c r="P384">
        <f t="shared" si="113"/>
        <v>0.9194382465775387</v>
      </c>
      <c r="Q384">
        <v>0.36120000000000002</v>
      </c>
      <c r="R384">
        <f t="shared" si="114"/>
        <v>0.80070937707825318</v>
      </c>
      <c r="S384">
        <f t="shared" si="121"/>
        <v>6.1146297786961887E-2</v>
      </c>
      <c r="T384" s="14">
        <f t="shared" si="115"/>
        <v>0.10258173270161454</v>
      </c>
      <c r="U384" t="str">
        <f t="shared" si="122"/>
        <v>No Impact</v>
      </c>
      <c r="V384">
        <f t="shared" si="123"/>
        <v>5.6925828153731525E-2</v>
      </c>
      <c r="W384">
        <f t="shared" si="116"/>
        <v>7.6511114791830898E-2</v>
      </c>
      <c r="X384" t="s">
        <v>1176</v>
      </c>
      <c r="Y384">
        <f t="shared" si="124"/>
        <v>6.5366767420192262E-2</v>
      </c>
      <c r="Z384">
        <f t="shared" si="117"/>
        <v>0.13097170006136011</v>
      </c>
      <c r="AA384" t="str">
        <f t="shared" si="125"/>
        <v>No Impact</v>
      </c>
      <c r="AB384">
        <f t="shared" si="126"/>
        <v>4.1673140565386776E-2</v>
      </c>
      <c r="AC384">
        <f t="shared" si="118"/>
        <v>9.7839073481530092E-2</v>
      </c>
      <c r="AD384" t="str">
        <f t="shared" si="127"/>
        <v>No Impact</v>
      </c>
      <c r="AE384">
        <f t="shared" si="128"/>
        <v>6.1116299586373504E-3</v>
      </c>
      <c r="AF384">
        <f t="shared" si="119"/>
        <v>3.3433303688796205E-2</v>
      </c>
      <c r="AG384" t="s">
        <v>1176</v>
      </c>
    </row>
    <row r="385" spans="1:33" x14ac:dyDescent="0.3">
      <c r="A385">
        <v>501033</v>
      </c>
      <c r="B385" t="s">
        <v>148</v>
      </c>
      <c r="C385" s="1" t="s">
        <v>925</v>
      </c>
      <c r="D385" t="s">
        <v>928</v>
      </c>
      <c r="E385" s="4">
        <v>6.1</v>
      </c>
      <c r="F385" s="3">
        <f t="shared" si="129"/>
        <v>0.64444444444444438</v>
      </c>
      <c r="G385">
        <v>43.512120000000003</v>
      </c>
      <c r="H385">
        <f t="shared" si="120"/>
        <v>0.41069596123656976</v>
      </c>
      <c r="I385">
        <v>22</v>
      </c>
      <c r="J385" s="3">
        <f t="shared" si="110"/>
        <v>6.8027210884353734E-2</v>
      </c>
      <c r="K385">
        <v>0</v>
      </c>
      <c r="L385" s="3">
        <f t="shared" si="111"/>
        <v>0</v>
      </c>
      <c r="M385">
        <v>19139</v>
      </c>
      <c r="N385">
        <f t="shared" si="112"/>
        <v>8.9423854877858366E-2</v>
      </c>
      <c r="O385" s="15">
        <v>0.751776679</v>
      </c>
      <c r="P385">
        <f t="shared" si="113"/>
        <v>0.76640209651709057</v>
      </c>
      <c r="Q385">
        <v>0.38769999999999999</v>
      </c>
      <c r="R385">
        <f t="shared" si="114"/>
        <v>0.85945466637109291</v>
      </c>
      <c r="S385">
        <f t="shared" si="121"/>
        <v>9.3191056171847558E-2</v>
      </c>
      <c r="T385" s="14">
        <f t="shared" si="115"/>
        <v>0.15634143620122837</v>
      </c>
      <c r="U385" t="str">
        <f t="shared" si="122"/>
        <v>Low</v>
      </c>
      <c r="V385">
        <f t="shared" si="123"/>
        <v>9.8524654716404869E-2</v>
      </c>
      <c r="W385">
        <f t="shared" si="116"/>
        <v>0.13242198508689101</v>
      </c>
      <c r="X385" t="s">
        <v>1176</v>
      </c>
      <c r="Y385">
        <f t="shared" si="124"/>
        <v>8.785745762729022E-2</v>
      </c>
      <c r="Z385">
        <f t="shared" si="117"/>
        <v>0.17603502578835747</v>
      </c>
      <c r="AA385" t="str">
        <f t="shared" si="125"/>
        <v>Low</v>
      </c>
      <c r="AB385">
        <f t="shared" si="126"/>
        <v>6.4428791630909005E-2</v>
      </c>
      <c r="AC385">
        <f t="shared" si="118"/>
        <v>0.15126417623389868</v>
      </c>
      <c r="AD385" t="str">
        <f t="shared" si="127"/>
        <v>Low</v>
      </c>
      <c r="AE385">
        <f t="shared" si="128"/>
        <v>1.0251214834229245E-2</v>
      </c>
      <c r="AF385">
        <f t="shared" si="119"/>
        <v>5.6078653493657281E-2</v>
      </c>
      <c r="AG385" t="s">
        <v>1176</v>
      </c>
    </row>
    <row r="386" spans="1:33" x14ac:dyDescent="0.3">
      <c r="A386">
        <v>501040</v>
      </c>
      <c r="B386" t="s">
        <v>172</v>
      </c>
      <c r="C386" s="1" t="s">
        <v>925</v>
      </c>
      <c r="D386" t="s">
        <v>929</v>
      </c>
      <c r="E386" s="4">
        <v>6.1</v>
      </c>
      <c r="F386" s="3">
        <f t="shared" si="129"/>
        <v>0.64444444444444438</v>
      </c>
      <c r="G386">
        <v>41.751359999999998</v>
      </c>
      <c r="H386">
        <f t="shared" si="120"/>
        <v>0.3940767521355904</v>
      </c>
      <c r="I386">
        <v>88</v>
      </c>
      <c r="J386" s="3">
        <f t="shared" ref="J386:J449" si="132">(I386-$AJ$7)/$AK$7</f>
        <v>0.27210884353741494</v>
      </c>
      <c r="K386">
        <v>0</v>
      </c>
      <c r="L386" s="3">
        <f t="shared" ref="L386:L449" si="133">(K386-$AJ$8)/$AK$8</f>
        <v>0</v>
      </c>
      <c r="M386">
        <v>26980</v>
      </c>
      <c r="N386">
        <f t="shared" ref="N386:N449" si="134">(M386-$AJ$9)/$AK$9</f>
        <v>0.12652292609993707</v>
      </c>
      <c r="O386" s="15">
        <v>0.97328912700000003</v>
      </c>
      <c r="P386">
        <f t="shared" ref="P386:P449" si="135">(O386-$AJ$11)/$AK$11</f>
        <v>0.99222395198839219</v>
      </c>
      <c r="Q386">
        <v>0.36809999999999998</v>
      </c>
      <c r="R386">
        <f t="shared" ref="R386:R449" si="136">(Q386-$AJ$12)/$AK$12</f>
        <v>0.81600532032808681</v>
      </c>
      <c r="S386">
        <f t="shared" si="121"/>
        <v>0.12355272221251658</v>
      </c>
      <c r="T386" s="14">
        <f t="shared" ref="T386:T449" si="137">(S386-$AJ$10)/$AK$10</f>
        <v>0.20727750956761468</v>
      </c>
      <c r="U386" t="str">
        <f t="shared" si="122"/>
        <v>Low</v>
      </c>
      <c r="V386">
        <f t="shared" si="123"/>
        <v>0.11151205238180228</v>
      </c>
      <c r="W386">
        <f t="shared" ref="W386:W449" si="138">(V386-$AJ$13)/$AK$13</f>
        <v>0.1498776867578599</v>
      </c>
      <c r="X386" t="s">
        <v>1176</v>
      </c>
      <c r="Y386">
        <f t="shared" si="124"/>
        <v>0.13559339204323087</v>
      </c>
      <c r="Z386">
        <f t="shared" ref="Z386:Z449" si="139">(Y386-$AJ$14)/$AK$14</f>
        <v>0.2716808215225065</v>
      </c>
      <c r="AA386" t="str">
        <f t="shared" si="125"/>
        <v>Low</v>
      </c>
      <c r="AB386">
        <f t="shared" si="126"/>
        <v>8.5758778484311501E-2</v>
      </c>
      <c r="AC386">
        <f t="shared" ref="AC386:AC449" si="140">(AB386-$AJ$15)/$AK$15</f>
        <v>0.20134214306809206</v>
      </c>
      <c r="AD386" t="str">
        <f t="shared" si="127"/>
        <v>Low</v>
      </c>
      <c r="AE386">
        <f t="shared" si="128"/>
        <v>1.729012153631844E-2</v>
      </c>
      <c r="AF386">
        <f t="shared" ref="AF386:AF449" si="141">(AE386-$AJ$16)/$AK$16</f>
        <v>9.4584568773338429E-2</v>
      </c>
      <c r="AG386" t="s">
        <v>1175</v>
      </c>
    </row>
    <row r="387" spans="1:33" x14ac:dyDescent="0.3">
      <c r="A387">
        <v>501054</v>
      </c>
      <c r="B387" t="s">
        <v>235</v>
      </c>
      <c r="C387" s="1" t="s">
        <v>925</v>
      </c>
      <c r="D387" t="s">
        <v>930</v>
      </c>
      <c r="E387" s="4">
        <v>5.9</v>
      </c>
      <c r="F387" s="3">
        <f t="shared" si="129"/>
        <v>0.60000000000000009</v>
      </c>
      <c r="G387">
        <v>41.301720000000003</v>
      </c>
      <c r="H387">
        <f t="shared" ref="H387:H450" si="142">(G387-$AJ$6)/$AK$6</f>
        <v>0.38983275455490696</v>
      </c>
      <c r="I387">
        <v>52.6</v>
      </c>
      <c r="J387" s="3">
        <f t="shared" si="132"/>
        <v>0.16264687693259119</v>
      </c>
      <c r="K387">
        <v>0</v>
      </c>
      <c r="L387" s="3">
        <f t="shared" si="133"/>
        <v>0</v>
      </c>
      <c r="M387">
        <v>34433</v>
      </c>
      <c r="N387">
        <f t="shared" si="134"/>
        <v>0.16178620601552851</v>
      </c>
      <c r="O387" s="15">
        <v>0.93861198000000001</v>
      </c>
      <c r="P387">
        <f t="shared" si="135"/>
        <v>0.95687217944154601</v>
      </c>
      <c r="Q387">
        <v>0.37859999999999999</v>
      </c>
      <c r="R387">
        <f t="shared" si="136"/>
        <v>0.83928175570826868</v>
      </c>
      <c r="S387">
        <f t="shared" ref="S387:S450" si="143">F387*(R387*0.5+P387*0.5)*(H387*0.4+J387*0.2+L387*0.4)</f>
        <v>0.10155228601982866</v>
      </c>
      <c r="T387" s="14">
        <f t="shared" si="137"/>
        <v>0.17036860507923107</v>
      </c>
      <c r="U387" t="str">
        <f t="shared" ref="U387:U450" si="144">IF(T387&gt;0.7,"High",IF(T387&gt;0.3,"Moderate",IF(T387&gt;0.15,"Low","No Impact")))</f>
        <v>Low</v>
      </c>
      <c r="V387">
        <f t="shared" ref="V387:V450" si="145">F387*(R387*1)*(H387*0.4+J387*0.2+L387*0.4)</f>
        <v>9.4903871253998129E-2</v>
      </c>
      <c r="W387">
        <f t="shared" si="138"/>
        <v>0.12755547390710759</v>
      </c>
      <c r="X387" t="s">
        <v>1176</v>
      </c>
      <c r="Y387">
        <f t="shared" ref="Y387:Y450" si="146">F387*(P387*1)*(H387*0.4+J387*0.2+L387*0.4)</f>
        <v>0.10820070078565917</v>
      </c>
      <c r="Z387">
        <f t="shared" si="139"/>
        <v>0.21679563314845413</v>
      </c>
      <c r="AA387" t="str">
        <f t="shared" ref="AA387:AA450" si="147">IF(Z387&gt;0.7,"High",IF(Z387&gt;0.3,"Moderate",IF(Z387&gt;0.15,"Low","No Impact")))</f>
        <v>Low</v>
      </c>
      <c r="AB387">
        <f t="shared" ref="AB387:AB450" si="148">F387*(R387*0.35+P387*0.3+N387*0.35)*(H387*0.4+J387*0.2+L387*0.4)</f>
        <v>7.2079597299005205E-2</v>
      </c>
      <c r="AC387">
        <f t="shared" si="140"/>
        <v>0.16922653106960564</v>
      </c>
      <c r="AD387" t="str">
        <f t="shared" ref="AD387:AD450" si="149">IF(AC387&gt;0.7,"High",IF(AC387&gt;0.3,"Moderate",IF(AC387&gt;0.15,"Low","No Impact")))</f>
        <v>Low</v>
      </c>
      <c r="AE387">
        <f t="shared" ref="AE387:AE450" si="150">F387*(N387*1)*(H387*0.4+J387*0.2+L387*0.4)</f>
        <v>1.8294377498308898E-2</v>
      </c>
      <c r="AF387">
        <f t="shared" si="141"/>
        <v>0.10007829054408471</v>
      </c>
      <c r="AG387" t="s">
        <v>1175</v>
      </c>
    </row>
    <row r="388" spans="1:33" x14ac:dyDescent="0.3">
      <c r="A388">
        <v>501067</v>
      </c>
      <c r="B388" t="s">
        <v>367</v>
      </c>
      <c r="C388" s="1" t="s">
        <v>925</v>
      </c>
      <c r="D388" t="s">
        <v>931</v>
      </c>
      <c r="E388" s="4">
        <v>6.2</v>
      </c>
      <c r="F388" s="3">
        <f t="shared" si="129"/>
        <v>0.66666666666666663</v>
      </c>
      <c r="G388">
        <v>41.06232</v>
      </c>
      <c r="H388">
        <f t="shared" si="142"/>
        <v>0.38757314015045974</v>
      </c>
      <c r="I388">
        <v>61.000000000000007</v>
      </c>
      <c r="J388" s="3">
        <f t="shared" si="132"/>
        <v>0.1886209029066172</v>
      </c>
      <c r="K388">
        <v>0</v>
      </c>
      <c r="L388" s="3">
        <f t="shared" si="133"/>
        <v>0</v>
      </c>
      <c r="M388">
        <v>24547</v>
      </c>
      <c r="N388">
        <f t="shared" si="134"/>
        <v>0.11501137906724769</v>
      </c>
      <c r="O388" s="15">
        <v>0.97739393500000005</v>
      </c>
      <c r="P388">
        <f t="shared" si="135"/>
        <v>0.99640861685613558</v>
      </c>
      <c r="Q388">
        <v>0.38229999999999997</v>
      </c>
      <c r="R388">
        <f t="shared" si="136"/>
        <v>0.84748392817557072</v>
      </c>
      <c r="S388">
        <f t="shared" si="143"/>
        <v>0.11847220828417224</v>
      </c>
      <c r="T388" s="14">
        <f t="shared" si="137"/>
        <v>0.19875421477060121</v>
      </c>
      <c r="U388" t="str">
        <f t="shared" si="144"/>
        <v>Low</v>
      </c>
      <c r="V388">
        <f t="shared" si="145"/>
        <v>0.10890362643619041</v>
      </c>
      <c r="W388">
        <f t="shared" si="138"/>
        <v>0.14637183390646633</v>
      </c>
      <c r="X388" t="s">
        <v>1176</v>
      </c>
      <c r="Y388">
        <f t="shared" si="146"/>
        <v>0.12804079013215405</v>
      </c>
      <c r="Z388">
        <f t="shared" si="139"/>
        <v>0.25654809963308284</v>
      </c>
      <c r="AA388" t="str">
        <f t="shared" si="147"/>
        <v>Low</v>
      </c>
      <c r="AB388">
        <f t="shared" si="148"/>
        <v>8.1701235291534127E-2</v>
      </c>
      <c r="AC388">
        <f t="shared" si="140"/>
        <v>0.19181595278805447</v>
      </c>
      <c r="AD388" t="str">
        <f t="shared" si="149"/>
        <v>Low</v>
      </c>
      <c r="AE388">
        <f t="shared" si="150"/>
        <v>1.477922571206074E-2</v>
      </c>
      <c r="AF388">
        <f t="shared" si="141"/>
        <v>8.0848864355452688E-2</v>
      </c>
      <c r="AG388" t="s">
        <v>1175</v>
      </c>
    </row>
    <row r="389" spans="1:33" x14ac:dyDescent="0.3">
      <c r="A389">
        <v>501081</v>
      </c>
      <c r="B389" t="s">
        <v>461</v>
      </c>
      <c r="C389" s="1" t="s">
        <v>925</v>
      </c>
      <c r="D389" t="s">
        <v>932</v>
      </c>
      <c r="E389" s="4">
        <v>6.2</v>
      </c>
      <c r="F389" s="3">
        <f t="shared" si="129"/>
        <v>0.66666666666666663</v>
      </c>
      <c r="G389">
        <v>40.535640000000001</v>
      </c>
      <c r="H389">
        <f t="shared" si="142"/>
        <v>0.38260198846067589</v>
      </c>
      <c r="I389">
        <v>96.7</v>
      </c>
      <c r="J389" s="3">
        <f t="shared" si="132"/>
        <v>0.29901051329622758</v>
      </c>
      <c r="K389">
        <v>0</v>
      </c>
      <c r="L389" s="3">
        <f t="shared" si="133"/>
        <v>0</v>
      </c>
      <c r="M389">
        <v>19425</v>
      </c>
      <c r="N389">
        <f t="shared" si="134"/>
        <v>9.0777041253258764E-2</v>
      </c>
      <c r="O389" s="18">
        <v>0.93699572499999995</v>
      </c>
      <c r="P389">
        <f t="shared" si="135"/>
        <v>0.95522448105569824</v>
      </c>
      <c r="Q389">
        <v>0.2823</v>
      </c>
      <c r="R389">
        <f t="shared" si="136"/>
        <v>0.62580359122145868</v>
      </c>
      <c r="S389">
        <f t="shared" si="143"/>
        <v>0.11217019893054113</v>
      </c>
      <c r="T389" s="14">
        <f t="shared" si="137"/>
        <v>0.18818168524069226</v>
      </c>
      <c r="U389" t="str">
        <f t="shared" si="144"/>
        <v>Low</v>
      </c>
      <c r="V389">
        <f t="shared" si="145"/>
        <v>8.8798566641076673E-2</v>
      </c>
      <c r="W389">
        <f t="shared" si="138"/>
        <v>0.11934964401883906</v>
      </c>
      <c r="X389" t="s">
        <v>1176</v>
      </c>
      <c r="Y389">
        <f t="shared" si="146"/>
        <v>0.13554183122000557</v>
      </c>
      <c r="Z389">
        <f t="shared" si="139"/>
        <v>0.27157751201308911</v>
      </c>
      <c r="AA389" t="str">
        <f t="shared" si="147"/>
        <v>Low</v>
      </c>
      <c r="AB389">
        <f t="shared" si="148"/>
        <v>7.6250339015482366E-2</v>
      </c>
      <c r="AC389">
        <f t="shared" si="140"/>
        <v>0.17901848578515264</v>
      </c>
      <c r="AD389" t="str">
        <f t="shared" si="149"/>
        <v>Low</v>
      </c>
      <c r="AE389">
        <f t="shared" si="150"/>
        <v>1.2880832357439594E-2</v>
      </c>
      <c r="AF389">
        <f t="shared" si="141"/>
        <v>7.0463817817066954E-2</v>
      </c>
      <c r="AG389" t="s">
        <v>1175</v>
      </c>
    </row>
    <row r="390" spans="1:33" x14ac:dyDescent="0.3">
      <c r="A390">
        <v>501085</v>
      </c>
      <c r="B390" t="s">
        <v>475</v>
      </c>
      <c r="C390" s="1" t="s">
        <v>925</v>
      </c>
      <c r="D390" t="s">
        <v>933</v>
      </c>
      <c r="E390" s="4">
        <v>6.1</v>
      </c>
      <c r="F390" s="3">
        <f t="shared" ref="F390:F453" si="151">(E390-$AJ$5)/$AK$5</f>
        <v>0.64444444444444438</v>
      </c>
      <c r="G390">
        <v>37.404000000000003</v>
      </c>
      <c r="H390">
        <f t="shared" si="142"/>
        <v>0.35304351371738851</v>
      </c>
      <c r="I390">
        <v>72.2</v>
      </c>
      <c r="J390" s="3">
        <f t="shared" si="132"/>
        <v>0.2232529375386518</v>
      </c>
      <c r="K390">
        <v>0</v>
      </c>
      <c r="L390" s="3">
        <f t="shared" si="133"/>
        <v>0</v>
      </c>
      <c r="M390">
        <v>37871</v>
      </c>
      <c r="N390">
        <f t="shared" si="134"/>
        <v>0.17805283104569133</v>
      </c>
      <c r="O390" s="15">
        <v>0.52870257499999995</v>
      </c>
      <c r="P390">
        <f t="shared" si="135"/>
        <v>0.53898820385459745</v>
      </c>
      <c r="Q390">
        <v>0.36380000000000001</v>
      </c>
      <c r="R390">
        <f t="shared" si="136"/>
        <v>0.80647306583906009</v>
      </c>
      <c r="S390">
        <f t="shared" si="143"/>
        <v>8.0580748773902325E-2</v>
      </c>
      <c r="T390" s="14">
        <f t="shared" si="137"/>
        <v>0.13518582695587122</v>
      </c>
      <c r="U390" t="str">
        <f t="shared" si="144"/>
        <v>No Impact</v>
      </c>
      <c r="V390">
        <f t="shared" si="145"/>
        <v>9.6600630542256385E-2</v>
      </c>
      <c r="W390">
        <f t="shared" si="138"/>
        <v>0.12983600190096378</v>
      </c>
      <c r="X390" t="s">
        <v>1176</v>
      </c>
      <c r="Y390">
        <f t="shared" si="146"/>
        <v>6.4560867005548278E-2</v>
      </c>
      <c r="Z390">
        <f t="shared" si="139"/>
        <v>0.12935696291660309</v>
      </c>
      <c r="AA390" t="str">
        <f t="shared" si="147"/>
        <v>No Impact</v>
      </c>
      <c r="AB390">
        <f t="shared" si="148"/>
        <v>6.0643089055629047E-2</v>
      </c>
      <c r="AC390">
        <f t="shared" si="140"/>
        <v>0.14237620601094708</v>
      </c>
      <c r="AD390" t="str">
        <f t="shared" si="149"/>
        <v>No Impact</v>
      </c>
      <c r="AE390">
        <f t="shared" si="150"/>
        <v>2.1327452183356691E-2</v>
      </c>
      <c r="AF390">
        <f t="shared" si="141"/>
        <v>0.11667054297793661</v>
      </c>
      <c r="AG390" t="s">
        <v>1175</v>
      </c>
    </row>
    <row r="391" spans="1:33" x14ac:dyDescent="0.3">
      <c r="A391">
        <v>501088</v>
      </c>
      <c r="B391" t="s">
        <v>480</v>
      </c>
      <c r="C391" s="1" t="s">
        <v>925</v>
      </c>
      <c r="D391" t="s">
        <v>919</v>
      </c>
      <c r="E391" s="4">
        <v>6.2</v>
      </c>
      <c r="F391" s="3">
        <f t="shared" si="151"/>
        <v>0.66666666666666663</v>
      </c>
      <c r="G391">
        <v>37.404000000000003</v>
      </c>
      <c r="H391">
        <f t="shared" si="142"/>
        <v>0.35304351371738851</v>
      </c>
      <c r="I391">
        <v>90.2</v>
      </c>
      <c r="J391" s="3">
        <f t="shared" si="132"/>
        <v>0.27891156462585032</v>
      </c>
      <c r="K391">
        <v>0</v>
      </c>
      <c r="L391" s="3">
        <f t="shared" si="133"/>
        <v>0</v>
      </c>
      <c r="M391">
        <v>36509</v>
      </c>
      <c r="N391">
        <f t="shared" si="134"/>
        <v>0.17160863578941393</v>
      </c>
      <c r="O391" s="15">
        <v>0.92990620000000002</v>
      </c>
      <c r="P391">
        <f t="shared" si="135"/>
        <v>0.94799703309796468</v>
      </c>
      <c r="Q391">
        <v>0.37080000000000002</v>
      </c>
      <c r="R391">
        <f t="shared" si="136"/>
        <v>0.82199068942584796</v>
      </c>
      <c r="S391">
        <f t="shared" si="143"/>
        <v>0.11622902764337012</v>
      </c>
      <c r="T391" s="14">
        <f t="shared" si="137"/>
        <v>0.19499095574716996</v>
      </c>
      <c r="U391" t="str">
        <f t="shared" si="144"/>
        <v>Low</v>
      </c>
      <c r="V391">
        <f t="shared" si="145"/>
        <v>0.10795462290285396</v>
      </c>
      <c r="W391">
        <f t="shared" si="138"/>
        <v>0.14509632644997622</v>
      </c>
      <c r="X391" t="s">
        <v>1176</v>
      </c>
      <c r="Y391">
        <f t="shared" si="146"/>
        <v>0.12450343238388629</v>
      </c>
      <c r="Z391">
        <f t="shared" si="139"/>
        <v>0.2494604956976198</v>
      </c>
      <c r="AA391" t="str">
        <f t="shared" si="147"/>
        <v>Low</v>
      </c>
      <c r="AB391">
        <f t="shared" si="148"/>
        <v>8.3023413414272274E-2</v>
      </c>
      <c r="AC391">
        <f t="shared" si="140"/>
        <v>0.19492012686159896</v>
      </c>
      <c r="AD391" t="str">
        <f t="shared" si="149"/>
        <v>Low</v>
      </c>
      <c r="AE391">
        <f t="shared" si="150"/>
        <v>2.2537901951735696E-2</v>
      </c>
      <c r="AF391">
        <f t="shared" si="141"/>
        <v>0.1232922355509718</v>
      </c>
      <c r="AG391" t="s">
        <v>1175</v>
      </c>
    </row>
    <row r="392" spans="1:33" x14ac:dyDescent="0.3">
      <c r="A392">
        <v>501094</v>
      </c>
      <c r="B392" t="s">
        <v>484</v>
      </c>
      <c r="C392" s="1" t="s">
        <v>925</v>
      </c>
      <c r="D392" t="s">
        <v>1146</v>
      </c>
      <c r="E392" s="4">
        <v>6.1</v>
      </c>
      <c r="F392" s="3">
        <f t="shared" si="151"/>
        <v>0.64444444444444438</v>
      </c>
      <c r="G392">
        <v>44.814599999999999</v>
      </c>
      <c r="H392">
        <f t="shared" si="142"/>
        <v>0.42298962276332147</v>
      </c>
      <c r="I392">
        <v>31.400000000000006</v>
      </c>
      <c r="J392" s="3">
        <f t="shared" si="132"/>
        <v>9.7093382807668535E-2</v>
      </c>
      <c r="K392">
        <v>0</v>
      </c>
      <c r="L392" s="3">
        <f t="shared" si="133"/>
        <v>0</v>
      </c>
      <c r="M392">
        <v>25068</v>
      </c>
      <c r="N392">
        <f t="shared" si="134"/>
        <v>0.11747644935250505</v>
      </c>
      <c r="O392" s="15">
        <v>0.92204198299999995</v>
      </c>
      <c r="P392">
        <f t="shared" si="135"/>
        <v>0.93997982191726859</v>
      </c>
      <c r="Q392">
        <v>0.36270000000000002</v>
      </c>
      <c r="R392">
        <f t="shared" si="136"/>
        <v>0.80403458213256485</v>
      </c>
      <c r="S392">
        <f t="shared" si="143"/>
        <v>0.10599385597450013</v>
      </c>
      <c r="T392" s="14">
        <f t="shared" si="137"/>
        <v>0.17781997921561882</v>
      </c>
      <c r="U392" t="str">
        <f t="shared" si="144"/>
        <v>Low</v>
      </c>
      <c r="V392">
        <f t="shared" si="145"/>
        <v>9.7731676411820859E-2</v>
      </c>
      <c r="W392">
        <f t="shared" si="138"/>
        <v>0.13135618321703307</v>
      </c>
      <c r="X392" t="s">
        <v>1176</v>
      </c>
      <c r="Y392">
        <f t="shared" si="146"/>
        <v>0.11425603553717936</v>
      </c>
      <c r="Z392">
        <f t="shared" si="139"/>
        <v>0.22892836539371192</v>
      </c>
      <c r="AA392" t="str">
        <f t="shared" si="147"/>
        <v>Low</v>
      </c>
      <c r="AB392">
        <f t="shared" si="148"/>
        <v>7.3480704348229925E-2</v>
      </c>
      <c r="AC392">
        <f t="shared" si="140"/>
        <v>0.172516012344229</v>
      </c>
      <c r="AD392" t="str">
        <f t="shared" si="149"/>
        <v>Low</v>
      </c>
      <c r="AE392">
        <f t="shared" si="150"/>
        <v>1.4279448408396608E-2</v>
      </c>
      <c r="AF392">
        <f t="shared" si="141"/>
        <v>7.8114862708877839E-2</v>
      </c>
      <c r="AG392" t="s">
        <v>1175</v>
      </c>
    </row>
    <row r="393" spans="1:33" x14ac:dyDescent="0.3">
      <c r="A393">
        <v>501095</v>
      </c>
      <c r="B393" t="s">
        <v>495</v>
      </c>
      <c r="C393" s="1" t="s">
        <v>925</v>
      </c>
      <c r="D393" t="s">
        <v>934</v>
      </c>
      <c r="E393" s="4">
        <v>6.2</v>
      </c>
      <c r="F393" s="3">
        <f t="shared" si="151"/>
        <v>0.66666666666666663</v>
      </c>
      <c r="G393">
        <v>40.535640000000001</v>
      </c>
      <c r="H393">
        <f t="shared" si="142"/>
        <v>0.38260198846067589</v>
      </c>
      <c r="I393">
        <v>60.900000000000006</v>
      </c>
      <c r="J393" s="3">
        <f t="shared" si="132"/>
        <v>0.18831168831168832</v>
      </c>
      <c r="K393">
        <v>0</v>
      </c>
      <c r="L393" s="3">
        <f t="shared" si="133"/>
        <v>0</v>
      </c>
      <c r="M393">
        <v>3652</v>
      </c>
      <c r="N393">
        <f t="shared" si="134"/>
        <v>1.6148339507837599E-2</v>
      </c>
      <c r="O393" s="15">
        <v>0.96362958300000001</v>
      </c>
      <c r="P393">
        <f t="shared" si="135"/>
        <v>0.98237648667083721</v>
      </c>
      <c r="Q393">
        <v>0.33339999999999997</v>
      </c>
      <c r="R393">
        <f t="shared" si="136"/>
        <v>0.73908224340500994</v>
      </c>
      <c r="S393">
        <f t="shared" si="143"/>
        <v>0.10942919107863305</v>
      </c>
      <c r="T393" s="14">
        <f t="shared" si="137"/>
        <v>0.1835832492768813</v>
      </c>
      <c r="U393" t="str">
        <f t="shared" si="144"/>
        <v>Low</v>
      </c>
      <c r="V393">
        <f t="shared" si="145"/>
        <v>9.3963532930967444E-2</v>
      </c>
      <c r="W393">
        <f t="shared" si="138"/>
        <v>0.12629161291974939</v>
      </c>
      <c r="X393" t="s">
        <v>1176</v>
      </c>
      <c r="Y393">
        <f t="shared" si="146"/>
        <v>0.12489484922629869</v>
      </c>
      <c r="Z393">
        <f t="shared" si="139"/>
        <v>0.25024475551811637</v>
      </c>
      <c r="AA393" t="str">
        <f t="shared" si="147"/>
        <v>Low</v>
      </c>
      <c r="AB393">
        <f t="shared" si="148"/>
        <v>7.1074250379178694E-2</v>
      </c>
      <c r="AC393">
        <f t="shared" si="140"/>
        <v>0.16686620473401301</v>
      </c>
      <c r="AD393" t="str">
        <f t="shared" si="149"/>
        <v>Low</v>
      </c>
      <c r="AE393">
        <f t="shared" si="150"/>
        <v>2.0530259584299673E-3</v>
      </c>
      <c r="AF393">
        <f t="shared" si="141"/>
        <v>1.1230954886619942E-2</v>
      </c>
      <c r="AG393" t="s">
        <v>1176</v>
      </c>
    </row>
    <row r="394" spans="1:33" x14ac:dyDescent="0.3">
      <c r="A394">
        <v>503813</v>
      </c>
      <c r="B394" t="s">
        <v>7</v>
      </c>
      <c r="C394" s="1" t="s">
        <v>936</v>
      </c>
      <c r="D394" t="s">
        <v>935</v>
      </c>
      <c r="E394" s="4">
        <v>4.9000000000000004</v>
      </c>
      <c r="F394" s="3">
        <f t="shared" si="151"/>
        <v>0.37777777777777782</v>
      </c>
      <c r="G394">
        <v>45.560519999999997</v>
      </c>
      <c r="H394">
        <f t="shared" si="142"/>
        <v>0.43003010553928328</v>
      </c>
      <c r="I394">
        <v>12.6</v>
      </c>
      <c r="J394" s="3">
        <f t="shared" si="132"/>
        <v>3.8961038961038953E-2</v>
      </c>
      <c r="K394">
        <v>0</v>
      </c>
      <c r="L394" s="3">
        <f t="shared" si="133"/>
        <v>0</v>
      </c>
      <c r="M394">
        <v>9388</v>
      </c>
      <c r="N394">
        <f t="shared" si="134"/>
        <v>4.328776975013366E-2</v>
      </c>
      <c r="O394" s="15">
        <v>0.88633129300000002</v>
      </c>
      <c r="P394">
        <f t="shared" si="135"/>
        <v>0.90357439933821593</v>
      </c>
      <c r="Q394">
        <v>0.36990000000000001</v>
      </c>
      <c r="R394">
        <f t="shared" si="136"/>
        <v>0.81999556639326088</v>
      </c>
      <c r="S394">
        <f t="shared" si="143"/>
        <v>5.8537649837966117E-2</v>
      </c>
      <c r="T394" s="14">
        <f t="shared" si="137"/>
        <v>9.8205349563115538E-2</v>
      </c>
      <c r="U394" t="str">
        <f t="shared" si="144"/>
        <v>No Impact</v>
      </c>
      <c r="V394">
        <f t="shared" si="145"/>
        <v>5.5699059845060739E-2</v>
      </c>
      <c r="W394">
        <f t="shared" si="138"/>
        <v>7.4862277806373043E-2</v>
      </c>
      <c r="X394" t="s">
        <v>1176</v>
      </c>
      <c r="Y394">
        <f t="shared" si="146"/>
        <v>6.1376239830871496E-2</v>
      </c>
      <c r="Z394">
        <f t="shared" si="139"/>
        <v>0.12297610530974244</v>
      </c>
      <c r="AA394" t="str">
        <f t="shared" si="147"/>
        <v>No Impact</v>
      </c>
      <c r="AB394">
        <f t="shared" si="148"/>
        <v>3.893667141943067E-2</v>
      </c>
      <c r="AC394">
        <f t="shared" si="140"/>
        <v>9.1414465155429614E-2</v>
      </c>
      <c r="AD394" t="str">
        <f t="shared" si="149"/>
        <v>No Impact</v>
      </c>
      <c r="AE394">
        <f t="shared" si="150"/>
        <v>2.9403672125656016E-3</v>
      </c>
      <c r="AF394">
        <f t="shared" si="141"/>
        <v>1.6085101787838493E-2</v>
      </c>
      <c r="AG394" t="s">
        <v>1176</v>
      </c>
    </row>
    <row r="395" spans="1:33" x14ac:dyDescent="0.3">
      <c r="A395">
        <v>503847</v>
      </c>
      <c r="B395" t="s">
        <v>227</v>
      </c>
      <c r="C395" s="1" t="s">
        <v>936</v>
      </c>
      <c r="D395" t="s">
        <v>937</v>
      </c>
      <c r="E395" s="4">
        <v>4.9000000000000004</v>
      </c>
      <c r="F395" s="3">
        <f t="shared" si="151"/>
        <v>0.37777777777777782</v>
      </c>
      <c r="G395">
        <v>47.892960000000002</v>
      </c>
      <c r="H395">
        <f t="shared" si="142"/>
        <v>0.45204520587975455</v>
      </c>
      <c r="I395">
        <v>11.3</v>
      </c>
      <c r="J395" s="3">
        <f t="shared" si="132"/>
        <v>3.4941249226963511E-2</v>
      </c>
      <c r="K395">
        <v>0</v>
      </c>
      <c r="L395" s="3">
        <f t="shared" si="133"/>
        <v>0</v>
      </c>
      <c r="M395">
        <v>39555</v>
      </c>
      <c r="N395">
        <f t="shared" si="134"/>
        <v>0.18602054382951744</v>
      </c>
      <c r="O395" s="15">
        <v>0.84150902999999999</v>
      </c>
      <c r="P395">
        <f t="shared" si="135"/>
        <v>0.85788014292747605</v>
      </c>
      <c r="Q395">
        <v>0.35249999999999998</v>
      </c>
      <c r="R395">
        <f t="shared" si="136"/>
        <v>0.78142318776324537</v>
      </c>
      <c r="S395">
        <f t="shared" si="143"/>
        <v>5.8153514224768457E-2</v>
      </c>
      <c r="T395" s="14">
        <f t="shared" si="137"/>
        <v>9.7560906674169029E-2</v>
      </c>
      <c r="U395" t="str">
        <f t="shared" si="144"/>
        <v>No Impact</v>
      </c>
      <c r="V395">
        <f t="shared" si="145"/>
        <v>5.5441239719810222E-2</v>
      </c>
      <c r="W395">
        <f t="shared" si="138"/>
        <v>7.451575486874594E-2</v>
      </c>
      <c r="X395" t="s">
        <v>1176</v>
      </c>
      <c r="Y395">
        <f t="shared" si="146"/>
        <v>6.0865788729726707E-2</v>
      </c>
      <c r="Z395">
        <f t="shared" si="139"/>
        <v>0.1219533432679029</v>
      </c>
      <c r="AA395" t="str">
        <f t="shared" si="147"/>
        <v>No Impact</v>
      </c>
      <c r="AB395">
        <f t="shared" si="148"/>
        <v>4.2283464398569538E-2</v>
      </c>
      <c r="AC395">
        <f t="shared" si="140"/>
        <v>9.9271975287157255E-2</v>
      </c>
      <c r="AD395" t="str">
        <f t="shared" si="149"/>
        <v>No Impact</v>
      </c>
      <c r="AE395">
        <f t="shared" si="150"/>
        <v>1.3197982507765592E-2</v>
      </c>
      <c r="AF395">
        <f t="shared" si="141"/>
        <v>7.2198768617844911E-2</v>
      </c>
      <c r="AG395" t="s">
        <v>1175</v>
      </c>
    </row>
    <row r="396" spans="1:33" x14ac:dyDescent="0.3">
      <c r="A396">
        <v>503858</v>
      </c>
      <c r="B396" t="s">
        <v>239</v>
      </c>
      <c r="C396" s="1" t="s">
        <v>936</v>
      </c>
      <c r="D396" t="s">
        <v>938</v>
      </c>
      <c r="E396" s="4">
        <v>4.8</v>
      </c>
      <c r="F396" s="3">
        <f t="shared" si="151"/>
        <v>0.35555555555555546</v>
      </c>
      <c r="G396">
        <v>46.844639999999998</v>
      </c>
      <c r="H396">
        <f t="shared" si="142"/>
        <v>0.44215047332975416</v>
      </c>
      <c r="I396">
        <v>17.599999999999998</v>
      </c>
      <c r="J396" s="3">
        <f t="shared" si="132"/>
        <v>5.4421768707482984E-2</v>
      </c>
      <c r="K396">
        <v>0</v>
      </c>
      <c r="L396" s="3">
        <f t="shared" si="133"/>
        <v>0</v>
      </c>
      <c r="M396">
        <v>15941</v>
      </c>
      <c r="N396">
        <f t="shared" si="134"/>
        <v>7.4292770862017576E-2</v>
      </c>
      <c r="O396" s="15">
        <v>0.83478990600000003</v>
      </c>
      <c r="P396">
        <f t="shared" si="135"/>
        <v>0.85103030192521445</v>
      </c>
      <c r="Q396">
        <v>0.37359999999999999</v>
      </c>
      <c r="R396">
        <f t="shared" si="136"/>
        <v>0.82819773886056303</v>
      </c>
      <c r="S396">
        <f t="shared" si="143"/>
        <v>5.6047271330375736E-2</v>
      </c>
      <c r="T396" s="14">
        <f t="shared" si="137"/>
        <v>9.4027380468706109E-2</v>
      </c>
      <c r="U396" t="str">
        <f t="shared" si="144"/>
        <v>No Impact</v>
      </c>
      <c r="V396">
        <f t="shared" si="145"/>
        <v>5.5285193264639286E-2</v>
      </c>
      <c r="W396">
        <f t="shared" si="138"/>
        <v>7.4306020752762617E-2</v>
      </c>
      <c r="X396" t="s">
        <v>1176</v>
      </c>
      <c r="Y396">
        <f t="shared" si="146"/>
        <v>5.680934939611218E-2</v>
      </c>
      <c r="Z396">
        <f t="shared" si="139"/>
        <v>0.1138256848768418</v>
      </c>
      <c r="AA396" t="str">
        <f t="shared" si="147"/>
        <v>No Impact</v>
      </c>
      <c r="AB396">
        <f t="shared" si="148"/>
        <v>3.8128381327840036E-2</v>
      </c>
      <c r="AC396">
        <f t="shared" si="140"/>
        <v>8.9516783517026452E-2</v>
      </c>
      <c r="AD396" t="str">
        <f t="shared" si="149"/>
        <v>No Impact</v>
      </c>
      <c r="AE396">
        <f t="shared" si="150"/>
        <v>4.9593110468075241E-3</v>
      </c>
      <c r="AF396">
        <f t="shared" si="141"/>
        <v>2.7129612466276657E-2</v>
      </c>
      <c r="AG396" t="s">
        <v>1176</v>
      </c>
    </row>
    <row r="397" spans="1:33" x14ac:dyDescent="0.3">
      <c r="A397">
        <v>503861</v>
      </c>
      <c r="B397" t="s">
        <v>274</v>
      </c>
      <c r="C397" s="1" t="s">
        <v>936</v>
      </c>
      <c r="D397" t="s">
        <v>939</v>
      </c>
      <c r="E397" s="4">
        <v>4.9000000000000004</v>
      </c>
      <c r="F397" s="3">
        <f t="shared" si="151"/>
        <v>0.37777777777777782</v>
      </c>
      <c r="G397">
        <v>46.844639999999998</v>
      </c>
      <c r="H397">
        <f t="shared" si="142"/>
        <v>0.44215047332975416</v>
      </c>
      <c r="I397">
        <v>15.8</v>
      </c>
      <c r="J397" s="3">
        <f t="shared" si="132"/>
        <v>4.885590599876314E-2</v>
      </c>
      <c r="K397">
        <v>0</v>
      </c>
      <c r="L397" s="3">
        <f t="shared" si="133"/>
        <v>0</v>
      </c>
      <c r="M397">
        <v>16611</v>
      </c>
      <c r="N397">
        <f t="shared" si="134"/>
        <v>7.746282286033318E-2</v>
      </c>
      <c r="O397" s="15">
        <v>0.98052543800000003</v>
      </c>
      <c r="P397">
        <f t="shared" si="135"/>
        <v>0.99960104159008978</v>
      </c>
      <c r="Q397">
        <v>0.35930000000000001</v>
      </c>
      <c r="R397">
        <f t="shared" si="136"/>
        <v>0.7964974506761251</v>
      </c>
      <c r="S397">
        <f t="shared" si="143"/>
        <v>6.3317127719613189E-2</v>
      </c>
      <c r="T397" s="14">
        <f t="shared" si="137"/>
        <v>0.10622361297812383</v>
      </c>
      <c r="U397" t="str">
        <f t="shared" si="144"/>
        <v>No Impact</v>
      </c>
      <c r="V397">
        <f t="shared" si="145"/>
        <v>5.6157199652424834E-2</v>
      </c>
      <c r="W397">
        <f t="shared" si="138"/>
        <v>7.5478040256016801E-2</v>
      </c>
      <c r="X397" t="s">
        <v>1176</v>
      </c>
      <c r="Y397">
        <f t="shared" si="146"/>
        <v>7.0477055786801551E-2</v>
      </c>
      <c r="Z397">
        <f t="shared" si="139"/>
        <v>0.14121089623999594</v>
      </c>
      <c r="AA397" t="str">
        <f t="shared" si="147"/>
        <v>No Impact</v>
      </c>
      <c r="AB397">
        <f t="shared" si="148"/>
        <v>4.2709672328483918E-2</v>
      </c>
      <c r="AC397">
        <f t="shared" si="140"/>
        <v>0.1002726147495917</v>
      </c>
      <c r="AD397" t="str">
        <f t="shared" si="149"/>
        <v>No Impact</v>
      </c>
      <c r="AE397">
        <f t="shared" si="150"/>
        <v>5.4615306116993475E-3</v>
      </c>
      <c r="AF397">
        <f t="shared" si="141"/>
        <v>2.9876974355841569E-2</v>
      </c>
      <c r="AG397" t="s">
        <v>1176</v>
      </c>
    </row>
    <row r="398" spans="1:33" x14ac:dyDescent="0.3">
      <c r="A398">
        <v>503874</v>
      </c>
      <c r="B398" t="s">
        <v>398</v>
      </c>
      <c r="C398" s="1" t="s">
        <v>936</v>
      </c>
      <c r="D398" t="s">
        <v>940</v>
      </c>
      <c r="E398" s="4">
        <v>4.9000000000000004</v>
      </c>
      <c r="F398" s="3">
        <f t="shared" si="151"/>
        <v>0.37777777777777782</v>
      </c>
      <c r="G398">
        <v>47.892960000000002</v>
      </c>
      <c r="H398">
        <f t="shared" si="142"/>
        <v>0.45204520587975455</v>
      </c>
      <c r="I398">
        <v>6.3</v>
      </c>
      <c r="J398" s="3">
        <f t="shared" si="132"/>
        <v>1.9480519480519477E-2</v>
      </c>
      <c r="K398">
        <v>0</v>
      </c>
      <c r="L398" s="3">
        <f t="shared" si="133"/>
        <v>0</v>
      </c>
      <c r="M398">
        <v>30322</v>
      </c>
      <c r="N398">
        <f t="shared" si="134"/>
        <v>0.14233533472437107</v>
      </c>
      <c r="O398" s="15">
        <v>0.97248174600000004</v>
      </c>
      <c r="P398">
        <f t="shared" si="135"/>
        <v>0.99140086381823078</v>
      </c>
      <c r="Q398">
        <v>0.37840000000000001</v>
      </c>
      <c r="R398">
        <f t="shared" si="136"/>
        <v>0.83883839503436053</v>
      </c>
      <c r="S398">
        <f t="shared" si="143"/>
        <v>6.3857884897198472E-2</v>
      </c>
      <c r="T398" s="14">
        <f t="shared" si="137"/>
        <v>0.10713081112838307</v>
      </c>
      <c r="U398" t="str">
        <f t="shared" si="144"/>
        <v>No Impact</v>
      </c>
      <c r="V398">
        <f t="shared" si="145"/>
        <v>5.8534910578889703E-2</v>
      </c>
      <c r="W398">
        <f t="shared" si="138"/>
        <v>7.8673800766434945E-2</v>
      </c>
      <c r="X398" t="s">
        <v>1176</v>
      </c>
      <c r="Y398">
        <f t="shared" si="146"/>
        <v>6.9180859215507248E-2</v>
      </c>
      <c r="Z398">
        <f t="shared" si="139"/>
        <v>0.13861378037736144</v>
      </c>
      <c r="AA398" t="str">
        <f t="shared" si="147"/>
        <v>No Impact</v>
      </c>
      <c r="AB398">
        <f t="shared" si="148"/>
        <v>4.4717777920403587E-2</v>
      </c>
      <c r="AC398">
        <f t="shared" si="140"/>
        <v>0.10498719080267868</v>
      </c>
      <c r="AD398" t="str">
        <f t="shared" si="149"/>
        <v>No Impact</v>
      </c>
      <c r="AE398">
        <f t="shared" si="150"/>
        <v>9.9322898661143386E-3</v>
      </c>
      <c r="AF398">
        <f t="shared" si="141"/>
        <v>5.4333993659032305E-2</v>
      </c>
      <c r="AG398" t="s">
        <v>1176</v>
      </c>
    </row>
    <row r="399" spans="1:33" x14ac:dyDescent="0.3">
      <c r="A399">
        <v>506403</v>
      </c>
      <c r="B399" t="s">
        <v>17</v>
      </c>
      <c r="C399" s="1" t="s">
        <v>942</v>
      </c>
      <c r="D399" t="s">
        <v>941</v>
      </c>
      <c r="E399" s="4">
        <v>6.3</v>
      </c>
      <c r="F399" s="3">
        <f t="shared" si="151"/>
        <v>0.68888888888888877</v>
      </c>
      <c r="G399">
        <v>45.312840000000001</v>
      </c>
      <c r="H399">
        <f t="shared" si="142"/>
        <v>0.42769233905768983</v>
      </c>
      <c r="I399">
        <v>26.700000000000003</v>
      </c>
      <c r="J399" s="3">
        <f t="shared" si="132"/>
        <v>8.2560296846011128E-2</v>
      </c>
      <c r="K399">
        <v>0</v>
      </c>
      <c r="L399" s="3">
        <f t="shared" si="133"/>
        <v>0</v>
      </c>
      <c r="M399">
        <v>16370</v>
      </c>
      <c r="N399">
        <f t="shared" si="134"/>
        <v>7.6322550425118166E-2</v>
      </c>
      <c r="O399" s="15">
        <v>0.84875984000000004</v>
      </c>
      <c r="P399">
        <f t="shared" si="135"/>
        <v>0.8652720135995472</v>
      </c>
      <c r="Q399">
        <v>0.27539999999999998</v>
      </c>
      <c r="R399">
        <f t="shared" si="136"/>
        <v>0.61050764797162482</v>
      </c>
      <c r="S399">
        <f t="shared" si="143"/>
        <v>9.535600810966216E-2</v>
      </c>
      <c r="T399" s="14">
        <f t="shared" si="137"/>
        <v>0.15997345529370879</v>
      </c>
      <c r="U399" t="str">
        <f t="shared" si="144"/>
        <v>Low</v>
      </c>
      <c r="V399">
        <f t="shared" si="145"/>
        <v>7.8894666659133236E-2</v>
      </c>
      <c r="W399">
        <f t="shared" si="138"/>
        <v>0.10603831499681911</v>
      </c>
      <c r="X399" t="s">
        <v>1176</v>
      </c>
      <c r="Y399">
        <f t="shared" si="146"/>
        <v>0.1118173495601911</v>
      </c>
      <c r="Z399">
        <f t="shared" si="139"/>
        <v>0.22404210803500263</v>
      </c>
      <c r="AA399" t="str">
        <f t="shared" si="147"/>
        <v>Low</v>
      </c>
      <c r="AB399">
        <f t="shared" si="148"/>
        <v>6.4610391204198966E-2</v>
      </c>
      <c r="AC399">
        <f t="shared" si="140"/>
        <v>0.15169053080555506</v>
      </c>
      <c r="AD399" t="str">
        <f t="shared" si="149"/>
        <v>Low</v>
      </c>
      <c r="AE399">
        <f t="shared" si="150"/>
        <v>9.8630085869857095E-3</v>
      </c>
      <c r="AF399">
        <f t="shared" si="141"/>
        <v>5.3954994593196824E-2</v>
      </c>
      <c r="AG399" t="s">
        <v>1176</v>
      </c>
    </row>
    <row r="400" spans="1:33" x14ac:dyDescent="0.3">
      <c r="A400">
        <v>506406</v>
      </c>
      <c r="B400" t="s">
        <v>21</v>
      </c>
      <c r="C400" s="1" t="s">
        <v>942</v>
      </c>
      <c r="D400" t="s">
        <v>943</v>
      </c>
      <c r="E400" s="4">
        <v>6.3</v>
      </c>
      <c r="F400" s="3">
        <f t="shared" si="151"/>
        <v>0.68888888888888877</v>
      </c>
      <c r="G400">
        <v>46.580400000000004</v>
      </c>
      <c r="H400">
        <f t="shared" si="142"/>
        <v>0.43965640269386813</v>
      </c>
      <c r="I400">
        <v>8.3000000000000007</v>
      </c>
      <c r="J400" s="3">
        <f t="shared" si="132"/>
        <v>2.5664811379097093E-2</v>
      </c>
      <c r="K400">
        <v>0</v>
      </c>
      <c r="L400" s="3">
        <f t="shared" si="133"/>
        <v>0</v>
      </c>
      <c r="M400">
        <v>16682</v>
      </c>
      <c r="N400">
        <f t="shared" si="134"/>
        <v>7.7798753743736779E-2</v>
      </c>
      <c r="O400" s="15">
        <v>0.81145989399999996</v>
      </c>
      <c r="P400">
        <f t="shared" si="135"/>
        <v>0.82724641688590617</v>
      </c>
      <c r="Q400">
        <v>0.36549999999999999</v>
      </c>
      <c r="R400">
        <f t="shared" si="136"/>
        <v>0.81024163156727991</v>
      </c>
      <c r="S400">
        <f t="shared" si="143"/>
        <v>0.10208575773060768</v>
      </c>
      <c r="T400" s="14">
        <f t="shared" si="137"/>
        <v>0.1712635808082551</v>
      </c>
      <c r="U400" t="str">
        <f t="shared" si="144"/>
        <v>Low</v>
      </c>
      <c r="V400">
        <f t="shared" si="145"/>
        <v>0.10102563005765269</v>
      </c>
      <c r="W400">
        <f t="shared" si="138"/>
        <v>0.13578341903755736</v>
      </c>
      <c r="X400" t="s">
        <v>1176</v>
      </c>
      <c r="Y400">
        <f t="shared" si="146"/>
        <v>0.10314588540356265</v>
      </c>
      <c r="Z400">
        <f t="shared" si="139"/>
        <v>0.20666758505585428</v>
      </c>
      <c r="AA400" t="str">
        <f t="shared" si="147"/>
        <v>Low</v>
      </c>
      <c r="AB400">
        <f t="shared" si="148"/>
        <v>6.9697876224101618E-2</v>
      </c>
      <c r="AC400">
        <f t="shared" si="140"/>
        <v>0.16363479068002845</v>
      </c>
      <c r="AD400" t="str">
        <f t="shared" si="149"/>
        <v>Low</v>
      </c>
      <c r="AE400">
        <f t="shared" si="150"/>
        <v>9.7004002367268288E-3</v>
      </c>
      <c r="AF400">
        <f t="shared" si="141"/>
        <v>5.3065455404251644E-2</v>
      </c>
      <c r="AG400" t="s">
        <v>1176</v>
      </c>
    </row>
    <row r="401" spans="1:33" x14ac:dyDescent="0.3">
      <c r="A401">
        <v>506428</v>
      </c>
      <c r="B401" t="s">
        <v>141</v>
      </c>
      <c r="C401" s="1" t="s">
        <v>942</v>
      </c>
      <c r="D401" t="s">
        <v>944</v>
      </c>
      <c r="E401" s="4">
        <v>6.3</v>
      </c>
      <c r="F401" s="3">
        <f t="shared" si="151"/>
        <v>0.68888888888888877</v>
      </c>
      <c r="G401">
        <v>47.892960000000002</v>
      </c>
      <c r="H401">
        <f t="shared" si="142"/>
        <v>0.45204520587975455</v>
      </c>
      <c r="I401">
        <v>3</v>
      </c>
      <c r="J401" s="3">
        <f t="shared" si="132"/>
        <v>9.2764378478664179E-3</v>
      </c>
      <c r="K401">
        <v>0</v>
      </c>
      <c r="L401" s="3">
        <f t="shared" si="133"/>
        <v>0</v>
      </c>
      <c r="M401">
        <v>18479</v>
      </c>
      <c r="N401">
        <f t="shared" si="134"/>
        <v>8.6301117088472837E-2</v>
      </c>
      <c r="O401" s="15">
        <v>0.757410468</v>
      </c>
      <c r="P401">
        <f t="shared" si="135"/>
        <v>0.77214548790118931</v>
      </c>
      <c r="Q401">
        <v>0.3911</v>
      </c>
      <c r="R401">
        <f t="shared" si="136"/>
        <v>0.86699179782753266</v>
      </c>
      <c r="S401">
        <f t="shared" si="143"/>
        <v>0.10313587426875742</v>
      </c>
      <c r="T401" s="14">
        <f t="shared" si="137"/>
        <v>0.17302530274271033</v>
      </c>
      <c r="U401" t="str">
        <f t="shared" si="144"/>
        <v>Low</v>
      </c>
      <c r="V401">
        <f t="shared" si="145"/>
        <v>0.10910368256680983</v>
      </c>
      <c r="W401">
        <f t="shared" si="138"/>
        <v>0.14664071919230345</v>
      </c>
      <c r="X401" t="s">
        <v>1176</v>
      </c>
      <c r="Y401">
        <f t="shared" si="146"/>
        <v>9.7168065970705028E-2</v>
      </c>
      <c r="Z401">
        <f t="shared" si="139"/>
        <v>0.19469016587664997</v>
      </c>
      <c r="AA401" t="str">
        <f t="shared" si="147"/>
        <v>Low</v>
      </c>
      <c r="AB401">
        <f t="shared" si="148"/>
        <v>7.1137805075571617E-2</v>
      </c>
      <c r="AC401">
        <f t="shared" si="140"/>
        <v>0.16701541673306375</v>
      </c>
      <c r="AD401" t="str">
        <f t="shared" si="149"/>
        <v>Low</v>
      </c>
      <c r="AE401">
        <f t="shared" si="150"/>
        <v>1.0860275388504736E-2</v>
      </c>
      <c r="AF401">
        <f t="shared" si="141"/>
        <v>5.9410482582422854E-2</v>
      </c>
      <c r="AG401" t="s">
        <v>1175</v>
      </c>
    </row>
    <row r="402" spans="1:33" x14ac:dyDescent="0.3">
      <c r="A402">
        <v>506447</v>
      </c>
      <c r="B402" t="s">
        <v>317</v>
      </c>
      <c r="C402" s="1" t="s">
        <v>942</v>
      </c>
      <c r="D402" t="s">
        <v>945</v>
      </c>
      <c r="E402" s="4">
        <v>6.3</v>
      </c>
      <c r="F402" s="3">
        <f t="shared" si="151"/>
        <v>0.68888888888888877</v>
      </c>
      <c r="G402">
        <v>48.26088</v>
      </c>
      <c r="H402">
        <f t="shared" si="142"/>
        <v>0.4555178764381681</v>
      </c>
      <c r="I402">
        <v>9</v>
      </c>
      <c r="J402" s="3">
        <f t="shared" si="132"/>
        <v>2.7829313543599254E-2</v>
      </c>
      <c r="K402">
        <v>0</v>
      </c>
      <c r="L402" s="3">
        <f t="shared" si="133"/>
        <v>0</v>
      </c>
      <c r="M402">
        <v>23845</v>
      </c>
      <c r="N402">
        <f t="shared" si="134"/>
        <v>0.1116899216003558</v>
      </c>
      <c r="O402" s="15">
        <v>0.72773333399999995</v>
      </c>
      <c r="P402">
        <f t="shared" si="135"/>
        <v>0.74189100096169935</v>
      </c>
      <c r="Q402">
        <v>0.31040000000000001</v>
      </c>
      <c r="R402">
        <f t="shared" si="136"/>
        <v>0.68809576590556421</v>
      </c>
      <c r="S402">
        <f t="shared" si="143"/>
        <v>9.2487784992196259E-2</v>
      </c>
      <c r="T402" s="14">
        <f t="shared" si="137"/>
        <v>0.15516159737567772</v>
      </c>
      <c r="U402" t="str">
        <f t="shared" si="144"/>
        <v>Low</v>
      </c>
      <c r="V402">
        <f t="shared" si="145"/>
        <v>8.9008450603405856E-2</v>
      </c>
      <c r="W402">
        <f t="shared" si="138"/>
        <v>0.11963173839419651</v>
      </c>
      <c r="X402" t="s">
        <v>1176</v>
      </c>
      <c r="Y402">
        <f t="shared" si="146"/>
        <v>9.5967119380986676E-2</v>
      </c>
      <c r="Z402">
        <f t="shared" si="139"/>
        <v>0.19228389702252094</v>
      </c>
      <c r="AA402" t="str">
        <f t="shared" si="147"/>
        <v>Low</v>
      </c>
      <c r="AB402">
        <f t="shared" si="148"/>
        <v>6.4999760891843811E-2</v>
      </c>
      <c r="AC402">
        <f t="shared" si="140"/>
        <v>0.15260468243809616</v>
      </c>
      <c r="AD402" t="str">
        <f t="shared" si="149"/>
        <v>Low</v>
      </c>
      <c r="AE402">
        <f t="shared" si="150"/>
        <v>1.4447621046730747E-2</v>
      </c>
      <c r="AF402">
        <f t="shared" si="141"/>
        <v>7.903484100069591E-2</v>
      </c>
      <c r="AG402" t="s">
        <v>1175</v>
      </c>
    </row>
    <row r="403" spans="1:33" x14ac:dyDescent="0.3">
      <c r="A403">
        <v>506450</v>
      </c>
      <c r="B403" t="s">
        <v>313</v>
      </c>
      <c r="C403" s="1" t="s">
        <v>942</v>
      </c>
      <c r="D403" t="s">
        <v>946</v>
      </c>
      <c r="E403" s="4">
        <v>6.3</v>
      </c>
      <c r="F403" s="3">
        <f t="shared" si="151"/>
        <v>0.68888888888888877</v>
      </c>
      <c r="G403">
        <v>48.26088</v>
      </c>
      <c r="H403">
        <f t="shared" si="142"/>
        <v>0.4555178764381681</v>
      </c>
      <c r="I403">
        <v>3.8000000000000003</v>
      </c>
      <c r="J403" s="3">
        <f t="shared" si="132"/>
        <v>1.1750154607297465E-2</v>
      </c>
      <c r="K403">
        <v>0</v>
      </c>
      <c r="L403" s="3">
        <f t="shared" si="133"/>
        <v>0</v>
      </c>
      <c r="M403">
        <v>24941</v>
      </c>
      <c r="N403">
        <f t="shared" si="134"/>
        <v>0.11687555889909299</v>
      </c>
      <c r="O403" s="15">
        <v>0.82378695700000004</v>
      </c>
      <c r="P403">
        <f t="shared" si="135"/>
        <v>0.83981329637419411</v>
      </c>
      <c r="Q403">
        <v>0.38800000000000001</v>
      </c>
      <c r="R403">
        <f t="shared" si="136"/>
        <v>0.8601197073819552</v>
      </c>
      <c r="S403">
        <f t="shared" si="143"/>
        <v>0.10806422401223871</v>
      </c>
      <c r="T403" s="14">
        <f t="shared" si="137"/>
        <v>0.18129332017538091</v>
      </c>
      <c r="U403" t="str">
        <f t="shared" si="144"/>
        <v>Low</v>
      </c>
      <c r="V403">
        <f t="shared" si="145"/>
        <v>0.10935509638378428</v>
      </c>
      <c r="W403">
        <f t="shared" si="138"/>
        <v>0.14697863173630435</v>
      </c>
      <c r="X403" t="s">
        <v>1176</v>
      </c>
      <c r="Y403">
        <f t="shared" si="146"/>
        <v>0.10677335164069314</v>
      </c>
      <c r="Z403">
        <f t="shared" si="139"/>
        <v>0.21393573428125723</v>
      </c>
      <c r="AA403" t="str">
        <f t="shared" si="147"/>
        <v>Low</v>
      </c>
      <c r="AB403">
        <f t="shared" si="148"/>
        <v>7.5507109838500078E-2</v>
      </c>
      <c r="AC403">
        <f t="shared" si="140"/>
        <v>0.1772735524042309</v>
      </c>
      <c r="AD403" t="str">
        <f t="shared" si="149"/>
        <v>Low</v>
      </c>
      <c r="AE403">
        <f t="shared" si="150"/>
        <v>1.4859487462764659E-2</v>
      </c>
      <c r="AF403">
        <f t="shared" si="141"/>
        <v>8.128793142987302E-2</v>
      </c>
      <c r="AG403" t="s">
        <v>1175</v>
      </c>
    </row>
    <row r="404" spans="1:33" x14ac:dyDescent="0.3">
      <c r="A404">
        <v>506460</v>
      </c>
      <c r="B404" t="s">
        <v>370</v>
      </c>
      <c r="C404" s="1" t="s">
        <v>942</v>
      </c>
      <c r="D404" t="s">
        <v>947</v>
      </c>
      <c r="E404" s="4">
        <v>6.3</v>
      </c>
      <c r="F404" s="3">
        <f t="shared" si="151"/>
        <v>0.68888888888888877</v>
      </c>
      <c r="G404">
        <v>46.978200000000001</v>
      </c>
      <c r="H404">
        <f t="shared" si="142"/>
        <v>0.4434111003132879</v>
      </c>
      <c r="I404">
        <v>7</v>
      </c>
      <c r="J404" s="3">
        <f t="shared" si="132"/>
        <v>2.1645021645021644E-2</v>
      </c>
      <c r="K404">
        <v>0</v>
      </c>
      <c r="L404" s="3">
        <f t="shared" si="133"/>
        <v>0</v>
      </c>
      <c r="M404">
        <v>27111</v>
      </c>
      <c r="N404">
        <f t="shared" si="134"/>
        <v>0.12714274223692118</v>
      </c>
      <c r="O404" s="15">
        <v>0.87503571199999997</v>
      </c>
      <c r="P404">
        <f t="shared" si="135"/>
        <v>0.89205906878647012</v>
      </c>
      <c r="Q404">
        <v>0.309</v>
      </c>
      <c r="R404">
        <f t="shared" si="136"/>
        <v>0.68499224118820656</v>
      </c>
      <c r="S404">
        <f t="shared" si="143"/>
        <v>9.8697071358948493E-2</v>
      </c>
      <c r="T404" s="14">
        <f t="shared" si="137"/>
        <v>0.16557857072312665</v>
      </c>
      <c r="U404" t="str">
        <f t="shared" si="144"/>
        <v>Low</v>
      </c>
      <c r="V404">
        <f t="shared" si="145"/>
        <v>8.5738146477889896E-2</v>
      </c>
      <c r="W404">
        <f t="shared" si="138"/>
        <v>0.11523628869294963</v>
      </c>
      <c r="X404" t="s">
        <v>1176</v>
      </c>
      <c r="Y404">
        <f t="shared" si="146"/>
        <v>0.1116559962400071</v>
      </c>
      <c r="Z404">
        <f t="shared" si="139"/>
        <v>0.22371881350034717</v>
      </c>
      <c r="AA404" t="str">
        <f t="shared" si="147"/>
        <v>Low</v>
      </c>
      <c r="AB404">
        <f t="shared" si="148"/>
        <v>6.9075058585978566E-2</v>
      </c>
      <c r="AC404">
        <f t="shared" si="140"/>
        <v>0.16217255625672397</v>
      </c>
      <c r="AD404" t="str">
        <f t="shared" si="149"/>
        <v>Low</v>
      </c>
      <c r="AE404">
        <f t="shared" si="150"/>
        <v>1.5914024133471347E-2</v>
      </c>
      <c r="AF404">
        <f t="shared" si="141"/>
        <v>8.7056710790096192E-2</v>
      </c>
      <c r="AG404" t="s">
        <v>1175</v>
      </c>
    </row>
    <row r="405" spans="1:33" x14ac:dyDescent="0.3">
      <c r="A405">
        <v>506469</v>
      </c>
      <c r="B405" t="s">
        <v>384</v>
      </c>
      <c r="C405" s="1" t="s">
        <v>942</v>
      </c>
      <c r="D405" t="s">
        <v>948</v>
      </c>
      <c r="E405" s="4">
        <v>6.3</v>
      </c>
      <c r="F405" s="3">
        <f t="shared" si="151"/>
        <v>0.68888888888888877</v>
      </c>
      <c r="G405">
        <v>50.061600000000006</v>
      </c>
      <c r="H405">
        <f t="shared" si="142"/>
        <v>0.47251425425928822</v>
      </c>
      <c r="I405">
        <v>1.7999999999999996</v>
      </c>
      <c r="J405" s="3">
        <f t="shared" si="132"/>
        <v>5.5658627087198497E-3</v>
      </c>
      <c r="K405">
        <v>0</v>
      </c>
      <c r="L405" s="3">
        <f t="shared" si="133"/>
        <v>0</v>
      </c>
      <c r="M405">
        <v>14414</v>
      </c>
      <c r="N405">
        <f t="shared" si="134"/>
        <v>6.7067891158393775E-2</v>
      </c>
      <c r="O405" s="15">
        <v>0.64852671399999995</v>
      </c>
      <c r="P405">
        <f t="shared" si="135"/>
        <v>0.66114345807864516</v>
      </c>
      <c r="Q405">
        <v>0.3846</v>
      </c>
      <c r="R405">
        <f t="shared" si="136"/>
        <v>0.85258257592551545</v>
      </c>
      <c r="S405">
        <f t="shared" si="143"/>
        <v>9.9126939716981749E-2</v>
      </c>
      <c r="T405" s="14">
        <f t="shared" si="137"/>
        <v>0.16629973688684574</v>
      </c>
      <c r="U405" t="str">
        <f t="shared" si="144"/>
        <v>Low</v>
      </c>
      <c r="V405">
        <f t="shared" si="145"/>
        <v>0.11166340501386303</v>
      </c>
      <c r="W405">
        <f t="shared" si="138"/>
        <v>0.15008111214456438</v>
      </c>
      <c r="X405" t="s">
        <v>1176</v>
      </c>
      <c r="Y405">
        <f t="shared" si="146"/>
        <v>8.6590474420100497E-2</v>
      </c>
      <c r="Z405">
        <f t="shared" si="139"/>
        <v>0.17349644309345166</v>
      </c>
      <c r="AA405" t="str">
        <f t="shared" si="147"/>
        <v>Low</v>
      </c>
      <c r="AB405">
        <f t="shared" si="148"/>
        <v>6.8133710988011131E-2</v>
      </c>
      <c r="AC405">
        <f t="shared" si="140"/>
        <v>0.15996248579983849</v>
      </c>
      <c r="AD405" t="str">
        <f t="shared" si="149"/>
        <v>Low</v>
      </c>
      <c r="AE405">
        <f t="shared" si="150"/>
        <v>8.7839340203683391E-3</v>
      </c>
      <c r="AF405">
        <f t="shared" si="141"/>
        <v>4.8051982150896004E-2</v>
      </c>
      <c r="AG405" t="s">
        <v>1176</v>
      </c>
    </row>
    <row r="406" spans="1:33" x14ac:dyDescent="0.3">
      <c r="A406">
        <v>506475</v>
      </c>
      <c r="B406" t="s">
        <v>408</v>
      </c>
      <c r="C406" s="1" t="s">
        <v>942</v>
      </c>
      <c r="D406" t="s">
        <v>949</v>
      </c>
      <c r="E406" s="4">
        <v>6.3</v>
      </c>
      <c r="F406" s="3">
        <f t="shared" si="151"/>
        <v>0.68888888888888877</v>
      </c>
      <c r="G406">
        <v>48.26088</v>
      </c>
      <c r="H406">
        <f t="shared" si="142"/>
        <v>0.4555178764381681</v>
      </c>
      <c r="I406">
        <v>3</v>
      </c>
      <c r="J406" s="3">
        <f t="shared" si="132"/>
        <v>9.2764378478664179E-3</v>
      </c>
      <c r="K406">
        <v>0</v>
      </c>
      <c r="L406" s="3">
        <f t="shared" si="133"/>
        <v>0</v>
      </c>
      <c r="M406">
        <v>24149</v>
      </c>
      <c r="N406">
        <f t="shared" si="134"/>
        <v>0.11312827355183035</v>
      </c>
      <c r="O406" s="15">
        <v>0.92669031000000002</v>
      </c>
      <c r="P406">
        <f t="shared" si="135"/>
        <v>0.94471857965957551</v>
      </c>
      <c r="Q406">
        <v>0.3866</v>
      </c>
      <c r="R406">
        <f t="shared" si="136"/>
        <v>0.85701618266459767</v>
      </c>
      <c r="S406">
        <f t="shared" si="143"/>
        <v>0.11422869433949738</v>
      </c>
      <c r="T406" s="14">
        <f t="shared" si="137"/>
        <v>0.19163510815347043</v>
      </c>
      <c r="U406" t="str">
        <f t="shared" si="144"/>
        <v>Low</v>
      </c>
      <c r="V406">
        <f t="shared" si="145"/>
        <v>0.10866842514301613</v>
      </c>
      <c r="W406">
        <f t="shared" si="138"/>
        <v>0.14605571179239454</v>
      </c>
      <c r="X406" t="s">
        <v>1176</v>
      </c>
      <c r="Y406">
        <f t="shared" si="146"/>
        <v>0.11978896353597863</v>
      </c>
      <c r="Z406">
        <f t="shared" si="139"/>
        <v>0.24001438073330461</v>
      </c>
      <c r="AA406" t="str">
        <f t="shared" si="147"/>
        <v>Low</v>
      </c>
      <c r="AB406">
        <f t="shared" si="148"/>
        <v>7.8991213960977455E-2</v>
      </c>
      <c r="AC406">
        <f t="shared" si="140"/>
        <v>0.18545343792837346</v>
      </c>
      <c r="AD406" t="str">
        <f t="shared" si="149"/>
        <v>Low</v>
      </c>
      <c r="AE406">
        <f t="shared" si="150"/>
        <v>1.4344503143223501E-2</v>
      </c>
      <c r="AF406">
        <f t="shared" si="141"/>
        <v>7.8470740718603826E-2</v>
      </c>
      <c r="AG406" t="s">
        <v>1175</v>
      </c>
    </row>
    <row r="407" spans="1:33" x14ac:dyDescent="0.3">
      <c r="A407">
        <v>506479</v>
      </c>
      <c r="B407" t="s">
        <v>418</v>
      </c>
      <c r="C407" s="1" t="s">
        <v>942</v>
      </c>
      <c r="D407" t="s">
        <v>950</v>
      </c>
      <c r="E407" s="4">
        <v>6.3</v>
      </c>
      <c r="F407" s="3">
        <f t="shared" si="151"/>
        <v>0.68888888888888877</v>
      </c>
      <c r="G407">
        <v>50.061600000000006</v>
      </c>
      <c r="H407">
        <f t="shared" si="142"/>
        <v>0.47251425425928822</v>
      </c>
      <c r="I407">
        <v>0.29999999999999993</v>
      </c>
      <c r="J407" s="3">
        <f t="shared" si="132"/>
        <v>9.2764378478664162E-4</v>
      </c>
      <c r="K407">
        <v>0</v>
      </c>
      <c r="L407" s="3">
        <f t="shared" si="133"/>
        <v>0</v>
      </c>
      <c r="M407">
        <v>11888</v>
      </c>
      <c r="N407">
        <f t="shared" si="134"/>
        <v>5.5116321982654613E-2</v>
      </c>
      <c r="O407" s="15">
        <v>0.65545488799999996</v>
      </c>
      <c r="P407">
        <f t="shared" si="135"/>
        <v>0.66820641603804631</v>
      </c>
      <c r="Q407">
        <v>0.3422</v>
      </c>
      <c r="R407">
        <f t="shared" si="136"/>
        <v>0.75859011305697188</v>
      </c>
      <c r="S407">
        <f t="shared" si="143"/>
        <v>9.2978434662795595E-2</v>
      </c>
      <c r="T407" s="14">
        <f t="shared" si="137"/>
        <v>0.15598473295675436</v>
      </c>
      <c r="U407" t="str">
        <f t="shared" si="144"/>
        <v>Low</v>
      </c>
      <c r="V407">
        <f t="shared" si="145"/>
        <v>9.8868366756467249E-2</v>
      </c>
      <c r="W407">
        <f t="shared" si="138"/>
        <v>0.13288395098542005</v>
      </c>
      <c r="X407" t="s">
        <v>1176</v>
      </c>
      <c r="Y407">
        <f t="shared" si="146"/>
        <v>8.7088502569123927E-2</v>
      </c>
      <c r="Z407">
        <f t="shared" si="139"/>
        <v>0.17449431396775564</v>
      </c>
      <c r="AA407" t="str">
        <f t="shared" si="147"/>
        <v>Low</v>
      </c>
      <c r="AB407">
        <f t="shared" si="148"/>
        <v>6.3244671219986517E-2</v>
      </c>
      <c r="AC407">
        <f t="shared" si="140"/>
        <v>0.14848413032606875</v>
      </c>
      <c r="AD407" t="str">
        <f t="shared" si="149"/>
        <v>No Impact</v>
      </c>
      <c r="AE407">
        <f t="shared" si="150"/>
        <v>7.1834059556736976E-3</v>
      </c>
      <c r="AF407">
        <f t="shared" si="141"/>
        <v>3.9296389745673226E-2</v>
      </c>
      <c r="AG407" t="s">
        <v>1176</v>
      </c>
    </row>
    <row r="408" spans="1:33" x14ac:dyDescent="0.3">
      <c r="A408">
        <v>506485</v>
      </c>
      <c r="B408" t="s">
        <v>438</v>
      </c>
      <c r="C408" s="1" t="s">
        <v>942</v>
      </c>
      <c r="D408" t="s">
        <v>951</v>
      </c>
      <c r="E408" s="4">
        <v>6.3</v>
      </c>
      <c r="F408" s="3">
        <f t="shared" si="151"/>
        <v>0.68888888888888877</v>
      </c>
      <c r="G408">
        <v>45.560519999999997</v>
      </c>
      <c r="H408">
        <f t="shared" si="142"/>
        <v>0.43003010553928328</v>
      </c>
      <c r="I408">
        <v>26.3</v>
      </c>
      <c r="J408" s="3">
        <f t="shared" si="132"/>
        <v>8.1323438466295597E-2</v>
      </c>
      <c r="K408">
        <v>0</v>
      </c>
      <c r="L408" s="3">
        <f t="shared" si="133"/>
        <v>0</v>
      </c>
      <c r="M408">
        <v>16424</v>
      </c>
      <c r="N408">
        <f t="shared" si="134"/>
        <v>7.6578047153340614E-2</v>
      </c>
      <c r="O408" s="15">
        <v>0.75797883899999996</v>
      </c>
      <c r="P408">
        <f t="shared" si="135"/>
        <v>0.77272491625826323</v>
      </c>
      <c r="Q408">
        <v>0.36969999999999997</v>
      </c>
      <c r="R408">
        <f t="shared" si="136"/>
        <v>0.81955220571935261</v>
      </c>
      <c r="S408">
        <f t="shared" si="143"/>
        <v>0.10326056242976978</v>
      </c>
      <c r="T408" s="14">
        <f t="shared" si="137"/>
        <v>0.17323448511461106</v>
      </c>
      <c r="U408" t="str">
        <f t="shared" si="144"/>
        <v>Low</v>
      </c>
      <c r="V408">
        <f t="shared" si="145"/>
        <v>0.10629735306129509</v>
      </c>
      <c r="W408">
        <f t="shared" si="138"/>
        <v>0.14286887421606018</v>
      </c>
      <c r="X408" t="s">
        <v>1176</v>
      </c>
      <c r="Y408">
        <f t="shared" si="146"/>
        <v>0.10022377179824446</v>
      </c>
      <c r="Z408">
        <f t="shared" si="139"/>
        <v>0.20081271106153878</v>
      </c>
      <c r="AA408" t="str">
        <f t="shared" si="147"/>
        <v>Low</v>
      </c>
      <c r="AB408">
        <f t="shared" si="148"/>
        <v>7.0747512392352843E-2</v>
      </c>
      <c r="AC408">
        <f t="shared" si="140"/>
        <v>0.16609909811645193</v>
      </c>
      <c r="AD408" t="str">
        <f t="shared" si="149"/>
        <v>Low</v>
      </c>
      <c r="AE408">
        <f t="shared" si="150"/>
        <v>9.9323065183606219E-3</v>
      </c>
      <c r="AF408">
        <f t="shared" si="141"/>
        <v>5.4334084754142913E-2</v>
      </c>
      <c r="AG408" t="s">
        <v>1176</v>
      </c>
    </row>
    <row r="409" spans="1:33" x14ac:dyDescent="0.3">
      <c r="A409">
        <v>506486</v>
      </c>
      <c r="B409" t="s">
        <v>458</v>
      </c>
      <c r="C409" s="1" t="s">
        <v>942</v>
      </c>
      <c r="D409" t="s">
        <v>952</v>
      </c>
      <c r="E409" s="4">
        <v>6.2</v>
      </c>
      <c r="F409" s="3">
        <f t="shared" si="151"/>
        <v>0.66666666666666663</v>
      </c>
      <c r="G409">
        <v>48.207239999999999</v>
      </c>
      <c r="H409">
        <f t="shared" si="142"/>
        <v>0.455011586894916</v>
      </c>
      <c r="I409">
        <v>1.3000000000000003</v>
      </c>
      <c r="J409" s="3">
        <f t="shared" si="132"/>
        <v>4.019789734075449E-3</v>
      </c>
      <c r="K409">
        <v>0</v>
      </c>
      <c r="L409" s="3">
        <f t="shared" si="133"/>
        <v>0</v>
      </c>
      <c r="M409">
        <v>21186</v>
      </c>
      <c r="N409">
        <f t="shared" si="134"/>
        <v>9.9109073445846518E-2</v>
      </c>
      <c r="O409" s="15">
        <v>0.877067288</v>
      </c>
      <c r="P409">
        <f t="shared" si="135"/>
        <v>0.89413016802262224</v>
      </c>
      <c r="Q409">
        <v>0.35370000000000001</v>
      </c>
      <c r="R409">
        <f t="shared" si="136"/>
        <v>0.78408335180669475</v>
      </c>
      <c r="S409">
        <f t="shared" si="143"/>
        <v>0.10226395060604511</v>
      </c>
      <c r="T409" s="14">
        <f t="shared" si="137"/>
        <v>0.17156252505474312</v>
      </c>
      <c r="U409" t="str">
        <f t="shared" si="144"/>
        <v>Low</v>
      </c>
      <c r="V409">
        <f t="shared" si="145"/>
        <v>9.5558116071353297E-2</v>
      </c>
      <c r="W409">
        <f t="shared" si="138"/>
        <v>0.12843481114199928</v>
      </c>
      <c r="X409" t="s">
        <v>1176</v>
      </c>
      <c r="Y409">
        <f t="shared" si="146"/>
        <v>0.10896978514073692</v>
      </c>
      <c r="Z409">
        <f t="shared" si="139"/>
        <v>0.21833660403397495</v>
      </c>
      <c r="AA409" t="str">
        <f t="shared" si="147"/>
        <v>Low</v>
      </c>
      <c r="AB409">
        <f t="shared" si="148"/>
        <v>7.0363807223407085E-2</v>
      </c>
      <c r="AC409">
        <f t="shared" si="140"/>
        <v>0.16519824548786677</v>
      </c>
      <c r="AD409" t="str">
        <f t="shared" si="149"/>
        <v>Low</v>
      </c>
      <c r="AE409">
        <f t="shared" si="150"/>
        <v>1.2078660160606687E-2</v>
      </c>
      <c r="AF409">
        <f t="shared" si="141"/>
        <v>6.6075583115533576E-2</v>
      </c>
      <c r="AG409" t="s">
        <v>1175</v>
      </c>
    </row>
    <row r="410" spans="1:33" x14ac:dyDescent="0.3">
      <c r="A410">
        <v>506909</v>
      </c>
      <c r="B410" t="s">
        <v>24</v>
      </c>
      <c r="C410" s="1" t="s">
        <v>954</v>
      </c>
      <c r="D410" t="s">
        <v>953</v>
      </c>
      <c r="E410" s="4">
        <v>5.8</v>
      </c>
      <c r="F410" s="3">
        <f t="shared" si="151"/>
        <v>0.57777777777777772</v>
      </c>
      <c r="G410">
        <v>40.845240000000004</v>
      </c>
      <c r="H410">
        <f t="shared" si="142"/>
        <v>0.38552419656266779</v>
      </c>
      <c r="I410">
        <v>46.4</v>
      </c>
      <c r="J410" s="3">
        <f t="shared" si="132"/>
        <v>0.14347557204700059</v>
      </c>
      <c r="K410">
        <v>0</v>
      </c>
      <c r="L410" s="3">
        <f t="shared" si="133"/>
        <v>0</v>
      </c>
      <c r="M410">
        <v>16182</v>
      </c>
      <c r="N410">
        <f t="shared" si="134"/>
        <v>7.5433043297232591E-2</v>
      </c>
      <c r="O410" s="15">
        <v>0.55527649300000004</v>
      </c>
      <c r="P410">
        <f t="shared" si="135"/>
        <v>0.56607910336875134</v>
      </c>
      <c r="Q410">
        <v>0.3629</v>
      </c>
      <c r="R410">
        <f t="shared" si="136"/>
        <v>0.80447794280647311</v>
      </c>
      <c r="S410">
        <f t="shared" si="143"/>
        <v>7.2419086385420717E-2</v>
      </c>
      <c r="T410" s="14">
        <f t="shared" si="137"/>
        <v>0.12149346127163903</v>
      </c>
      <c r="U410" t="str">
        <f t="shared" si="144"/>
        <v>No Impact</v>
      </c>
      <c r="V410">
        <f t="shared" si="145"/>
        <v>8.5015881386113559E-2</v>
      </c>
      <c r="W410">
        <f t="shared" si="138"/>
        <v>0.11426552886144055</v>
      </c>
      <c r="X410" t="s">
        <v>1176</v>
      </c>
      <c r="Y410">
        <f t="shared" si="146"/>
        <v>5.9822291384727874E-2</v>
      </c>
      <c r="Z410">
        <f t="shared" si="139"/>
        <v>0.11986254657291757</v>
      </c>
      <c r="AA410" t="str">
        <f t="shared" si="147"/>
        <v>No Impact</v>
      </c>
      <c r="AB410">
        <f t="shared" si="148"/>
        <v>5.049231907983337E-2</v>
      </c>
      <c r="AC410">
        <f t="shared" si="140"/>
        <v>0.11854450251843722</v>
      </c>
      <c r="AD410" t="str">
        <f t="shared" si="149"/>
        <v>No Impact</v>
      </c>
      <c r="AE410">
        <f t="shared" si="150"/>
        <v>7.9716376550721911E-3</v>
      </c>
      <c r="AF410">
        <f t="shared" si="141"/>
        <v>4.3608363795391618E-2</v>
      </c>
      <c r="AG410" t="s">
        <v>1176</v>
      </c>
    </row>
    <row r="411" spans="1:33" x14ac:dyDescent="0.3">
      <c r="A411">
        <v>506915</v>
      </c>
      <c r="B411" t="s">
        <v>46</v>
      </c>
      <c r="C411" s="1" t="s">
        <v>954</v>
      </c>
      <c r="D411" t="s">
        <v>955</v>
      </c>
      <c r="E411" s="4">
        <v>6.5</v>
      </c>
      <c r="F411" s="3">
        <f t="shared" si="151"/>
        <v>0.73333333333333328</v>
      </c>
      <c r="G411">
        <v>42.070679999999996</v>
      </c>
      <c r="H411">
        <f t="shared" si="142"/>
        <v>0.3970907039803192</v>
      </c>
      <c r="I411">
        <v>49.9</v>
      </c>
      <c r="J411" s="3">
        <f t="shared" si="132"/>
        <v>0.15429808286951141</v>
      </c>
      <c r="K411">
        <v>0</v>
      </c>
      <c r="L411" s="3">
        <f t="shared" si="133"/>
        <v>0</v>
      </c>
      <c r="M411">
        <v>28067</v>
      </c>
      <c r="N411">
        <f t="shared" si="134"/>
        <v>0.13166598061063717</v>
      </c>
      <c r="O411" s="15">
        <v>0.26904695499999998</v>
      </c>
      <c r="P411">
        <f t="shared" si="135"/>
        <v>0.27428112115398479</v>
      </c>
      <c r="Q411">
        <v>0.36349999999999999</v>
      </c>
      <c r="R411">
        <f t="shared" si="136"/>
        <v>0.80580802482819769</v>
      </c>
      <c r="S411">
        <f t="shared" si="143"/>
        <v>7.5125776237039144E-2</v>
      </c>
      <c r="T411" s="14">
        <f t="shared" si="137"/>
        <v>0.12603432384082139</v>
      </c>
      <c r="U411" t="str">
        <f t="shared" si="144"/>
        <v>No Impact</v>
      </c>
      <c r="V411">
        <f t="shared" si="145"/>
        <v>0.11209621648073166</v>
      </c>
      <c r="W411">
        <f t="shared" si="138"/>
        <v>0.15066283205798184</v>
      </c>
      <c r="X411" t="s">
        <v>1176</v>
      </c>
      <c r="Y411">
        <f t="shared" si="146"/>
        <v>3.8155335993346605E-2</v>
      </c>
      <c r="Z411">
        <f t="shared" si="139"/>
        <v>7.6449691772845982E-2</v>
      </c>
      <c r="AA411" t="str">
        <f t="shared" si="147"/>
        <v>No Impact</v>
      </c>
      <c r="AB411">
        <f t="shared" si="148"/>
        <v>5.7090910655053846E-2</v>
      </c>
      <c r="AC411">
        <f t="shared" si="140"/>
        <v>0.13403649753593849</v>
      </c>
      <c r="AD411" t="str">
        <f t="shared" si="149"/>
        <v>No Impact</v>
      </c>
      <c r="AE411">
        <f t="shared" si="150"/>
        <v>1.8316097396553665E-2</v>
      </c>
      <c r="AF411">
        <f t="shared" si="141"/>
        <v>0.1001971079396112</v>
      </c>
      <c r="AG411" t="s">
        <v>1175</v>
      </c>
    </row>
    <row r="412" spans="1:33" x14ac:dyDescent="0.3">
      <c r="A412">
        <v>506941</v>
      </c>
      <c r="B412" t="s">
        <v>195</v>
      </c>
      <c r="C412" s="1" t="s">
        <v>954</v>
      </c>
      <c r="D412" t="s">
        <v>956</v>
      </c>
      <c r="E412" s="4">
        <v>6.5</v>
      </c>
      <c r="F412" s="3">
        <f t="shared" si="151"/>
        <v>0.73333333333333328</v>
      </c>
      <c r="G412">
        <v>41.614200000000004</v>
      </c>
      <c r="H412">
        <f t="shared" si="142"/>
        <v>0.39278214598808014</v>
      </c>
      <c r="I412">
        <v>49.9</v>
      </c>
      <c r="J412" s="3">
        <f t="shared" si="132"/>
        <v>0.15429808286951141</v>
      </c>
      <c r="K412">
        <v>0</v>
      </c>
      <c r="L412" s="3">
        <f t="shared" si="133"/>
        <v>0</v>
      </c>
      <c r="M412">
        <v>24217</v>
      </c>
      <c r="N412">
        <f t="shared" si="134"/>
        <v>0.11345001017255492</v>
      </c>
      <c r="O412" s="15">
        <v>0.43256945200000002</v>
      </c>
      <c r="P412">
        <f t="shared" si="135"/>
        <v>0.44098486181166707</v>
      </c>
      <c r="Q412">
        <v>0.31850000000000001</v>
      </c>
      <c r="R412">
        <f t="shared" si="136"/>
        <v>0.70605187319884732</v>
      </c>
      <c r="S412">
        <f t="shared" si="143"/>
        <v>7.9057489118828553E-2</v>
      </c>
      <c r="T412" s="14">
        <f t="shared" si="137"/>
        <v>0.13263033920882319</v>
      </c>
      <c r="U412" t="str">
        <f t="shared" si="144"/>
        <v>No Impact</v>
      </c>
      <c r="V412">
        <f t="shared" si="145"/>
        <v>9.7326766578639215E-2</v>
      </c>
      <c r="W412">
        <f t="shared" si="138"/>
        <v>0.13081196447254265</v>
      </c>
      <c r="X412" t="s">
        <v>1176</v>
      </c>
      <c r="Y412">
        <f t="shared" si="146"/>
        <v>6.0788211659017891E-2</v>
      </c>
      <c r="Z412">
        <f t="shared" si="139"/>
        <v>0.12179790647276202</v>
      </c>
      <c r="AA412" t="str">
        <f t="shared" si="147"/>
        <v>No Impact</v>
      </c>
      <c r="AB412">
        <f t="shared" si="148"/>
        <v>5.7774371460897291E-2</v>
      </c>
      <c r="AC412">
        <f t="shared" si="140"/>
        <v>0.13564110834994089</v>
      </c>
      <c r="AD412" t="str">
        <f t="shared" si="149"/>
        <v>No Impact</v>
      </c>
      <c r="AE412">
        <f t="shared" si="150"/>
        <v>1.5638684744766318E-2</v>
      </c>
      <c r="AF412">
        <f t="shared" si="141"/>
        <v>8.5550483243211933E-2</v>
      </c>
      <c r="AG412" t="s">
        <v>1175</v>
      </c>
    </row>
    <row r="413" spans="1:33" x14ac:dyDescent="0.3">
      <c r="A413">
        <v>506944</v>
      </c>
      <c r="B413" t="s">
        <v>300</v>
      </c>
      <c r="C413" s="1" t="s">
        <v>954</v>
      </c>
      <c r="D413" t="s">
        <v>957</v>
      </c>
      <c r="E413" s="4">
        <v>6.5</v>
      </c>
      <c r="F413" s="3">
        <f t="shared" si="151"/>
        <v>0.73333333333333328</v>
      </c>
      <c r="G413">
        <v>40.907159999999998</v>
      </c>
      <c r="H413">
        <f t="shared" si="142"/>
        <v>0.38610863818306612</v>
      </c>
      <c r="I413">
        <v>48.5</v>
      </c>
      <c r="J413" s="3">
        <f t="shared" si="132"/>
        <v>0.14996907854050709</v>
      </c>
      <c r="K413">
        <v>0</v>
      </c>
      <c r="L413" s="3">
        <f t="shared" si="133"/>
        <v>0</v>
      </c>
      <c r="M413">
        <v>32668</v>
      </c>
      <c r="N413">
        <f t="shared" si="134"/>
        <v>0.15343524813936874</v>
      </c>
      <c r="O413" s="15">
        <v>0.51199815699999995</v>
      </c>
      <c r="P413">
        <f t="shared" si="135"/>
        <v>0.52195881024088864</v>
      </c>
      <c r="Q413">
        <v>0.33589999999999998</v>
      </c>
      <c r="R413">
        <f t="shared" si="136"/>
        <v>0.74462425182886272</v>
      </c>
      <c r="S413">
        <f t="shared" si="143"/>
        <v>8.5655211927750205E-2</v>
      </c>
      <c r="T413" s="14">
        <f t="shared" si="137"/>
        <v>0.14369897070605933</v>
      </c>
      <c r="U413" t="str">
        <f t="shared" si="144"/>
        <v>No Impact</v>
      </c>
      <c r="V413">
        <f t="shared" si="145"/>
        <v>0.10071340760347421</v>
      </c>
      <c r="W413">
        <f t="shared" si="138"/>
        <v>0.13536377669229846</v>
      </c>
      <c r="X413" t="s">
        <v>1176</v>
      </c>
      <c r="Y413">
        <f t="shared" si="146"/>
        <v>7.059701625202619E-2</v>
      </c>
      <c r="Z413">
        <f t="shared" si="139"/>
        <v>0.14145125424897664</v>
      </c>
      <c r="AA413" t="str">
        <f t="shared" si="147"/>
        <v>No Impact</v>
      </c>
      <c r="AB413">
        <f t="shared" si="148"/>
        <v>6.3692253336210286E-2</v>
      </c>
      <c r="AC413">
        <f t="shared" si="140"/>
        <v>0.14953495152562596</v>
      </c>
      <c r="AD413" t="str">
        <f t="shared" si="149"/>
        <v>No Impact</v>
      </c>
      <c r="AE413">
        <f t="shared" si="150"/>
        <v>2.0752730855389891E-2</v>
      </c>
      <c r="AF413">
        <f t="shared" si="141"/>
        <v>0.11352656455902291</v>
      </c>
      <c r="AG413" t="s">
        <v>1175</v>
      </c>
    </row>
    <row r="414" spans="1:33" x14ac:dyDescent="0.3">
      <c r="A414">
        <v>506963</v>
      </c>
      <c r="B414" t="s">
        <v>376</v>
      </c>
      <c r="C414" s="1" t="s">
        <v>954</v>
      </c>
      <c r="D414" t="s">
        <v>958</v>
      </c>
      <c r="E414" s="4">
        <v>6.5</v>
      </c>
      <c r="F414" s="3">
        <f t="shared" si="151"/>
        <v>0.73333333333333328</v>
      </c>
      <c r="G414">
        <v>41.956920000000004</v>
      </c>
      <c r="H414">
        <f t="shared" si="142"/>
        <v>0.39601696239865714</v>
      </c>
      <c r="I414">
        <v>46.4</v>
      </c>
      <c r="J414" s="3">
        <f t="shared" si="132"/>
        <v>0.14347557204700059</v>
      </c>
      <c r="K414">
        <v>0</v>
      </c>
      <c r="L414" s="3">
        <f t="shared" si="133"/>
        <v>0</v>
      </c>
      <c r="M414">
        <v>46818</v>
      </c>
      <c r="N414">
        <f t="shared" si="134"/>
        <v>0.22038485377543729</v>
      </c>
      <c r="O414" s="15">
        <v>0.196185839</v>
      </c>
      <c r="P414">
        <f t="shared" si="135"/>
        <v>0.20000253069377855</v>
      </c>
      <c r="Q414">
        <v>0.30459999999999998</v>
      </c>
      <c r="R414">
        <f t="shared" si="136"/>
        <v>0.67523830636222559</v>
      </c>
      <c r="S414">
        <f t="shared" si="143"/>
        <v>6.0045048440069686E-2</v>
      </c>
      <c r="T414" s="14">
        <f t="shared" si="137"/>
        <v>0.10073422810641709</v>
      </c>
      <c r="U414" t="str">
        <f t="shared" si="144"/>
        <v>No Impact</v>
      </c>
      <c r="V414">
        <f t="shared" si="145"/>
        <v>9.2648137741123501E-2</v>
      </c>
      <c r="W414">
        <f t="shared" si="138"/>
        <v>0.12452365704399151</v>
      </c>
      <c r="X414" t="s">
        <v>1176</v>
      </c>
      <c r="Y414">
        <f t="shared" si="146"/>
        <v>2.744195913901587E-2</v>
      </c>
      <c r="Z414">
        <f t="shared" si="139"/>
        <v>5.4983903645524884E-2</v>
      </c>
      <c r="AA414" t="str">
        <f t="shared" si="147"/>
        <v>No Impact</v>
      </c>
      <c r="AB414">
        <f t="shared" si="148"/>
        <v>5.1242938299366443E-2</v>
      </c>
      <c r="AC414">
        <f t="shared" si="140"/>
        <v>0.12030678604159323</v>
      </c>
      <c r="AD414" t="str">
        <f t="shared" si="149"/>
        <v>No Impact</v>
      </c>
      <c r="AE414">
        <f t="shared" si="150"/>
        <v>3.0238578137909859E-2</v>
      </c>
      <c r="AF414">
        <f t="shared" si="141"/>
        <v>0.1654183209461754</v>
      </c>
      <c r="AG414" t="s">
        <v>1175</v>
      </c>
    </row>
    <row r="415" spans="1:33" x14ac:dyDescent="0.3">
      <c r="A415">
        <v>506991</v>
      </c>
      <c r="B415" t="s">
        <v>489</v>
      </c>
      <c r="C415" s="1" t="s">
        <v>954</v>
      </c>
      <c r="D415" t="s">
        <v>959</v>
      </c>
      <c r="E415" s="4">
        <v>6.5</v>
      </c>
      <c r="F415" s="3">
        <f t="shared" si="151"/>
        <v>0.73333333333333328</v>
      </c>
      <c r="G415">
        <v>42.778080000000003</v>
      </c>
      <c r="H415">
        <f t="shared" si="142"/>
        <v>0.40376760970173092</v>
      </c>
      <c r="I415">
        <v>58.9</v>
      </c>
      <c r="J415" s="3">
        <f t="shared" si="132"/>
        <v>0.18212739641311068</v>
      </c>
      <c r="K415">
        <v>0</v>
      </c>
      <c r="L415" s="3">
        <f t="shared" si="133"/>
        <v>0</v>
      </c>
      <c r="M415">
        <v>38033</v>
      </c>
      <c r="N415">
        <f t="shared" si="134"/>
        <v>0.17881932123035868</v>
      </c>
      <c r="O415" s="15">
        <v>0.38509350799999997</v>
      </c>
      <c r="P415">
        <f t="shared" si="135"/>
        <v>0.39258529844116247</v>
      </c>
      <c r="Q415">
        <v>0.32100000000000001</v>
      </c>
      <c r="R415">
        <f t="shared" si="136"/>
        <v>0.7115938816227001</v>
      </c>
      <c r="S415">
        <f t="shared" si="143"/>
        <v>8.0136089415961356E-2</v>
      </c>
      <c r="T415" s="14">
        <f t="shared" si="137"/>
        <v>0.13443984675673482</v>
      </c>
      <c r="U415" t="str">
        <f t="shared" si="144"/>
        <v>No Impact</v>
      </c>
      <c r="V415">
        <f t="shared" si="145"/>
        <v>0.10328821980191583</v>
      </c>
      <c r="W415">
        <f t="shared" si="138"/>
        <v>0.13882445101310689</v>
      </c>
      <c r="X415" t="s">
        <v>1176</v>
      </c>
      <c r="Y415">
        <f t="shared" si="146"/>
        <v>5.6983959030006893E-2</v>
      </c>
      <c r="Z415">
        <f t="shared" si="139"/>
        <v>0.1141755403385824</v>
      </c>
      <c r="AA415" t="str">
        <f t="shared" si="147"/>
        <v>No Impact</v>
      </c>
      <c r="AB415">
        <f t="shared" si="148"/>
        <v>6.2330565562984809E-2</v>
      </c>
      <c r="AC415">
        <f t="shared" si="140"/>
        <v>0.14633801776215136</v>
      </c>
      <c r="AD415" t="str">
        <f t="shared" si="149"/>
        <v>No Impact</v>
      </c>
      <c r="AE415">
        <f t="shared" si="150"/>
        <v>2.5955716923749168E-2</v>
      </c>
      <c r="AF415">
        <f t="shared" si="141"/>
        <v>0.14198918655828022</v>
      </c>
      <c r="AG415" t="s">
        <v>1175</v>
      </c>
    </row>
    <row r="416" spans="1:33" x14ac:dyDescent="0.3">
      <c r="A416">
        <v>507018</v>
      </c>
      <c r="B416" t="s">
        <v>72</v>
      </c>
      <c r="C416" s="1" t="s">
        <v>724</v>
      </c>
      <c r="D416" t="s">
        <v>960</v>
      </c>
      <c r="E416" s="4">
        <v>5</v>
      </c>
      <c r="F416" s="3">
        <f t="shared" si="151"/>
        <v>0.39999999999999997</v>
      </c>
      <c r="G416">
        <v>42.217919999999999</v>
      </c>
      <c r="H416">
        <f t="shared" si="142"/>
        <v>0.39848045178696423</v>
      </c>
      <c r="I416">
        <v>0.19999999999999965</v>
      </c>
      <c r="J416" s="3">
        <f t="shared" si="132"/>
        <v>6.1842918985776014E-4</v>
      </c>
      <c r="K416">
        <v>0</v>
      </c>
      <c r="L416" s="3">
        <f t="shared" si="133"/>
        <v>0</v>
      </c>
      <c r="M416">
        <v>11807</v>
      </c>
      <c r="N416">
        <f t="shared" si="134"/>
        <v>5.4733076890320934E-2</v>
      </c>
      <c r="O416" s="15">
        <v>0.80603206299999997</v>
      </c>
      <c r="P416">
        <f t="shared" si="135"/>
        <v>0.82171299030572298</v>
      </c>
      <c r="Q416">
        <v>0.3357</v>
      </c>
      <c r="R416">
        <f t="shared" si="136"/>
        <v>0.74418089115495456</v>
      </c>
      <c r="S416">
        <f t="shared" si="143"/>
        <v>4.9956983886172104E-2</v>
      </c>
      <c r="T416" s="14">
        <f t="shared" si="137"/>
        <v>8.3810044975166045E-2</v>
      </c>
      <c r="U416" t="str">
        <f t="shared" si="144"/>
        <v>No Impact</v>
      </c>
      <c r="V416">
        <f t="shared" si="145"/>
        <v>4.7483463889834279E-2</v>
      </c>
      <c r="W416">
        <f t="shared" si="138"/>
        <v>6.3820112490550071E-2</v>
      </c>
      <c r="X416" t="s">
        <v>1176</v>
      </c>
      <c r="Y416">
        <f t="shared" si="146"/>
        <v>5.243050388250993E-2</v>
      </c>
      <c r="Z416">
        <f t="shared" si="139"/>
        <v>0.10505203943196416</v>
      </c>
      <c r="AA416" t="str">
        <f t="shared" si="147"/>
        <v>No Impact</v>
      </c>
      <c r="AB416">
        <f t="shared" si="148"/>
        <v>3.357067471269113E-2</v>
      </c>
      <c r="AC416">
        <f t="shared" si="140"/>
        <v>7.8816323067516028E-2</v>
      </c>
      <c r="AD416" t="str">
        <f t="shared" si="149"/>
        <v>No Impact</v>
      </c>
      <c r="AE416">
        <f t="shared" si="150"/>
        <v>3.4923176757032941E-3</v>
      </c>
      <c r="AF416">
        <f t="shared" si="141"/>
        <v>1.9104513561807968E-2</v>
      </c>
      <c r="AG416" t="s">
        <v>1176</v>
      </c>
    </row>
    <row r="417" spans="1:33" x14ac:dyDescent="0.3">
      <c r="A417">
        <v>507037</v>
      </c>
      <c r="B417" t="s">
        <v>189</v>
      </c>
      <c r="C417" s="1" t="s">
        <v>724</v>
      </c>
      <c r="D417" t="s">
        <v>961</v>
      </c>
      <c r="E417" s="4">
        <v>5.3</v>
      </c>
      <c r="F417" s="3">
        <f t="shared" si="151"/>
        <v>0.46666666666666656</v>
      </c>
      <c r="G417">
        <v>47.21904</v>
      </c>
      <c r="H417">
        <f t="shared" si="142"/>
        <v>0.44568430638332573</v>
      </c>
      <c r="I417">
        <v>0.10000000000000026</v>
      </c>
      <c r="J417" s="3">
        <f t="shared" si="132"/>
        <v>3.0921459492888143E-4</v>
      </c>
      <c r="K417">
        <v>0</v>
      </c>
      <c r="L417" s="3">
        <f t="shared" si="133"/>
        <v>0</v>
      </c>
      <c r="M417">
        <v>29737</v>
      </c>
      <c r="N417">
        <f t="shared" si="134"/>
        <v>0.13956745350196118</v>
      </c>
      <c r="O417" s="15">
        <v>0.93276446800000001</v>
      </c>
      <c r="P417">
        <f t="shared" si="135"/>
        <v>0.95091090718956539</v>
      </c>
      <c r="Q417">
        <v>0.31950000000000001</v>
      </c>
      <c r="R417">
        <f t="shared" si="136"/>
        <v>0.70826867656838843</v>
      </c>
      <c r="S417">
        <f t="shared" si="143"/>
        <v>6.9041170167572552E-2</v>
      </c>
      <c r="T417" s="14">
        <f t="shared" si="137"/>
        <v>0.11582651967273759</v>
      </c>
      <c r="U417" t="str">
        <f t="shared" si="144"/>
        <v>No Impact</v>
      </c>
      <c r="V417">
        <f t="shared" si="145"/>
        <v>5.8944430973004489E-2</v>
      </c>
      <c r="W417">
        <f t="shared" si="138"/>
        <v>7.9224216331740302E-2</v>
      </c>
      <c r="X417" t="s">
        <v>1176</v>
      </c>
      <c r="Y417">
        <f t="shared" si="146"/>
        <v>7.9137909362140615E-2</v>
      </c>
      <c r="Z417">
        <f t="shared" si="139"/>
        <v>0.15856415939668472</v>
      </c>
      <c r="AA417" t="str">
        <f t="shared" si="147"/>
        <v>Low</v>
      </c>
      <c r="AB417">
        <f t="shared" si="148"/>
        <v>4.8437264303688311E-2</v>
      </c>
      <c r="AC417">
        <f t="shared" si="140"/>
        <v>0.11371970043911354</v>
      </c>
      <c r="AD417" t="str">
        <f t="shared" si="149"/>
        <v>No Impact</v>
      </c>
      <c r="AE417">
        <f t="shared" si="150"/>
        <v>1.1615259012841597E-2</v>
      </c>
      <c r="AF417">
        <f t="shared" si="141"/>
        <v>6.3540575039484862E-2</v>
      </c>
      <c r="AG417" t="s">
        <v>1175</v>
      </c>
    </row>
    <row r="418" spans="1:33" x14ac:dyDescent="0.3">
      <c r="A418">
        <v>507056</v>
      </c>
      <c r="B418" t="s">
        <v>358</v>
      </c>
      <c r="C418" s="1" t="s">
        <v>724</v>
      </c>
      <c r="D418" t="s">
        <v>962</v>
      </c>
      <c r="E418" s="4">
        <v>5</v>
      </c>
      <c r="F418" s="3">
        <f t="shared" si="151"/>
        <v>0.39999999999999997</v>
      </c>
      <c r="G418">
        <v>43.508880000000005</v>
      </c>
      <c r="H418">
        <f t="shared" si="142"/>
        <v>0.41066537998899078</v>
      </c>
      <c r="I418">
        <v>0.79999999999999949</v>
      </c>
      <c r="J418" s="3">
        <f t="shared" si="132"/>
        <v>2.4737167594310432E-3</v>
      </c>
      <c r="K418">
        <v>0</v>
      </c>
      <c r="L418" s="3">
        <f t="shared" si="133"/>
        <v>0</v>
      </c>
      <c r="M418">
        <v>14402</v>
      </c>
      <c r="N418">
        <f t="shared" si="134"/>
        <v>6.7011114107677683E-2</v>
      </c>
      <c r="O418" s="15">
        <v>0.89724537599999998</v>
      </c>
      <c r="P418">
        <f t="shared" si="135"/>
        <v>0.91470081004822612</v>
      </c>
      <c r="Q418">
        <v>0.38569999999999999</v>
      </c>
      <c r="R418">
        <f t="shared" si="136"/>
        <v>0.85502105963201058</v>
      </c>
      <c r="S418">
        <f t="shared" si="143"/>
        <v>5.8316191952907319E-2</v>
      </c>
      <c r="T418" s="14">
        <f t="shared" si="137"/>
        <v>9.7833822023559239E-2</v>
      </c>
      <c r="U418" t="str">
        <f t="shared" si="144"/>
        <v>No Impact</v>
      </c>
      <c r="V418">
        <f t="shared" si="145"/>
        <v>5.6349614130369326E-2</v>
      </c>
      <c r="W418">
        <f t="shared" si="138"/>
        <v>7.5736654784554963E-2</v>
      </c>
      <c r="X418" t="s">
        <v>1176</v>
      </c>
      <c r="Y418">
        <f t="shared" si="146"/>
        <v>6.0282769775445312E-2</v>
      </c>
      <c r="Z418">
        <f t="shared" si="139"/>
        <v>0.12078518111725871</v>
      </c>
      <c r="AA418" t="str">
        <f t="shared" si="147"/>
        <v>No Impact</v>
      </c>
      <c r="AB418">
        <f t="shared" si="148"/>
        <v>3.9352909440468715E-2</v>
      </c>
      <c r="AC418">
        <f t="shared" si="140"/>
        <v>9.2391697535174316E-2</v>
      </c>
      <c r="AD418" t="str">
        <f t="shared" si="149"/>
        <v>No Impact</v>
      </c>
      <c r="AE418">
        <f t="shared" si="150"/>
        <v>4.416324463445317E-3</v>
      </c>
      <c r="AF418">
        <f t="shared" si="141"/>
        <v>2.4159237056876361E-2</v>
      </c>
      <c r="AG418" t="s">
        <v>1176</v>
      </c>
    </row>
    <row r="419" spans="1:33" x14ac:dyDescent="0.3">
      <c r="A419" s="6">
        <v>507066</v>
      </c>
      <c r="B419" s="6" t="s">
        <v>379</v>
      </c>
      <c r="C419" s="6" t="s">
        <v>724</v>
      </c>
      <c r="D419" s="6" t="s">
        <v>1118</v>
      </c>
      <c r="E419" s="4">
        <v>5</v>
      </c>
      <c r="F419" s="3">
        <f t="shared" si="151"/>
        <v>0.39999999999999997</v>
      </c>
      <c r="G419">
        <v>41.029200000000003</v>
      </c>
      <c r="H419">
        <f t="shared" si="142"/>
        <v>0.38726053184187459</v>
      </c>
      <c r="I419">
        <v>0.10000000000000026</v>
      </c>
      <c r="J419" s="3">
        <f t="shared" si="132"/>
        <v>3.0921459492888143E-4</v>
      </c>
      <c r="K419">
        <v>0</v>
      </c>
      <c r="L419" s="3">
        <f t="shared" si="133"/>
        <v>0</v>
      </c>
      <c r="M419" s="6">
        <v>71171</v>
      </c>
      <c r="N419">
        <f t="shared" si="134"/>
        <v>0.33560914678287035</v>
      </c>
      <c r="O419" s="15">
        <v>0.82675396199999995</v>
      </c>
      <c r="P419">
        <f t="shared" si="135"/>
        <v>0.84283802288659582</v>
      </c>
      <c r="Q419">
        <v>0.28710000000000002</v>
      </c>
      <c r="R419">
        <f t="shared" si="136"/>
        <v>0.63644424739525607</v>
      </c>
      <c r="S419">
        <f t="shared" si="143"/>
        <v>4.5847707725408082E-2</v>
      </c>
      <c r="T419" s="14">
        <f t="shared" si="137"/>
        <v>7.6916141599539342E-2</v>
      </c>
      <c r="U419" t="str">
        <f t="shared" si="144"/>
        <v>No Impact</v>
      </c>
      <c r="V419">
        <f t="shared" si="145"/>
        <v>3.9450901865450402E-2</v>
      </c>
      <c r="W419">
        <f t="shared" si="138"/>
        <v>5.3023953786272171E-2</v>
      </c>
      <c r="X419" t="s">
        <v>1176</v>
      </c>
      <c r="Y419">
        <f t="shared" si="146"/>
        <v>5.2244513585365748E-2</v>
      </c>
      <c r="Z419">
        <f t="shared" si="139"/>
        <v>0.10467938117803365</v>
      </c>
      <c r="AA419" t="str">
        <f t="shared" si="147"/>
        <v>No Impact</v>
      </c>
      <c r="AB419">
        <f t="shared" si="148"/>
        <v>3.6762293329167313E-2</v>
      </c>
      <c r="AC419">
        <f t="shared" si="140"/>
        <v>8.6309519023133455E-2</v>
      </c>
      <c r="AD419" t="str">
        <f t="shared" si="149"/>
        <v>No Impact</v>
      </c>
      <c r="AE419">
        <f t="shared" si="150"/>
        <v>2.0803210287571292E-2</v>
      </c>
      <c r="AF419">
        <f t="shared" si="141"/>
        <v>0.11380270925325028</v>
      </c>
      <c r="AG419" t="s">
        <v>1175</v>
      </c>
    </row>
    <row r="420" spans="1:33" x14ac:dyDescent="0.3">
      <c r="A420">
        <v>507088</v>
      </c>
      <c r="B420" t="s">
        <v>485</v>
      </c>
      <c r="C420" s="1" t="s">
        <v>724</v>
      </c>
      <c r="D420" t="s">
        <v>1146</v>
      </c>
      <c r="E420" s="4">
        <v>5.2</v>
      </c>
      <c r="F420" s="3">
        <f t="shared" si="151"/>
        <v>0.44444444444444442</v>
      </c>
      <c r="G420">
        <v>41.293080000000003</v>
      </c>
      <c r="H420">
        <f t="shared" si="142"/>
        <v>0.38975120456136297</v>
      </c>
      <c r="I420">
        <v>0.10000000000000026</v>
      </c>
      <c r="J420" s="3">
        <f t="shared" si="132"/>
        <v>3.0921459492888143E-4</v>
      </c>
      <c r="K420">
        <v>0</v>
      </c>
      <c r="L420" s="3">
        <f t="shared" si="133"/>
        <v>0</v>
      </c>
      <c r="M420">
        <v>62302</v>
      </c>
      <c r="N420">
        <f t="shared" si="134"/>
        <v>0.29364617488277905</v>
      </c>
      <c r="O420" s="15">
        <v>0.69725627099999998</v>
      </c>
      <c r="P420">
        <f t="shared" si="135"/>
        <v>0.71082102282676507</v>
      </c>
      <c r="Q420">
        <v>0.30499999999999999</v>
      </c>
      <c r="R420">
        <f t="shared" si="136"/>
        <v>0.67612502771004213</v>
      </c>
      <c r="S420">
        <f t="shared" si="143"/>
        <v>4.8069184519017608E-2</v>
      </c>
      <c r="T420" s="14">
        <f t="shared" si="137"/>
        <v>8.0642989289302233E-2</v>
      </c>
      <c r="U420" t="str">
        <f t="shared" si="144"/>
        <v>No Impact</v>
      </c>
      <c r="V420">
        <f t="shared" si="145"/>
        <v>4.6866680506196648E-2</v>
      </c>
      <c r="W420">
        <f t="shared" si="138"/>
        <v>6.2991125266336989E-2</v>
      </c>
      <c r="X420" t="s">
        <v>1176</v>
      </c>
      <c r="Y420">
        <f t="shared" si="146"/>
        <v>4.927168853183856E-2</v>
      </c>
      <c r="Z420">
        <f t="shared" si="139"/>
        <v>9.8722899519049459E-2</v>
      </c>
      <c r="AA420" t="str">
        <f t="shared" si="147"/>
        <v>No Impact</v>
      </c>
      <c r="AB420">
        <f t="shared" si="148"/>
        <v>3.8308937639105853E-2</v>
      </c>
      <c r="AC420">
        <f t="shared" si="140"/>
        <v>8.9940688746289701E-2</v>
      </c>
      <c r="AD420" t="str">
        <f t="shared" si="149"/>
        <v>No Impact</v>
      </c>
      <c r="AE420">
        <f t="shared" si="150"/>
        <v>2.0354551149672741E-2</v>
      </c>
      <c r="AF420">
        <f t="shared" si="141"/>
        <v>0.11134834645451497</v>
      </c>
      <c r="AG420" t="s">
        <v>1175</v>
      </c>
    </row>
    <row r="421" spans="1:33" x14ac:dyDescent="0.3">
      <c r="A421">
        <v>507605</v>
      </c>
      <c r="B421" t="s">
        <v>15</v>
      </c>
      <c r="C421" s="1" t="s">
        <v>964</v>
      </c>
      <c r="D421" t="s">
        <v>963</v>
      </c>
      <c r="E421" s="4">
        <v>5</v>
      </c>
      <c r="F421" s="3">
        <f t="shared" si="151"/>
        <v>0.39999999999999997</v>
      </c>
      <c r="G421">
        <v>42.070679999999996</v>
      </c>
      <c r="H421">
        <f t="shared" si="142"/>
        <v>0.3970907039803192</v>
      </c>
      <c r="I421">
        <v>60.900000000000006</v>
      </c>
      <c r="J421" s="3">
        <f t="shared" si="132"/>
        <v>0.18831168831168832</v>
      </c>
      <c r="K421">
        <v>0</v>
      </c>
      <c r="L421" s="3">
        <f t="shared" si="133"/>
        <v>0</v>
      </c>
      <c r="M421">
        <v>10847</v>
      </c>
      <c r="N421">
        <f t="shared" si="134"/>
        <v>5.019091283303289E-2</v>
      </c>
      <c r="O421" s="15">
        <v>0.71715525300000005</v>
      </c>
      <c r="P421">
        <f t="shared" si="135"/>
        <v>0.73110712899281705</v>
      </c>
      <c r="Q421">
        <v>0.35699999999999998</v>
      </c>
      <c r="R421">
        <f t="shared" si="136"/>
        <v>0.79139880292618037</v>
      </c>
      <c r="S421">
        <f t="shared" si="143"/>
        <v>5.9834062685763197E-2</v>
      </c>
      <c r="T421" s="14">
        <f t="shared" si="137"/>
        <v>0.10038026907642769</v>
      </c>
      <c r="U421" t="str">
        <f t="shared" si="144"/>
        <v>No Impact</v>
      </c>
      <c r="V421">
        <f t="shared" si="145"/>
        <v>6.220350882185248E-2</v>
      </c>
      <c r="W421">
        <f t="shared" si="138"/>
        <v>8.3604577364614921E-2</v>
      </c>
      <c r="X421" t="s">
        <v>1176</v>
      </c>
      <c r="Y421">
        <f t="shared" si="146"/>
        <v>5.7464616549673941E-2</v>
      </c>
      <c r="Z421">
        <f t="shared" si="139"/>
        <v>0.11513860666391248</v>
      </c>
      <c r="AA421" t="str">
        <f t="shared" si="147"/>
        <v>No Impact</v>
      </c>
      <c r="AB421">
        <f t="shared" si="148"/>
        <v>4.039135536246425E-2</v>
      </c>
      <c r="AC421">
        <f t="shared" si="140"/>
        <v>9.4829732813780224E-2</v>
      </c>
      <c r="AD421" t="str">
        <f t="shared" si="149"/>
        <v>No Impact</v>
      </c>
      <c r="AE421">
        <f t="shared" si="150"/>
        <v>3.9449780283248755E-3</v>
      </c>
      <c r="AF421">
        <f t="shared" si="141"/>
        <v>2.1580764764760244E-2</v>
      </c>
      <c r="AG421" t="s">
        <v>1176</v>
      </c>
    </row>
    <row r="422" spans="1:33" x14ac:dyDescent="0.3">
      <c r="A422">
        <v>507616</v>
      </c>
      <c r="B422" t="s">
        <v>62</v>
      </c>
      <c r="C422" s="1" t="s">
        <v>964</v>
      </c>
      <c r="D422" t="s">
        <v>965</v>
      </c>
      <c r="E422" s="4">
        <v>4.9000000000000004</v>
      </c>
      <c r="F422" s="3">
        <f t="shared" si="151"/>
        <v>0.37777777777777782</v>
      </c>
      <c r="G422">
        <v>48.2958</v>
      </c>
      <c r="H422">
        <f t="shared" si="142"/>
        <v>0.45584747432874156</v>
      </c>
      <c r="I422">
        <v>123.5</v>
      </c>
      <c r="J422" s="3">
        <f t="shared" si="132"/>
        <v>0.38188002473716753</v>
      </c>
      <c r="K422">
        <v>0</v>
      </c>
      <c r="L422" s="3">
        <f t="shared" si="133"/>
        <v>0</v>
      </c>
      <c r="M422">
        <v>28096</v>
      </c>
      <c r="N422">
        <f t="shared" si="134"/>
        <v>0.13180319181653441</v>
      </c>
      <c r="O422" s="15">
        <v>0.46232763999999998</v>
      </c>
      <c r="P422">
        <f t="shared" si="135"/>
        <v>0.47132197961384048</v>
      </c>
      <c r="Q422">
        <v>0.25740000000000002</v>
      </c>
      <c r="R422">
        <f t="shared" si="136"/>
        <v>0.57060518731988474</v>
      </c>
      <c r="S422">
        <f t="shared" si="143"/>
        <v>5.0917300940383957E-2</v>
      </c>
      <c r="T422" s="14">
        <f t="shared" si="137"/>
        <v>8.542111532495536E-2</v>
      </c>
      <c r="U422" t="str">
        <f t="shared" si="144"/>
        <v>No Impact</v>
      </c>
      <c r="V422">
        <f t="shared" si="145"/>
        <v>5.5769111244910602E-2</v>
      </c>
      <c r="W422">
        <f t="shared" si="138"/>
        <v>7.4956430335533744E-2</v>
      </c>
      <c r="X422" t="s">
        <v>1176</v>
      </c>
      <c r="Y422">
        <f t="shared" si="146"/>
        <v>4.6065490635857305E-2</v>
      </c>
      <c r="Z422">
        <f t="shared" si="139"/>
        <v>9.2298821876193524E-2</v>
      </c>
      <c r="AA422" t="str">
        <f t="shared" si="147"/>
        <v>No Impact</v>
      </c>
      <c r="AB422">
        <f t="shared" si="148"/>
        <v>3.7847542777885018E-2</v>
      </c>
      <c r="AC422">
        <f t="shared" si="140"/>
        <v>8.8857438357225427E-2</v>
      </c>
      <c r="AD422" t="str">
        <f t="shared" si="149"/>
        <v>No Impact</v>
      </c>
      <c r="AE422">
        <f t="shared" si="150"/>
        <v>1.2882019004026048E-2</v>
      </c>
      <c r="AF422">
        <f t="shared" si="141"/>
        <v>7.0470309295766531E-2</v>
      </c>
      <c r="AG422" t="s">
        <v>1175</v>
      </c>
    </row>
    <row r="423" spans="1:33" x14ac:dyDescent="0.3">
      <c r="A423">
        <v>507619</v>
      </c>
      <c r="B423" t="s">
        <v>68</v>
      </c>
      <c r="C423" s="1" t="s">
        <v>964</v>
      </c>
      <c r="D423" t="s">
        <v>966</v>
      </c>
      <c r="E423" s="4">
        <v>5.0999999999999996</v>
      </c>
      <c r="F423" s="3">
        <f t="shared" si="151"/>
        <v>0.42222222222222211</v>
      </c>
      <c r="G423">
        <v>41.739840000000001</v>
      </c>
      <c r="H423">
        <f t="shared" si="142"/>
        <v>0.39396801881086518</v>
      </c>
      <c r="I423">
        <v>66.800000000000011</v>
      </c>
      <c r="J423" s="3">
        <f t="shared" si="132"/>
        <v>0.20655534941249229</v>
      </c>
      <c r="K423">
        <v>0</v>
      </c>
      <c r="L423" s="3">
        <f t="shared" si="133"/>
        <v>0</v>
      </c>
      <c r="M423">
        <v>13803</v>
      </c>
      <c r="N423">
        <f t="shared" si="134"/>
        <v>6.4176992992765663E-2</v>
      </c>
      <c r="O423" s="15">
        <v>0.51886827099999999</v>
      </c>
      <c r="P423">
        <f t="shared" si="135"/>
        <v>0.52896257867370999</v>
      </c>
      <c r="Q423">
        <v>0.22209999999999999</v>
      </c>
      <c r="R423">
        <f t="shared" si="136"/>
        <v>0.49235202837508313</v>
      </c>
      <c r="S423">
        <f t="shared" si="143"/>
        <v>4.288462894018457E-2</v>
      </c>
      <c r="T423" s="14">
        <f t="shared" si="137"/>
        <v>7.194514961931131E-2</v>
      </c>
      <c r="U423" t="str">
        <f t="shared" si="144"/>
        <v>No Impact</v>
      </c>
      <c r="V423">
        <f t="shared" si="145"/>
        <v>4.1347365246885051E-2</v>
      </c>
      <c r="W423">
        <f t="shared" si="138"/>
        <v>5.5572893910315647E-2</v>
      </c>
      <c r="X423" t="s">
        <v>1176</v>
      </c>
      <c r="Y423">
        <f t="shared" si="146"/>
        <v>4.4421892633484089E-2</v>
      </c>
      <c r="Z423">
        <f t="shared" si="139"/>
        <v>8.9005637386825945E-2</v>
      </c>
      <c r="AA423" t="str">
        <f t="shared" si="147"/>
        <v>No Impact</v>
      </c>
      <c r="AB423">
        <f t="shared" si="148"/>
        <v>2.9684483644532578E-2</v>
      </c>
      <c r="AC423">
        <f t="shared" si="140"/>
        <v>6.9692428676013454E-2</v>
      </c>
      <c r="AD423" t="str">
        <f t="shared" si="149"/>
        <v>No Impact</v>
      </c>
      <c r="AE423">
        <f t="shared" si="150"/>
        <v>5.3895371945073814E-3</v>
      </c>
      <c r="AF423">
        <f t="shared" si="141"/>
        <v>2.9483138702036726E-2</v>
      </c>
      <c r="AG423" t="s">
        <v>1176</v>
      </c>
    </row>
    <row r="424" spans="1:33" x14ac:dyDescent="0.3">
      <c r="A424">
        <v>507622</v>
      </c>
      <c r="B424" t="s">
        <v>104</v>
      </c>
      <c r="C424" s="1" t="s">
        <v>964</v>
      </c>
      <c r="D424" t="s">
        <v>967</v>
      </c>
      <c r="E424" s="4">
        <v>5</v>
      </c>
      <c r="F424" s="3">
        <f t="shared" si="151"/>
        <v>0.39999999999999997</v>
      </c>
      <c r="G424">
        <v>42.070679999999996</v>
      </c>
      <c r="H424">
        <f t="shared" si="142"/>
        <v>0.3970907039803192</v>
      </c>
      <c r="I424">
        <v>59.500000000000007</v>
      </c>
      <c r="J424" s="3">
        <f t="shared" si="132"/>
        <v>0.183982683982684</v>
      </c>
      <c r="K424">
        <v>0</v>
      </c>
      <c r="L424" s="3">
        <f t="shared" si="133"/>
        <v>0</v>
      </c>
      <c r="M424">
        <v>30646</v>
      </c>
      <c r="N424">
        <f t="shared" si="134"/>
        <v>0.14386831509370579</v>
      </c>
      <c r="O424" s="15">
        <v>0.82277182999999998</v>
      </c>
      <c r="P424">
        <f t="shared" si="135"/>
        <v>0.83877842061552332</v>
      </c>
      <c r="Q424">
        <v>0.31540000000000001</v>
      </c>
      <c r="R424">
        <f t="shared" si="136"/>
        <v>0.69917978275326986</v>
      </c>
      <c r="S424">
        <f t="shared" si="143"/>
        <v>6.0175019577800769E-2</v>
      </c>
      <c r="T424" s="14">
        <f t="shared" si="137"/>
        <v>0.10095227343364373</v>
      </c>
      <c r="U424" t="str">
        <f t="shared" si="144"/>
        <v>No Impact</v>
      </c>
      <c r="V424">
        <f t="shared" si="145"/>
        <v>5.471300458415853E-2</v>
      </c>
      <c r="W424">
        <f t="shared" si="138"/>
        <v>7.3536971004437096E-2</v>
      </c>
      <c r="X424" t="s">
        <v>1176</v>
      </c>
      <c r="Y424">
        <f t="shared" si="146"/>
        <v>6.5637034571443001E-2</v>
      </c>
      <c r="Z424">
        <f t="shared" si="139"/>
        <v>0.13151321908803168</v>
      </c>
      <c r="AA424" t="str">
        <f t="shared" si="147"/>
        <v>No Impact</v>
      </c>
      <c r="AB424">
        <f t="shared" si="148"/>
        <v>4.2781012930093808E-2</v>
      </c>
      <c r="AC424">
        <f t="shared" si="140"/>
        <v>0.10044010628654883</v>
      </c>
      <c r="AD424" t="str">
        <f t="shared" si="149"/>
        <v>No Impact</v>
      </c>
      <c r="AE424">
        <f t="shared" si="150"/>
        <v>1.1258145583444042E-2</v>
      </c>
      <c r="AF424">
        <f t="shared" si="141"/>
        <v>6.1587007526857189E-2</v>
      </c>
      <c r="AG424" t="s">
        <v>1175</v>
      </c>
    </row>
    <row r="425" spans="1:33" x14ac:dyDescent="0.3">
      <c r="A425">
        <v>507633</v>
      </c>
      <c r="B425" t="s">
        <v>163</v>
      </c>
      <c r="C425" s="1" t="s">
        <v>964</v>
      </c>
      <c r="D425" t="s">
        <v>742</v>
      </c>
      <c r="E425" s="4">
        <v>5</v>
      </c>
      <c r="F425" s="3">
        <f t="shared" si="151"/>
        <v>0.39999999999999997</v>
      </c>
      <c r="G425">
        <v>41.739840000000001</v>
      </c>
      <c r="H425">
        <f t="shared" si="142"/>
        <v>0.39396801881086518</v>
      </c>
      <c r="I425">
        <v>74.099999999999994</v>
      </c>
      <c r="J425" s="3">
        <f t="shared" si="132"/>
        <v>0.22912801484230053</v>
      </c>
      <c r="K425">
        <v>0</v>
      </c>
      <c r="L425" s="3">
        <f t="shared" si="133"/>
        <v>0</v>
      </c>
      <c r="M425">
        <v>16518</v>
      </c>
      <c r="N425">
        <f t="shared" si="134"/>
        <v>7.7022800717283402E-2</v>
      </c>
      <c r="O425" s="15">
        <v>0.53149380000000002</v>
      </c>
      <c r="P425">
        <f t="shared" si="135"/>
        <v>0.54183373066010643</v>
      </c>
      <c r="Q425">
        <v>0.24790000000000001</v>
      </c>
      <c r="R425">
        <f t="shared" si="136"/>
        <v>0.54954555530924409</v>
      </c>
      <c r="S425">
        <f t="shared" si="143"/>
        <v>4.4400105574531522E-2</v>
      </c>
      <c r="T425" s="14">
        <f t="shared" si="137"/>
        <v>7.4487580226668043E-2</v>
      </c>
      <c r="U425" t="str">
        <f t="shared" si="144"/>
        <v>No Impact</v>
      </c>
      <c r="V425">
        <f t="shared" si="145"/>
        <v>4.4713842359713277E-2</v>
      </c>
      <c r="W425">
        <f t="shared" si="138"/>
        <v>6.0097604839914796E-2</v>
      </c>
      <c r="X425" t="s">
        <v>1176</v>
      </c>
      <c r="Y425">
        <f t="shared" si="146"/>
        <v>4.4086368789349767E-2</v>
      </c>
      <c r="Z425">
        <f t="shared" si="139"/>
        <v>8.8333367210225153E-2</v>
      </c>
      <c r="AA425" t="str">
        <f t="shared" si="147"/>
        <v>No Impact</v>
      </c>
      <c r="AB425">
        <f t="shared" si="148"/>
        <v>3.1069194873934763E-2</v>
      </c>
      <c r="AC425">
        <f t="shared" si="140"/>
        <v>7.2943416287844842E-2</v>
      </c>
      <c r="AD425" t="str">
        <f t="shared" si="149"/>
        <v>No Impact</v>
      </c>
      <c r="AE425">
        <f t="shared" si="150"/>
        <v>6.2669697463719771E-3</v>
      </c>
      <c r="AF425">
        <f t="shared" si="141"/>
        <v>3.4283080644114824E-2</v>
      </c>
      <c r="AG425" t="s">
        <v>1176</v>
      </c>
    </row>
    <row r="426" spans="1:33" x14ac:dyDescent="0.3">
      <c r="A426">
        <v>507639</v>
      </c>
      <c r="B426" t="s">
        <v>212</v>
      </c>
      <c r="C426" s="1" t="s">
        <v>964</v>
      </c>
      <c r="D426" t="s">
        <v>968</v>
      </c>
      <c r="E426" s="4">
        <v>5.0999999999999996</v>
      </c>
      <c r="F426" s="3">
        <f t="shared" si="151"/>
        <v>0.42222222222222211</v>
      </c>
      <c r="G426">
        <v>42.070679999999996</v>
      </c>
      <c r="H426">
        <f t="shared" si="142"/>
        <v>0.3970907039803192</v>
      </c>
      <c r="I426">
        <v>54.800000000000004</v>
      </c>
      <c r="J426" s="3">
        <f t="shared" si="132"/>
        <v>0.16944959802102658</v>
      </c>
      <c r="K426">
        <v>0</v>
      </c>
      <c r="L426" s="3">
        <f t="shared" si="133"/>
        <v>0</v>
      </c>
      <c r="M426">
        <v>58204</v>
      </c>
      <c r="N426">
        <f t="shared" si="134"/>
        <v>0.27425681206323071</v>
      </c>
      <c r="O426" s="15">
        <v>0.71906071699999996</v>
      </c>
      <c r="P426">
        <f t="shared" si="135"/>
        <v>0.73304966278673611</v>
      </c>
      <c r="Q426">
        <v>0.32979999999999998</v>
      </c>
      <c r="R426">
        <f t="shared" si="136"/>
        <v>0.73110175127466193</v>
      </c>
      <c r="S426">
        <f t="shared" si="143"/>
        <v>5.9571405112861728E-2</v>
      </c>
      <c r="T426" s="14">
        <f t="shared" si="137"/>
        <v>9.9939623118935575E-2</v>
      </c>
      <c r="U426" t="str">
        <f t="shared" si="144"/>
        <v>No Impact</v>
      </c>
      <c r="V426">
        <f t="shared" si="145"/>
        <v>5.949215113359746E-2</v>
      </c>
      <c r="W426">
        <f t="shared" si="138"/>
        <v>7.9960379185054581E-2</v>
      </c>
      <c r="X426" t="s">
        <v>1176</v>
      </c>
      <c r="Y426">
        <f t="shared" si="146"/>
        <v>5.9650659092126003E-2</v>
      </c>
      <c r="Z426">
        <f t="shared" si="139"/>
        <v>0.1195186566417696</v>
      </c>
      <c r="AA426" t="str">
        <f t="shared" si="147"/>
        <v>No Impact</v>
      </c>
      <c r="AB426">
        <f t="shared" si="148"/>
        <v>4.6528462825479899E-2</v>
      </c>
      <c r="AC426">
        <f t="shared" si="140"/>
        <v>0.1092382679011684</v>
      </c>
      <c r="AD426" t="str">
        <f t="shared" si="149"/>
        <v>No Impact</v>
      </c>
      <c r="AE426">
        <f t="shared" si="150"/>
        <v>2.2317177717379968E-2</v>
      </c>
      <c r="AF426">
        <f t="shared" si="141"/>
        <v>0.12208477691740992</v>
      </c>
      <c r="AG426" t="s">
        <v>1175</v>
      </c>
    </row>
    <row r="427" spans="1:33" x14ac:dyDescent="0.3">
      <c r="A427">
        <v>507655</v>
      </c>
      <c r="B427" t="s">
        <v>389</v>
      </c>
      <c r="C427" s="1" t="s">
        <v>964</v>
      </c>
      <c r="D427" t="s">
        <v>969</v>
      </c>
      <c r="E427" s="4">
        <v>5.0999999999999996</v>
      </c>
      <c r="F427" s="3">
        <f t="shared" si="151"/>
        <v>0.42222222222222211</v>
      </c>
      <c r="G427">
        <v>42.291360000000005</v>
      </c>
      <c r="H427">
        <f t="shared" si="142"/>
        <v>0.39917362673208789</v>
      </c>
      <c r="I427">
        <v>71.8</v>
      </c>
      <c r="J427" s="3">
        <f t="shared" si="132"/>
        <v>0.22201607915893626</v>
      </c>
      <c r="K427">
        <v>0</v>
      </c>
      <c r="L427" s="3">
        <f t="shared" si="133"/>
        <v>0</v>
      </c>
      <c r="M427">
        <v>95538</v>
      </c>
      <c r="N427">
        <f t="shared" si="134"/>
        <v>0.45089967968280553</v>
      </c>
      <c r="O427" s="15">
        <v>0.35950243900000001</v>
      </c>
      <c r="P427">
        <f t="shared" si="135"/>
        <v>0.36649636873426805</v>
      </c>
      <c r="Q427">
        <v>0.33600000000000002</v>
      </c>
      <c r="R427">
        <f t="shared" si="136"/>
        <v>0.74484593216581696</v>
      </c>
      <c r="S427">
        <f t="shared" si="143"/>
        <v>4.787885720621668E-2</v>
      </c>
      <c r="T427" s="14">
        <f t="shared" si="137"/>
        <v>8.0323687774178865E-2</v>
      </c>
      <c r="U427" t="str">
        <f t="shared" si="144"/>
        <v>No Impact</v>
      </c>
      <c r="V427">
        <f t="shared" si="145"/>
        <v>6.417891588921841E-2</v>
      </c>
      <c r="W427">
        <f t="shared" si="138"/>
        <v>8.6259621687969593E-2</v>
      </c>
      <c r="X427" t="s">
        <v>1176</v>
      </c>
      <c r="Y427">
        <f t="shared" si="146"/>
        <v>3.1578798523214956E-2</v>
      </c>
      <c r="Z427">
        <f t="shared" si="139"/>
        <v>6.3272655077066156E-2</v>
      </c>
      <c r="AA427" t="str">
        <f t="shared" si="147"/>
        <v>No Impact</v>
      </c>
      <c r="AB427">
        <f t="shared" si="148"/>
        <v>4.5534224446790679E-2</v>
      </c>
      <c r="AC427">
        <f t="shared" si="140"/>
        <v>0.10690402189832389</v>
      </c>
      <c r="AD427" t="str">
        <f t="shared" si="149"/>
        <v>No Impact</v>
      </c>
      <c r="AE427">
        <f t="shared" si="150"/>
        <v>3.8851326653142136E-2</v>
      </c>
      <c r="AF427">
        <f t="shared" si="141"/>
        <v>0.21253384309882734</v>
      </c>
      <c r="AG427" t="s">
        <v>1175</v>
      </c>
    </row>
    <row r="428" spans="1:33" x14ac:dyDescent="0.3">
      <c r="A428">
        <v>507672</v>
      </c>
      <c r="B428" t="s">
        <v>457</v>
      </c>
      <c r="C428" s="1" t="s">
        <v>964</v>
      </c>
      <c r="D428" t="s">
        <v>970</v>
      </c>
      <c r="E428" s="4">
        <v>5</v>
      </c>
      <c r="F428" s="3">
        <f t="shared" si="151"/>
        <v>0.39999999999999997</v>
      </c>
      <c r="G428">
        <v>47.677320000000002</v>
      </c>
      <c r="H428">
        <f t="shared" si="142"/>
        <v>0.45000985395755322</v>
      </c>
      <c r="I428">
        <v>122.39999999999999</v>
      </c>
      <c r="J428" s="3">
        <f t="shared" si="132"/>
        <v>0.37847866419294984</v>
      </c>
      <c r="K428">
        <v>0</v>
      </c>
      <c r="L428" s="3">
        <f t="shared" si="133"/>
        <v>0</v>
      </c>
      <c r="M428">
        <v>62096</v>
      </c>
      <c r="N428">
        <f t="shared" si="134"/>
        <v>0.29267150217881932</v>
      </c>
      <c r="O428" s="15">
        <v>0.38126525300000003</v>
      </c>
      <c r="P428">
        <f t="shared" si="135"/>
        <v>0.388682566765707</v>
      </c>
      <c r="Q428">
        <v>0.3337</v>
      </c>
      <c r="R428">
        <f t="shared" si="136"/>
        <v>0.73974728441587234</v>
      </c>
      <c r="S428">
        <f t="shared" si="143"/>
        <v>5.7707829110951417E-2</v>
      </c>
      <c r="T428" s="14">
        <f t="shared" si="137"/>
        <v>9.6813205621621948E-2</v>
      </c>
      <c r="U428" t="str">
        <f t="shared" si="144"/>
        <v>No Impact</v>
      </c>
      <c r="V428">
        <f t="shared" si="145"/>
        <v>7.5661255911763856E-2</v>
      </c>
      <c r="W428">
        <f t="shared" si="138"/>
        <v>0.10169245181160515</v>
      </c>
      <c r="X428" t="s">
        <v>1176</v>
      </c>
      <c r="Y428">
        <f t="shared" si="146"/>
        <v>3.9754402310138985E-2</v>
      </c>
      <c r="Z428">
        <f t="shared" si="139"/>
        <v>7.9653650638899079E-2</v>
      </c>
      <c r="AA428" t="str">
        <f t="shared" si="147"/>
        <v>No Impact</v>
      </c>
      <c r="AB428">
        <f t="shared" si="148"/>
        <v>4.8884801356904158E-2</v>
      </c>
      <c r="AC428">
        <f t="shared" si="140"/>
        <v>0.11477041584095829</v>
      </c>
      <c r="AD428" t="str">
        <f t="shared" si="149"/>
        <v>No Impact</v>
      </c>
      <c r="AE428">
        <f t="shared" si="150"/>
        <v>2.9934403127843196E-2</v>
      </c>
      <c r="AF428">
        <f t="shared" si="141"/>
        <v>0.16375434986891327</v>
      </c>
      <c r="AG428" t="s">
        <v>1175</v>
      </c>
    </row>
    <row r="429" spans="1:33" x14ac:dyDescent="0.3">
      <c r="A429">
        <v>507683</v>
      </c>
      <c r="B429" t="s">
        <v>502</v>
      </c>
      <c r="C429" s="1" t="s">
        <v>964</v>
      </c>
      <c r="D429" t="s">
        <v>971</v>
      </c>
      <c r="E429" s="4">
        <v>5</v>
      </c>
      <c r="F429" s="3">
        <f t="shared" si="151"/>
        <v>0.39999999999999997</v>
      </c>
      <c r="G429">
        <v>48.499920000000003</v>
      </c>
      <c r="H429">
        <f t="shared" si="142"/>
        <v>0.45777409292621762</v>
      </c>
      <c r="I429">
        <v>112.1</v>
      </c>
      <c r="J429" s="3">
        <f t="shared" si="132"/>
        <v>0.34662956091527514</v>
      </c>
      <c r="K429">
        <v>0</v>
      </c>
      <c r="L429" s="3">
        <f t="shared" si="133"/>
        <v>0</v>
      </c>
      <c r="M429">
        <v>30851</v>
      </c>
      <c r="N429">
        <f t="shared" si="134"/>
        <v>0.1448382563767725</v>
      </c>
      <c r="O429" s="15">
        <v>0.35373111099999999</v>
      </c>
      <c r="P429">
        <f t="shared" si="135"/>
        <v>0.36061276260169767</v>
      </c>
      <c r="Q429">
        <v>0.29020000000000001</v>
      </c>
      <c r="R429">
        <f t="shared" si="136"/>
        <v>0.64331633784083353</v>
      </c>
      <c r="S429">
        <f t="shared" si="143"/>
        <v>5.0685478796443535E-2</v>
      </c>
      <c r="T429" s="14">
        <f t="shared" si="137"/>
        <v>8.5032200246451903E-2</v>
      </c>
      <c r="U429" t="str">
        <f t="shared" si="144"/>
        <v>No Impact</v>
      </c>
      <c r="V429">
        <f t="shared" si="145"/>
        <v>6.4958365260383871E-2</v>
      </c>
      <c r="W429">
        <f t="shared" si="138"/>
        <v>8.7307240005451231E-2</v>
      </c>
      <c r="X429" t="s">
        <v>1176</v>
      </c>
      <c r="Y429">
        <f t="shared" si="146"/>
        <v>3.6412592332503199E-2</v>
      </c>
      <c r="Z429">
        <f t="shared" si="139"/>
        <v>7.2957854727202037E-2</v>
      </c>
      <c r="AA429" t="str">
        <f t="shared" si="147"/>
        <v>No Impact</v>
      </c>
      <c r="AB429">
        <f t="shared" si="148"/>
        <v>3.8777931015108465E-2</v>
      </c>
      <c r="AC429">
        <f t="shared" si="140"/>
        <v>9.1041778723059602E-2</v>
      </c>
      <c r="AD429" t="str">
        <f t="shared" si="149"/>
        <v>No Impact</v>
      </c>
      <c r="AE429">
        <f t="shared" si="150"/>
        <v>1.4624929926351891E-2</v>
      </c>
      <c r="AF429">
        <f t="shared" si="141"/>
        <v>8.0004798550353529E-2</v>
      </c>
      <c r="AG429" t="s">
        <v>1175</v>
      </c>
    </row>
    <row r="430" spans="1:33" x14ac:dyDescent="0.3">
      <c r="A430">
        <v>508110</v>
      </c>
      <c r="B430" t="s">
        <v>26</v>
      </c>
      <c r="C430" s="1" t="s">
        <v>973</v>
      </c>
      <c r="D430" t="s">
        <v>972</v>
      </c>
      <c r="E430" s="4">
        <v>4.3</v>
      </c>
      <c r="F430" s="3">
        <f t="shared" si="151"/>
        <v>0.24444444444444435</v>
      </c>
      <c r="G430">
        <v>42.475320000000004</v>
      </c>
      <c r="H430">
        <f t="shared" si="142"/>
        <v>0.4009099620112947</v>
      </c>
      <c r="I430">
        <v>46.300000000000004</v>
      </c>
      <c r="J430" s="3">
        <f t="shared" si="132"/>
        <v>0.14316635745207174</v>
      </c>
      <c r="K430">
        <v>0</v>
      </c>
      <c r="L430" s="3">
        <f t="shared" si="133"/>
        <v>0</v>
      </c>
      <c r="M430">
        <v>16015</v>
      </c>
      <c r="N430">
        <f t="shared" si="134"/>
        <v>7.4642896008100187E-2</v>
      </c>
      <c r="O430" s="15">
        <v>0.35543725900000001</v>
      </c>
      <c r="P430">
        <f t="shared" si="135"/>
        <v>0.36235210280829705</v>
      </c>
      <c r="Q430">
        <v>0.29459999999999997</v>
      </c>
      <c r="R430">
        <f t="shared" si="136"/>
        <v>0.65307027266681439</v>
      </c>
      <c r="S430">
        <f t="shared" si="143"/>
        <v>2.3455916359978481E-2</v>
      </c>
      <c r="T430" s="14">
        <f t="shared" si="137"/>
        <v>3.9350682369911183E-2</v>
      </c>
      <c r="U430" t="str">
        <f t="shared" si="144"/>
        <v>No Impact</v>
      </c>
      <c r="V430">
        <f t="shared" si="145"/>
        <v>3.017140859377606E-2</v>
      </c>
      <c r="W430">
        <f t="shared" si="138"/>
        <v>4.0551858114659917E-2</v>
      </c>
      <c r="X430" t="s">
        <v>1176</v>
      </c>
      <c r="Y430">
        <f t="shared" si="146"/>
        <v>1.6740424126180903E-2</v>
      </c>
      <c r="Z430">
        <f t="shared" si="139"/>
        <v>3.3541842347199133E-2</v>
      </c>
      <c r="AA430" t="str">
        <f t="shared" si="147"/>
        <v>No Impact</v>
      </c>
      <c r="AB430">
        <f t="shared" si="148"/>
        <v>1.6789078352512327E-2</v>
      </c>
      <c r="AC430">
        <f t="shared" si="140"/>
        <v>3.9416944543482942E-2</v>
      </c>
      <c r="AD430" t="str">
        <f t="shared" si="149"/>
        <v>No Impact</v>
      </c>
      <c r="AE430">
        <f t="shared" si="150"/>
        <v>3.4484517338183932E-3</v>
      </c>
      <c r="AF430">
        <f t="shared" si="141"/>
        <v>1.8864547568029123E-2</v>
      </c>
      <c r="AG430" t="s">
        <v>1176</v>
      </c>
    </row>
    <row r="431" spans="1:33" x14ac:dyDescent="0.3">
      <c r="A431">
        <v>508112</v>
      </c>
      <c r="B431" t="s">
        <v>29</v>
      </c>
      <c r="C431" s="1" t="s">
        <v>973</v>
      </c>
      <c r="D431" t="s">
        <v>974</v>
      </c>
      <c r="E431" s="4">
        <v>4.5999999999999996</v>
      </c>
      <c r="F431" s="3">
        <f t="shared" si="151"/>
        <v>0.31111111111111101</v>
      </c>
      <c r="G431">
        <v>45.312840000000001</v>
      </c>
      <c r="H431">
        <f t="shared" si="142"/>
        <v>0.42769233905768983</v>
      </c>
      <c r="I431">
        <v>15.899999999999997</v>
      </c>
      <c r="J431" s="3">
        <f t="shared" si="132"/>
        <v>4.9165120593692005E-2</v>
      </c>
      <c r="K431">
        <v>0</v>
      </c>
      <c r="L431" s="3">
        <f t="shared" si="133"/>
        <v>0</v>
      </c>
      <c r="M431">
        <v>22499</v>
      </c>
      <c r="N431">
        <f t="shared" si="134"/>
        <v>0.10532142907836653</v>
      </c>
      <c r="O431" s="15">
        <v>0.40066613899999998</v>
      </c>
      <c r="P431">
        <f t="shared" si="135"/>
        <v>0.40846088673762654</v>
      </c>
      <c r="Q431">
        <v>0.2382</v>
      </c>
      <c r="R431">
        <f t="shared" si="136"/>
        <v>0.52804256262469518</v>
      </c>
      <c r="S431">
        <f t="shared" si="143"/>
        <v>2.6354657983454551E-2</v>
      </c>
      <c r="T431" s="14">
        <f t="shared" si="137"/>
        <v>4.4213739482976029E-2</v>
      </c>
      <c r="U431" t="str">
        <f t="shared" si="144"/>
        <v>No Impact</v>
      </c>
      <c r="V431">
        <f t="shared" si="145"/>
        <v>2.9719871609990504E-2</v>
      </c>
      <c r="W431">
        <f t="shared" si="138"/>
        <v>3.9944970184880906E-2</v>
      </c>
      <c r="X431" t="s">
        <v>1176</v>
      </c>
      <c r="Y431">
        <f t="shared" si="146"/>
        <v>2.29894443569186E-2</v>
      </c>
      <c r="Z431">
        <f t="shared" si="139"/>
        <v>4.6062651248095242E-2</v>
      </c>
      <c r="AA431" t="str">
        <f t="shared" si="147"/>
        <v>No Impact</v>
      </c>
      <c r="AB431">
        <f t="shared" si="148"/>
        <v>1.9373524102197507E-2</v>
      </c>
      <c r="AC431">
        <f t="shared" si="140"/>
        <v>4.5484636447233981E-2</v>
      </c>
      <c r="AD431" t="str">
        <f t="shared" si="149"/>
        <v>No Impact</v>
      </c>
      <c r="AE431">
        <f t="shared" si="150"/>
        <v>5.9278163760721541E-3</v>
      </c>
      <c r="AF431">
        <f t="shared" si="141"/>
        <v>3.2427762553351211E-2</v>
      </c>
      <c r="AG431" t="s">
        <v>1176</v>
      </c>
    </row>
    <row r="432" spans="1:33" x14ac:dyDescent="0.3">
      <c r="A432">
        <v>508122</v>
      </c>
      <c r="B432" t="s">
        <v>82</v>
      </c>
      <c r="C432" s="1" t="s">
        <v>973</v>
      </c>
      <c r="D432" t="s">
        <v>975</v>
      </c>
      <c r="E432" s="4">
        <v>4.5999999999999996</v>
      </c>
      <c r="F432" s="3">
        <f t="shared" si="151"/>
        <v>0.31111111111111101</v>
      </c>
      <c r="G432">
        <v>39.945599999999999</v>
      </c>
      <c r="H432">
        <f t="shared" si="142"/>
        <v>0.37703280348490303</v>
      </c>
      <c r="I432">
        <v>25.900000000000002</v>
      </c>
      <c r="J432" s="3">
        <f t="shared" si="132"/>
        <v>8.0086580086580081E-2</v>
      </c>
      <c r="K432">
        <v>0</v>
      </c>
      <c r="L432" s="3">
        <f t="shared" si="133"/>
        <v>0</v>
      </c>
      <c r="M432">
        <v>27245</v>
      </c>
      <c r="N432">
        <f t="shared" si="134"/>
        <v>0.12777675263658431</v>
      </c>
      <c r="O432" s="15">
        <v>0.67077505800000004</v>
      </c>
      <c r="P432">
        <f t="shared" si="135"/>
        <v>0.68382463183933517</v>
      </c>
      <c r="Q432">
        <v>0.23</v>
      </c>
      <c r="R432">
        <f t="shared" si="136"/>
        <v>0.50986477499445804</v>
      </c>
      <c r="S432">
        <f t="shared" si="143"/>
        <v>3.097791291393396E-2</v>
      </c>
      <c r="T432" s="14">
        <f t="shared" si="137"/>
        <v>5.1969916367833741E-2</v>
      </c>
      <c r="U432" t="str">
        <f t="shared" si="144"/>
        <v>No Impact</v>
      </c>
      <c r="V432">
        <f t="shared" si="145"/>
        <v>2.6463410845799774E-2</v>
      </c>
      <c r="W432">
        <f t="shared" si="138"/>
        <v>3.5568126642592304E-2</v>
      </c>
      <c r="X432" t="s">
        <v>1176</v>
      </c>
      <c r="Y432">
        <f t="shared" si="146"/>
        <v>3.5492414982068135E-2</v>
      </c>
      <c r="Z432">
        <f t="shared" si="139"/>
        <v>7.111414734039298E-2</v>
      </c>
      <c r="AA432" t="str">
        <f t="shared" si="147"/>
        <v>No Impact</v>
      </c>
      <c r="AB432">
        <f t="shared" si="148"/>
        <v>2.2231108346504453E-2</v>
      </c>
      <c r="AC432">
        <f t="shared" si="140"/>
        <v>5.2193595528917128E-2</v>
      </c>
      <c r="AD432" t="str">
        <f t="shared" si="149"/>
        <v>No Impact</v>
      </c>
      <c r="AE432">
        <f t="shared" si="150"/>
        <v>6.6319715881545541E-3</v>
      </c>
      <c r="AF432">
        <f t="shared" si="141"/>
        <v>3.6279801241709327E-2</v>
      </c>
      <c r="AG432" t="s">
        <v>1176</v>
      </c>
    </row>
    <row r="433" spans="1:33" x14ac:dyDescent="0.3">
      <c r="A433">
        <v>508125</v>
      </c>
      <c r="B433" t="s">
        <v>102</v>
      </c>
      <c r="C433" s="1" t="s">
        <v>973</v>
      </c>
      <c r="D433" t="s">
        <v>976</v>
      </c>
      <c r="E433" s="4">
        <v>4.5999999999999996</v>
      </c>
      <c r="F433" s="3">
        <f t="shared" si="151"/>
        <v>0.31111111111111101</v>
      </c>
      <c r="G433">
        <v>42.475320000000004</v>
      </c>
      <c r="H433">
        <f t="shared" si="142"/>
        <v>0.4009099620112947</v>
      </c>
      <c r="I433">
        <v>42.1</v>
      </c>
      <c r="J433" s="3">
        <f t="shared" si="132"/>
        <v>0.13017934446505874</v>
      </c>
      <c r="K433">
        <v>0</v>
      </c>
      <c r="L433" s="3">
        <f t="shared" si="133"/>
        <v>0</v>
      </c>
      <c r="M433">
        <v>29401</v>
      </c>
      <c r="N433">
        <f t="shared" si="134"/>
        <v>0.13797769608191035</v>
      </c>
      <c r="O433" s="15">
        <v>0.178802766</v>
      </c>
      <c r="P433">
        <f t="shared" si="135"/>
        <v>0.18228127920612813</v>
      </c>
      <c r="Q433">
        <v>0.35339999999999999</v>
      </c>
      <c r="R433">
        <f t="shared" si="136"/>
        <v>0.78341831079583235</v>
      </c>
      <c r="S433">
        <f t="shared" si="143"/>
        <v>2.8000974134331294E-2</v>
      </c>
      <c r="T433" s="14">
        <f t="shared" si="137"/>
        <v>4.6975672248226769E-2</v>
      </c>
      <c r="U433" t="str">
        <f t="shared" si="144"/>
        <v>No Impact</v>
      </c>
      <c r="V433">
        <f t="shared" si="145"/>
        <v>4.5431262649518328E-2</v>
      </c>
      <c r="W433">
        <f t="shared" si="138"/>
        <v>6.1061853019124902E-2</v>
      </c>
      <c r="X433" t="s">
        <v>1176</v>
      </c>
      <c r="Y433">
        <f t="shared" si="146"/>
        <v>1.0570685619144258E-2</v>
      </c>
      <c r="Z433">
        <f t="shared" si="139"/>
        <v>2.1179885758368169E-2</v>
      </c>
      <c r="AA433" t="str">
        <f t="shared" si="147"/>
        <v>No Impact</v>
      </c>
      <c r="AB433">
        <f t="shared" si="148"/>
        <v>2.1872663381510966E-2</v>
      </c>
      <c r="AC433">
        <f t="shared" si="140"/>
        <v>5.1352048124683067E-2</v>
      </c>
      <c r="AD433" t="str">
        <f t="shared" si="149"/>
        <v>No Impact</v>
      </c>
      <c r="AE433">
        <f t="shared" si="150"/>
        <v>8.0014736241036458E-3</v>
      </c>
      <c r="AF433">
        <f t="shared" si="141"/>
        <v>4.3771579667463256E-2</v>
      </c>
      <c r="AG433" t="s">
        <v>1176</v>
      </c>
    </row>
    <row r="434" spans="1:33" x14ac:dyDescent="0.3">
      <c r="A434">
        <v>508131</v>
      </c>
      <c r="B434" t="s">
        <v>160</v>
      </c>
      <c r="C434" s="1" t="s">
        <v>973</v>
      </c>
      <c r="D434" t="s">
        <v>1144</v>
      </c>
      <c r="E434" s="4">
        <v>4.5</v>
      </c>
      <c r="F434" s="3">
        <f t="shared" si="151"/>
        <v>0.28888888888888886</v>
      </c>
      <c r="G434">
        <v>42.015599999999999</v>
      </c>
      <c r="H434">
        <f t="shared" si="142"/>
        <v>0.39657082277147648</v>
      </c>
      <c r="I434">
        <v>19.900000000000002</v>
      </c>
      <c r="J434" s="3">
        <f t="shared" si="132"/>
        <v>6.1533704390847245E-2</v>
      </c>
      <c r="K434">
        <v>0</v>
      </c>
      <c r="L434" s="3">
        <f t="shared" si="133"/>
        <v>0</v>
      </c>
      <c r="M434">
        <v>23168</v>
      </c>
      <c r="N434">
        <f t="shared" si="134"/>
        <v>0.10848674965578912</v>
      </c>
      <c r="O434" s="15">
        <v>0.244448947</v>
      </c>
      <c r="P434">
        <f t="shared" si="135"/>
        <v>0.24920457192340648</v>
      </c>
      <c r="Q434">
        <v>0.34589999999999999</v>
      </c>
      <c r="R434">
        <f t="shared" si="136"/>
        <v>0.76679228552427392</v>
      </c>
      <c r="S434">
        <f t="shared" si="143"/>
        <v>2.508559356826575E-2</v>
      </c>
      <c r="T434" s="14">
        <f t="shared" si="137"/>
        <v>4.2084700909396401E-2</v>
      </c>
      <c r="U434" t="str">
        <f t="shared" si="144"/>
        <v>No Impact</v>
      </c>
      <c r="V434">
        <f t="shared" si="145"/>
        <v>3.786515575307095E-2</v>
      </c>
      <c r="W434">
        <f t="shared" si="138"/>
        <v>5.0892632964600282E-2</v>
      </c>
      <c r="X434" t="s">
        <v>1176</v>
      </c>
      <c r="Y434">
        <f t="shared" si="146"/>
        <v>1.2306031383460552E-2</v>
      </c>
      <c r="Z434">
        <f t="shared" si="139"/>
        <v>2.465690005656301E-2</v>
      </c>
      <c r="AA434" t="str">
        <f t="shared" si="147"/>
        <v>No Impact</v>
      </c>
      <c r="AB434">
        <f t="shared" si="148"/>
        <v>1.8819637598834559E-2</v>
      </c>
      <c r="AC434">
        <f t="shared" si="140"/>
        <v>4.4184236679716424E-2</v>
      </c>
      <c r="AD434" t="str">
        <f t="shared" si="149"/>
        <v>No Impact</v>
      </c>
      <c r="AE434">
        <f t="shared" si="150"/>
        <v>5.3572104863473247E-3</v>
      </c>
      <c r="AF434">
        <f t="shared" si="141"/>
        <v>2.9306297391537089E-2</v>
      </c>
      <c r="AG434" t="s">
        <v>1176</v>
      </c>
    </row>
    <row r="435" spans="1:33" x14ac:dyDescent="0.3">
      <c r="A435">
        <v>508134</v>
      </c>
      <c r="B435" t="s">
        <v>187</v>
      </c>
      <c r="C435" s="1" t="s">
        <v>973</v>
      </c>
      <c r="D435" t="s">
        <v>977</v>
      </c>
      <c r="E435" s="4">
        <v>4.7</v>
      </c>
      <c r="F435" s="3">
        <f t="shared" si="151"/>
        <v>0.33333333333333331</v>
      </c>
      <c r="G435">
        <v>40.298400000000001</v>
      </c>
      <c r="H435">
        <f t="shared" si="142"/>
        <v>0.38036276155461468</v>
      </c>
      <c r="I435">
        <v>4.1000000000000014</v>
      </c>
      <c r="J435" s="3">
        <f t="shared" si="132"/>
        <v>1.2677798392084109E-2</v>
      </c>
      <c r="K435">
        <v>0</v>
      </c>
      <c r="L435" s="3">
        <f t="shared" si="133"/>
        <v>0</v>
      </c>
      <c r="M435">
        <v>52038</v>
      </c>
      <c r="N435">
        <f t="shared" si="134"/>
        <v>0.24508287083694105</v>
      </c>
      <c r="O435" s="15">
        <v>0.28517345599999999</v>
      </c>
      <c r="P435">
        <f t="shared" si="135"/>
        <v>0.29072135469824051</v>
      </c>
      <c r="Q435">
        <v>0.34389999999999998</v>
      </c>
      <c r="R435">
        <f t="shared" si="136"/>
        <v>0.7623586787851917</v>
      </c>
      <c r="S435">
        <f t="shared" si="143"/>
        <v>2.7148519856760027E-2</v>
      </c>
      <c r="T435" s="14">
        <f t="shared" si="137"/>
        <v>4.5545557261595322E-2</v>
      </c>
      <c r="U435" t="str">
        <f t="shared" si="144"/>
        <v>No Impact</v>
      </c>
      <c r="V435">
        <f t="shared" si="145"/>
        <v>3.9307382289854677E-2</v>
      </c>
      <c r="W435">
        <f t="shared" si="138"/>
        <v>5.2831056412980998E-2</v>
      </c>
      <c r="X435" t="s">
        <v>1176</v>
      </c>
      <c r="Y435">
        <f t="shared" si="146"/>
        <v>1.4989657423665381E-2</v>
      </c>
      <c r="Z435">
        <f t="shared" si="139"/>
        <v>3.0033929986086311E-2</v>
      </c>
      <c r="AA435" t="str">
        <f t="shared" si="147"/>
        <v>No Impact</v>
      </c>
      <c r="AB435">
        <f t="shared" si="148"/>
        <v>2.2677265510010664E-2</v>
      </c>
      <c r="AC435">
        <f t="shared" si="140"/>
        <v>5.3241071262983872E-2</v>
      </c>
      <c r="AD435" t="str">
        <f t="shared" si="149"/>
        <v>No Impact</v>
      </c>
      <c r="AE435">
        <f t="shared" si="150"/>
        <v>1.2636527089891172E-2</v>
      </c>
      <c r="AF435">
        <f t="shared" si="141"/>
        <v>6.9127360561310566E-2</v>
      </c>
      <c r="AG435" t="s">
        <v>1175</v>
      </c>
    </row>
    <row r="436" spans="1:33" x14ac:dyDescent="0.3">
      <c r="A436">
        <v>508140</v>
      </c>
      <c r="B436" t="s">
        <v>325</v>
      </c>
      <c r="C436" s="1" t="s">
        <v>973</v>
      </c>
      <c r="D436" t="s">
        <v>978</v>
      </c>
      <c r="E436" s="4">
        <v>3.6</v>
      </c>
      <c r="F436" s="3">
        <f t="shared" si="151"/>
        <v>8.8888888888888865E-2</v>
      </c>
      <c r="G436">
        <v>39.945599999999999</v>
      </c>
      <c r="H436">
        <f t="shared" si="142"/>
        <v>0.37703280348490303</v>
      </c>
      <c r="I436">
        <v>25.900000000000002</v>
      </c>
      <c r="J436" s="3">
        <f t="shared" si="132"/>
        <v>8.0086580086580081E-2</v>
      </c>
      <c r="K436">
        <v>0</v>
      </c>
      <c r="L436" s="3">
        <f t="shared" si="133"/>
        <v>0</v>
      </c>
      <c r="M436">
        <v>7843</v>
      </c>
      <c r="N436">
        <f t="shared" si="134"/>
        <v>3.5977724470435714E-2</v>
      </c>
      <c r="O436" s="15">
        <v>0.64438982199999995</v>
      </c>
      <c r="P436">
        <f t="shared" si="135"/>
        <v>0.65692608503365768</v>
      </c>
      <c r="Q436">
        <v>0.26860000000000001</v>
      </c>
      <c r="R436">
        <f t="shared" si="136"/>
        <v>0.59543338505874532</v>
      </c>
      <c r="S436">
        <f t="shared" si="143"/>
        <v>9.2858523640742627E-3</v>
      </c>
      <c r="T436" s="14">
        <f t="shared" si="137"/>
        <v>1.5578356492438925E-2</v>
      </c>
      <c r="U436" t="str">
        <f t="shared" si="144"/>
        <v>No Impact</v>
      </c>
      <c r="V436">
        <f t="shared" si="145"/>
        <v>8.8299032958780374E-3</v>
      </c>
      <c r="W436">
        <f t="shared" si="138"/>
        <v>1.1867824616397881E-2</v>
      </c>
      <c r="X436" t="s">
        <v>1176</v>
      </c>
      <c r="Y436">
        <f t="shared" si="146"/>
        <v>9.7418014322704881E-3</v>
      </c>
      <c r="Z436">
        <f t="shared" si="139"/>
        <v>1.9519097327283835E-2</v>
      </c>
      <c r="AA436" t="str">
        <f t="shared" si="147"/>
        <v>No Impact</v>
      </c>
      <c r="AB436">
        <f t="shared" si="148"/>
        <v>6.1997410568973765E-3</v>
      </c>
      <c r="AC436">
        <f t="shared" si="140"/>
        <v>1.4555584546849756E-2</v>
      </c>
      <c r="AD436" t="str">
        <f t="shared" si="149"/>
        <v>No Impact</v>
      </c>
      <c r="AE436">
        <f t="shared" si="150"/>
        <v>5.3352706759690681E-4</v>
      </c>
      <c r="AF436">
        <f t="shared" si="141"/>
        <v>2.9186276979925913E-3</v>
      </c>
      <c r="AG436" t="s">
        <v>1176</v>
      </c>
    </row>
    <row r="437" spans="1:33" x14ac:dyDescent="0.3">
      <c r="A437">
        <v>508153</v>
      </c>
      <c r="B437" t="s">
        <v>344</v>
      </c>
      <c r="C437" s="1" t="s">
        <v>973</v>
      </c>
      <c r="D437" t="s">
        <v>979</v>
      </c>
      <c r="E437" s="4">
        <v>3.5</v>
      </c>
      <c r="F437" s="3">
        <f t="shared" si="151"/>
        <v>6.6666666666666624E-2</v>
      </c>
      <c r="G437">
        <v>44.583840000000002</v>
      </c>
      <c r="H437">
        <f t="shared" si="142"/>
        <v>0.42081155835241829</v>
      </c>
      <c r="I437">
        <v>12.700000000000001</v>
      </c>
      <c r="J437" s="3">
        <f t="shared" si="132"/>
        <v>3.9270253555967839E-2</v>
      </c>
      <c r="K437">
        <v>0</v>
      </c>
      <c r="L437" s="3">
        <f t="shared" si="133"/>
        <v>0</v>
      </c>
      <c r="M437">
        <v>20804</v>
      </c>
      <c r="N437">
        <f t="shared" si="134"/>
        <v>9.7301670664717316E-2</v>
      </c>
      <c r="O437" s="15">
        <v>4.0379255000000003E-2</v>
      </c>
      <c r="P437">
        <f t="shared" si="135"/>
        <v>4.1164812040941502E-2</v>
      </c>
      <c r="Q437">
        <v>0.28260000000000002</v>
      </c>
      <c r="R437">
        <f t="shared" si="136"/>
        <v>0.62646863223232108</v>
      </c>
      <c r="S437">
        <f t="shared" si="143"/>
        <v>3.9207591654980192E-3</v>
      </c>
      <c r="T437" s="14">
        <f t="shared" si="137"/>
        <v>6.5776389292416509E-3</v>
      </c>
      <c r="U437" t="str">
        <f t="shared" si="144"/>
        <v>No Impact</v>
      </c>
      <c r="V437">
        <f t="shared" si="145"/>
        <v>7.3580275307974048E-3</v>
      </c>
      <c r="W437">
        <f t="shared" si="138"/>
        <v>9.8895511459219619E-3</v>
      </c>
      <c r="X437" t="s">
        <v>1176</v>
      </c>
      <c r="Y437">
        <f t="shared" si="146"/>
        <v>4.834908001986331E-4</v>
      </c>
      <c r="Z437">
        <f t="shared" si="139"/>
        <v>9.6874320951170745E-4</v>
      </c>
      <c r="AA437" t="str">
        <f t="shared" si="147"/>
        <v>No Impact</v>
      </c>
      <c r="AB437">
        <f t="shared" si="148"/>
        <v>3.1203480599899798E-3</v>
      </c>
      <c r="AC437">
        <f t="shared" si="140"/>
        <v>7.3258688687092002E-3</v>
      </c>
      <c r="AD437" t="str">
        <f t="shared" si="149"/>
        <v>No Impact</v>
      </c>
      <c r="AE437">
        <f t="shared" si="150"/>
        <v>1.1428319547179952E-3</v>
      </c>
      <c r="AF437">
        <f t="shared" si="141"/>
        <v>6.2517933948779726E-3</v>
      </c>
      <c r="AG437" t="s">
        <v>1176</v>
      </c>
    </row>
    <row r="438" spans="1:33" x14ac:dyDescent="0.3">
      <c r="A438">
        <v>508172</v>
      </c>
      <c r="B438" t="s">
        <v>388</v>
      </c>
      <c r="C438" s="1" t="s">
        <v>973</v>
      </c>
      <c r="D438" t="s">
        <v>980</v>
      </c>
      <c r="E438" s="4">
        <v>4.5</v>
      </c>
      <c r="F438" s="3">
        <f t="shared" si="151"/>
        <v>0.28888888888888886</v>
      </c>
      <c r="G438">
        <v>40.659480000000002</v>
      </c>
      <c r="H438">
        <f t="shared" si="142"/>
        <v>0.38377087170147267</v>
      </c>
      <c r="I438">
        <v>25.900000000000002</v>
      </c>
      <c r="J438" s="3">
        <f t="shared" si="132"/>
        <v>8.0086580086580081E-2</v>
      </c>
      <c r="K438">
        <v>0</v>
      </c>
      <c r="L438" s="3">
        <f t="shared" si="133"/>
        <v>0</v>
      </c>
      <c r="M438">
        <v>62600</v>
      </c>
      <c r="N438">
        <f t="shared" si="134"/>
        <v>0.29505613830889554</v>
      </c>
      <c r="O438" s="15">
        <v>0.55838212799999998</v>
      </c>
      <c r="P438">
        <f t="shared" si="135"/>
        <v>0.56924515685445254</v>
      </c>
      <c r="Q438">
        <v>0.31180000000000002</v>
      </c>
      <c r="R438">
        <f t="shared" si="136"/>
        <v>0.69119929062292185</v>
      </c>
      <c r="S438">
        <f t="shared" si="143"/>
        <v>3.0864554178377919E-2</v>
      </c>
      <c r="T438" s="14">
        <f t="shared" si="137"/>
        <v>5.1779740740999926E-2</v>
      </c>
      <c r="U438" t="str">
        <f t="shared" si="144"/>
        <v>No Impact</v>
      </c>
      <c r="V438">
        <f t="shared" si="145"/>
        <v>3.385084998578726E-2</v>
      </c>
      <c r="W438">
        <f t="shared" si="138"/>
        <v>4.5497208438834855E-2</v>
      </c>
      <c r="X438" t="s">
        <v>1176</v>
      </c>
      <c r="Y438">
        <f t="shared" si="146"/>
        <v>2.7878258370968575E-2</v>
      </c>
      <c r="Z438">
        <f t="shared" si="139"/>
        <v>5.5858091775052299E-2</v>
      </c>
      <c r="AA438" t="str">
        <f t="shared" si="147"/>
        <v>No Impact</v>
      </c>
      <c r="AB438">
        <f t="shared" si="148"/>
        <v>2.5268811123284048E-2</v>
      </c>
      <c r="AC438">
        <f t="shared" si="140"/>
        <v>5.9325432034640975E-2</v>
      </c>
      <c r="AD438" t="str">
        <f t="shared" si="149"/>
        <v>No Impact</v>
      </c>
      <c r="AE438">
        <f t="shared" si="150"/>
        <v>1.4450103191336952E-2</v>
      </c>
      <c r="AF438">
        <f t="shared" si="141"/>
        <v>7.9048419423306648E-2</v>
      </c>
      <c r="AG438" t="s">
        <v>1175</v>
      </c>
    </row>
    <row r="439" spans="1:33" x14ac:dyDescent="0.3">
      <c r="A439">
        <v>508182</v>
      </c>
      <c r="B439" t="s">
        <v>420</v>
      </c>
      <c r="C439" s="1" t="s">
        <v>973</v>
      </c>
      <c r="D439" t="s">
        <v>981</v>
      </c>
      <c r="E439" s="4">
        <v>4.5999999999999996</v>
      </c>
      <c r="F439" s="3">
        <f t="shared" si="151"/>
        <v>0.31111111111111101</v>
      </c>
      <c r="G439">
        <v>42.015599999999999</v>
      </c>
      <c r="H439">
        <f t="shared" si="142"/>
        <v>0.39657082277147648</v>
      </c>
      <c r="I439">
        <v>35.299999999999997</v>
      </c>
      <c r="J439" s="3">
        <f t="shared" si="132"/>
        <v>0.10915275200989484</v>
      </c>
      <c r="K439">
        <v>0</v>
      </c>
      <c r="L439" s="3">
        <f t="shared" si="133"/>
        <v>0</v>
      </c>
      <c r="M439">
        <v>25708</v>
      </c>
      <c r="N439">
        <f t="shared" si="134"/>
        <v>0.12050455872403042</v>
      </c>
      <c r="O439" s="15">
        <v>0.331612982</v>
      </c>
      <c r="P439">
        <f t="shared" si="135"/>
        <v>0.33806433710493461</v>
      </c>
      <c r="Q439">
        <v>0.33040000000000003</v>
      </c>
      <c r="R439">
        <f t="shared" si="136"/>
        <v>0.73243183329638661</v>
      </c>
      <c r="S439">
        <f t="shared" si="143"/>
        <v>3.0050306133707703E-2</v>
      </c>
      <c r="T439" s="14">
        <f t="shared" si="137"/>
        <v>5.0413722219941032E-2</v>
      </c>
      <c r="U439" t="str">
        <f t="shared" si="144"/>
        <v>No Impact</v>
      </c>
      <c r="V439">
        <f t="shared" si="145"/>
        <v>4.1120746474745201E-2</v>
      </c>
      <c r="W439">
        <f t="shared" si="138"/>
        <v>5.526830712692532E-2</v>
      </c>
      <c r="X439" t="s">
        <v>1176</v>
      </c>
      <c r="Y439">
        <f t="shared" si="146"/>
        <v>1.8979865792670202E-2</v>
      </c>
      <c r="Z439">
        <f t="shared" si="139"/>
        <v>3.8028885133986008E-2</v>
      </c>
      <c r="AA439" t="str">
        <f t="shared" si="147"/>
        <v>No Impact</v>
      </c>
      <c r="AB439">
        <f t="shared" si="148"/>
        <v>2.2454131591782889E-2</v>
      </c>
      <c r="AC439">
        <f t="shared" si="140"/>
        <v>5.2717203478470365E-2</v>
      </c>
      <c r="AD439" t="str">
        <f t="shared" si="149"/>
        <v>No Impact</v>
      </c>
      <c r="AE439">
        <f t="shared" si="150"/>
        <v>6.7654588223457351E-3</v>
      </c>
      <c r="AF439">
        <f t="shared" si="141"/>
        <v>3.7010035118677606E-2</v>
      </c>
      <c r="AG439" t="s">
        <v>1176</v>
      </c>
    </row>
    <row r="440" spans="1:33" x14ac:dyDescent="0.3">
      <c r="A440">
        <v>508185</v>
      </c>
      <c r="B440" t="s">
        <v>427</v>
      </c>
      <c r="C440" s="1" t="s">
        <v>973</v>
      </c>
      <c r="D440" t="s">
        <v>982</v>
      </c>
      <c r="E440" s="4">
        <v>4.5999999999999996</v>
      </c>
      <c r="F440" s="3">
        <f t="shared" si="151"/>
        <v>0.31111111111111101</v>
      </c>
      <c r="G440">
        <v>38.469239999999999</v>
      </c>
      <c r="H440">
        <f t="shared" si="142"/>
        <v>0.36309794833807907</v>
      </c>
      <c r="I440">
        <v>12.100000000000001</v>
      </c>
      <c r="J440" s="3">
        <f t="shared" si="132"/>
        <v>3.7414965986394558E-2</v>
      </c>
      <c r="K440">
        <v>0</v>
      </c>
      <c r="L440" s="3">
        <f t="shared" si="133"/>
        <v>0</v>
      </c>
      <c r="M440">
        <v>13822</v>
      </c>
      <c r="N440">
        <f t="shared" si="134"/>
        <v>6.4266889989732817E-2</v>
      </c>
      <c r="O440" s="15">
        <v>0.27037165099999999</v>
      </c>
      <c r="P440">
        <f t="shared" si="135"/>
        <v>0.27563158841375435</v>
      </c>
      <c r="Q440">
        <v>0.26040000000000002</v>
      </c>
      <c r="R440">
        <f t="shared" si="136"/>
        <v>0.57725559742850818</v>
      </c>
      <c r="S440">
        <f t="shared" si="143"/>
        <v>2.026185528063968E-2</v>
      </c>
      <c r="T440" s="14">
        <f t="shared" si="137"/>
        <v>3.3992184280379617E-2</v>
      </c>
      <c r="U440" t="str">
        <f t="shared" si="144"/>
        <v>No Impact</v>
      </c>
      <c r="V440">
        <f t="shared" si="145"/>
        <v>2.7427471227592818E-2</v>
      </c>
      <c r="W440">
        <f t="shared" si="138"/>
        <v>3.6863871244470159E-2</v>
      </c>
      <c r="X440" t="s">
        <v>1176</v>
      </c>
      <c r="Y440">
        <f t="shared" si="146"/>
        <v>1.3096239333686543E-2</v>
      </c>
      <c r="Z440">
        <f t="shared" si="139"/>
        <v>2.6240195096652916E-2</v>
      </c>
      <c r="AA440" t="str">
        <f t="shared" si="147"/>
        <v>No Impact</v>
      </c>
      <c r="AB440">
        <f t="shared" si="148"/>
        <v>1.4597228894198675E-2</v>
      </c>
      <c r="AC440">
        <f t="shared" si="140"/>
        <v>3.4270979605325151E-2</v>
      </c>
      <c r="AD440" t="str">
        <f t="shared" si="149"/>
        <v>No Impact</v>
      </c>
      <c r="AE440">
        <f t="shared" si="150"/>
        <v>3.0535490412435082E-3</v>
      </c>
      <c r="AF440">
        <f t="shared" si="141"/>
        <v>1.6704256166596963E-2</v>
      </c>
      <c r="AG440" t="s">
        <v>1176</v>
      </c>
    </row>
    <row r="441" spans="1:33" x14ac:dyDescent="0.3">
      <c r="A441">
        <v>508190</v>
      </c>
      <c r="B441" t="s">
        <v>470</v>
      </c>
      <c r="C441" s="1" t="s">
        <v>973</v>
      </c>
      <c r="D441" t="s">
        <v>983</v>
      </c>
      <c r="E441" s="4">
        <v>3.6</v>
      </c>
      <c r="F441" s="3">
        <f t="shared" si="151"/>
        <v>8.8888888888888865E-2</v>
      </c>
      <c r="G441">
        <v>38.437199999999997</v>
      </c>
      <c r="H441">
        <f t="shared" si="142"/>
        <v>0.36279553377868684</v>
      </c>
      <c r="I441">
        <v>13.200000000000001</v>
      </c>
      <c r="J441" s="3">
        <f t="shared" si="132"/>
        <v>4.0816326530612242E-2</v>
      </c>
      <c r="K441">
        <v>0</v>
      </c>
      <c r="L441" s="3">
        <f t="shared" si="133"/>
        <v>0</v>
      </c>
      <c r="M441">
        <v>6230</v>
      </c>
      <c r="N441">
        <f t="shared" si="134"/>
        <v>2.8345942570013202E-2</v>
      </c>
      <c r="O441" s="15">
        <v>8.3439589999999994E-2</v>
      </c>
      <c r="P441">
        <f t="shared" si="135"/>
        <v>8.5062863074695697E-2</v>
      </c>
      <c r="Q441">
        <v>0.28220000000000001</v>
      </c>
      <c r="R441">
        <f t="shared" si="136"/>
        <v>0.62558191088450454</v>
      </c>
      <c r="S441">
        <f t="shared" si="143"/>
        <v>4.8412747496205891E-3</v>
      </c>
      <c r="T441" s="14">
        <f t="shared" si="137"/>
        <v>8.1219365730193054E-3</v>
      </c>
      <c r="U441" t="str">
        <f t="shared" si="144"/>
        <v>No Impact</v>
      </c>
      <c r="V441">
        <f t="shared" si="145"/>
        <v>8.5235662597257893E-3</v>
      </c>
      <c r="W441">
        <f t="shared" si="138"/>
        <v>1.145609256263245E-2</v>
      </c>
      <c r="X441" t="s">
        <v>1176</v>
      </c>
      <c r="Y441">
        <f t="shared" si="146"/>
        <v>1.1589832395153897E-3</v>
      </c>
      <c r="Z441">
        <f t="shared" si="139"/>
        <v>2.3221892593554023E-3</v>
      </c>
      <c r="AA441" t="str">
        <f t="shared" si="147"/>
        <v>No Impact</v>
      </c>
      <c r="AB441">
        <f t="shared" si="148"/>
        <v>3.4661180781776295E-3</v>
      </c>
      <c r="AC441">
        <f t="shared" si="140"/>
        <v>8.1376583752881728E-3</v>
      </c>
      <c r="AD441" t="str">
        <f t="shared" si="149"/>
        <v>No Impact</v>
      </c>
      <c r="AE441">
        <f t="shared" si="150"/>
        <v>3.8621404405424919E-4</v>
      </c>
      <c r="AF441">
        <f t="shared" si="141"/>
        <v>2.1127606728701194E-3</v>
      </c>
      <c r="AG441" t="s">
        <v>1176</v>
      </c>
    </row>
    <row r="442" spans="1:33" x14ac:dyDescent="0.3">
      <c r="A442">
        <v>508194</v>
      </c>
      <c r="B442" t="s">
        <v>511</v>
      </c>
      <c r="C442" s="1" t="s">
        <v>973</v>
      </c>
      <c r="D442" t="s">
        <v>984</v>
      </c>
      <c r="E442" s="4">
        <v>4.7</v>
      </c>
      <c r="F442" s="3">
        <f t="shared" si="151"/>
        <v>0.33333333333333331</v>
      </c>
      <c r="G442">
        <v>44.583840000000002</v>
      </c>
      <c r="H442">
        <f t="shared" si="142"/>
        <v>0.42081155835241829</v>
      </c>
      <c r="I442">
        <v>9</v>
      </c>
      <c r="J442" s="3">
        <f t="shared" si="132"/>
        <v>2.7829313543599254E-2</v>
      </c>
      <c r="K442">
        <v>0</v>
      </c>
      <c r="L442" s="3">
        <f t="shared" si="133"/>
        <v>0</v>
      </c>
      <c r="M442">
        <v>17904</v>
      </c>
      <c r="N442">
        <f t="shared" si="134"/>
        <v>8.3580550074993015E-2</v>
      </c>
      <c r="O442" s="15">
        <v>0.118377898</v>
      </c>
      <c r="P442">
        <f t="shared" si="135"/>
        <v>0.12068087737061381</v>
      </c>
      <c r="Q442">
        <v>0.37180000000000002</v>
      </c>
      <c r="R442">
        <f t="shared" si="136"/>
        <v>0.82420749279538907</v>
      </c>
      <c r="S442">
        <f t="shared" si="143"/>
        <v>2.7384516325143826E-2</v>
      </c>
      <c r="T442" s="14">
        <f t="shared" si="137"/>
        <v>4.5941475371349363E-2</v>
      </c>
      <c r="U442" t="str">
        <f t="shared" si="144"/>
        <v>No Impact</v>
      </c>
      <c r="V442">
        <f t="shared" si="145"/>
        <v>4.7773947175994737E-2</v>
      </c>
      <c r="W442">
        <f t="shared" si="138"/>
        <v>6.4210536324042847E-2</v>
      </c>
      <c r="X442" t="s">
        <v>1176</v>
      </c>
      <c r="Y442">
        <f t="shared" si="146"/>
        <v>6.9950854742929086E-3</v>
      </c>
      <c r="Z442">
        <f t="shared" si="139"/>
        <v>1.4015657692744645E-2</v>
      </c>
      <c r="AA442" t="str">
        <f t="shared" si="147"/>
        <v>No Impact</v>
      </c>
      <c r="AB442">
        <f t="shared" si="148"/>
        <v>2.0515024442850787E-2</v>
      </c>
      <c r="AC442">
        <f t="shared" si="140"/>
        <v>4.8164620105608187E-2</v>
      </c>
      <c r="AD442" t="str">
        <f t="shared" si="149"/>
        <v>No Impact</v>
      </c>
      <c r="AE442">
        <f t="shared" si="150"/>
        <v>4.8446208256135836E-3</v>
      </c>
      <c r="AF442">
        <f t="shared" si="141"/>
        <v>2.650220651708415E-2</v>
      </c>
      <c r="AG442" t="s">
        <v>1176</v>
      </c>
    </row>
    <row r="443" spans="1:33" x14ac:dyDescent="0.3">
      <c r="A443">
        <v>508811</v>
      </c>
      <c r="B443" t="s">
        <v>61</v>
      </c>
      <c r="C443" s="1" t="s">
        <v>986</v>
      </c>
      <c r="D443" t="s">
        <v>985</v>
      </c>
      <c r="E443" s="4">
        <v>7</v>
      </c>
      <c r="F443" s="3">
        <f t="shared" si="151"/>
        <v>0.84444444444444444</v>
      </c>
      <c r="G443">
        <v>42.07752</v>
      </c>
      <c r="H443">
        <f t="shared" si="142"/>
        <v>0.39715526439187487</v>
      </c>
      <c r="I443">
        <v>142.6</v>
      </c>
      <c r="J443" s="3">
        <f t="shared" si="132"/>
        <v>0.44094001236858371</v>
      </c>
      <c r="K443">
        <v>0</v>
      </c>
      <c r="L443" s="3">
        <f t="shared" si="133"/>
        <v>0</v>
      </c>
      <c r="M443">
        <v>36657</v>
      </c>
      <c r="N443">
        <f t="shared" si="134"/>
        <v>0.17230888608157915</v>
      </c>
      <c r="O443" s="15">
        <v>0.71611513199999999</v>
      </c>
      <c r="P443">
        <f t="shared" si="135"/>
        <v>0.73004677298910081</v>
      </c>
      <c r="Q443">
        <v>0.2838</v>
      </c>
      <c r="R443">
        <f t="shared" si="136"/>
        <v>0.62912879627577034</v>
      </c>
      <c r="S443">
        <f t="shared" si="143"/>
        <v>0.14177566574068357</v>
      </c>
      <c r="T443" s="14">
        <f t="shared" si="137"/>
        <v>0.23784912534320851</v>
      </c>
      <c r="U443" t="str">
        <f t="shared" si="144"/>
        <v>Low</v>
      </c>
      <c r="V443">
        <f t="shared" si="145"/>
        <v>0.13124890697803615</v>
      </c>
      <c r="W443">
        <f t="shared" si="138"/>
        <v>0.17640499073601268</v>
      </c>
      <c r="X443" t="s">
        <v>1175</v>
      </c>
      <c r="Y443">
        <f t="shared" si="146"/>
        <v>0.15230242450333092</v>
      </c>
      <c r="Z443">
        <f t="shared" si="139"/>
        <v>0.30515976616133439</v>
      </c>
      <c r="AA443" t="str">
        <f t="shared" si="147"/>
        <v>Moderate</v>
      </c>
      <c r="AB443">
        <f t="shared" si="148"/>
        <v>0.1042093282401672</v>
      </c>
      <c r="AC443">
        <f t="shared" si="140"/>
        <v>0.24465984528219295</v>
      </c>
      <c r="AD443" t="str">
        <f t="shared" si="149"/>
        <v>Low</v>
      </c>
      <c r="AE443">
        <f t="shared" si="150"/>
        <v>3.5947095562443576E-2</v>
      </c>
      <c r="AF443">
        <f t="shared" si="141"/>
        <v>0.19664642178979608</v>
      </c>
      <c r="AG443" t="s">
        <v>1175</v>
      </c>
    </row>
    <row r="444" spans="1:33" x14ac:dyDescent="0.3">
      <c r="A444">
        <v>508827</v>
      </c>
      <c r="B444" t="s">
        <v>107</v>
      </c>
      <c r="C444" s="1" t="s">
        <v>986</v>
      </c>
      <c r="D444" t="s">
        <v>987</v>
      </c>
      <c r="E444" s="4">
        <v>5.4</v>
      </c>
      <c r="F444" s="3">
        <f t="shared" si="151"/>
        <v>0.48888888888888893</v>
      </c>
      <c r="G444">
        <v>46.106999999999999</v>
      </c>
      <c r="H444">
        <f t="shared" si="142"/>
        <v>0.43518814263093869</v>
      </c>
      <c r="I444">
        <v>165.6</v>
      </c>
      <c r="J444" s="3">
        <f t="shared" si="132"/>
        <v>0.51205936920222628</v>
      </c>
      <c r="K444">
        <v>0</v>
      </c>
      <c r="L444" s="3">
        <f t="shared" si="133"/>
        <v>0</v>
      </c>
      <c r="M444">
        <v>9272</v>
      </c>
      <c r="N444">
        <f t="shared" si="134"/>
        <v>4.2738924926544693E-2</v>
      </c>
      <c r="O444" s="15">
        <v>0.68192977200000005</v>
      </c>
      <c r="P444">
        <f t="shared" si="135"/>
        <v>0.69519635489813014</v>
      </c>
      <c r="Q444">
        <v>0.16350000000000001</v>
      </c>
      <c r="R444">
        <f t="shared" si="136"/>
        <v>0.36244735091997343</v>
      </c>
      <c r="S444">
        <f t="shared" si="143"/>
        <v>7.1481635800299523E-2</v>
      </c>
      <c r="T444" s="14">
        <f t="shared" si="137"/>
        <v>0.11992075272141868</v>
      </c>
      <c r="U444" t="str">
        <f t="shared" si="144"/>
        <v>No Impact</v>
      </c>
      <c r="V444">
        <f t="shared" si="145"/>
        <v>4.899254709827712E-2</v>
      </c>
      <c r="W444">
        <f t="shared" si="138"/>
        <v>6.5848394596166232E-2</v>
      </c>
      <c r="X444" t="s">
        <v>1176</v>
      </c>
      <c r="Y444">
        <f t="shared" si="146"/>
        <v>9.3970724502321912E-2</v>
      </c>
      <c r="Z444">
        <f t="shared" si="139"/>
        <v>0.18828383335757448</v>
      </c>
      <c r="AA444" t="str">
        <f t="shared" si="147"/>
        <v>Low</v>
      </c>
      <c r="AB444">
        <f t="shared" si="148"/>
        <v>4.7360588235625931E-2</v>
      </c>
      <c r="AC444">
        <f t="shared" si="140"/>
        <v>0.11119190945648588</v>
      </c>
      <c r="AD444" t="str">
        <f t="shared" si="149"/>
        <v>No Impact</v>
      </c>
      <c r="AE444">
        <f t="shared" si="150"/>
        <v>5.777084001521068E-3</v>
      </c>
      <c r="AF444">
        <f t="shared" si="141"/>
        <v>3.1603190174426712E-2</v>
      </c>
      <c r="AG444" t="s">
        <v>1176</v>
      </c>
    </row>
    <row r="445" spans="1:33" x14ac:dyDescent="0.3">
      <c r="A445">
        <v>508844</v>
      </c>
      <c r="B445" t="s">
        <v>253</v>
      </c>
      <c r="C445" s="1" t="s">
        <v>986</v>
      </c>
      <c r="D445" t="s">
        <v>988</v>
      </c>
      <c r="E445" s="4">
        <v>6.9</v>
      </c>
      <c r="F445" s="3">
        <f t="shared" si="151"/>
        <v>0.8222222222222223</v>
      </c>
      <c r="G445">
        <v>42.07752</v>
      </c>
      <c r="H445">
        <f t="shared" si="142"/>
        <v>0.39715526439187487</v>
      </c>
      <c r="I445">
        <v>102.7</v>
      </c>
      <c r="J445" s="3">
        <f t="shared" si="132"/>
        <v>0.3175633889919604</v>
      </c>
      <c r="K445">
        <v>0</v>
      </c>
      <c r="L445" s="3">
        <f t="shared" si="133"/>
        <v>0</v>
      </c>
      <c r="M445">
        <v>21302</v>
      </c>
      <c r="N445">
        <f t="shared" si="134"/>
        <v>9.96579182694355E-2</v>
      </c>
      <c r="O445" s="15">
        <v>0.43067603599999998</v>
      </c>
      <c r="P445">
        <f t="shared" si="135"/>
        <v>0.43905461040521315</v>
      </c>
      <c r="Q445">
        <v>0.3745</v>
      </c>
      <c r="R445">
        <f t="shared" si="136"/>
        <v>0.83019286189315011</v>
      </c>
      <c r="S445">
        <f t="shared" si="143"/>
        <v>0.11603554868244012</v>
      </c>
      <c r="T445" s="14">
        <f t="shared" si="137"/>
        <v>0.19466636688779768</v>
      </c>
      <c r="U445" t="str">
        <f t="shared" si="144"/>
        <v>Low</v>
      </c>
      <c r="V445">
        <f t="shared" si="145"/>
        <v>0.15179369877739976</v>
      </c>
      <c r="W445">
        <f t="shared" si="138"/>
        <v>0.20401820207991012</v>
      </c>
      <c r="X445" t="s">
        <v>1175</v>
      </c>
      <c r="Y445">
        <f t="shared" si="146"/>
        <v>8.0277398587480453E-2</v>
      </c>
      <c r="Z445">
        <f t="shared" si="139"/>
        <v>0.1608472896008297</v>
      </c>
      <c r="AA445" t="str">
        <f t="shared" si="147"/>
        <v>Low</v>
      </c>
      <c r="AB445">
        <f t="shared" si="148"/>
        <v>8.3588574896359541E-2</v>
      </c>
      <c r="AC445">
        <f t="shared" si="140"/>
        <v>0.19624699771953458</v>
      </c>
      <c r="AD445" t="str">
        <f t="shared" si="149"/>
        <v>Low</v>
      </c>
      <c r="AE445">
        <f t="shared" si="150"/>
        <v>1.8221602137215669E-2</v>
      </c>
      <c r="AF445">
        <f t="shared" si="141"/>
        <v>9.9680177313251239E-2</v>
      </c>
      <c r="AG445" t="s">
        <v>1175</v>
      </c>
    </row>
    <row r="446" spans="1:33" s="15" customFormat="1" x14ac:dyDescent="0.3">
      <c r="A446" s="15">
        <v>508850</v>
      </c>
      <c r="B446" s="15" t="s">
        <v>266</v>
      </c>
      <c r="C446" s="16" t="s">
        <v>986</v>
      </c>
      <c r="D446" s="15" t="s">
        <v>989</v>
      </c>
      <c r="E446" s="17">
        <v>6.9</v>
      </c>
      <c r="F446" s="3">
        <f t="shared" si="151"/>
        <v>0.8222222222222223</v>
      </c>
      <c r="G446" s="15">
        <v>37.121400000000001</v>
      </c>
      <c r="H446">
        <f t="shared" si="142"/>
        <v>0.35037614934522149</v>
      </c>
      <c r="I446" s="15">
        <v>112</v>
      </c>
      <c r="J446" s="3">
        <f t="shared" si="132"/>
        <v>0.34632034632034631</v>
      </c>
      <c r="K446" s="15">
        <v>0</v>
      </c>
      <c r="L446" s="3">
        <f t="shared" si="133"/>
        <v>0</v>
      </c>
      <c r="M446" s="15">
        <v>13658</v>
      </c>
      <c r="N446">
        <f t="shared" si="134"/>
        <v>6.349093696327944E-2</v>
      </c>
      <c r="O446" s="15">
        <v>0.43067603599999998</v>
      </c>
      <c r="P446">
        <f t="shared" si="135"/>
        <v>0.43905461040521315</v>
      </c>
      <c r="Q446" s="15">
        <v>0.27139999999999997</v>
      </c>
      <c r="R446">
        <f t="shared" si="136"/>
        <v>0.60164043449346039</v>
      </c>
      <c r="S446">
        <f t="shared" si="143"/>
        <v>8.9596183538960053E-2</v>
      </c>
      <c r="T446" s="14">
        <f t="shared" si="137"/>
        <v>0.15031051892790412</v>
      </c>
      <c r="U446" t="str">
        <f t="shared" si="144"/>
        <v>Low</v>
      </c>
      <c r="V446">
        <f t="shared" si="145"/>
        <v>0.10359362631266134</v>
      </c>
      <c r="W446">
        <f t="shared" si="138"/>
        <v>0.13923493239492743</v>
      </c>
      <c r="X446" t="s">
        <v>1176</v>
      </c>
      <c r="Y446">
        <f t="shared" si="146"/>
        <v>7.5598740765258757E-2</v>
      </c>
      <c r="Z446">
        <f t="shared" si="139"/>
        <v>0.15147292716612765</v>
      </c>
      <c r="AA446" t="str">
        <f t="shared" si="147"/>
        <v>Low</v>
      </c>
      <c r="AB446">
        <f t="shared" si="148"/>
        <v>6.2763663091185043E-2</v>
      </c>
      <c r="AC446">
        <f t="shared" si="140"/>
        <v>0.14735483243729602</v>
      </c>
      <c r="AD446" t="str">
        <f t="shared" si="149"/>
        <v>No Impact</v>
      </c>
      <c r="AE446">
        <f t="shared" si="150"/>
        <v>1.0932204720502707E-2</v>
      </c>
      <c r="AF446">
        <f t="shared" si="141"/>
        <v>5.9803967662032713E-2</v>
      </c>
      <c r="AG446" t="s">
        <v>1175</v>
      </c>
    </row>
    <row r="447" spans="1:33" x14ac:dyDescent="0.3">
      <c r="A447">
        <v>508861</v>
      </c>
      <c r="B447" t="s">
        <v>443</v>
      </c>
      <c r="C447" s="1" t="s">
        <v>986</v>
      </c>
      <c r="D447" t="s">
        <v>990</v>
      </c>
      <c r="E447" s="4">
        <v>6.8</v>
      </c>
      <c r="F447" s="3">
        <f t="shared" si="151"/>
        <v>0.79999999999999993</v>
      </c>
      <c r="G447">
        <v>39.042720000000003</v>
      </c>
      <c r="H447">
        <f t="shared" si="142"/>
        <v>0.36851082915955935</v>
      </c>
      <c r="I447">
        <v>87.899999999999991</v>
      </c>
      <c r="J447" s="3">
        <f t="shared" si="132"/>
        <v>0.27179962894248605</v>
      </c>
      <c r="K447">
        <v>0</v>
      </c>
      <c r="L447" s="3">
        <f t="shared" si="133"/>
        <v>0</v>
      </c>
      <c r="M447">
        <v>35856</v>
      </c>
      <c r="N447">
        <f t="shared" si="134"/>
        <v>0.16851901794627944</v>
      </c>
      <c r="O447" s="15">
        <v>0.57198661699999997</v>
      </c>
      <c r="P447">
        <f t="shared" si="135"/>
        <v>0.58311431398967106</v>
      </c>
      <c r="Q447">
        <v>0.3649</v>
      </c>
      <c r="R447">
        <f t="shared" si="136"/>
        <v>0.80891154954555533</v>
      </c>
      <c r="S447">
        <f t="shared" si="143"/>
        <v>0.11234442588424431</v>
      </c>
      <c r="T447" s="14">
        <f t="shared" si="137"/>
        <v>0.18847397608152888</v>
      </c>
      <c r="U447" t="str">
        <f t="shared" si="144"/>
        <v>Low</v>
      </c>
      <c r="V447">
        <f t="shared" si="145"/>
        <v>0.13056755051093225</v>
      </c>
      <c r="W447">
        <f t="shared" si="138"/>
        <v>0.17548921410948809</v>
      </c>
      <c r="X447" t="s">
        <v>1176</v>
      </c>
      <c r="Y447">
        <f t="shared" si="146"/>
        <v>9.4121301257556397E-2</v>
      </c>
      <c r="Z447">
        <f t="shared" si="139"/>
        <v>0.18858553549768509</v>
      </c>
      <c r="AA447" t="str">
        <f t="shared" si="147"/>
        <v>Low</v>
      </c>
      <c r="AB447">
        <f t="shared" si="148"/>
        <v>8.3455345122400326E-2</v>
      </c>
      <c r="AC447">
        <f t="shared" si="140"/>
        <v>0.19593420445587664</v>
      </c>
      <c r="AD447" t="str">
        <f t="shared" si="149"/>
        <v>Low</v>
      </c>
      <c r="AE447">
        <f t="shared" si="150"/>
        <v>2.7200891618020334E-2</v>
      </c>
      <c r="AF447">
        <f t="shared" si="141"/>
        <v>0.14880083974751449</v>
      </c>
      <c r="AG447" t="s">
        <v>1175</v>
      </c>
    </row>
    <row r="448" spans="1:33" x14ac:dyDescent="0.3">
      <c r="A448">
        <v>508867</v>
      </c>
      <c r="B448" t="s">
        <v>472</v>
      </c>
      <c r="C448" s="1" t="s">
        <v>986</v>
      </c>
      <c r="D448" t="s">
        <v>991</v>
      </c>
      <c r="E448" s="4">
        <v>6.9</v>
      </c>
      <c r="F448" s="3">
        <f t="shared" si="151"/>
        <v>0.8222222222222223</v>
      </c>
      <c r="G448">
        <v>46.106999999999999</v>
      </c>
      <c r="H448">
        <f t="shared" si="142"/>
        <v>0.43518814263093869</v>
      </c>
      <c r="I448">
        <v>165.6</v>
      </c>
      <c r="J448" s="3">
        <f t="shared" si="132"/>
        <v>0.51205936920222628</v>
      </c>
      <c r="K448">
        <v>0</v>
      </c>
      <c r="L448" s="3">
        <f t="shared" si="133"/>
        <v>0</v>
      </c>
      <c r="M448">
        <v>61653</v>
      </c>
      <c r="N448">
        <f t="shared" si="134"/>
        <v>0.29057548272321659</v>
      </c>
      <c r="O448" s="15">
        <v>0.82197755400000005</v>
      </c>
      <c r="P448">
        <f t="shared" si="135"/>
        <v>0.83796869239620309</v>
      </c>
      <c r="Q448">
        <v>0.22470000000000001</v>
      </c>
      <c r="R448">
        <f t="shared" si="136"/>
        <v>0.49811571713589009</v>
      </c>
      <c r="S448">
        <f t="shared" si="143"/>
        <v>0.15186861517577566</v>
      </c>
      <c r="T448" s="14">
        <f t="shared" si="137"/>
        <v>0.25478150356713258</v>
      </c>
      <c r="U448" t="str">
        <f t="shared" si="144"/>
        <v>Low</v>
      </c>
      <c r="V448">
        <f t="shared" si="145"/>
        <v>0.11323857028645153</v>
      </c>
      <c r="W448">
        <f t="shared" si="138"/>
        <v>0.15219821179679358</v>
      </c>
      <c r="X448" t="s">
        <v>1176</v>
      </c>
      <c r="Y448">
        <f t="shared" si="146"/>
        <v>0.19049866006509975</v>
      </c>
      <c r="Z448">
        <f t="shared" si="139"/>
        <v>0.38169140608948071</v>
      </c>
      <c r="AA448" t="str">
        <f t="shared" si="147"/>
        <v>Moderate</v>
      </c>
      <c r="AB448">
        <f t="shared" si="148"/>
        <v>0.11990327408114138</v>
      </c>
      <c r="AC448">
        <f t="shared" si="140"/>
        <v>0.28150566730371773</v>
      </c>
      <c r="AD448" t="str">
        <f t="shared" si="149"/>
        <v>Low</v>
      </c>
      <c r="AE448">
        <f t="shared" si="150"/>
        <v>6.6057647032438369E-2</v>
      </c>
      <c r="AF448">
        <f t="shared" si="141"/>
        <v>0.36136438055801928</v>
      </c>
      <c r="AG448" t="str">
        <f t="shared" ref="AG448" si="152">IF(AF448&gt;0.7,"High",IF(AF448&gt;0.3,"Moderate",IF(AF448&gt;0.15,"Low","No Impact")))</f>
        <v>Moderate</v>
      </c>
    </row>
    <row r="449" spans="1:33" x14ac:dyDescent="0.3">
      <c r="A449">
        <v>508878</v>
      </c>
      <c r="B449" t="s">
        <v>490</v>
      </c>
      <c r="C449" s="1" t="s">
        <v>986</v>
      </c>
      <c r="D449" t="s">
        <v>992</v>
      </c>
      <c r="E449" s="4">
        <v>7</v>
      </c>
      <c r="F449" s="3">
        <f t="shared" si="151"/>
        <v>0.84444444444444444</v>
      </c>
      <c r="G449">
        <v>42.07752</v>
      </c>
      <c r="H449">
        <f t="shared" si="142"/>
        <v>0.39715526439187487</v>
      </c>
      <c r="I449">
        <v>134.4</v>
      </c>
      <c r="J449" s="3">
        <f t="shared" si="132"/>
        <v>0.41558441558441556</v>
      </c>
      <c r="K449">
        <v>0</v>
      </c>
      <c r="L449" s="3">
        <f t="shared" si="133"/>
        <v>0</v>
      </c>
      <c r="M449">
        <v>46801</v>
      </c>
      <c r="N449">
        <f t="shared" si="134"/>
        <v>0.22030441962025615</v>
      </c>
      <c r="O449" s="15">
        <v>0.83116147500000004</v>
      </c>
      <c r="P449">
        <f t="shared" si="135"/>
        <v>0.84733128171994998</v>
      </c>
      <c r="Q449">
        <v>0.30599999999999999</v>
      </c>
      <c r="R449">
        <f t="shared" si="136"/>
        <v>0.67834183107958324</v>
      </c>
      <c r="S449">
        <f t="shared" si="143"/>
        <v>0.15587635347892151</v>
      </c>
      <c r="T449" s="14">
        <f t="shared" si="137"/>
        <v>0.26150506254340461</v>
      </c>
      <c r="U449" t="str">
        <f t="shared" si="144"/>
        <v>Low</v>
      </c>
      <c r="V449">
        <f t="shared" si="145"/>
        <v>0.13861088611160893</v>
      </c>
      <c r="W449">
        <f t="shared" si="138"/>
        <v>0.18629985303055321</v>
      </c>
      <c r="X449" t="s">
        <v>1175</v>
      </c>
      <c r="Y449">
        <f t="shared" si="146"/>
        <v>0.17314182084623414</v>
      </c>
      <c r="Z449">
        <f t="shared" si="139"/>
        <v>0.34691448763528326</v>
      </c>
      <c r="AA449" t="str">
        <f t="shared" si="147"/>
        <v>Moderate</v>
      </c>
      <c r="AB449">
        <f t="shared" si="148"/>
        <v>0.116212139534368</v>
      </c>
      <c r="AC449">
        <f t="shared" si="140"/>
        <v>0.27283972134302548</v>
      </c>
      <c r="AD449" t="str">
        <f t="shared" si="149"/>
        <v>Low</v>
      </c>
      <c r="AE449">
        <f t="shared" si="150"/>
        <v>4.5016523261241823E-2</v>
      </c>
      <c r="AF449">
        <f t="shared" si="141"/>
        <v>0.24626017991809548</v>
      </c>
      <c r="AG449" t="s">
        <v>1175</v>
      </c>
    </row>
    <row r="450" spans="1:33" x14ac:dyDescent="0.3">
      <c r="A450">
        <v>508889</v>
      </c>
      <c r="B450" t="s">
        <v>514</v>
      </c>
      <c r="C450" s="1" t="s">
        <v>986</v>
      </c>
      <c r="D450" t="s">
        <v>993</v>
      </c>
      <c r="E450" s="4">
        <v>6.9</v>
      </c>
      <c r="F450" s="3">
        <f t="shared" si="151"/>
        <v>0.8222222222222223</v>
      </c>
      <c r="G450">
        <v>39.253320000000002</v>
      </c>
      <c r="H450">
        <f t="shared" si="142"/>
        <v>0.37049861025219333</v>
      </c>
      <c r="I450">
        <v>68</v>
      </c>
      <c r="J450" s="3">
        <f t="shared" ref="J450:J513" si="153">(I450-$AJ$7)/$AK$7</f>
        <v>0.21026592455163881</v>
      </c>
      <c r="K450">
        <v>0</v>
      </c>
      <c r="L450" s="3">
        <f t="shared" ref="L450:L513" si="154">(K450-$AJ$8)/$AK$8</f>
        <v>0</v>
      </c>
      <c r="M450">
        <v>22985</v>
      </c>
      <c r="N450">
        <f t="shared" ref="N450:N513" si="155">(M450-$AJ$9)/$AK$9</f>
        <v>0.10762089963236859</v>
      </c>
      <c r="O450" s="15">
        <v>0.71967203899999999</v>
      </c>
      <c r="P450">
        <f t="shared" ref="P450:P513" si="156">(O450-$AJ$11)/$AK$11</f>
        <v>0.73367287773278933</v>
      </c>
      <c r="Q450">
        <v>0.29730000000000001</v>
      </c>
      <c r="R450">
        <f t="shared" ref="R450:R513" si="157">(Q450-$AJ$12)/$AK$12</f>
        <v>0.65905564176457554</v>
      </c>
      <c r="S450">
        <f t="shared" si="143"/>
        <v>0.10893221895922792</v>
      </c>
      <c r="T450" s="14">
        <f t="shared" ref="T450:T513" si="158">(S450-$AJ$10)/$AK$10</f>
        <v>0.18274950687614605</v>
      </c>
      <c r="U450" t="str">
        <f t="shared" si="144"/>
        <v>Low</v>
      </c>
      <c r="V450">
        <f t="shared" si="145"/>
        <v>0.1030960341085326</v>
      </c>
      <c r="W450">
        <f t="shared" ref="W450:W513" si="159">(V450-$AJ$13)/$AK$13</f>
        <v>0.13856614398227932</v>
      </c>
      <c r="X450" t="s">
        <v>1176</v>
      </c>
      <c r="Y450">
        <f t="shared" si="146"/>
        <v>0.11476840380992324</v>
      </c>
      <c r="Z450">
        <f t="shared" ref="Z450:Z513" si="160">(Y450-$AJ$14)/$AK$14</f>
        <v>0.22995496876400554</v>
      </c>
      <c r="AA450" t="str">
        <f t="shared" si="147"/>
        <v>Low</v>
      </c>
      <c r="AB450">
        <f t="shared" si="148"/>
        <v>7.6406428863993125E-2</v>
      </c>
      <c r="AC450">
        <f t="shared" ref="AC450:AC513" si="161">(AB450-$AJ$15)/$AK$15</f>
        <v>0.17938494931420207</v>
      </c>
      <c r="AD450" t="str">
        <f t="shared" si="149"/>
        <v>Low</v>
      </c>
      <c r="AE450">
        <f t="shared" si="150"/>
        <v>1.6835130808656423E-2</v>
      </c>
      <c r="AF450">
        <f t="shared" ref="AF450:AF513" si="162">(AE450-$AJ$16)/$AK$16</f>
        <v>9.2095569394046464E-2</v>
      </c>
      <c r="AG450" t="s">
        <v>1175</v>
      </c>
    </row>
    <row r="451" spans="1:33" x14ac:dyDescent="0.3">
      <c r="A451">
        <v>508894</v>
      </c>
      <c r="B451" t="s">
        <v>530</v>
      </c>
      <c r="C451" s="1" t="s">
        <v>986</v>
      </c>
      <c r="D451" t="s">
        <v>994</v>
      </c>
      <c r="E451" s="4">
        <v>6.9</v>
      </c>
      <c r="F451" s="3">
        <f t="shared" si="151"/>
        <v>0.8222222222222223</v>
      </c>
      <c r="G451">
        <v>42.07752</v>
      </c>
      <c r="H451">
        <f t="shared" ref="H451:H514" si="163">(G451-$AJ$6)/$AK$6</f>
        <v>0.39715526439187487</v>
      </c>
      <c r="I451">
        <v>102.10000000000001</v>
      </c>
      <c r="J451" s="3">
        <f t="shared" si="153"/>
        <v>0.31570810142238714</v>
      </c>
      <c r="K451">
        <v>0</v>
      </c>
      <c r="L451" s="3">
        <f t="shared" si="154"/>
        <v>0</v>
      </c>
      <c r="M451">
        <v>56867</v>
      </c>
      <c r="N451">
        <f t="shared" si="155"/>
        <v>0.26793090232927852</v>
      </c>
      <c r="O451" s="15">
        <v>0.82708688399999997</v>
      </c>
      <c r="P451">
        <f t="shared" si="156"/>
        <v>0.8431774217079534</v>
      </c>
      <c r="Q451">
        <v>0.28799999999999998</v>
      </c>
      <c r="R451">
        <f t="shared" si="157"/>
        <v>0.63843937042784304</v>
      </c>
      <c r="S451">
        <f t="shared" ref="S451:S514" si="164">F451*(R451*0.5+P451*0.5)*(H451*0.4+J451*0.2+L451*0.4)</f>
        <v>0.13522449546130788</v>
      </c>
      <c r="T451" s="14">
        <f t="shared" si="158"/>
        <v>0.22685859242782122</v>
      </c>
      <c r="U451" t="str">
        <f t="shared" ref="U451:U514" si="165">IF(T451&gt;0.7,"High",IF(T451&gt;0.3,"Moderate",IF(T451&gt;0.15,"Low","No Impact")))</f>
        <v>Low</v>
      </c>
      <c r="V451">
        <f t="shared" ref="V451:V514" si="166">F451*(R451*1)*(H451*0.4+J451*0.2+L451*0.4)</f>
        <v>0.11653842235992608</v>
      </c>
      <c r="W451">
        <f t="shared" si="159"/>
        <v>0.15663337539437616</v>
      </c>
      <c r="X451" t="s">
        <v>1176</v>
      </c>
      <c r="Y451">
        <f t="shared" ref="Y451:Y514" si="167">F451*(P451*1)*(H451*0.4+J451*0.2+L451*0.4)</f>
        <v>0.1539105685626897</v>
      </c>
      <c r="Z451">
        <f t="shared" si="160"/>
        <v>0.30838191358747025</v>
      </c>
      <c r="AA451" t="str">
        <f t="shared" ref="AA451:AA514" si="168">IF(Z451&gt;0.7,"High",IF(Z451&gt;0.3,"Moderate",IF(Z451&gt;0.15,"Low","No Impact")))</f>
        <v>Moderate</v>
      </c>
      <c r="AB451">
        <f t="shared" ref="AB451:AB514" si="169">F451*(R451*0.35+P451*0.3+N451*0.35)*(H451*0.4+J451*0.2+L451*0.4)</f>
        <v>0.10407911793635904</v>
      </c>
      <c r="AC451">
        <f t="shared" si="161"/>
        <v>0.24435414104897468</v>
      </c>
      <c r="AD451" t="str">
        <f t="shared" ref="AD451:AD514" si="170">IF(AC451&gt;0.7,"High",IF(AC451&gt;0.3,"Moderate",IF(AC451&gt;0.15,"Low","No Impact")))</f>
        <v>Low</v>
      </c>
      <c r="AE451">
        <f t="shared" ref="AE451:AE514" si="171">F451*(N451*1)*(H451*0.4+J451*0.2+L451*0.4)</f>
        <v>4.8907141547365703E-2</v>
      </c>
      <c r="AF451">
        <f t="shared" si="162"/>
        <v>0.26754357298631148</v>
      </c>
      <c r="AG451" t="s">
        <v>1175</v>
      </c>
    </row>
    <row r="452" spans="1:33" x14ac:dyDescent="0.3">
      <c r="A452">
        <v>552710</v>
      </c>
      <c r="B452" t="s">
        <v>78</v>
      </c>
      <c r="C452" s="1" t="s">
        <v>996</v>
      </c>
      <c r="D452" t="s">
        <v>995</v>
      </c>
      <c r="E452" s="4">
        <v>6.4</v>
      </c>
      <c r="F452" s="3">
        <f t="shared" si="151"/>
        <v>0.71111111111111114</v>
      </c>
      <c r="G452">
        <v>47.239200000000004</v>
      </c>
      <c r="H452">
        <f t="shared" si="163"/>
        <v>0.44587458970159499</v>
      </c>
      <c r="I452">
        <v>4.2</v>
      </c>
      <c r="J452" s="3">
        <f t="shared" si="153"/>
        <v>1.2987012987012986E-2</v>
      </c>
      <c r="K452">
        <v>0</v>
      </c>
      <c r="L452" s="3">
        <f t="shared" si="154"/>
        <v>0</v>
      </c>
      <c r="M452">
        <v>22770</v>
      </c>
      <c r="N452">
        <f t="shared" si="155"/>
        <v>0.10660364414037179</v>
      </c>
      <c r="O452" s="15">
        <v>0.91436956300000005</v>
      </c>
      <c r="P452">
        <f t="shared" si="156"/>
        <v>0.93215813904572586</v>
      </c>
      <c r="Q452">
        <v>0.3755</v>
      </c>
      <c r="R452">
        <f t="shared" si="157"/>
        <v>0.83240966526269122</v>
      </c>
      <c r="S452">
        <f t="shared" si="164"/>
        <v>0.11352663868333074</v>
      </c>
      <c r="T452" s="14">
        <f t="shared" si="158"/>
        <v>0.19045730854386103</v>
      </c>
      <c r="U452" t="str">
        <f t="shared" si="165"/>
        <v>Low</v>
      </c>
      <c r="V452">
        <f t="shared" si="166"/>
        <v>0.10710914148388562</v>
      </c>
      <c r="W452">
        <f t="shared" si="159"/>
        <v>0.14395995781030793</v>
      </c>
      <c r="X452" t="s">
        <v>1176</v>
      </c>
      <c r="Y452">
        <f t="shared" si="167"/>
        <v>0.11994413588277582</v>
      </c>
      <c r="Z452">
        <f t="shared" si="160"/>
        <v>0.24032529080067716</v>
      </c>
      <c r="AA452" t="str">
        <f t="shared" si="168"/>
        <v>Low</v>
      </c>
      <c r="AB452">
        <f t="shared" si="169"/>
        <v>7.8272416111117946E-2</v>
      </c>
      <c r="AC452">
        <f t="shared" si="161"/>
        <v>0.18376586375717738</v>
      </c>
      <c r="AD452" t="str">
        <f t="shared" si="170"/>
        <v>Low</v>
      </c>
      <c r="AE452">
        <f t="shared" si="171"/>
        <v>1.3717073791214956E-2</v>
      </c>
      <c r="AF452">
        <f t="shared" si="162"/>
        <v>7.503842622788108E-2</v>
      </c>
      <c r="AG452" t="s">
        <v>1175</v>
      </c>
    </row>
    <row r="453" spans="1:33" x14ac:dyDescent="0.3">
      <c r="A453">
        <v>552712</v>
      </c>
      <c r="B453" t="s">
        <v>79</v>
      </c>
      <c r="C453" s="1" t="s">
        <v>996</v>
      </c>
      <c r="D453" t="s">
        <v>997</v>
      </c>
      <c r="E453" s="4">
        <v>6</v>
      </c>
      <c r="F453" s="3">
        <f t="shared" si="151"/>
        <v>0.62222222222222223</v>
      </c>
      <c r="G453">
        <v>36.950759999999995</v>
      </c>
      <c r="H453">
        <f t="shared" si="163"/>
        <v>0.34876553697272827</v>
      </c>
      <c r="I453">
        <v>0.10000000000000005</v>
      </c>
      <c r="J453" s="3">
        <f t="shared" si="153"/>
        <v>3.0921459492888077E-4</v>
      </c>
      <c r="K453">
        <v>0</v>
      </c>
      <c r="L453" s="3">
        <f t="shared" si="154"/>
        <v>0</v>
      </c>
      <c r="M453">
        <v>46581</v>
      </c>
      <c r="N453">
        <f t="shared" si="155"/>
        <v>0.21926350702379432</v>
      </c>
      <c r="O453" s="15">
        <v>0.85719442999999995</v>
      </c>
      <c r="P453">
        <f t="shared" si="156"/>
        <v>0.87387069408516782</v>
      </c>
      <c r="Q453">
        <v>0.3417</v>
      </c>
      <c r="R453">
        <f t="shared" si="157"/>
        <v>0.75748171137220133</v>
      </c>
      <c r="S453">
        <f t="shared" si="164"/>
        <v>7.0835235851981843E-2</v>
      </c>
      <c r="T453" s="14">
        <f t="shared" si="158"/>
        <v>0.11883632358806891</v>
      </c>
      <c r="U453" t="str">
        <f t="shared" si="165"/>
        <v>No Impact</v>
      </c>
      <c r="V453">
        <f t="shared" si="166"/>
        <v>6.5781489639045232E-2</v>
      </c>
      <c r="W453">
        <f t="shared" si="159"/>
        <v>8.8413559682586851E-2</v>
      </c>
      <c r="X453" t="s">
        <v>1176</v>
      </c>
      <c r="Y453">
        <f t="shared" si="167"/>
        <v>7.5888982064918453E-2</v>
      </c>
      <c r="Z453">
        <f t="shared" si="160"/>
        <v>0.15205446726585584</v>
      </c>
      <c r="AA453" t="str">
        <f t="shared" si="168"/>
        <v>Low</v>
      </c>
      <c r="AB453">
        <f t="shared" si="169"/>
        <v>5.2454691141039331E-2</v>
      </c>
      <c r="AC453">
        <f t="shared" si="161"/>
        <v>0.12315170662375732</v>
      </c>
      <c r="AD453" t="str">
        <f t="shared" si="170"/>
        <v>No Impact</v>
      </c>
      <c r="AE453">
        <f t="shared" si="171"/>
        <v>1.9041357565422763E-2</v>
      </c>
      <c r="AF453">
        <f t="shared" si="162"/>
        <v>0.10416460002327696</v>
      </c>
      <c r="AG453" t="s">
        <v>1175</v>
      </c>
    </row>
    <row r="454" spans="1:33" x14ac:dyDescent="0.3">
      <c r="A454">
        <v>552717</v>
      </c>
      <c r="B454" t="s">
        <v>77</v>
      </c>
      <c r="C454" s="1" t="s">
        <v>996</v>
      </c>
      <c r="D454" t="s">
        <v>998</v>
      </c>
      <c r="E454" s="4">
        <v>6.4</v>
      </c>
      <c r="F454" s="3">
        <f t="shared" ref="F454:F517" si="172">(E454-$AJ$5)/$AK$5</f>
        <v>0.71111111111111114</v>
      </c>
      <c r="G454">
        <v>38.594520000000003</v>
      </c>
      <c r="H454">
        <f t="shared" si="163"/>
        <v>0.36428042324446652</v>
      </c>
      <c r="I454">
        <v>0</v>
      </c>
      <c r="J454" s="3">
        <f t="shared" si="153"/>
        <v>0</v>
      </c>
      <c r="K454">
        <v>0</v>
      </c>
      <c r="L454" s="3">
        <f t="shared" si="154"/>
        <v>0</v>
      </c>
      <c r="M454">
        <v>39215</v>
      </c>
      <c r="N454">
        <f t="shared" si="155"/>
        <v>0.18441186072589461</v>
      </c>
      <c r="O454" s="15">
        <v>0.88505238200000003</v>
      </c>
      <c r="P454">
        <f t="shared" si="156"/>
        <v>0.90227060780139601</v>
      </c>
      <c r="Q454">
        <v>0.36840000000000001</v>
      </c>
      <c r="R454">
        <f t="shared" si="157"/>
        <v>0.81667036133894921</v>
      </c>
      <c r="S454">
        <f t="shared" si="164"/>
        <v>8.9056219558499336E-2</v>
      </c>
      <c r="T454" s="14">
        <f t="shared" si="158"/>
        <v>0.14940465148021162</v>
      </c>
      <c r="U454" t="str">
        <f t="shared" si="165"/>
        <v>No Impact</v>
      </c>
      <c r="V454">
        <f t="shared" si="166"/>
        <v>8.4621375965799481E-2</v>
      </c>
      <c r="W454">
        <f t="shared" si="159"/>
        <v>0.11373529415992446</v>
      </c>
      <c r="X454" t="s">
        <v>1176</v>
      </c>
      <c r="Y454">
        <f t="shared" si="167"/>
        <v>9.3491063151199177E-2</v>
      </c>
      <c r="Z454">
        <f t="shared" si="160"/>
        <v>0.18732276299889453</v>
      </c>
      <c r="AA454" t="str">
        <f t="shared" si="168"/>
        <v>Low</v>
      </c>
      <c r="AB454">
        <f t="shared" si="169"/>
        <v>6.435270687629728E-2</v>
      </c>
      <c r="AC454">
        <f t="shared" si="161"/>
        <v>0.15108554650270287</v>
      </c>
      <c r="AD454" t="str">
        <f t="shared" si="170"/>
        <v>Low</v>
      </c>
      <c r="AE454">
        <f t="shared" si="171"/>
        <v>1.9108303836879219E-2</v>
      </c>
      <c r="AF454">
        <f t="shared" si="162"/>
        <v>0.10453082557023978</v>
      </c>
      <c r="AG454" t="s">
        <v>1175</v>
      </c>
    </row>
    <row r="455" spans="1:33" x14ac:dyDescent="0.3">
      <c r="A455">
        <v>552721</v>
      </c>
      <c r="B455" t="s">
        <v>85</v>
      </c>
      <c r="C455" s="1" t="s">
        <v>996</v>
      </c>
      <c r="D455" t="s">
        <v>999</v>
      </c>
      <c r="E455" s="4">
        <v>6.4</v>
      </c>
      <c r="F455" s="3">
        <f t="shared" si="172"/>
        <v>0.71111111111111114</v>
      </c>
      <c r="G455">
        <v>36.775440000000003</v>
      </c>
      <c r="H455">
        <f t="shared" si="163"/>
        <v>0.34711075168706551</v>
      </c>
      <c r="I455">
        <v>0</v>
      </c>
      <c r="J455" s="3">
        <f t="shared" si="153"/>
        <v>0</v>
      </c>
      <c r="K455">
        <v>0</v>
      </c>
      <c r="L455" s="3">
        <f t="shared" si="154"/>
        <v>0</v>
      </c>
      <c r="M455">
        <v>24638</v>
      </c>
      <c r="N455">
        <f t="shared" si="155"/>
        <v>0.11544193836851145</v>
      </c>
      <c r="O455" s="15">
        <v>0.84261406699999997</v>
      </c>
      <c r="P455">
        <f t="shared" si="156"/>
        <v>0.85900667783762452</v>
      </c>
      <c r="Q455">
        <v>0.3548</v>
      </c>
      <c r="R455">
        <f t="shared" si="157"/>
        <v>0.78652183551318999</v>
      </c>
      <c r="S455">
        <f t="shared" si="164"/>
        <v>8.1234579796152964E-2</v>
      </c>
      <c r="T455" s="14">
        <f t="shared" si="158"/>
        <v>0.13628272278740988</v>
      </c>
      <c r="U455" t="str">
        <f t="shared" si="165"/>
        <v>No Impact</v>
      </c>
      <c r="V455">
        <f t="shared" si="166"/>
        <v>7.7656230554531233E-2</v>
      </c>
      <c r="W455">
        <f t="shared" si="159"/>
        <v>0.10437379591936867</v>
      </c>
      <c r="X455" t="s">
        <v>1176</v>
      </c>
      <c r="Y455">
        <f t="shared" si="167"/>
        <v>8.4812929037774723E-2</v>
      </c>
      <c r="Z455">
        <f t="shared" si="160"/>
        <v>0.16993487580402333</v>
      </c>
      <c r="AA455" t="str">
        <f t="shared" si="168"/>
        <v>Low</v>
      </c>
      <c r="AB455">
        <f t="shared" si="169"/>
        <v>5.6612863811080792E-2</v>
      </c>
      <c r="AC455">
        <f t="shared" si="161"/>
        <v>0.13291415207167701</v>
      </c>
      <c r="AD455" t="str">
        <f t="shared" si="170"/>
        <v>No Impact</v>
      </c>
      <c r="AE455">
        <f t="shared" si="171"/>
        <v>1.1398012587607011E-2</v>
      </c>
      <c r="AF455">
        <f t="shared" si="162"/>
        <v>6.2352141551310664E-2</v>
      </c>
      <c r="AG455" t="s">
        <v>1175</v>
      </c>
    </row>
    <row r="456" spans="1:33" x14ac:dyDescent="0.3">
      <c r="A456">
        <v>552730</v>
      </c>
      <c r="B456" t="s">
        <v>111</v>
      </c>
      <c r="C456" s="1" t="s">
        <v>996</v>
      </c>
      <c r="D456" t="s">
        <v>1000</v>
      </c>
      <c r="E456" s="4">
        <v>6.4</v>
      </c>
      <c r="F456" s="3">
        <f t="shared" si="172"/>
        <v>0.71111111111111114</v>
      </c>
      <c r="G456">
        <v>43.647480000000002</v>
      </c>
      <c r="H456">
        <f t="shared" si="163"/>
        <v>0.41197357780209176</v>
      </c>
      <c r="I456">
        <v>1.9000000000000001</v>
      </c>
      <c r="J456" s="3">
        <f t="shared" si="153"/>
        <v>5.8750773036487323E-3</v>
      </c>
      <c r="K456">
        <v>0</v>
      </c>
      <c r="L456" s="3">
        <f t="shared" si="154"/>
        <v>0</v>
      </c>
      <c r="M456">
        <v>37811</v>
      </c>
      <c r="N456">
        <f t="shared" si="155"/>
        <v>0.17776894579211083</v>
      </c>
      <c r="O456" s="15">
        <v>0.82910714399999996</v>
      </c>
      <c r="P456">
        <f t="shared" si="156"/>
        <v>0.8452369847973128</v>
      </c>
      <c r="Q456">
        <v>0.37</v>
      </c>
      <c r="R456">
        <f t="shared" si="157"/>
        <v>0.82021724673021501</v>
      </c>
      <c r="S456">
        <f t="shared" si="164"/>
        <v>9.8277756388406828E-2</v>
      </c>
      <c r="T456" s="14">
        <f t="shared" si="158"/>
        <v>0.16487510938887293</v>
      </c>
      <c r="U456" t="str">
        <f t="shared" si="165"/>
        <v>Low</v>
      </c>
      <c r="V456">
        <f t="shared" si="166"/>
        <v>9.6801352128168025E-2</v>
      </c>
      <c r="W456">
        <f t="shared" si="159"/>
        <v>0.1301057815914658</v>
      </c>
      <c r="X456" t="s">
        <v>1176</v>
      </c>
      <c r="Y456">
        <f t="shared" si="167"/>
        <v>9.9754160648645632E-2</v>
      </c>
      <c r="Z456">
        <f t="shared" si="160"/>
        <v>0.19987177772403175</v>
      </c>
      <c r="AA456" t="str">
        <f t="shared" si="168"/>
        <v>Low</v>
      </c>
      <c r="AB456">
        <f t="shared" si="169"/>
        <v>7.1149771144498997E-2</v>
      </c>
      <c r="AC456">
        <f t="shared" si="161"/>
        <v>0.16704351034638848</v>
      </c>
      <c r="AD456" t="str">
        <f t="shared" si="170"/>
        <v>Low</v>
      </c>
      <c r="AE456">
        <f t="shared" si="171"/>
        <v>2.0980142014418602E-2</v>
      </c>
      <c r="AF456">
        <f t="shared" si="162"/>
        <v>0.11477060361136815</v>
      </c>
      <c r="AG456" t="s">
        <v>1175</v>
      </c>
    </row>
    <row r="457" spans="1:33" x14ac:dyDescent="0.3">
      <c r="A457">
        <v>552738</v>
      </c>
      <c r="B457" t="s">
        <v>168</v>
      </c>
      <c r="C457" s="1" t="s">
        <v>996</v>
      </c>
      <c r="D457" t="s">
        <v>1001</v>
      </c>
      <c r="E457" s="4">
        <v>6.4</v>
      </c>
      <c r="F457" s="3">
        <f t="shared" si="172"/>
        <v>0.71111111111111114</v>
      </c>
      <c r="G457">
        <v>44.3232</v>
      </c>
      <c r="H457">
        <f t="shared" si="163"/>
        <v>0.41835146688050884</v>
      </c>
      <c r="I457">
        <v>3.4</v>
      </c>
      <c r="J457" s="3">
        <f t="shared" si="153"/>
        <v>1.0513296227581941E-2</v>
      </c>
      <c r="K457">
        <v>0</v>
      </c>
      <c r="L457" s="3">
        <f t="shared" si="154"/>
        <v>0</v>
      </c>
      <c r="M457">
        <v>22131</v>
      </c>
      <c r="N457">
        <f t="shared" si="155"/>
        <v>0.10358026618973944</v>
      </c>
      <c r="O457" s="15">
        <v>0.85572912999999995</v>
      </c>
      <c r="P457">
        <f t="shared" si="156"/>
        <v>0.87237688744897335</v>
      </c>
      <c r="Q457">
        <v>0.36859999999999998</v>
      </c>
      <c r="R457">
        <f t="shared" si="157"/>
        <v>0.81711372201285737</v>
      </c>
      <c r="S457">
        <f t="shared" si="164"/>
        <v>0.10178587482662355</v>
      </c>
      <c r="T457" s="14">
        <f t="shared" si="158"/>
        <v>0.17076048398945076</v>
      </c>
      <c r="U457" t="str">
        <f t="shared" si="165"/>
        <v>Low</v>
      </c>
      <c r="V457">
        <f t="shared" si="166"/>
        <v>9.8456463222853077E-2</v>
      </c>
      <c r="W457">
        <f t="shared" si="159"/>
        <v>0.13233033236333508</v>
      </c>
      <c r="X457" t="s">
        <v>1176</v>
      </c>
      <c r="Y457">
        <f t="shared" si="167"/>
        <v>0.10511528643039404</v>
      </c>
      <c r="Z457">
        <f t="shared" si="160"/>
        <v>0.21061356266445511</v>
      </c>
      <c r="AA457" t="str">
        <f t="shared" si="168"/>
        <v>Low</v>
      </c>
      <c r="AB457">
        <f t="shared" si="169"/>
        <v>7.0362591103213898E-2</v>
      </c>
      <c r="AC457">
        <f t="shared" si="161"/>
        <v>0.16519539031373473</v>
      </c>
      <c r="AD457" t="str">
        <f t="shared" si="170"/>
        <v>Low</v>
      </c>
      <c r="AE457">
        <f t="shared" si="171"/>
        <v>1.2480694417420325E-2</v>
      </c>
      <c r="AF457">
        <f t="shared" si="162"/>
        <v>6.8274887309720547E-2</v>
      </c>
      <c r="AG457" t="s">
        <v>1175</v>
      </c>
    </row>
    <row r="458" spans="1:33" x14ac:dyDescent="0.3">
      <c r="A458">
        <v>552743</v>
      </c>
      <c r="B458" t="s">
        <v>184</v>
      </c>
      <c r="C458" s="1" t="s">
        <v>996</v>
      </c>
      <c r="D458" t="s">
        <v>1002</v>
      </c>
      <c r="E458" s="4">
        <v>6.4</v>
      </c>
      <c r="F458" s="3">
        <f t="shared" si="172"/>
        <v>0.71111111111111114</v>
      </c>
      <c r="G458">
        <v>48.948120000000003</v>
      </c>
      <c r="H458">
        <f t="shared" si="163"/>
        <v>0.46200449884131051</v>
      </c>
      <c r="I458">
        <v>10.5</v>
      </c>
      <c r="J458" s="3">
        <f t="shared" si="153"/>
        <v>3.2467532467532464E-2</v>
      </c>
      <c r="K458">
        <v>0</v>
      </c>
      <c r="L458" s="3">
        <f t="shared" si="154"/>
        <v>0</v>
      </c>
      <c r="M458">
        <v>17312</v>
      </c>
      <c r="N458">
        <f t="shared" si="155"/>
        <v>8.0779548906332058E-2</v>
      </c>
      <c r="O458" s="15">
        <v>0.87750984700000001</v>
      </c>
      <c r="P458">
        <f t="shared" si="156"/>
        <v>0.89458133677380469</v>
      </c>
      <c r="Q458">
        <v>0.38140000000000002</v>
      </c>
      <c r="R458">
        <f t="shared" si="157"/>
        <v>0.84548880514298386</v>
      </c>
      <c r="S458">
        <f t="shared" si="164"/>
        <v>0.11835280011082347</v>
      </c>
      <c r="T458" s="14">
        <f t="shared" si="158"/>
        <v>0.19855389033945531</v>
      </c>
      <c r="U458" t="str">
        <f t="shared" si="165"/>
        <v>Low</v>
      </c>
      <c r="V458">
        <f t="shared" si="166"/>
        <v>0.11501371713762995</v>
      </c>
      <c r="W458">
        <f t="shared" si="159"/>
        <v>0.15458409653326299</v>
      </c>
      <c r="X458" t="s">
        <v>1176</v>
      </c>
      <c r="Y458">
        <f t="shared" si="167"/>
        <v>0.121691883084017</v>
      </c>
      <c r="Z458">
        <f t="shared" si="160"/>
        <v>0.24382715315762357</v>
      </c>
      <c r="AA458" t="str">
        <f t="shared" si="168"/>
        <v>Low</v>
      </c>
      <c r="AB458">
        <f t="shared" si="169"/>
        <v>8.0608383335038961E-2</v>
      </c>
      <c r="AC458">
        <f t="shared" si="161"/>
        <v>0.18925018449160949</v>
      </c>
      <c r="AD458" t="str">
        <f t="shared" si="170"/>
        <v>Low</v>
      </c>
      <c r="AE458">
        <f t="shared" si="171"/>
        <v>1.0988621176181065E-2</v>
      </c>
      <c r="AF458">
        <f t="shared" si="162"/>
        <v>6.0112590485813848E-2</v>
      </c>
      <c r="AG458" t="s">
        <v>1175</v>
      </c>
    </row>
    <row r="459" spans="1:33" x14ac:dyDescent="0.3">
      <c r="A459">
        <v>552747</v>
      </c>
      <c r="B459" t="s">
        <v>199</v>
      </c>
      <c r="C459" s="1" t="s">
        <v>996</v>
      </c>
      <c r="D459" t="s">
        <v>1003</v>
      </c>
      <c r="E459" s="4">
        <v>6.4</v>
      </c>
      <c r="F459" s="3">
        <f t="shared" si="172"/>
        <v>0.71111111111111114</v>
      </c>
      <c r="G459">
        <v>47.876040000000003</v>
      </c>
      <c r="H459">
        <f t="shared" si="163"/>
        <v>0.45188550380906428</v>
      </c>
      <c r="I459">
        <v>4.5999999999999996</v>
      </c>
      <c r="J459" s="3">
        <f t="shared" si="153"/>
        <v>1.4223871366728508E-2</v>
      </c>
      <c r="K459">
        <v>0</v>
      </c>
      <c r="L459" s="3">
        <f t="shared" si="154"/>
        <v>0</v>
      </c>
      <c r="M459">
        <v>12348</v>
      </c>
      <c r="N459">
        <f t="shared" si="155"/>
        <v>5.7292775593438462E-2</v>
      </c>
      <c r="O459" s="15">
        <v>0.97355368099999995</v>
      </c>
      <c r="P459">
        <f t="shared" si="156"/>
        <v>0.99249365274648382</v>
      </c>
      <c r="Q459">
        <v>0.38179999999999997</v>
      </c>
      <c r="R459">
        <f t="shared" si="157"/>
        <v>0.84637552649080017</v>
      </c>
      <c r="S459">
        <f t="shared" si="164"/>
        <v>0.12004071037602945</v>
      </c>
      <c r="T459" s="14">
        <f t="shared" si="158"/>
        <v>0.20138560322995497</v>
      </c>
      <c r="U459" t="str">
        <f t="shared" si="165"/>
        <v>Low</v>
      </c>
      <c r="V459">
        <f t="shared" si="166"/>
        <v>0.11050217230459262</v>
      </c>
      <c r="W459">
        <f t="shared" si="159"/>
        <v>0.14852035823020621</v>
      </c>
      <c r="X459" t="s">
        <v>1176</v>
      </c>
      <c r="Y459">
        <f t="shared" si="167"/>
        <v>0.12957924844746629</v>
      </c>
      <c r="Z459">
        <f t="shared" si="160"/>
        <v>0.25963062166962059</v>
      </c>
      <c r="AA459" t="str">
        <f t="shared" si="168"/>
        <v>Low</v>
      </c>
      <c r="AB459">
        <f t="shared" si="169"/>
        <v>8.016757090970586E-2</v>
      </c>
      <c r="AC459">
        <f t="shared" si="161"/>
        <v>0.18821525698941977</v>
      </c>
      <c r="AD459" t="str">
        <f t="shared" si="170"/>
        <v>Low</v>
      </c>
      <c r="AE459">
        <f t="shared" si="171"/>
        <v>7.4801030538816171E-3</v>
      </c>
      <c r="AF459">
        <f t="shared" si="162"/>
        <v>4.0919453356380052E-2</v>
      </c>
      <c r="AG459" t="s">
        <v>1176</v>
      </c>
    </row>
    <row r="460" spans="1:33" x14ac:dyDescent="0.3">
      <c r="A460">
        <v>552756</v>
      </c>
      <c r="B460" t="s">
        <v>236</v>
      </c>
      <c r="C460" s="1" t="s">
        <v>996</v>
      </c>
      <c r="D460" t="s">
        <v>1004</v>
      </c>
      <c r="E460" s="4">
        <v>5</v>
      </c>
      <c r="F460" s="3">
        <f t="shared" si="172"/>
        <v>0.39999999999999997</v>
      </c>
      <c r="G460">
        <v>38.594520000000003</v>
      </c>
      <c r="H460">
        <f t="shared" si="163"/>
        <v>0.36428042324446652</v>
      </c>
      <c r="I460">
        <v>0</v>
      </c>
      <c r="J460" s="3">
        <f t="shared" si="153"/>
        <v>0</v>
      </c>
      <c r="K460">
        <v>0</v>
      </c>
      <c r="L460" s="3">
        <f t="shared" si="154"/>
        <v>0</v>
      </c>
      <c r="M460">
        <v>26833</v>
      </c>
      <c r="N460">
        <f t="shared" si="155"/>
        <v>0.12582740722866484</v>
      </c>
      <c r="O460" s="15">
        <v>0.92987052199999998</v>
      </c>
      <c r="P460">
        <f t="shared" si="156"/>
        <v>0.94796066100135223</v>
      </c>
      <c r="Q460">
        <v>0.35560000000000003</v>
      </c>
      <c r="R460">
        <f t="shared" si="157"/>
        <v>0.78829527820882295</v>
      </c>
      <c r="S460">
        <f t="shared" si="164"/>
        <v>5.0598723871696102E-2</v>
      </c>
      <c r="T460" s="14">
        <f t="shared" si="158"/>
        <v>8.4886656348896639E-2</v>
      </c>
      <c r="U460" t="str">
        <f t="shared" si="165"/>
        <v>No Impact</v>
      </c>
      <c r="V460">
        <f t="shared" si="166"/>
        <v>4.5945686014003916E-2</v>
      </c>
      <c r="W460">
        <f t="shared" si="159"/>
        <v>6.1753263339682118E-2</v>
      </c>
      <c r="X460" t="s">
        <v>1176</v>
      </c>
      <c r="Y460">
        <f t="shared" si="167"/>
        <v>5.5251761729388289E-2</v>
      </c>
      <c r="Z460">
        <f t="shared" si="160"/>
        <v>0.11070483443927805</v>
      </c>
      <c r="AA460" t="str">
        <f t="shared" si="168"/>
        <v>No Impact</v>
      </c>
      <c r="AB460">
        <f t="shared" si="169"/>
        <v>3.5223360448734517E-2</v>
      </c>
      <c r="AC460">
        <f t="shared" si="161"/>
        <v>8.2696453985820984E-2</v>
      </c>
      <c r="AD460" t="str">
        <f t="shared" si="170"/>
        <v>No Impact</v>
      </c>
      <c r="AE460">
        <f t="shared" si="171"/>
        <v>7.3338337857618988E-3</v>
      </c>
      <c r="AF460">
        <f t="shared" si="162"/>
        <v>4.0119296132451063E-2</v>
      </c>
      <c r="AG460" t="s">
        <v>1176</v>
      </c>
    </row>
    <row r="461" spans="1:33" x14ac:dyDescent="0.3">
      <c r="A461">
        <v>552760</v>
      </c>
      <c r="B461" t="s">
        <v>273</v>
      </c>
      <c r="C461" s="1" t="s">
        <v>996</v>
      </c>
      <c r="D461" t="s">
        <v>1005</v>
      </c>
      <c r="E461" s="4">
        <v>6.3</v>
      </c>
      <c r="F461" s="3">
        <f t="shared" si="172"/>
        <v>0.68888888888888877</v>
      </c>
      <c r="G461">
        <v>38.470680000000002</v>
      </c>
      <c r="H461">
        <f t="shared" si="163"/>
        <v>0.36311154000366974</v>
      </c>
      <c r="I461">
        <v>0.7</v>
      </c>
      <c r="J461" s="3">
        <f t="shared" si="153"/>
        <v>2.1645021645021641E-3</v>
      </c>
      <c r="K461">
        <v>0</v>
      </c>
      <c r="L461" s="3">
        <f t="shared" si="154"/>
        <v>0</v>
      </c>
      <c r="M461">
        <v>15773</v>
      </c>
      <c r="N461">
        <f t="shared" si="155"/>
        <v>7.3497892151992164E-2</v>
      </c>
      <c r="O461" s="15">
        <v>0.86236501200000004</v>
      </c>
      <c r="P461">
        <f t="shared" si="156"/>
        <v>0.87914186702216923</v>
      </c>
      <c r="Q461">
        <v>0.35630000000000001</v>
      </c>
      <c r="R461">
        <f t="shared" si="157"/>
        <v>0.78984704056750166</v>
      </c>
      <c r="S461">
        <f t="shared" si="164"/>
        <v>8.3746210327103915E-2</v>
      </c>
      <c r="T461" s="14">
        <f t="shared" si="158"/>
        <v>0.14049634521585005</v>
      </c>
      <c r="U461" t="str">
        <f t="shared" si="165"/>
        <v>No Impact</v>
      </c>
      <c r="V461">
        <f t="shared" si="166"/>
        <v>7.9265591382670905E-2</v>
      </c>
      <c r="W461">
        <f t="shared" si="159"/>
        <v>0.10653685608128216</v>
      </c>
      <c r="X461" t="s">
        <v>1176</v>
      </c>
      <c r="Y461">
        <f t="shared" si="167"/>
        <v>8.8226829271536925E-2</v>
      </c>
      <c r="Z461">
        <f t="shared" si="160"/>
        <v>0.17677511489036968</v>
      </c>
      <c r="AA461" t="str">
        <f t="shared" si="168"/>
        <v>Low</v>
      </c>
      <c r="AB461">
        <f t="shared" si="169"/>
        <v>5.6792580115434033E-2</v>
      </c>
      <c r="AC461">
        <f t="shared" si="161"/>
        <v>0.13333608515540649</v>
      </c>
      <c r="AD461" t="str">
        <f t="shared" si="170"/>
        <v>No Impact</v>
      </c>
      <c r="AE461">
        <f t="shared" si="171"/>
        <v>7.3759267143946958E-3</v>
      </c>
      <c r="AF461">
        <f t="shared" si="162"/>
        <v>4.0349562963992829E-2</v>
      </c>
      <c r="AG461" t="s">
        <v>1176</v>
      </c>
    </row>
    <row r="462" spans="1:33" x14ac:dyDescent="0.3">
      <c r="A462">
        <v>552764</v>
      </c>
      <c r="B462" t="s">
        <v>152</v>
      </c>
      <c r="C462" s="1" t="s">
        <v>996</v>
      </c>
      <c r="D462" t="s">
        <v>1006</v>
      </c>
      <c r="E462" s="4">
        <v>6.4</v>
      </c>
      <c r="F462" s="3">
        <f t="shared" si="172"/>
        <v>0.71111111111111114</v>
      </c>
      <c r="G462">
        <v>42.622560000000007</v>
      </c>
      <c r="H462">
        <f t="shared" si="163"/>
        <v>0.40229970981793967</v>
      </c>
      <c r="I462">
        <v>1.3</v>
      </c>
      <c r="J462" s="3">
        <f t="shared" si="153"/>
        <v>4.0197897340754482E-3</v>
      </c>
      <c r="K462">
        <v>0</v>
      </c>
      <c r="L462" s="3">
        <f t="shared" si="154"/>
        <v>0</v>
      </c>
      <c r="M462">
        <v>51759</v>
      </c>
      <c r="N462">
        <f t="shared" si="155"/>
        <v>0.24376280440779172</v>
      </c>
      <c r="O462" s="15">
        <v>0.665584858</v>
      </c>
      <c r="P462">
        <f t="shared" si="156"/>
        <v>0.67853345924452391</v>
      </c>
      <c r="Q462">
        <v>0.36699999999999999</v>
      </c>
      <c r="R462">
        <f t="shared" si="157"/>
        <v>0.81356683662159168</v>
      </c>
      <c r="S462">
        <f t="shared" si="164"/>
        <v>8.5798468376457548E-2</v>
      </c>
      <c r="T462" s="14">
        <f t="shared" si="158"/>
        <v>0.14393930405837904</v>
      </c>
      <c r="U462" t="str">
        <f t="shared" si="165"/>
        <v>No Impact</v>
      </c>
      <c r="V462">
        <f t="shared" si="166"/>
        <v>9.3563132046018377E-2</v>
      </c>
      <c r="W462">
        <f t="shared" si="159"/>
        <v>0.12575345442360319</v>
      </c>
      <c r="X462" t="s">
        <v>1176</v>
      </c>
      <c r="Y462">
        <f t="shared" si="167"/>
        <v>7.8033804706896706E-2</v>
      </c>
      <c r="Z462">
        <f t="shared" si="160"/>
        <v>0.1563519272571727</v>
      </c>
      <c r="AA462" t="str">
        <f t="shared" si="168"/>
        <v>Low</v>
      </c>
      <c r="AB462">
        <f t="shared" si="169"/>
        <v>6.5968999428838326E-2</v>
      </c>
      <c r="AC462">
        <f t="shared" si="161"/>
        <v>0.15488023448806337</v>
      </c>
      <c r="AD462" t="str">
        <f t="shared" si="170"/>
        <v>Low</v>
      </c>
      <c r="AE462">
        <f t="shared" si="171"/>
        <v>2.8033605144751145E-2</v>
      </c>
      <c r="AF462">
        <f t="shared" si="162"/>
        <v>0.15335614895526747</v>
      </c>
      <c r="AG462" t="s">
        <v>1175</v>
      </c>
    </row>
    <row r="463" spans="1:33" x14ac:dyDescent="0.3">
      <c r="A463">
        <v>552769</v>
      </c>
      <c r="B463" t="s">
        <v>378</v>
      </c>
      <c r="C463" s="1" t="s">
        <v>996</v>
      </c>
      <c r="D463" t="s">
        <v>724</v>
      </c>
      <c r="E463" s="4">
        <v>6.3</v>
      </c>
      <c r="F463" s="3">
        <f t="shared" si="172"/>
        <v>0.68888888888888877</v>
      </c>
      <c r="G463">
        <v>47.876040000000003</v>
      </c>
      <c r="H463">
        <f t="shared" si="163"/>
        <v>0.45188550380906428</v>
      </c>
      <c r="I463">
        <v>4.6999999999999993</v>
      </c>
      <c r="J463" s="3">
        <f t="shared" si="153"/>
        <v>1.4533085961657387E-2</v>
      </c>
      <c r="K463">
        <v>0</v>
      </c>
      <c r="L463" s="3">
        <f t="shared" si="154"/>
        <v>0</v>
      </c>
      <c r="M463">
        <v>37424</v>
      </c>
      <c r="N463">
        <f t="shared" si="155"/>
        <v>0.17593788590651657</v>
      </c>
      <c r="O463" s="15">
        <v>0.86275718099999998</v>
      </c>
      <c r="P463">
        <f t="shared" si="156"/>
        <v>0.87954166546256352</v>
      </c>
      <c r="Q463">
        <v>0.31269999999999998</v>
      </c>
      <c r="R463">
        <f t="shared" si="157"/>
        <v>0.69319441365550871</v>
      </c>
      <c r="S463">
        <f t="shared" si="164"/>
        <v>9.9492776370704847E-2</v>
      </c>
      <c r="T463" s="14">
        <f t="shared" si="158"/>
        <v>0.16691348063230399</v>
      </c>
      <c r="U463" t="str">
        <f t="shared" si="165"/>
        <v>Low</v>
      </c>
      <c r="V463">
        <f t="shared" si="166"/>
        <v>8.7704272439561276E-2</v>
      </c>
      <c r="W463">
        <f t="shared" si="159"/>
        <v>0.11787885875345699</v>
      </c>
      <c r="X463" t="s">
        <v>1176</v>
      </c>
      <c r="Y463">
        <f t="shared" si="167"/>
        <v>0.11128128030184842</v>
      </c>
      <c r="Z463">
        <f t="shared" si="160"/>
        <v>0.22296801633846136</v>
      </c>
      <c r="AA463" t="str">
        <f t="shared" si="168"/>
        <v>Low</v>
      </c>
      <c r="AB463">
        <f t="shared" si="169"/>
        <v>7.1871877742865173E-2</v>
      </c>
      <c r="AC463">
        <f t="shared" si="161"/>
        <v>0.16873885270793171</v>
      </c>
      <c r="AD463" t="str">
        <f t="shared" si="170"/>
        <v>Low</v>
      </c>
      <c r="AE463">
        <f t="shared" si="171"/>
        <v>2.2259995138469119E-2</v>
      </c>
      <c r="AF463">
        <f t="shared" si="162"/>
        <v>0.12177196306261606</v>
      </c>
      <c r="AG463" t="s">
        <v>1175</v>
      </c>
    </row>
    <row r="464" spans="1:33" x14ac:dyDescent="0.3">
      <c r="A464">
        <v>552777</v>
      </c>
      <c r="B464" t="s">
        <v>402</v>
      </c>
      <c r="C464" s="1" t="s">
        <v>996</v>
      </c>
      <c r="D464" t="s">
        <v>1007</v>
      </c>
      <c r="E464" s="4">
        <v>6.4</v>
      </c>
      <c r="F464" s="3">
        <f t="shared" si="172"/>
        <v>0.71111111111111114</v>
      </c>
      <c r="G464">
        <v>44.303040000000003</v>
      </c>
      <c r="H464">
        <f t="shared" si="163"/>
        <v>0.41816118356223964</v>
      </c>
      <c r="I464">
        <v>3.4</v>
      </c>
      <c r="J464" s="3">
        <f t="shared" si="153"/>
        <v>1.0513296227581941E-2</v>
      </c>
      <c r="K464">
        <v>0</v>
      </c>
      <c r="L464" s="3">
        <f t="shared" si="154"/>
        <v>0</v>
      </c>
      <c r="M464">
        <v>48158</v>
      </c>
      <c r="N464">
        <f t="shared" si="155"/>
        <v>0.22672495777206852</v>
      </c>
      <c r="O464" s="15">
        <v>0.94276360199999998</v>
      </c>
      <c r="P464">
        <f t="shared" si="156"/>
        <v>0.96110456905088959</v>
      </c>
      <c r="Q464">
        <v>0.36649999999999999</v>
      </c>
      <c r="R464">
        <f t="shared" si="157"/>
        <v>0.81245843493682113</v>
      </c>
      <c r="S464">
        <f t="shared" si="164"/>
        <v>0.10680294421181209</v>
      </c>
      <c r="T464" s="14">
        <f t="shared" si="158"/>
        <v>0.17917734141571678</v>
      </c>
      <c r="U464" t="str">
        <f t="shared" si="165"/>
        <v>Low</v>
      </c>
      <c r="V464">
        <f t="shared" si="166"/>
        <v>9.7851559494499613E-2</v>
      </c>
      <c r="W464">
        <f t="shared" si="159"/>
        <v>0.13151731198051214</v>
      </c>
      <c r="X464" t="s">
        <v>1176</v>
      </c>
      <c r="Y464">
        <f t="shared" si="167"/>
        <v>0.11575432892912457</v>
      </c>
      <c r="Z464">
        <f t="shared" si="160"/>
        <v>0.23193041124175467</v>
      </c>
      <c r="AA464" t="str">
        <f t="shared" si="168"/>
        <v>Low</v>
      </c>
      <c r="AB464">
        <f t="shared" si="169"/>
        <v>7.853161710692258E-2</v>
      </c>
      <c r="AC464">
        <f t="shared" si="161"/>
        <v>0.1843744088519543</v>
      </c>
      <c r="AD464" t="str">
        <f t="shared" si="170"/>
        <v>Low</v>
      </c>
      <c r="AE464">
        <f t="shared" si="171"/>
        <v>2.7306493157458166E-2</v>
      </c>
      <c r="AF464">
        <f t="shared" si="162"/>
        <v>0.14937852661041753</v>
      </c>
      <c r="AG464" t="s">
        <v>1175</v>
      </c>
    </row>
    <row r="465" spans="1:33" x14ac:dyDescent="0.3">
      <c r="A465">
        <v>553221</v>
      </c>
      <c r="B465" t="s">
        <v>170</v>
      </c>
      <c r="C465" s="1" t="s">
        <v>1009</v>
      </c>
      <c r="D465" t="s">
        <v>1008</v>
      </c>
      <c r="E465" s="4">
        <v>7</v>
      </c>
      <c r="F465" s="3">
        <f t="shared" si="172"/>
        <v>0.84444444444444444</v>
      </c>
      <c r="G465">
        <v>51.317279999999997</v>
      </c>
      <c r="H465">
        <f t="shared" si="163"/>
        <v>0.4843661866543435</v>
      </c>
      <c r="I465">
        <v>60.7</v>
      </c>
      <c r="J465" s="3">
        <f t="shared" si="153"/>
        <v>0.18769325912183055</v>
      </c>
      <c r="K465">
        <v>0</v>
      </c>
      <c r="L465" s="3">
        <f t="shared" si="154"/>
        <v>0</v>
      </c>
      <c r="M465">
        <v>4647</v>
      </c>
      <c r="N465">
        <f t="shared" si="155"/>
        <v>2.0856103296380935E-2</v>
      </c>
      <c r="O465" s="15">
        <v>0.89488769499999998</v>
      </c>
      <c r="P465">
        <f t="shared" si="156"/>
        <v>0.91229726161184466</v>
      </c>
      <c r="Q465">
        <v>0.24390000000000001</v>
      </c>
      <c r="R465">
        <f t="shared" si="157"/>
        <v>0.54067834183107955</v>
      </c>
      <c r="S465">
        <f t="shared" si="164"/>
        <v>0.14188847284993036</v>
      </c>
      <c r="T465" s="14">
        <f t="shared" si="158"/>
        <v>0.23803837553735624</v>
      </c>
      <c r="U465" t="str">
        <f t="shared" si="165"/>
        <v>Low</v>
      </c>
      <c r="V465">
        <f t="shared" si="166"/>
        <v>0.10559850288423382</v>
      </c>
      <c r="W465">
        <f t="shared" si="159"/>
        <v>0.1419295851823543</v>
      </c>
      <c r="X465" t="s">
        <v>1176</v>
      </c>
      <c r="Y465">
        <f t="shared" si="167"/>
        <v>0.17817844281562695</v>
      </c>
      <c r="Z465">
        <f t="shared" si="160"/>
        <v>0.35700608261438577</v>
      </c>
      <c r="AA465" t="str">
        <f t="shared" si="168"/>
        <v>Moderate</v>
      </c>
      <c r="AB465">
        <f t="shared" si="169"/>
        <v>9.1838682105336869E-2</v>
      </c>
      <c r="AC465">
        <f t="shared" si="161"/>
        <v>0.21561637652080665</v>
      </c>
      <c r="AD465" t="str">
        <f t="shared" si="170"/>
        <v>Low</v>
      </c>
      <c r="AE465">
        <f t="shared" si="171"/>
        <v>4.0733521461912628E-3</v>
      </c>
      <c r="AF465">
        <f t="shared" si="162"/>
        <v>2.2283027646750105E-2</v>
      </c>
      <c r="AG465" t="s">
        <v>1176</v>
      </c>
    </row>
    <row r="466" spans="1:33" x14ac:dyDescent="0.3">
      <c r="A466">
        <v>553224</v>
      </c>
      <c r="B466" t="s">
        <v>174</v>
      </c>
      <c r="C466" s="1" t="s">
        <v>1009</v>
      </c>
      <c r="D466" t="s">
        <v>1010</v>
      </c>
      <c r="E466" s="4">
        <v>7.1</v>
      </c>
      <c r="F466" s="3">
        <f t="shared" si="172"/>
        <v>0.86666666666666659</v>
      </c>
      <c r="G466">
        <v>52.73028</v>
      </c>
      <c r="H466">
        <f t="shared" si="163"/>
        <v>0.49770300851517846</v>
      </c>
      <c r="I466">
        <v>42.6</v>
      </c>
      <c r="J466" s="3">
        <f t="shared" si="153"/>
        <v>0.13172541743970315</v>
      </c>
      <c r="K466">
        <v>0</v>
      </c>
      <c r="L466" s="3">
        <f t="shared" si="154"/>
        <v>0</v>
      </c>
      <c r="M466">
        <v>17828</v>
      </c>
      <c r="N466">
        <f t="shared" si="155"/>
        <v>8.3220962087124387E-2</v>
      </c>
      <c r="O466" s="15">
        <v>0.50413797800000004</v>
      </c>
      <c r="P466">
        <f t="shared" si="156"/>
        <v>0.51394571561734614</v>
      </c>
      <c r="Q466">
        <v>0.3619</v>
      </c>
      <c r="R466">
        <f t="shared" si="157"/>
        <v>0.80226113943693189</v>
      </c>
      <c r="S466">
        <f t="shared" si="164"/>
        <v>0.12857330378504339</v>
      </c>
      <c r="T466" s="14">
        <f t="shared" si="158"/>
        <v>0.21570025919464794</v>
      </c>
      <c r="U466" t="str">
        <f t="shared" si="165"/>
        <v>Low</v>
      </c>
      <c r="V466">
        <f t="shared" si="166"/>
        <v>0.15673731647827652</v>
      </c>
      <c r="W466">
        <f t="shared" si="159"/>
        <v>0.21066266758293706</v>
      </c>
      <c r="X466" t="s">
        <v>1175</v>
      </c>
      <c r="Y466">
        <f t="shared" si="167"/>
        <v>0.10040929109181028</v>
      </c>
      <c r="Z466">
        <f t="shared" si="160"/>
        <v>0.20118442559220093</v>
      </c>
      <c r="AA466" t="str">
        <f t="shared" si="168"/>
        <v>Low</v>
      </c>
      <c r="AB466">
        <f t="shared" si="169"/>
        <v>9.0671439812371038E-2</v>
      </c>
      <c r="AC466">
        <f t="shared" si="161"/>
        <v>0.21287595660229713</v>
      </c>
      <c r="AD466" t="str">
        <f t="shared" si="170"/>
        <v>Low</v>
      </c>
      <c r="AE466">
        <f t="shared" si="171"/>
        <v>1.6258833478374757E-2</v>
      </c>
      <c r="AF466">
        <f t="shared" si="162"/>
        <v>8.8942969549365203E-2</v>
      </c>
      <c r="AG466" t="s">
        <v>1175</v>
      </c>
    </row>
    <row r="467" spans="1:33" x14ac:dyDescent="0.3">
      <c r="A467">
        <v>553230</v>
      </c>
      <c r="B467" t="s">
        <v>186</v>
      </c>
      <c r="C467" s="1" t="s">
        <v>1009</v>
      </c>
      <c r="D467" t="s">
        <v>1011</v>
      </c>
      <c r="E467" s="4">
        <v>6.7</v>
      </c>
      <c r="F467" s="3">
        <f t="shared" si="172"/>
        <v>0.77777777777777779</v>
      </c>
      <c r="G467">
        <v>50.762160000000002</v>
      </c>
      <c r="H467">
        <f t="shared" si="163"/>
        <v>0.47912659956914416</v>
      </c>
      <c r="I467">
        <v>51.5</v>
      </c>
      <c r="J467" s="3">
        <f t="shared" si="153"/>
        <v>0.1592455163883735</v>
      </c>
      <c r="K467">
        <v>0</v>
      </c>
      <c r="L467" s="3">
        <f t="shared" si="154"/>
        <v>0</v>
      </c>
      <c r="M467">
        <v>31462</v>
      </c>
      <c r="N467">
        <f t="shared" si="155"/>
        <v>0.14772915454240063</v>
      </c>
      <c r="O467" s="15">
        <v>0.863912244</v>
      </c>
      <c r="P467">
        <f t="shared" si="156"/>
        <v>0.88071919960207268</v>
      </c>
      <c r="Q467">
        <v>0.36609999999999998</v>
      </c>
      <c r="R467">
        <f t="shared" si="157"/>
        <v>0.8115717135890046</v>
      </c>
      <c r="S467">
        <f t="shared" si="164"/>
        <v>0.14708811613910328</v>
      </c>
      <c r="T467" s="14">
        <f t="shared" si="158"/>
        <v>0.24676152701730428</v>
      </c>
      <c r="U467" t="str">
        <f t="shared" si="165"/>
        <v>Low</v>
      </c>
      <c r="V467">
        <f t="shared" si="166"/>
        <v>0.14107805405454205</v>
      </c>
      <c r="W467">
        <f t="shared" si="159"/>
        <v>0.18961584817396521</v>
      </c>
      <c r="X467" t="s">
        <v>1175</v>
      </c>
      <c r="Y467">
        <f t="shared" si="167"/>
        <v>0.15309817822366451</v>
      </c>
      <c r="Z467">
        <f t="shared" si="160"/>
        <v>0.30675417294777196</v>
      </c>
      <c r="AA467" t="str">
        <f t="shared" si="168"/>
        <v>Moderate</v>
      </c>
      <c r="AB467">
        <f t="shared" si="169"/>
        <v>0.10429485003274644</v>
      </c>
      <c r="AC467">
        <f t="shared" si="161"/>
        <v>0.24486063103615607</v>
      </c>
      <c r="AD467" t="str">
        <f t="shared" si="170"/>
        <v>Low</v>
      </c>
      <c r="AE467">
        <f t="shared" si="171"/>
        <v>2.5680221847306825E-2</v>
      </c>
      <c r="AF467">
        <f t="shared" si="162"/>
        <v>0.14048210733100339</v>
      </c>
      <c r="AG467" t="s">
        <v>1175</v>
      </c>
    </row>
    <row r="468" spans="1:33" x14ac:dyDescent="0.3">
      <c r="A468">
        <v>553267</v>
      </c>
      <c r="B468" t="s">
        <v>394</v>
      </c>
      <c r="C468" s="1" t="s">
        <v>1009</v>
      </c>
      <c r="D468" t="s">
        <v>1012</v>
      </c>
      <c r="E468" s="4">
        <v>7</v>
      </c>
      <c r="F468" s="3">
        <f t="shared" si="172"/>
        <v>0.84444444444444444</v>
      </c>
      <c r="G468">
        <v>51.317279999999997</v>
      </c>
      <c r="H468">
        <f t="shared" si="163"/>
        <v>0.4843661866543435</v>
      </c>
      <c r="I468">
        <v>42.1</v>
      </c>
      <c r="J468" s="3">
        <f t="shared" si="153"/>
        <v>0.13017934446505874</v>
      </c>
      <c r="K468">
        <v>0</v>
      </c>
      <c r="L468" s="3">
        <f t="shared" si="154"/>
        <v>0</v>
      </c>
      <c r="M468">
        <v>6784</v>
      </c>
      <c r="N468">
        <f t="shared" si="155"/>
        <v>3.0967149744739842E-2</v>
      </c>
      <c r="O468" s="15">
        <v>0.96817020399999998</v>
      </c>
      <c r="P468">
        <f t="shared" si="156"/>
        <v>0.98700544304990245</v>
      </c>
      <c r="Q468">
        <v>0.37430000000000002</v>
      </c>
      <c r="R468">
        <f t="shared" si="157"/>
        <v>0.82974950121924185</v>
      </c>
      <c r="S468">
        <f t="shared" si="164"/>
        <v>0.16858938948904123</v>
      </c>
      <c r="T468" s="14">
        <f t="shared" si="158"/>
        <v>0.28283301385060833</v>
      </c>
      <c r="U468" t="str">
        <f t="shared" si="165"/>
        <v>Low</v>
      </c>
      <c r="V468">
        <f t="shared" si="166"/>
        <v>0.15399651150602819</v>
      </c>
      <c r="W468">
        <f t="shared" si="159"/>
        <v>0.20697889080436477</v>
      </c>
      <c r="X468" t="s">
        <v>1175</v>
      </c>
      <c r="Y468">
        <f t="shared" si="167"/>
        <v>0.18318226747205424</v>
      </c>
      <c r="Z468">
        <f t="shared" si="160"/>
        <v>0.36703196346984301</v>
      </c>
      <c r="AA468" t="str">
        <f t="shared" si="168"/>
        <v>Moderate</v>
      </c>
      <c r="AB468">
        <f t="shared" si="169"/>
        <v>0.11086502005754083</v>
      </c>
      <c r="AC468">
        <f t="shared" si="161"/>
        <v>0.26028589870546925</v>
      </c>
      <c r="AD468" t="str">
        <f t="shared" si="170"/>
        <v>Low</v>
      </c>
      <c r="AE468">
        <f t="shared" si="171"/>
        <v>5.7473165394704767E-3</v>
      </c>
      <c r="AF468">
        <f t="shared" si="162"/>
        <v>3.1440349065668872E-2</v>
      </c>
      <c r="AG468" t="s">
        <v>1176</v>
      </c>
    </row>
    <row r="469" spans="1:33" x14ac:dyDescent="0.3">
      <c r="A469">
        <v>553282</v>
      </c>
      <c r="B469" t="s">
        <v>451</v>
      </c>
      <c r="C469" s="1" t="s">
        <v>1009</v>
      </c>
      <c r="D469" t="s">
        <v>1013</v>
      </c>
      <c r="E469" s="4">
        <v>5.9</v>
      </c>
      <c r="F469" s="3">
        <f t="shared" si="172"/>
        <v>0.60000000000000009</v>
      </c>
      <c r="G469">
        <v>52.73028</v>
      </c>
      <c r="H469">
        <f t="shared" si="163"/>
        <v>0.49770300851517846</v>
      </c>
      <c r="I469">
        <v>18.8</v>
      </c>
      <c r="J469" s="3">
        <f t="shared" si="153"/>
        <v>5.8132343846629554E-2</v>
      </c>
      <c r="K469">
        <v>0</v>
      </c>
      <c r="L469" s="3">
        <f t="shared" si="154"/>
        <v>0</v>
      </c>
      <c r="M469">
        <v>9977</v>
      </c>
      <c r="N469">
        <f t="shared" si="155"/>
        <v>4.6074576656115598E-2</v>
      </c>
      <c r="O469" s="15">
        <v>0.98091678299999996</v>
      </c>
      <c r="P469">
        <f t="shared" si="156"/>
        <v>1</v>
      </c>
      <c r="Q469">
        <v>0.3861</v>
      </c>
      <c r="R469">
        <f t="shared" si="157"/>
        <v>0.85590778097982712</v>
      </c>
      <c r="S469">
        <f t="shared" si="164"/>
        <v>0.11731620249073996</v>
      </c>
      <c r="T469" s="14">
        <f t="shared" si="158"/>
        <v>0.19681484833967605</v>
      </c>
      <c r="U469" t="str">
        <f t="shared" si="165"/>
        <v>Low</v>
      </c>
      <c r="V469">
        <f t="shared" si="166"/>
        <v>0.10820780167624151</v>
      </c>
      <c r="W469">
        <f t="shared" si="159"/>
        <v>0.14543661118226325</v>
      </c>
      <c r="X469" t="s">
        <v>1176</v>
      </c>
      <c r="Y469">
        <f t="shared" si="167"/>
        <v>0.12642460330523839</v>
      </c>
      <c r="Z469">
        <f t="shared" si="160"/>
        <v>0.25330983736783685</v>
      </c>
      <c r="AA469" t="str">
        <f t="shared" si="168"/>
        <v>Low</v>
      </c>
      <c r="AB469">
        <f t="shared" si="169"/>
        <v>7.7838847604928235E-2</v>
      </c>
      <c r="AC469">
        <f t="shared" si="161"/>
        <v>0.18274794333263406</v>
      </c>
      <c r="AD469" t="str">
        <f t="shared" si="170"/>
        <v>Low</v>
      </c>
      <c r="AE469">
        <f t="shared" si="171"/>
        <v>5.824960076206212E-3</v>
      </c>
      <c r="AF469">
        <f t="shared" si="162"/>
        <v>3.1865093358226931E-2</v>
      </c>
      <c r="AG469" t="s">
        <v>1176</v>
      </c>
    </row>
    <row r="470" spans="1:33" x14ac:dyDescent="0.3">
      <c r="A470">
        <v>553288</v>
      </c>
      <c r="B470" t="s">
        <v>452</v>
      </c>
      <c r="C470" s="1" t="s">
        <v>1009</v>
      </c>
      <c r="D470" t="s">
        <v>1014</v>
      </c>
      <c r="E470" s="4">
        <v>7</v>
      </c>
      <c r="F470" s="3">
        <f t="shared" si="172"/>
        <v>0.84444444444444444</v>
      </c>
      <c r="G470">
        <v>45.802800000000005</v>
      </c>
      <c r="H470">
        <f t="shared" si="163"/>
        <v>0.43231690327491185</v>
      </c>
      <c r="I470">
        <v>60.7</v>
      </c>
      <c r="J470" s="3">
        <f t="shared" si="153"/>
        <v>0.18769325912183055</v>
      </c>
      <c r="K470">
        <v>0</v>
      </c>
      <c r="L470" s="3">
        <f t="shared" si="154"/>
        <v>0</v>
      </c>
      <c r="M470">
        <v>16704</v>
      </c>
      <c r="N470">
        <f t="shared" si="155"/>
        <v>7.7902845003382973E-2</v>
      </c>
      <c r="O470" s="15">
        <v>0.93502386800000004</v>
      </c>
      <c r="P470">
        <f t="shared" si="156"/>
        <v>0.95321426262109343</v>
      </c>
      <c r="Q470">
        <v>0.32569999999999999</v>
      </c>
      <c r="R470">
        <f t="shared" si="157"/>
        <v>0.72201285745954336</v>
      </c>
      <c r="S470">
        <f t="shared" si="164"/>
        <v>0.14886599978912274</v>
      </c>
      <c r="T470" s="14">
        <f t="shared" si="158"/>
        <v>0.24974418323626763</v>
      </c>
      <c r="U470" t="str">
        <f t="shared" si="165"/>
        <v>Low</v>
      </c>
      <c r="V470">
        <f t="shared" si="166"/>
        <v>0.1283207089927515</v>
      </c>
      <c r="W470">
        <f t="shared" si="159"/>
        <v>0.17246934852488333</v>
      </c>
      <c r="X470" t="s">
        <v>1176</v>
      </c>
      <c r="Y470">
        <f t="shared" si="167"/>
        <v>0.16941129058549398</v>
      </c>
      <c r="Z470">
        <f t="shared" si="160"/>
        <v>0.33943983484667745</v>
      </c>
      <c r="AA470" t="str">
        <f t="shared" si="168"/>
        <v>Moderate</v>
      </c>
      <c r="AB470">
        <f t="shared" si="169"/>
        <v>0.10058152119624658</v>
      </c>
      <c r="AC470">
        <f t="shared" si="161"/>
        <v>0.23614257792169621</v>
      </c>
      <c r="AD470" t="str">
        <f t="shared" si="170"/>
        <v>Low</v>
      </c>
      <c r="AE470">
        <f t="shared" si="171"/>
        <v>1.3845388208958136E-2</v>
      </c>
      <c r="AF470">
        <f t="shared" si="162"/>
        <v>7.5740362523941659E-2</v>
      </c>
      <c r="AG470" t="s">
        <v>1175</v>
      </c>
    </row>
    <row r="471" spans="1:33" x14ac:dyDescent="0.3">
      <c r="A471">
        <v>553291</v>
      </c>
      <c r="B471" t="s">
        <v>505</v>
      </c>
      <c r="C471" s="1" t="s">
        <v>1009</v>
      </c>
      <c r="D471" t="s">
        <v>1015</v>
      </c>
      <c r="E471" s="4">
        <v>7.1</v>
      </c>
      <c r="F471" s="3">
        <f t="shared" si="172"/>
        <v>0.86666666666666659</v>
      </c>
      <c r="G471">
        <v>53.908920000000002</v>
      </c>
      <c r="H471">
        <f t="shared" si="163"/>
        <v>0.5088277868011335</v>
      </c>
      <c r="I471">
        <v>27.3</v>
      </c>
      <c r="J471" s="3">
        <f t="shared" si="153"/>
        <v>8.4415584415584402E-2</v>
      </c>
      <c r="K471">
        <v>0</v>
      </c>
      <c r="L471" s="3">
        <f t="shared" si="154"/>
        <v>0</v>
      </c>
      <c r="M471">
        <v>13827</v>
      </c>
      <c r="N471">
        <f t="shared" si="155"/>
        <v>6.4290547094197861E-2</v>
      </c>
      <c r="O471" s="15">
        <v>0.79189258100000004</v>
      </c>
      <c r="P471">
        <f t="shared" si="156"/>
        <v>0.80729843216475994</v>
      </c>
      <c r="Q471">
        <v>0.35759999999999997</v>
      </c>
      <c r="R471">
        <f t="shared" si="157"/>
        <v>0.79272888494790505</v>
      </c>
      <c r="S471">
        <f t="shared" si="164"/>
        <v>0.15282314304664771</v>
      </c>
      <c r="T471" s="14">
        <f t="shared" si="158"/>
        <v>0.25638286172698699</v>
      </c>
      <c r="U471" t="str">
        <f t="shared" si="165"/>
        <v>Low</v>
      </c>
      <c r="V471">
        <f t="shared" si="166"/>
        <v>0.15143156430631455</v>
      </c>
      <c r="W471">
        <f t="shared" si="159"/>
        <v>0.20353147552737838</v>
      </c>
      <c r="X471" t="s">
        <v>1175</v>
      </c>
      <c r="Y471">
        <f t="shared" si="167"/>
        <v>0.1542147217869809</v>
      </c>
      <c r="Z471">
        <f t="shared" si="160"/>
        <v>0.30899132822485764</v>
      </c>
      <c r="AA471" t="str">
        <f t="shared" si="168"/>
        <v>Moderate</v>
      </c>
      <c r="AB471">
        <f t="shared" si="169"/>
        <v>0.10356386467623703</v>
      </c>
      <c r="AC471">
        <f t="shared" si="161"/>
        <v>0.24314444336613322</v>
      </c>
      <c r="AD471" t="str">
        <f t="shared" si="170"/>
        <v>Low</v>
      </c>
      <c r="AE471">
        <f t="shared" si="171"/>
        <v>1.2281144665522001E-2</v>
      </c>
      <c r="AF471">
        <f t="shared" si="162"/>
        <v>6.7183262407461558E-2</v>
      </c>
      <c r="AG471" t="s">
        <v>1175</v>
      </c>
    </row>
    <row r="472" spans="1:33" x14ac:dyDescent="0.3">
      <c r="A472">
        <v>554906</v>
      </c>
      <c r="B472" t="s">
        <v>74</v>
      </c>
      <c r="C472" s="1" t="s">
        <v>1017</v>
      </c>
      <c r="D472" t="s">
        <v>1016</v>
      </c>
      <c r="E472" s="4">
        <v>7.5</v>
      </c>
      <c r="F472" s="3">
        <f t="shared" si="172"/>
        <v>0.95555555555555549</v>
      </c>
      <c r="G472">
        <v>0</v>
      </c>
      <c r="H472">
        <f t="shared" si="163"/>
        <v>0</v>
      </c>
      <c r="I472">
        <v>0</v>
      </c>
      <c r="J472" s="3">
        <f t="shared" si="153"/>
        <v>0</v>
      </c>
      <c r="K472">
        <v>0</v>
      </c>
      <c r="L472" s="3">
        <f t="shared" si="154"/>
        <v>0</v>
      </c>
      <c r="M472">
        <v>22341</v>
      </c>
      <c r="N472">
        <f t="shared" si="155"/>
        <v>0.10457386457727121</v>
      </c>
      <c r="O472" s="15">
        <v>0.77325283300000003</v>
      </c>
      <c r="P472">
        <f t="shared" si="156"/>
        <v>0.7882960577299043</v>
      </c>
      <c r="Q472">
        <v>0.37430000000000002</v>
      </c>
      <c r="R472">
        <f t="shared" si="157"/>
        <v>0.82974950121924185</v>
      </c>
      <c r="S472">
        <f t="shared" si="164"/>
        <v>0</v>
      </c>
      <c r="T472" s="14">
        <f t="shared" si="158"/>
        <v>0</v>
      </c>
      <c r="U472" t="str">
        <f t="shared" si="165"/>
        <v>No Impact</v>
      </c>
      <c r="V472">
        <f t="shared" si="166"/>
        <v>0</v>
      </c>
      <c r="W472">
        <f t="shared" si="159"/>
        <v>0</v>
      </c>
      <c r="X472" t="s">
        <v>1176</v>
      </c>
      <c r="Y472">
        <f t="shared" si="167"/>
        <v>0</v>
      </c>
      <c r="Z472">
        <f t="shared" si="160"/>
        <v>0</v>
      </c>
      <c r="AA472" t="str">
        <f t="shared" si="168"/>
        <v>No Impact</v>
      </c>
      <c r="AB472">
        <f t="shared" si="169"/>
        <v>0</v>
      </c>
      <c r="AC472">
        <f t="shared" si="161"/>
        <v>0</v>
      </c>
      <c r="AD472" t="str">
        <f t="shared" si="170"/>
        <v>No Impact</v>
      </c>
      <c r="AE472">
        <f t="shared" si="171"/>
        <v>0</v>
      </c>
      <c r="AF472">
        <f t="shared" si="162"/>
        <v>0</v>
      </c>
      <c r="AG472" t="s">
        <v>1176</v>
      </c>
    </row>
    <row r="473" spans="1:33" x14ac:dyDescent="0.3">
      <c r="A473">
        <v>554908</v>
      </c>
      <c r="B473" t="s">
        <v>101</v>
      </c>
      <c r="C473" s="1" t="s">
        <v>1017</v>
      </c>
      <c r="D473" t="s">
        <v>1018</v>
      </c>
      <c r="E473" s="4">
        <v>7.4</v>
      </c>
      <c r="F473" s="3">
        <f t="shared" si="172"/>
        <v>0.93333333333333335</v>
      </c>
      <c r="G473">
        <v>51.692039999999999</v>
      </c>
      <c r="H473">
        <f t="shared" si="163"/>
        <v>0.48790341762431272</v>
      </c>
      <c r="I473">
        <v>32.999999999999993</v>
      </c>
      <c r="J473" s="3">
        <f t="shared" si="153"/>
        <v>0.10204081632653057</v>
      </c>
      <c r="K473">
        <v>0</v>
      </c>
      <c r="L473" s="3">
        <f t="shared" si="154"/>
        <v>0</v>
      </c>
      <c r="M473">
        <v>15830</v>
      </c>
      <c r="N473">
        <f t="shared" si="155"/>
        <v>7.3767583142893639E-2</v>
      </c>
      <c r="O473" s="15">
        <v>0.71762112700000003</v>
      </c>
      <c r="P473">
        <f t="shared" si="156"/>
        <v>0.73158206632498823</v>
      </c>
      <c r="Q473">
        <v>0.27660000000000001</v>
      </c>
      <c r="R473">
        <f t="shared" si="157"/>
        <v>0.61316781201507431</v>
      </c>
      <c r="S473">
        <f t="shared" si="164"/>
        <v>0.13528064651031591</v>
      </c>
      <c r="T473" s="14">
        <f t="shared" si="158"/>
        <v>0.2269527939103104</v>
      </c>
      <c r="U473" t="str">
        <f t="shared" si="165"/>
        <v>Low</v>
      </c>
      <c r="V473">
        <f t="shared" si="166"/>
        <v>0.12336827742435925</v>
      </c>
      <c r="W473">
        <f t="shared" si="159"/>
        <v>0.16581303675011808</v>
      </c>
      <c r="X473" t="s">
        <v>1176</v>
      </c>
      <c r="Y473">
        <f t="shared" si="167"/>
        <v>0.14719301559627254</v>
      </c>
      <c r="Z473">
        <f t="shared" si="160"/>
        <v>0.29492233210613011</v>
      </c>
      <c r="AA473" t="str">
        <f t="shared" si="168"/>
        <v>Low</v>
      </c>
      <c r="AB473">
        <f t="shared" si="169"/>
        <v>9.2531469239266431E-2</v>
      </c>
      <c r="AC473">
        <f t="shared" si="161"/>
        <v>0.21724288343590803</v>
      </c>
      <c r="AD473" t="str">
        <f t="shared" si="170"/>
        <v>Low</v>
      </c>
      <c r="AE473">
        <f t="shared" si="171"/>
        <v>1.484190703388269E-2</v>
      </c>
      <c r="AF473">
        <f t="shared" si="162"/>
        <v>8.1191758752245588E-2</v>
      </c>
      <c r="AG473" t="s">
        <v>1175</v>
      </c>
    </row>
    <row r="474" spans="1:33" x14ac:dyDescent="0.3">
      <c r="A474">
        <v>554909</v>
      </c>
      <c r="B474" t="s">
        <v>110</v>
      </c>
      <c r="C474" s="1" t="s">
        <v>1017</v>
      </c>
      <c r="D474" t="s">
        <v>1019</v>
      </c>
      <c r="E474" s="4">
        <v>7.5</v>
      </c>
      <c r="F474" s="3">
        <f t="shared" si="172"/>
        <v>0.95555555555555549</v>
      </c>
      <c r="G474">
        <v>54.230040000000002</v>
      </c>
      <c r="H474">
        <f t="shared" si="163"/>
        <v>0.51185872822785072</v>
      </c>
      <c r="I474">
        <v>32.9</v>
      </c>
      <c r="J474" s="3">
        <f t="shared" si="153"/>
        <v>0.10173160173160171</v>
      </c>
      <c r="K474">
        <v>0</v>
      </c>
      <c r="L474" s="3">
        <f t="shared" si="154"/>
        <v>0</v>
      </c>
      <c r="M474">
        <v>8414</v>
      </c>
      <c r="N474">
        <f t="shared" si="155"/>
        <v>3.86793658003435E-2</v>
      </c>
      <c r="O474" s="15">
        <v>0.44112407199999998</v>
      </c>
      <c r="P474">
        <f t="shared" si="156"/>
        <v>0.44970590741742872</v>
      </c>
      <c r="Q474">
        <v>0.28920000000000001</v>
      </c>
      <c r="R474">
        <f t="shared" si="157"/>
        <v>0.64109953447129242</v>
      </c>
      <c r="S474">
        <f t="shared" si="164"/>
        <v>0.11730839146952798</v>
      </c>
      <c r="T474" s="14">
        <f t="shared" si="158"/>
        <v>0.19680174422513283</v>
      </c>
      <c r="U474" t="str">
        <f t="shared" si="165"/>
        <v>Low</v>
      </c>
      <c r="V474">
        <f t="shared" si="166"/>
        <v>0.13789141907922883</v>
      </c>
      <c r="W474">
        <f t="shared" si="159"/>
        <v>0.18533285392858645</v>
      </c>
      <c r="X474" t="s">
        <v>1175</v>
      </c>
      <c r="Y474">
        <f t="shared" si="167"/>
        <v>9.6725363859827121E-2</v>
      </c>
      <c r="Z474">
        <f t="shared" si="160"/>
        <v>0.19380314866024528</v>
      </c>
      <c r="AA474" t="str">
        <f t="shared" si="168"/>
        <v>Low</v>
      </c>
      <c r="AB474">
        <f t="shared" si="169"/>
        <v>8.0191389924388193E-2</v>
      </c>
      <c r="AC474">
        <f t="shared" si="161"/>
        <v>0.1882711786285414</v>
      </c>
      <c r="AD474" t="str">
        <f t="shared" si="170"/>
        <v>Low</v>
      </c>
      <c r="AE474">
        <f t="shared" si="171"/>
        <v>8.3193831105999438E-3</v>
      </c>
      <c r="AF474">
        <f t="shared" si="162"/>
        <v>4.551068437103889E-2</v>
      </c>
      <c r="AG474" t="s">
        <v>1176</v>
      </c>
    </row>
    <row r="475" spans="1:33" x14ac:dyDescent="0.3">
      <c r="A475">
        <v>554918</v>
      </c>
      <c r="B475" t="s">
        <v>411</v>
      </c>
      <c r="C475" s="1" t="s">
        <v>1017</v>
      </c>
      <c r="D475" t="s">
        <v>1020</v>
      </c>
      <c r="E475" s="4">
        <v>6.6</v>
      </c>
      <c r="F475" s="3">
        <f t="shared" si="172"/>
        <v>0.75555555555555542</v>
      </c>
      <c r="G475">
        <v>0</v>
      </c>
      <c r="H475">
        <f t="shared" si="163"/>
        <v>0</v>
      </c>
      <c r="I475">
        <v>0</v>
      </c>
      <c r="J475" s="3">
        <f t="shared" si="153"/>
        <v>0</v>
      </c>
      <c r="K475">
        <v>0</v>
      </c>
      <c r="L475" s="3">
        <f t="shared" si="154"/>
        <v>0</v>
      </c>
      <c r="M475">
        <v>21184</v>
      </c>
      <c r="N475">
        <f t="shared" si="155"/>
        <v>9.9099610604060501E-2</v>
      </c>
      <c r="O475" s="15">
        <v>0.56007221600000001</v>
      </c>
      <c r="P475">
        <f t="shared" si="156"/>
        <v>0.57096812462224944</v>
      </c>
      <c r="Q475">
        <v>0.36670000000000003</v>
      </c>
      <c r="R475">
        <f t="shared" si="157"/>
        <v>0.81290179561072939</v>
      </c>
      <c r="S475">
        <f t="shared" si="164"/>
        <v>0</v>
      </c>
      <c r="T475" s="14">
        <f t="shared" si="158"/>
        <v>0</v>
      </c>
      <c r="U475" t="str">
        <f t="shared" si="165"/>
        <v>No Impact</v>
      </c>
      <c r="V475">
        <f t="shared" si="166"/>
        <v>0</v>
      </c>
      <c r="W475">
        <f t="shared" si="159"/>
        <v>0</v>
      </c>
      <c r="X475" t="s">
        <v>1176</v>
      </c>
      <c r="Y475">
        <f t="shared" si="167"/>
        <v>0</v>
      </c>
      <c r="Z475">
        <f t="shared" si="160"/>
        <v>0</v>
      </c>
      <c r="AA475" t="str">
        <f t="shared" si="168"/>
        <v>No Impact</v>
      </c>
      <c r="AB475">
        <f t="shared" si="169"/>
        <v>0</v>
      </c>
      <c r="AC475">
        <f t="shared" si="161"/>
        <v>0</v>
      </c>
      <c r="AD475" t="str">
        <f t="shared" si="170"/>
        <v>No Impact</v>
      </c>
      <c r="AE475">
        <f t="shared" si="171"/>
        <v>0</v>
      </c>
      <c r="AF475">
        <f t="shared" si="162"/>
        <v>0</v>
      </c>
      <c r="AG475" t="s">
        <v>1176</v>
      </c>
    </row>
    <row r="476" spans="1:33" x14ac:dyDescent="0.3">
      <c r="A476">
        <v>554952</v>
      </c>
      <c r="B476" t="s">
        <v>290</v>
      </c>
      <c r="C476" s="1" t="s">
        <v>1017</v>
      </c>
      <c r="D476" t="s">
        <v>1021</v>
      </c>
      <c r="E476" s="4">
        <v>7.5</v>
      </c>
      <c r="F476" s="3">
        <f t="shared" si="172"/>
        <v>0.95555555555555549</v>
      </c>
      <c r="G476">
        <v>57.719520000000003</v>
      </c>
      <c r="H476">
        <f t="shared" si="163"/>
        <v>0.54479473187041705</v>
      </c>
      <c r="I476">
        <v>16.100000000000001</v>
      </c>
      <c r="J476" s="3">
        <f t="shared" si="153"/>
        <v>4.9783549783549784E-2</v>
      </c>
      <c r="K476">
        <v>0</v>
      </c>
      <c r="L476" s="3">
        <f t="shared" si="154"/>
        <v>0</v>
      </c>
      <c r="M476">
        <v>24931</v>
      </c>
      <c r="N476">
        <f t="shared" si="155"/>
        <v>0.1168282446901629</v>
      </c>
      <c r="O476" s="15">
        <v>0.78768276599999998</v>
      </c>
      <c r="P476">
        <f t="shared" si="156"/>
        <v>0.80300671744139174</v>
      </c>
      <c r="Q476">
        <v>0.34429999999999999</v>
      </c>
      <c r="R476">
        <f t="shared" si="157"/>
        <v>0.76324540013300823</v>
      </c>
      <c r="S476">
        <f t="shared" si="164"/>
        <v>0.17052322664668168</v>
      </c>
      <c r="T476" s="14">
        <f t="shared" si="158"/>
        <v>0.28607730456931513</v>
      </c>
      <c r="U476" t="str">
        <f t="shared" si="165"/>
        <v>Low</v>
      </c>
      <c r="V476">
        <f t="shared" si="166"/>
        <v>0.16619427599622802</v>
      </c>
      <c r="W476">
        <f t="shared" si="159"/>
        <v>0.22337328662401035</v>
      </c>
      <c r="X476" t="s">
        <v>1175</v>
      </c>
      <c r="Y476">
        <f t="shared" si="167"/>
        <v>0.17485217729713531</v>
      </c>
      <c r="Z476">
        <f t="shared" si="160"/>
        <v>0.35034143225754777</v>
      </c>
      <c r="AA476" t="str">
        <f t="shared" si="168"/>
        <v>Moderate</v>
      </c>
      <c r="AB476">
        <f t="shared" si="169"/>
        <v>0.11952729327991725</v>
      </c>
      <c r="AC476">
        <f t="shared" si="161"/>
        <v>0.28062294973697005</v>
      </c>
      <c r="AD476" t="str">
        <f t="shared" si="170"/>
        <v>Low</v>
      </c>
      <c r="AE476">
        <f t="shared" si="171"/>
        <v>2.5438981405991046E-2</v>
      </c>
      <c r="AF476">
        <f t="shared" si="162"/>
        <v>0.13916241602261012</v>
      </c>
      <c r="AG476" t="s">
        <v>1175</v>
      </c>
    </row>
    <row r="477" spans="1:33" x14ac:dyDescent="0.3">
      <c r="A477">
        <v>554961</v>
      </c>
      <c r="B477" t="s">
        <v>361</v>
      </c>
      <c r="C477" s="1" t="s">
        <v>1017</v>
      </c>
      <c r="D477" t="s">
        <v>1022</v>
      </c>
      <c r="E477" s="4">
        <v>7.5</v>
      </c>
      <c r="F477" s="3">
        <f t="shared" si="172"/>
        <v>0.95555555555555549</v>
      </c>
      <c r="G477">
        <v>57.719520000000003</v>
      </c>
      <c r="H477">
        <f t="shared" si="163"/>
        <v>0.54479473187041705</v>
      </c>
      <c r="I477">
        <v>16.100000000000001</v>
      </c>
      <c r="J477" s="3">
        <f t="shared" si="153"/>
        <v>4.9783549783549784E-2</v>
      </c>
      <c r="K477">
        <v>0</v>
      </c>
      <c r="L477" s="3">
        <f t="shared" si="154"/>
        <v>0</v>
      </c>
      <c r="M477">
        <v>39159</v>
      </c>
      <c r="N477">
        <f t="shared" si="155"/>
        <v>0.18414690115588611</v>
      </c>
      <c r="O477" s="15">
        <v>0.80431783300000004</v>
      </c>
      <c r="P477">
        <f t="shared" si="156"/>
        <v>0.81996541086808994</v>
      </c>
      <c r="Q477">
        <v>0.34649999999999997</v>
      </c>
      <c r="R477">
        <f t="shared" si="157"/>
        <v>0.76812236754599861</v>
      </c>
      <c r="S477">
        <f t="shared" si="164"/>
        <v>0.17290054974847752</v>
      </c>
      <c r="T477" s="14">
        <f t="shared" si="158"/>
        <v>0.29006560691631011</v>
      </c>
      <c r="U477" t="str">
        <f t="shared" si="165"/>
        <v>Low</v>
      </c>
      <c r="V477">
        <f t="shared" si="166"/>
        <v>0.16725622025179496</v>
      </c>
      <c r="W477">
        <f t="shared" si="159"/>
        <v>0.22480059196985064</v>
      </c>
      <c r="X477" t="s">
        <v>1175</v>
      </c>
      <c r="Y477">
        <f t="shared" si="167"/>
        <v>0.17854487924516008</v>
      </c>
      <c r="Z477">
        <f t="shared" si="160"/>
        <v>0.35774029059245294</v>
      </c>
      <c r="AA477" t="str">
        <f t="shared" si="168"/>
        <v>Moderate</v>
      </c>
      <c r="AB477">
        <f t="shared" si="169"/>
        <v>0.12613723306613153</v>
      </c>
      <c r="AC477">
        <f t="shared" si="161"/>
        <v>0.29614158777763311</v>
      </c>
      <c r="AD477" t="str">
        <f t="shared" si="170"/>
        <v>Low</v>
      </c>
      <c r="AE477">
        <f t="shared" si="171"/>
        <v>4.0097406298443682E-2</v>
      </c>
      <c r="AF477">
        <f t="shared" si="162"/>
        <v>0.21935044676818344</v>
      </c>
      <c r="AG477" t="s">
        <v>1175</v>
      </c>
    </row>
    <row r="478" spans="1:33" x14ac:dyDescent="0.3">
      <c r="A478">
        <v>554977</v>
      </c>
      <c r="B478" t="s">
        <v>422</v>
      </c>
      <c r="C478" s="1" t="s">
        <v>1017</v>
      </c>
      <c r="D478" t="s">
        <v>1023</v>
      </c>
      <c r="E478" s="4">
        <v>7</v>
      </c>
      <c r="F478" s="3">
        <f t="shared" si="172"/>
        <v>0.84444444444444444</v>
      </c>
      <c r="G478">
        <v>54.236879999999999</v>
      </c>
      <c r="H478">
        <f t="shared" si="163"/>
        <v>0.51192328863940628</v>
      </c>
      <c r="I478">
        <v>12.2</v>
      </c>
      <c r="J478" s="3">
        <f t="shared" si="153"/>
        <v>3.772418058132343E-2</v>
      </c>
      <c r="K478">
        <v>0</v>
      </c>
      <c r="L478" s="3">
        <f t="shared" si="154"/>
        <v>0</v>
      </c>
      <c r="M478">
        <v>11356</v>
      </c>
      <c r="N478">
        <f t="shared" si="155"/>
        <v>5.259920606757415E-2</v>
      </c>
      <c r="O478" s="15">
        <v>0.82237690399999996</v>
      </c>
      <c r="P478">
        <f t="shared" si="156"/>
        <v>0.83837581153915275</v>
      </c>
      <c r="Q478">
        <v>0.37259999999999999</v>
      </c>
      <c r="R478">
        <f t="shared" si="157"/>
        <v>0.82598093549102192</v>
      </c>
      <c r="S478">
        <f t="shared" si="164"/>
        <v>0.14919918494486495</v>
      </c>
      <c r="T478" s="14">
        <f t="shared" si="158"/>
        <v>0.25030314938505355</v>
      </c>
      <c r="U478" t="str">
        <f t="shared" si="165"/>
        <v>Low</v>
      </c>
      <c r="V478">
        <f t="shared" si="166"/>
        <v>0.1480880617393541</v>
      </c>
      <c r="W478">
        <f t="shared" si="159"/>
        <v>0.19903764351817776</v>
      </c>
      <c r="X478" t="s">
        <v>1175</v>
      </c>
      <c r="Y478">
        <f t="shared" si="167"/>
        <v>0.15031030815037577</v>
      </c>
      <c r="Z478">
        <f t="shared" si="160"/>
        <v>0.30116827513670746</v>
      </c>
      <c r="AA478" t="str">
        <f t="shared" si="168"/>
        <v>Moderate</v>
      </c>
      <c r="AB478">
        <f t="shared" si="169"/>
        <v>0.10022454721539044</v>
      </c>
      <c r="AC478">
        <f t="shared" si="161"/>
        <v>0.23530448405427629</v>
      </c>
      <c r="AD478" t="str">
        <f t="shared" si="170"/>
        <v>Low</v>
      </c>
      <c r="AE478">
        <f t="shared" si="171"/>
        <v>9.4303804614393524E-3</v>
      </c>
      <c r="AF478">
        <f t="shared" si="162"/>
        <v>5.158832848225791E-2</v>
      </c>
      <c r="AG478" t="s">
        <v>1176</v>
      </c>
    </row>
    <row r="479" spans="1:33" x14ac:dyDescent="0.3">
      <c r="A479">
        <v>554979</v>
      </c>
      <c r="B479" t="s">
        <v>441</v>
      </c>
      <c r="C479" s="1" t="s">
        <v>1017</v>
      </c>
      <c r="D479" t="s">
        <v>1024</v>
      </c>
      <c r="E479" s="4">
        <v>7.4</v>
      </c>
      <c r="F479" s="3">
        <f t="shared" si="172"/>
        <v>0.93333333333333335</v>
      </c>
      <c r="G479">
        <v>51.449399999999997</v>
      </c>
      <c r="H479">
        <f t="shared" si="163"/>
        <v>0.48561322197228651</v>
      </c>
      <c r="I479">
        <v>34.1</v>
      </c>
      <c r="J479" s="3">
        <f t="shared" si="153"/>
        <v>0.10544217687074829</v>
      </c>
      <c r="K479">
        <v>0</v>
      </c>
      <c r="L479" s="3">
        <f t="shared" si="154"/>
        <v>0</v>
      </c>
      <c r="M479">
        <v>21408</v>
      </c>
      <c r="N479">
        <f t="shared" si="155"/>
        <v>0.10015944888409438</v>
      </c>
      <c r="O479" s="15">
        <v>0.90877591899999999</v>
      </c>
      <c r="P479">
        <f t="shared" si="156"/>
        <v>0.92645567366136095</v>
      </c>
      <c r="Q479">
        <v>0.32450000000000001</v>
      </c>
      <c r="R479">
        <f t="shared" si="157"/>
        <v>0.71935269341609398</v>
      </c>
      <c r="S479">
        <f t="shared" si="164"/>
        <v>0.16538575430604263</v>
      </c>
      <c r="T479" s="14">
        <f t="shared" si="158"/>
        <v>0.27745845382146583</v>
      </c>
      <c r="U479" t="str">
        <f t="shared" si="165"/>
        <v>Low</v>
      </c>
      <c r="V479">
        <f t="shared" si="166"/>
        <v>0.14457416816268398</v>
      </c>
      <c r="W479">
        <f t="shared" si="159"/>
        <v>0.19431479760568909</v>
      </c>
      <c r="X479" t="s">
        <v>1175</v>
      </c>
      <c r="Y479">
        <f t="shared" si="167"/>
        <v>0.18619734044940131</v>
      </c>
      <c r="Z479">
        <f t="shared" si="160"/>
        <v>0.37307309490768475</v>
      </c>
      <c r="AA479" t="str">
        <f t="shared" si="168"/>
        <v>Moderate</v>
      </c>
      <c r="AB479">
        <f t="shared" si="169"/>
        <v>0.11350561199028159</v>
      </c>
      <c r="AC479">
        <f t="shared" si="161"/>
        <v>0.26648540910082313</v>
      </c>
      <c r="AD479" t="str">
        <f t="shared" si="170"/>
        <v>Low</v>
      </c>
      <c r="AE479">
        <f t="shared" si="171"/>
        <v>2.0129859995776642E-2</v>
      </c>
      <c r="AF479">
        <f t="shared" si="162"/>
        <v>0.11011918702646785</v>
      </c>
      <c r="AG479" t="s">
        <v>1175</v>
      </c>
    </row>
    <row r="480" spans="1:33" x14ac:dyDescent="0.3">
      <c r="A480">
        <v>554994</v>
      </c>
      <c r="B480" t="s">
        <v>529</v>
      </c>
      <c r="C480" s="1" t="s">
        <v>1017</v>
      </c>
      <c r="D480" t="s">
        <v>1025</v>
      </c>
      <c r="E480" s="4">
        <v>6.7</v>
      </c>
      <c r="F480" s="3">
        <f t="shared" si="172"/>
        <v>0.77777777777777779</v>
      </c>
      <c r="G480">
        <v>57.719520000000003</v>
      </c>
      <c r="H480">
        <f t="shared" si="163"/>
        <v>0.54479473187041705</v>
      </c>
      <c r="I480">
        <v>24.499999999999996</v>
      </c>
      <c r="J480" s="3">
        <f t="shared" si="153"/>
        <v>7.5757575757575732E-2</v>
      </c>
      <c r="K480">
        <v>0</v>
      </c>
      <c r="L480" s="3">
        <f t="shared" si="154"/>
        <v>0</v>
      </c>
      <c r="M480">
        <v>22322</v>
      </c>
      <c r="N480">
        <f t="shared" si="155"/>
        <v>0.10448396758030404</v>
      </c>
      <c r="O480" s="15">
        <v>0.82203183800000001</v>
      </c>
      <c r="P480">
        <f t="shared" si="156"/>
        <v>0.83802403246270085</v>
      </c>
      <c r="Q480">
        <v>0.34250000000000003</v>
      </c>
      <c r="R480">
        <f t="shared" si="157"/>
        <v>0.75925515406783428</v>
      </c>
      <c r="S480">
        <f t="shared" si="164"/>
        <v>0.14477435554367238</v>
      </c>
      <c r="T480" s="14">
        <f t="shared" si="158"/>
        <v>0.24287985994135206</v>
      </c>
      <c r="U480" t="str">
        <f t="shared" si="165"/>
        <v>Low</v>
      </c>
      <c r="V480">
        <f t="shared" si="166"/>
        <v>0.13763489382484487</v>
      </c>
      <c r="W480">
        <f t="shared" si="159"/>
        <v>0.18498807136113446</v>
      </c>
      <c r="X480" t="s">
        <v>1175</v>
      </c>
      <c r="Y480">
        <f t="shared" si="167"/>
        <v>0.15191381726249989</v>
      </c>
      <c r="Z480">
        <f t="shared" si="160"/>
        <v>0.30438113578084425</v>
      </c>
      <c r="AA480" t="str">
        <f t="shared" si="168"/>
        <v>Moderate</v>
      </c>
      <c r="AB480">
        <f t="shared" si="169"/>
        <v>0.10037551805349343</v>
      </c>
      <c r="AC480">
        <f t="shared" si="161"/>
        <v>0.2356589293089974</v>
      </c>
      <c r="AD480" t="str">
        <f t="shared" si="170"/>
        <v>Low</v>
      </c>
      <c r="AE480">
        <f t="shared" si="171"/>
        <v>1.8940457245850802E-2</v>
      </c>
      <c r="AF480">
        <f t="shared" si="162"/>
        <v>0.10361263090057535</v>
      </c>
      <c r="AG480" t="s">
        <v>1175</v>
      </c>
    </row>
    <row r="481" spans="1:33" x14ac:dyDescent="0.3">
      <c r="A481">
        <v>555202</v>
      </c>
      <c r="B481" t="s">
        <v>3</v>
      </c>
      <c r="C481" s="1" t="s">
        <v>1027</v>
      </c>
      <c r="D481" t="s">
        <v>1026</v>
      </c>
      <c r="E481" s="4">
        <v>6.2</v>
      </c>
      <c r="F481" s="3">
        <f t="shared" si="172"/>
        <v>0.66666666666666663</v>
      </c>
      <c r="G481">
        <v>45.545400000000001</v>
      </c>
      <c r="H481">
        <f t="shared" si="163"/>
        <v>0.42988739305058138</v>
      </c>
      <c r="I481">
        <v>2.1</v>
      </c>
      <c r="J481" s="3">
        <f t="shared" si="153"/>
        <v>6.4935064935064931E-3</v>
      </c>
      <c r="K481">
        <v>0</v>
      </c>
      <c r="L481" s="3">
        <f t="shared" si="154"/>
        <v>0</v>
      </c>
      <c r="M481">
        <v>25242</v>
      </c>
      <c r="N481">
        <f t="shared" si="155"/>
        <v>0.11829971658788851</v>
      </c>
      <c r="O481" s="15">
        <v>0.72411103799999998</v>
      </c>
      <c r="P481">
        <f t="shared" si="156"/>
        <v>0.7381982351096138</v>
      </c>
      <c r="Q481">
        <v>0.35399999999999998</v>
      </c>
      <c r="R481">
        <f t="shared" si="157"/>
        <v>0.78474839281755704</v>
      </c>
      <c r="S481">
        <f t="shared" si="164"/>
        <v>8.7952025005818626E-2</v>
      </c>
      <c r="T481" s="14">
        <f t="shared" si="158"/>
        <v>0.14755220587756349</v>
      </c>
      <c r="U481" t="str">
        <f t="shared" si="165"/>
        <v>No Impact</v>
      </c>
      <c r="V481">
        <f t="shared" si="166"/>
        <v>9.0640353381663472E-2</v>
      </c>
      <c r="W481">
        <f t="shared" si="159"/>
        <v>0.12182509604652943</v>
      </c>
      <c r="X481" t="s">
        <v>1176</v>
      </c>
      <c r="Y481">
        <f t="shared" si="167"/>
        <v>8.5263696629973795E-2</v>
      </c>
      <c r="Z481">
        <f t="shared" si="160"/>
        <v>0.17083805336982477</v>
      </c>
      <c r="AA481" t="str">
        <f t="shared" si="168"/>
        <v>Low</v>
      </c>
      <c r="AB481">
        <f t="shared" si="169"/>
        <v>6.2085599702715433E-2</v>
      </c>
      <c r="AC481">
        <f t="shared" si="161"/>
        <v>0.14576289353397479</v>
      </c>
      <c r="AD481" t="str">
        <f t="shared" si="170"/>
        <v>No Impact</v>
      </c>
      <c r="AE481">
        <f t="shared" si="171"/>
        <v>1.366390580040313E-2</v>
      </c>
      <c r="AF481">
        <f t="shared" si="162"/>
        <v>7.47475739355523E-2</v>
      </c>
      <c r="AG481" t="s">
        <v>1175</v>
      </c>
    </row>
    <row r="482" spans="1:33" x14ac:dyDescent="0.3">
      <c r="A482">
        <v>555233</v>
      </c>
      <c r="B482" t="s">
        <v>206</v>
      </c>
      <c r="C482" s="1" t="s">
        <v>1027</v>
      </c>
      <c r="D482" t="s">
        <v>1028</v>
      </c>
      <c r="E482" s="4">
        <v>5.9</v>
      </c>
      <c r="F482" s="3">
        <f t="shared" si="172"/>
        <v>0.60000000000000009</v>
      </c>
      <c r="G482">
        <v>0</v>
      </c>
      <c r="H482">
        <f t="shared" si="163"/>
        <v>0</v>
      </c>
      <c r="I482">
        <v>0</v>
      </c>
      <c r="J482" s="3">
        <f t="shared" si="153"/>
        <v>0</v>
      </c>
      <c r="K482">
        <v>0</v>
      </c>
      <c r="L482" s="3">
        <f t="shared" si="154"/>
        <v>0</v>
      </c>
      <c r="M482">
        <v>21858</v>
      </c>
      <c r="N482">
        <f t="shared" si="155"/>
        <v>0.10228858828594815</v>
      </c>
      <c r="O482" s="15">
        <v>0.816001223</v>
      </c>
      <c r="P482">
        <f t="shared" si="156"/>
        <v>0.83187609503873683</v>
      </c>
      <c r="Q482">
        <v>0.30990000000000001</v>
      </c>
      <c r="R482">
        <f t="shared" si="157"/>
        <v>0.68698736422079365</v>
      </c>
      <c r="S482">
        <f t="shared" si="164"/>
        <v>0</v>
      </c>
      <c r="T482" s="14">
        <f t="shared" si="158"/>
        <v>0</v>
      </c>
      <c r="U482" t="str">
        <f t="shared" si="165"/>
        <v>No Impact</v>
      </c>
      <c r="V482">
        <f t="shared" si="166"/>
        <v>0</v>
      </c>
      <c r="W482">
        <f t="shared" si="159"/>
        <v>0</v>
      </c>
      <c r="X482" t="s">
        <v>1176</v>
      </c>
      <c r="Y482">
        <f t="shared" si="167"/>
        <v>0</v>
      </c>
      <c r="Z482">
        <f t="shared" si="160"/>
        <v>0</v>
      </c>
      <c r="AA482" t="str">
        <f t="shared" si="168"/>
        <v>No Impact</v>
      </c>
      <c r="AB482">
        <f t="shared" si="169"/>
        <v>0</v>
      </c>
      <c r="AC482">
        <f t="shared" si="161"/>
        <v>0</v>
      </c>
      <c r="AD482" t="str">
        <f t="shared" si="170"/>
        <v>No Impact</v>
      </c>
      <c r="AE482">
        <f t="shared" si="171"/>
        <v>0</v>
      </c>
      <c r="AF482">
        <f t="shared" si="162"/>
        <v>0</v>
      </c>
      <c r="AG482" t="s">
        <v>1176</v>
      </c>
    </row>
    <row r="483" spans="1:33" x14ac:dyDescent="0.3">
      <c r="A483">
        <v>555239</v>
      </c>
      <c r="B483" t="s">
        <v>246</v>
      </c>
      <c r="C483" s="1" t="s">
        <v>1027</v>
      </c>
      <c r="D483" t="s">
        <v>1136</v>
      </c>
      <c r="E483" s="4">
        <v>6.2</v>
      </c>
      <c r="F483" s="3">
        <f t="shared" si="172"/>
        <v>0.66666666666666663</v>
      </c>
      <c r="G483">
        <v>0</v>
      </c>
      <c r="H483">
        <f t="shared" si="163"/>
        <v>0</v>
      </c>
      <c r="I483">
        <v>0</v>
      </c>
      <c r="J483" s="3">
        <f t="shared" si="153"/>
        <v>0</v>
      </c>
      <c r="K483">
        <v>0</v>
      </c>
      <c r="L483" s="3">
        <f t="shared" si="154"/>
        <v>0</v>
      </c>
      <c r="M483">
        <v>24184</v>
      </c>
      <c r="N483">
        <f t="shared" si="155"/>
        <v>0.11329387328308564</v>
      </c>
      <c r="O483" s="15">
        <v>0.85924734199999997</v>
      </c>
      <c r="P483">
        <f t="shared" si="156"/>
        <v>0.87596354440191082</v>
      </c>
      <c r="Q483">
        <v>0.33929999999999999</v>
      </c>
      <c r="R483">
        <f t="shared" si="157"/>
        <v>0.75216138328530258</v>
      </c>
      <c r="S483">
        <f t="shared" si="164"/>
        <v>0</v>
      </c>
      <c r="T483" s="14">
        <f t="shared" si="158"/>
        <v>0</v>
      </c>
      <c r="U483" t="str">
        <f t="shared" si="165"/>
        <v>No Impact</v>
      </c>
      <c r="V483">
        <f t="shared" si="166"/>
        <v>0</v>
      </c>
      <c r="W483">
        <f t="shared" si="159"/>
        <v>0</v>
      </c>
      <c r="X483" t="s">
        <v>1176</v>
      </c>
      <c r="Y483">
        <f t="shared" si="167"/>
        <v>0</v>
      </c>
      <c r="Z483">
        <f t="shared" si="160"/>
        <v>0</v>
      </c>
      <c r="AA483" t="str">
        <f t="shared" si="168"/>
        <v>No Impact</v>
      </c>
      <c r="AB483">
        <f t="shared" si="169"/>
        <v>0</v>
      </c>
      <c r="AC483">
        <f t="shared" si="161"/>
        <v>0</v>
      </c>
      <c r="AD483" t="str">
        <f t="shared" si="170"/>
        <v>No Impact</v>
      </c>
      <c r="AE483">
        <f t="shared" si="171"/>
        <v>0</v>
      </c>
      <c r="AF483">
        <f t="shared" si="162"/>
        <v>0</v>
      </c>
      <c r="AG483" t="s">
        <v>1176</v>
      </c>
    </row>
    <row r="484" spans="1:33" x14ac:dyDescent="0.3">
      <c r="A484">
        <v>555255</v>
      </c>
      <c r="B484" t="s">
        <v>299</v>
      </c>
      <c r="C484" s="1" t="s">
        <v>1027</v>
      </c>
      <c r="D484" t="s">
        <v>1029</v>
      </c>
      <c r="E484" s="4">
        <v>6.2</v>
      </c>
      <c r="F484" s="3">
        <f t="shared" si="172"/>
        <v>0.66666666666666663</v>
      </c>
      <c r="G484">
        <v>54.236879999999999</v>
      </c>
      <c r="H484">
        <f t="shared" si="163"/>
        <v>0.51192328863940628</v>
      </c>
      <c r="I484">
        <v>7.7000000000000011</v>
      </c>
      <c r="J484" s="3">
        <f t="shared" si="153"/>
        <v>2.3809523809523812E-2</v>
      </c>
      <c r="K484">
        <v>0</v>
      </c>
      <c r="L484" s="3">
        <f t="shared" si="154"/>
        <v>0</v>
      </c>
      <c r="M484">
        <v>29622</v>
      </c>
      <c r="N484">
        <f t="shared" si="155"/>
        <v>0.1390233400992652</v>
      </c>
      <c r="O484" s="15">
        <v>0.82609774199999997</v>
      </c>
      <c r="P484">
        <f t="shared" si="156"/>
        <v>0.84216903647370867</v>
      </c>
      <c r="Q484">
        <v>0.34870000000000001</v>
      </c>
      <c r="R484">
        <f t="shared" si="157"/>
        <v>0.7729993349589892</v>
      </c>
      <c r="S484">
        <f t="shared" si="164"/>
        <v>0.11280939990775854</v>
      </c>
      <c r="T484" s="14">
        <f t="shared" si="158"/>
        <v>0.18925403706182753</v>
      </c>
      <c r="U484" t="str">
        <f t="shared" si="165"/>
        <v>Low</v>
      </c>
      <c r="V484">
        <f t="shared" si="166"/>
        <v>0.10797832925426822</v>
      </c>
      <c r="W484">
        <f t="shared" si="159"/>
        <v>0.14512818895304694</v>
      </c>
      <c r="X484" t="s">
        <v>1176</v>
      </c>
      <c r="Y484">
        <f t="shared" si="167"/>
        <v>0.11764047056124886</v>
      </c>
      <c r="Z484">
        <f t="shared" si="160"/>
        <v>0.23570956670354853</v>
      </c>
      <c r="AA484" t="str">
        <f t="shared" si="168"/>
        <v>Low</v>
      </c>
      <c r="AB484">
        <f t="shared" si="169"/>
        <v>7.9881493428306666E-2</v>
      </c>
      <c r="AC484">
        <f t="shared" si="161"/>
        <v>0.18754361200792119</v>
      </c>
      <c r="AD484" t="str">
        <f t="shared" si="170"/>
        <v>Low</v>
      </c>
      <c r="AE484">
        <f t="shared" si="171"/>
        <v>1.9419820059823192E-2</v>
      </c>
      <c r="AF484">
        <f t="shared" si="162"/>
        <v>0.10623495631051037</v>
      </c>
      <c r="AG484" t="s">
        <v>1175</v>
      </c>
    </row>
    <row r="485" spans="1:33" x14ac:dyDescent="0.3">
      <c r="A485">
        <v>555270</v>
      </c>
      <c r="B485" t="s">
        <v>405</v>
      </c>
      <c r="C485" s="1" t="s">
        <v>1027</v>
      </c>
      <c r="D485" t="s">
        <v>1030</v>
      </c>
      <c r="E485" s="4">
        <v>6.2</v>
      </c>
      <c r="F485" s="3">
        <f t="shared" si="172"/>
        <v>0.66666666666666663</v>
      </c>
      <c r="G485">
        <v>0</v>
      </c>
      <c r="H485">
        <f t="shared" si="163"/>
        <v>0</v>
      </c>
      <c r="I485">
        <v>0</v>
      </c>
      <c r="J485" s="3">
        <f t="shared" si="153"/>
        <v>0</v>
      </c>
      <c r="K485">
        <v>0</v>
      </c>
      <c r="L485" s="3">
        <f t="shared" si="154"/>
        <v>0</v>
      </c>
      <c r="M485">
        <v>23187</v>
      </c>
      <c r="N485">
        <f t="shared" si="155"/>
        <v>0.10857664665275629</v>
      </c>
      <c r="O485" s="15">
        <v>0.81932746400000001</v>
      </c>
      <c r="P485">
        <f t="shared" si="156"/>
        <v>0.83526704629744319</v>
      </c>
      <c r="Q485">
        <v>0.32</v>
      </c>
      <c r="R485">
        <f t="shared" si="157"/>
        <v>0.70937707825315899</v>
      </c>
      <c r="S485">
        <f t="shared" si="164"/>
        <v>0</v>
      </c>
      <c r="T485" s="14">
        <f t="shared" si="158"/>
        <v>0</v>
      </c>
      <c r="U485" t="str">
        <f t="shared" si="165"/>
        <v>No Impact</v>
      </c>
      <c r="V485">
        <f t="shared" si="166"/>
        <v>0</v>
      </c>
      <c r="W485">
        <f t="shared" si="159"/>
        <v>0</v>
      </c>
      <c r="X485" t="s">
        <v>1176</v>
      </c>
      <c r="Y485">
        <f t="shared" si="167"/>
        <v>0</v>
      </c>
      <c r="Z485">
        <f t="shared" si="160"/>
        <v>0</v>
      </c>
      <c r="AA485" t="str">
        <f t="shared" si="168"/>
        <v>No Impact</v>
      </c>
      <c r="AB485">
        <f t="shared" si="169"/>
        <v>0</v>
      </c>
      <c r="AC485">
        <f t="shared" si="161"/>
        <v>0</v>
      </c>
      <c r="AD485" t="str">
        <f t="shared" si="170"/>
        <v>No Impact</v>
      </c>
      <c r="AE485">
        <f t="shared" si="171"/>
        <v>0</v>
      </c>
      <c r="AF485">
        <f t="shared" si="162"/>
        <v>0</v>
      </c>
      <c r="AG485" t="s">
        <v>1176</v>
      </c>
    </row>
    <row r="486" spans="1:33" x14ac:dyDescent="0.3">
      <c r="A486">
        <v>557312</v>
      </c>
      <c r="B486" t="s">
        <v>151</v>
      </c>
      <c r="C486" s="1" t="s">
        <v>1032</v>
      </c>
      <c r="D486" t="s">
        <v>1031</v>
      </c>
      <c r="E486" s="4">
        <v>5.9</v>
      </c>
      <c r="F486" s="3">
        <f t="shared" si="172"/>
        <v>0.60000000000000009</v>
      </c>
      <c r="G486">
        <v>0</v>
      </c>
      <c r="H486">
        <f t="shared" si="163"/>
        <v>0</v>
      </c>
      <c r="I486">
        <v>0</v>
      </c>
      <c r="J486" s="3">
        <f t="shared" si="153"/>
        <v>0</v>
      </c>
      <c r="K486">
        <v>0</v>
      </c>
      <c r="L486" s="3">
        <f t="shared" si="154"/>
        <v>0</v>
      </c>
      <c r="M486">
        <v>27341</v>
      </c>
      <c r="N486">
        <f t="shared" si="155"/>
        <v>0.1282309690423131</v>
      </c>
      <c r="O486" s="15">
        <v>0.86790169399999995</v>
      </c>
      <c r="P486">
        <f t="shared" si="156"/>
        <v>0.88478626224096324</v>
      </c>
      <c r="Q486">
        <v>0.3226</v>
      </c>
      <c r="R486">
        <f t="shared" si="157"/>
        <v>0.71514076701396589</v>
      </c>
      <c r="S486">
        <f t="shared" si="164"/>
        <v>0</v>
      </c>
      <c r="T486" s="14">
        <f t="shared" si="158"/>
        <v>0</v>
      </c>
      <c r="U486" t="str">
        <f t="shared" si="165"/>
        <v>No Impact</v>
      </c>
      <c r="V486">
        <f t="shared" si="166"/>
        <v>0</v>
      </c>
      <c r="W486">
        <f t="shared" si="159"/>
        <v>0</v>
      </c>
      <c r="X486" t="s">
        <v>1176</v>
      </c>
      <c r="Y486">
        <f t="shared" si="167"/>
        <v>0</v>
      </c>
      <c r="Z486">
        <f t="shared" si="160"/>
        <v>0</v>
      </c>
      <c r="AA486" t="str">
        <f t="shared" si="168"/>
        <v>No Impact</v>
      </c>
      <c r="AB486">
        <f t="shared" si="169"/>
        <v>0</v>
      </c>
      <c r="AC486">
        <f t="shared" si="161"/>
        <v>0</v>
      </c>
      <c r="AD486" t="str">
        <f t="shared" si="170"/>
        <v>No Impact</v>
      </c>
      <c r="AE486">
        <f t="shared" si="171"/>
        <v>0</v>
      </c>
      <c r="AF486">
        <f t="shared" si="162"/>
        <v>0</v>
      </c>
      <c r="AG486" t="s">
        <v>1176</v>
      </c>
    </row>
    <row r="487" spans="1:33" x14ac:dyDescent="0.3">
      <c r="A487">
        <v>557315</v>
      </c>
      <c r="B487" t="s">
        <v>154</v>
      </c>
      <c r="C487" s="1" t="s">
        <v>1032</v>
      </c>
      <c r="D487" t="s">
        <v>1033</v>
      </c>
      <c r="E487" s="4">
        <v>5.9</v>
      </c>
      <c r="F487" s="3">
        <f t="shared" si="172"/>
        <v>0.60000000000000009</v>
      </c>
      <c r="G487">
        <v>0</v>
      </c>
      <c r="H487">
        <f t="shared" si="163"/>
        <v>0</v>
      </c>
      <c r="I487">
        <v>0</v>
      </c>
      <c r="J487" s="3">
        <f t="shared" si="153"/>
        <v>0</v>
      </c>
      <c r="K487">
        <v>0</v>
      </c>
      <c r="L487" s="3">
        <f t="shared" si="154"/>
        <v>0</v>
      </c>
      <c r="M487">
        <v>28057</v>
      </c>
      <c r="N487">
        <f t="shared" si="155"/>
        <v>0.13161866640170711</v>
      </c>
      <c r="O487" s="15">
        <v>0.86834111899999999</v>
      </c>
      <c r="P487">
        <f t="shared" si="156"/>
        <v>0.88523423602183393</v>
      </c>
      <c r="Q487">
        <v>0.36130000000000001</v>
      </c>
      <c r="R487">
        <f t="shared" si="157"/>
        <v>0.80093105741520731</v>
      </c>
      <c r="S487">
        <f t="shared" si="164"/>
        <v>0</v>
      </c>
      <c r="T487" s="14">
        <f t="shared" si="158"/>
        <v>0</v>
      </c>
      <c r="U487" t="str">
        <f t="shared" si="165"/>
        <v>No Impact</v>
      </c>
      <c r="V487">
        <f t="shared" si="166"/>
        <v>0</v>
      </c>
      <c r="W487">
        <f t="shared" si="159"/>
        <v>0</v>
      </c>
      <c r="X487" t="s">
        <v>1176</v>
      </c>
      <c r="Y487">
        <f t="shared" si="167"/>
        <v>0</v>
      </c>
      <c r="Z487">
        <f t="shared" si="160"/>
        <v>0</v>
      </c>
      <c r="AA487" t="str">
        <f t="shared" si="168"/>
        <v>No Impact</v>
      </c>
      <c r="AB487">
        <f t="shared" si="169"/>
        <v>0</v>
      </c>
      <c r="AC487">
        <f t="shared" si="161"/>
        <v>0</v>
      </c>
      <c r="AD487" t="str">
        <f t="shared" si="170"/>
        <v>No Impact</v>
      </c>
      <c r="AE487">
        <f t="shared" si="171"/>
        <v>0</v>
      </c>
      <c r="AF487">
        <f t="shared" si="162"/>
        <v>0</v>
      </c>
      <c r="AG487" t="s">
        <v>1176</v>
      </c>
    </row>
    <row r="488" spans="1:33" x14ac:dyDescent="0.3">
      <c r="A488">
        <v>557336</v>
      </c>
      <c r="B488" t="s">
        <v>218</v>
      </c>
      <c r="C488" s="1" t="s">
        <v>1032</v>
      </c>
      <c r="D488" t="s">
        <v>1034</v>
      </c>
      <c r="E488" s="4">
        <v>5.9</v>
      </c>
      <c r="F488" s="3">
        <f t="shared" si="172"/>
        <v>0.60000000000000009</v>
      </c>
      <c r="G488">
        <v>0</v>
      </c>
      <c r="H488">
        <f t="shared" si="163"/>
        <v>0</v>
      </c>
      <c r="I488">
        <v>0</v>
      </c>
      <c r="J488" s="3">
        <f t="shared" si="153"/>
        <v>0</v>
      </c>
      <c r="K488">
        <v>0</v>
      </c>
      <c r="L488" s="3">
        <f t="shared" si="154"/>
        <v>0</v>
      </c>
      <c r="M488">
        <v>28976</v>
      </c>
      <c r="N488">
        <f t="shared" si="155"/>
        <v>0.13596684220238181</v>
      </c>
      <c r="O488" s="15">
        <v>0.79005879000000001</v>
      </c>
      <c r="P488">
        <f t="shared" si="156"/>
        <v>0.80542896573113276</v>
      </c>
      <c r="Q488">
        <v>0.35410000000000003</v>
      </c>
      <c r="R488">
        <f t="shared" si="157"/>
        <v>0.78497007315451128</v>
      </c>
      <c r="S488">
        <f t="shared" si="164"/>
        <v>0</v>
      </c>
      <c r="T488" s="14">
        <f t="shared" si="158"/>
        <v>0</v>
      </c>
      <c r="U488" t="str">
        <f t="shared" si="165"/>
        <v>No Impact</v>
      </c>
      <c r="V488">
        <f t="shared" si="166"/>
        <v>0</v>
      </c>
      <c r="W488">
        <f t="shared" si="159"/>
        <v>0</v>
      </c>
      <c r="X488" t="s">
        <v>1176</v>
      </c>
      <c r="Y488">
        <f t="shared" si="167"/>
        <v>0</v>
      </c>
      <c r="Z488">
        <f t="shared" si="160"/>
        <v>0</v>
      </c>
      <c r="AA488" t="str">
        <f t="shared" si="168"/>
        <v>No Impact</v>
      </c>
      <c r="AB488">
        <f t="shared" si="169"/>
        <v>0</v>
      </c>
      <c r="AC488">
        <f t="shared" si="161"/>
        <v>0</v>
      </c>
      <c r="AD488" t="str">
        <f t="shared" si="170"/>
        <v>No Impact</v>
      </c>
      <c r="AE488">
        <f t="shared" si="171"/>
        <v>0</v>
      </c>
      <c r="AF488">
        <f t="shared" si="162"/>
        <v>0</v>
      </c>
      <c r="AG488" t="s">
        <v>1176</v>
      </c>
    </row>
    <row r="489" spans="1:33" x14ac:dyDescent="0.3">
      <c r="A489">
        <v>557345</v>
      </c>
      <c r="B489" t="s">
        <v>279</v>
      </c>
      <c r="C489" s="1" t="s">
        <v>1032</v>
      </c>
      <c r="D489" t="s">
        <v>760</v>
      </c>
      <c r="E489" s="4">
        <v>5.9</v>
      </c>
      <c r="F489" s="3">
        <f t="shared" si="172"/>
        <v>0.60000000000000009</v>
      </c>
      <c r="G489">
        <v>41.025600000000004</v>
      </c>
      <c r="H489">
        <f t="shared" si="163"/>
        <v>0.38722655267789791</v>
      </c>
      <c r="I489">
        <v>2.2999999999999998</v>
      </c>
      <c r="J489" s="3">
        <f t="shared" si="153"/>
        <v>7.1119356833642539E-3</v>
      </c>
      <c r="K489">
        <v>0</v>
      </c>
      <c r="L489" s="3">
        <f t="shared" si="154"/>
        <v>0</v>
      </c>
      <c r="M489">
        <v>24819</v>
      </c>
      <c r="N489">
        <f t="shared" si="155"/>
        <v>0.11629832555014596</v>
      </c>
      <c r="O489" s="15">
        <v>0.80881158799999997</v>
      </c>
      <c r="P489">
        <f t="shared" si="156"/>
        <v>0.82454658949392245</v>
      </c>
      <c r="Q489">
        <v>0.34329999999999999</v>
      </c>
      <c r="R489">
        <f t="shared" si="157"/>
        <v>0.76102859676346701</v>
      </c>
      <c r="S489">
        <f t="shared" si="164"/>
        <v>7.4353808131075838E-2</v>
      </c>
      <c r="T489" s="14">
        <f t="shared" si="158"/>
        <v>0.12473923601431058</v>
      </c>
      <c r="U489" t="str">
        <f t="shared" si="165"/>
        <v>No Impact</v>
      </c>
      <c r="V489">
        <f t="shared" si="166"/>
        <v>7.1375201575369626E-2</v>
      </c>
      <c r="W489">
        <f t="shared" si="159"/>
        <v>9.5931783834140028E-2</v>
      </c>
      <c r="X489" t="s">
        <v>1176</v>
      </c>
      <c r="Y489">
        <f t="shared" si="167"/>
        <v>7.7332414686782036E-2</v>
      </c>
      <c r="Z489">
        <f t="shared" si="160"/>
        <v>0.15494659168734132</v>
      </c>
      <c r="AA489" t="str">
        <f t="shared" si="168"/>
        <v>Low</v>
      </c>
      <c r="AB489">
        <f t="shared" si="169"/>
        <v>5.1998622591832168E-2</v>
      </c>
      <c r="AC489">
        <f t="shared" si="161"/>
        <v>0.12208096120613079</v>
      </c>
      <c r="AD489" t="str">
        <f t="shared" si="170"/>
        <v>No Impact</v>
      </c>
      <c r="AE489">
        <f t="shared" si="171"/>
        <v>1.0907364669766254E-2</v>
      </c>
      <c r="AF489">
        <f t="shared" si="162"/>
        <v>5.9668081660174364E-2</v>
      </c>
      <c r="AG489" t="s">
        <v>1175</v>
      </c>
    </row>
    <row r="490" spans="1:33" x14ac:dyDescent="0.3">
      <c r="A490">
        <v>557364</v>
      </c>
      <c r="B490" t="s">
        <v>386</v>
      </c>
      <c r="C490" s="1" t="s">
        <v>1032</v>
      </c>
      <c r="D490" t="s">
        <v>1035</v>
      </c>
      <c r="E490" s="4">
        <v>5.9</v>
      </c>
      <c r="F490" s="3">
        <f t="shared" si="172"/>
        <v>0.60000000000000009</v>
      </c>
      <c r="G490">
        <v>40.744799999999998</v>
      </c>
      <c r="H490">
        <f t="shared" si="163"/>
        <v>0.38457617788771919</v>
      </c>
      <c r="I490">
        <v>1.3</v>
      </c>
      <c r="J490" s="3">
        <f t="shared" si="153"/>
        <v>4.0197897340754482E-3</v>
      </c>
      <c r="K490">
        <v>0</v>
      </c>
      <c r="L490" s="3">
        <f t="shared" si="154"/>
        <v>0</v>
      </c>
      <c r="M490">
        <v>45805</v>
      </c>
      <c r="N490">
        <f t="shared" si="155"/>
        <v>0.21559192441081981</v>
      </c>
      <c r="O490" s="15">
        <v>0.92109011100000004</v>
      </c>
      <c r="P490">
        <f t="shared" si="156"/>
        <v>0.93900943175115403</v>
      </c>
      <c r="Q490">
        <v>0.35299999999999998</v>
      </c>
      <c r="R490">
        <f t="shared" si="157"/>
        <v>0.78253158944801593</v>
      </c>
      <c r="S490">
        <f t="shared" si="164"/>
        <v>7.9862853896592131E-2</v>
      </c>
      <c r="T490" s="14">
        <f t="shared" si="158"/>
        <v>0.13398145476855305</v>
      </c>
      <c r="U490" t="str">
        <f t="shared" si="165"/>
        <v>No Impact</v>
      </c>
      <c r="V490">
        <f t="shared" si="166"/>
        <v>7.2603795353099118E-2</v>
      </c>
      <c r="W490">
        <f t="shared" si="159"/>
        <v>9.7583074339858009E-2</v>
      </c>
      <c r="X490" t="s">
        <v>1176</v>
      </c>
      <c r="Y490">
        <f t="shared" si="167"/>
        <v>8.7121912440085117E-2</v>
      </c>
      <c r="Z490">
        <f t="shared" si="160"/>
        <v>0.1745612554392604</v>
      </c>
      <c r="AA490" t="str">
        <f t="shared" si="168"/>
        <v>Low</v>
      </c>
      <c r="AB490">
        <f t="shared" si="169"/>
        <v>5.8548868277162248E-2</v>
      </c>
      <c r="AC490">
        <f t="shared" si="161"/>
        <v>0.13745945104957169</v>
      </c>
      <c r="AD490" t="str">
        <f t="shared" si="170"/>
        <v>No Impact</v>
      </c>
      <c r="AE490">
        <f t="shared" si="171"/>
        <v>2.0002760490148624E-2</v>
      </c>
      <c r="AF490">
        <f t="shared" si="162"/>
        <v>0.10942389683397968</v>
      </c>
      <c r="AG490" t="s">
        <v>1175</v>
      </c>
    </row>
    <row r="491" spans="1:33" x14ac:dyDescent="0.3">
      <c r="A491">
        <v>557385</v>
      </c>
      <c r="B491" t="s">
        <v>453</v>
      </c>
      <c r="C491" s="1" t="s">
        <v>1032</v>
      </c>
      <c r="D491" t="s">
        <v>1036</v>
      </c>
      <c r="E491" s="4">
        <v>5.9</v>
      </c>
      <c r="F491" s="3">
        <f t="shared" si="172"/>
        <v>0.60000000000000009</v>
      </c>
      <c r="G491">
        <v>43.647480000000002</v>
      </c>
      <c r="H491">
        <f t="shared" si="163"/>
        <v>0.41197357780209176</v>
      </c>
      <c r="I491">
        <v>2</v>
      </c>
      <c r="J491" s="3">
        <f t="shared" si="153"/>
        <v>6.1842918985776122E-3</v>
      </c>
      <c r="K491">
        <v>0</v>
      </c>
      <c r="L491" s="3">
        <f t="shared" si="154"/>
        <v>0</v>
      </c>
      <c r="M491">
        <v>25576</v>
      </c>
      <c r="N491">
        <f t="shared" si="155"/>
        <v>0.11988001116615331</v>
      </c>
      <c r="O491" s="15">
        <v>0.84313067100000005</v>
      </c>
      <c r="P491">
        <f t="shared" si="156"/>
        <v>0.85953333209510407</v>
      </c>
      <c r="Q491">
        <v>0.36430000000000001</v>
      </c>
      <c r="R491">
        <f t="shared" si="157"/>
        <v>0.80758146752383064</v>
      </c>
      <c r="S491">
        <f t="shared" si="164"/>
        <v>8.3035465305656531E-2</v>
      </c>
      <c r="T491" s="14">
        <f t="shared" si="158"/>
        <v>0.13930396794285241</v>
      </c>
      <c r="U491" t="str">
        <f t="shared" si="165"/>
        <v>No Impact</v>
      </c>
      <c r="V491">
        <f t="shared" si="166"/>
        <v>8.0447852713435408E-2</v>
      </c>
      <c r="W491">
        <f t="shared" si="159"/>
        <v>0.10812587349790689</v>
      </c>
      <c r="X491" t="s">
        <v>1176</v>
      </c>
      <c r="Y491">
        <f t="shared" si="167"/>
        <v>8.5623077897877639E-2</v>
      </c>
      <c r="Z491">
        <f t="shared" si="160"/>
        <v>0.1715581253190005</v>
      </c>
      <c r="AA491" t="str">
        <f t="shared" si="168"/>
        <v>Low</v>
      </c>
      <c r="AB491">
        <f t="shared" si="169"/>
        <v>5.8023350841297935E-2</v>
      </c>
      <c r="AC491">
        <f t="shared" si="161"/>
        <v>0.13622565541224313</v>
      </c>
      <c r="AD491" t="str">
        <f t="shared" si="170"/>
        <v>No Impact</v>
      </c>
      <c r="AE491">
        <f t="shared" si="171"/>
        <v>1.1941940063520725E-2</v>
      </c>
      <c r="AF491">
        <f t="shared" si="162"/>
        <v>6.5327664056759965E-2</v>
      </c>
      <c r="AG491" t="s">
        <v>1175</v>
      </c>
    </row>
    <row r="492" spans="1:33" x14ac:dyDescent="0.3">
      <c r="A492">
        <v>557704</v>
      </c>
      <c r="B492" t="s">
        <v>18</v>
      </c>
      <c r="C492" s="1" t="s">
        <v>1038</v>
      </c>
      <c r="D492" t="s">
        <v>1037</v>
      </c>
      <c r="E492" s="4">
        <v>5.0999999999999996</v>
      </c>
      <c r="F492" s="3">
        <f t="shared" si="172"/>
        <v>0.42222222222222211</v>
      </c>
      <c r="G492">
        <v>0</v>
      </c>
      <c r="H492">
        <f t="shared" si="163"/>
        <v>0</v>
      </c>
      <c r="I492">
        <v>0</v>
      </c>
      <c r="J492" s="3">
        <f t="shared" si="153"/>
        <v>0</v>
      </c>
      <c r="K492">
        <v>0</v>
      </c>
      <c r="L492" s="3">
        <f t="shared" si="154"/>
        <v>0</v>
      </c>
      <c r="M492">
        <v>20430</v>
      </c>
      <c r="N492">
        <f t="shared" si="155"/>
        <v>9.5532119250732184E-2</v>
      </c>
      <c r="O492" s="15">
        <v>0.86580768799999996</v>
      </c>
      <c r="P492">
        <f t="shared" si="156"/>
        <v>0.88265151846219359</v>
      </c>
      <c r="Q492">
        <v>0.38300000000000001</v>
      </c>
      <c r="R492">
        <f t="shared" si="157"/>
        <v>0.84903569053424965</v>
      </c>
      <c r="S492">
        <f t="shared" si="164"/>
        <v>0</v>
      </c>
      <c r="T492" s="14">
        <f t="shared" si="158"/>
        <v>0</v>
      </c>
      <c r="U492" t="str">
        <f t="shared" si="165"/>
        <v>No Impact</v>
      </c>
      <c r="V492">
        <f t="shared" si="166"/>
        <v>0</v>
      </c>
      <c r="W492">
        <f t="shared" si="159"/>
        <v>0</v>
      </c>
      <c r="X492" t="s">
        <v>1176</v>
      </c>
      <c r="Y492">
        <f t="shared" si="167"/>
        <v>0</v>
      </c>
      <c r="Z492">
        <f t="shared" si="160"/>
        <v>0</v>
      </c>
      <c r="AA492" t="str">
        <f t="shared" si="168"/>
        <v>No Impact</v>
      </c>
      <c r="AB492">
        <f t="shared" si="169"/>
        <v>0</v>
      </c>
      <c r="AC492">
        <f t="shared" si="161"/>
        <v>0</v>
      </c>
      <c r="AD492" t="str">
        <f t="shared" si="170"/>
        <v>No Impact</v>
      </c>
      <c r="AE492">
        <f t="shared" si="171"/>
        <v>0</v>
      </c>
      <c r="AF492">
        <f t="shared" si="162"/>
        <v>0</v>
      </c>
      <c r="AG492" t="s">
        <v>1176</v>
      </c>
    </row>
    <row r="493" spans="1:33" x14ac:dyDescent="0.3">
      <c r="A493">
        <v>557725</v>
      </c>
      <c r="B493" t="s">
        <v>86</v>
      </c>
      <c r="C493" s="1" t="s">
        <v>1038</v>
      </c>
      <c r="D493" t="s">
        <v>1039</v>
      </c>
      <c r="E493" s="4">
        <v>5.3</v>
      </c>
      <c r="F493" s="3">
        <f t="shared" si="172"/>
        <v>0.46666666666666656</v>
      </c>
      <c r="G493">
        <v>0</v>
      </c>
      <c r="H493">
        <f t="shared" si="163"/>
        <v>0</v>
      </c>
      <c r="I493">
        <v>0</v>
      </c>
      <c r="J493" s="3">
        <f t="shared" si="153"/>
        <v>0</v>
      </c>
      <c r="K493">
        <v>0</v>
      </c>
      <c r="L493" s="3">
        <f t="shared" si="154"/>
        <v>0</v>
      </c>
      <c r="M493">
        <v>33064</v>
      </c>
      <c r="N493">
        <f t="shared" si="155"/>
        <v>0.15530889081300006</v>
      </c>
      <c r="O493" s="15">
        <v>0.51395931299999997</v>
      </c>
      <c r="P493">
        <f t="shared" si="156"/>
        <v>0.5239581194932007</v>
      </c>
      <c r="Q493">
        <v>0.37080000000000002</v>
      </c>
      <c r="R493">
        <f t="shared" si="157"/>
        <v>0.82199068942584796</v>
      </c>
      <c r="S493">
        <f t="shared" si="164"/>
        <v>0</v>
      </c>
      <c r="T493" s="14">
        <f t="shared" si="158"/>
        <v>0</v>
      </c>
      <c r="U493" t="str">
        <f t="shared" si="165"/>
        <v>No Impact</v>
      </c>
      <c r="V493">
        <f t="shared" si="166"/>
        <v>0</v>
      </c>
      <c r="W493">
        <f t="shared" si="159"/>
        <v>0</v>
      </c>
      <c r="X493" t="s">
        <v>1176</v>
      </c>
      <c r="Y493">
        <f t="shared" si="167"/>
        <v>0</v>
      </c>
      <c r="Z493">
        <f t="shared" si="160"/>
        <v>0</v>
      </c>
      <c r="AA493" t="str">
        <f t="shared" si="168"/>
        <v>No Impact</v>
      </c>
      <c r="AB493">
        <f t="shared" si="169"/>
        <v>0</v>
      </c>
      <c r="AC493">
        <f t="shared" si="161"/>
        <v>0</v>
      </c>
      <c r="AD493" t="str">
        <f t="shared" si="170"/>
        <v>No Impact</v>
      </c>
      <c r="AE493">
        <f t="shared" si="171"/>
        <v>0</v>
      </c>
      <c r="AF493">
        <f t="shared" si="162"/>
        <v>0</v>
      </c>
      <c r="AG493" t="s">
        <v>1176</v>
      </c>
    </row>
    <row r="494" spans="1:33" x14ac:dyDescent="0.3">
      <c r="A494">
        <v>557734</v>
      </c>
      <c r="B494" t="s">
        <v>136</v>
      </c>
      <c r="C494" s="1" t="s">
        <v>1038</v>
      </c>
      <c r="D494" t="s">
        <v>1040</v>
      </c>
      <c r="E494" s="4">
        <v>5.3</v>
      </c>
      <c r="F494" s="3">
        <f t="shared" si="172"/>
        <v>0.46666666666666656</v>
      </c>
      <c r="G494">
        <v>0</v>
      </c>
      <c r="H494">
        <f t="shared" si="163"/>
        <v>0</v>
      </c>
      <c r="I494">
        <v>0</v>
      </c>
      <c r="J494" s="3">
        <f t="shared" si="153"/>
        <v>0</v>
      </c>
      <c r="K494">
        <v>0</v>
      </c>
      <c r="L494" s="3">
        <f t="shared" si="154"/>
        <v>0</v>
      </c>
      <c r="M494">
        <v>34418</v>
      </c>
      <c r="N494">
        <f t="shared" si="155"/>
        <v>0.16171523470213339</v>
      </c>
      <c r="O494" s="15">
        <v>0.67809898999999996</v>
      </c>
      <c r="P494">
        <f t="shared" si="156"/>
        <v>0.69129104706122657</v>
      </c>
      <c r="Q494">
        <v>0.35220000000000001</v>
      </c>
      <c r="R494">
        <f t="shared" si="157"/>
        <v>0.78075814675238309</v>
      </c>
      <c r="S494">
        <f t="shared" si="164"/>
        <v>0</v>
      </c>
      <c r="T494" s="14">
        <f t="shared" si="158"/>
        <v>0</v>
      </c>
      <c r="U494" t="str">
        <f t="shared" si="165"/>
        <v>No Impact</v>
      </c>
      <c r="V494">
        <f t="shared" si="166"/>
        <v>0</v>
      </c>
      <c r="W494">
        <f t="shared" si="159"/>
        <v>0</v>
      </c>
      <c r="X494" t="s">
        <v>1176</v>
      </c>
      <c r="Y494">
        <f t="shared" si="167"/>
        <v>0</v>
      </c>
      <c r="Z494">
        <f t="shared" si="160"/>
        <v>0</v>
      </c>
      <c r="AA494" t="str">
        <f t="shared" si="168"/>
        <v>No Impact</v>
      </c>
      <c r="AB494">
        <f t="shared" si="169"/>
        <v>0</v>
      </c>
      <c r="AC494">
        <f t="shared" si="161"/>
        <v>0</v>
      </c>
      <c r="AD494" t="str">
        <f t="shared" si="170"/>
        <v>No Impact</v>
      </c>
      <c r="AE494">
        <f t="shared" si="171"/>
        <v>0</v>
      </c>
      <c r="AF494">
        <f t="shared" si="162"/>
        <v>0</v>
      </c>
      <c r="AG494" t="s">
        <v>1176</v>
      </c>
    </row>
    <row r="495" spans="1:33" x14ac:dyDescent="0.3">
      <c r="A495">
        <v>557773</v>
      </c>
      <c r="B495" t="s">
        <v>397</v>
      </c>
      <c r="C495" s="1" t="s">
        <v>1038</v>
      </c>
      <c r="D495" t="s">
        <v>1041</v>
      </c>
      <c r="E495" s="4">
        <v>5.5</v>
      </c>
      <c r="F495" s="3">
        <f t="shared" si="172"/>
        <v>0.51111111111111107</v>
      </c>
      <c r="G495">
        <v>0</v>
      </c>
      <c r="H495">
        <f t="shared" si="163"/>
        <v>0</v>
      </c>
      <c r="I495">
        <v>0</v>
      </c>
      <c r="J495" s="3">
        <f t="shared" si="153"/>
        <v>0</v>
      </c>
      <c r="K495">
        <v>0</v>
      </c>
      <c r="L495" s="3">
        <f t="shared" si="154"/>
        <v>0</v>
      </c>
      <c r="M495">
        <v>44101</v>
      </c>
      <c r="N495">
        <f t="shared" si="155"/>
        <v>0.20752958320913353</v>
      </c>
      <c r="O495" s="15">
        <v>0.76408081900000002</v>
      </c>
      <c r="P495">
        <f t="shared" si="156"/>
        <v>0.77894560705054228</v>
      </c>
      <c r="Q495">
        <v>0.37109999999999999</v>
      </c>
      <c r="R495">
        <f t="shared" si="157"/>
        <v>0.82265573043671025</v>
      </c>
      <c r="S495">
        <f t="shared" si="164"/>
        <v>0</v>
      </c>
      <c r="T495" s="14">
        <f t="shared" si="158"/>
        <v>0</v>
      </c>
      <c r="U495" t="str">
        <f t="shared" si="165"/>
        <v>No Impact</v>
      </c>
      <c r="V495">
        <f t="shared" si="166"/>
        <v>0</v>
      </c>
      <c r="W495">
        <f t="shared" si="159"/>
        <v>0</v>
      </c>
      <c r="X495" t="s">
        <v>1176</v>
      </c>
      <c r="Y495">
        <f t="shared" si="167"/>
        <v>0</v>
      </c>
      <c r="Z495">
        <f t="shared" si="160"/>
        <v>0</v>
      </c>
      <c r="AA495" t="str">
        <f t="shared" si="168"/>
        <v>No Impact</v>
      </c>
      <c r="AB495">
        <f t="shared" si="169"/>
        <v>0</v>
      </c>
      <c r="AC495">
        <f t="shared" si="161"/>
        <v>0</v>
      </c>
      <c r="AD495" t="str">
        <f t="shared" si="170"/>
        <v>No Impact</v>
      </c>
      <c r="AE495">
        <f t="shared" si="171"/>
        <v>0</v>
      </c>
      <c r="AF495">
        <f t="shared" si="162"/>
        <v>0</v>
      </c>
      <c r="AG495" t="s">
        <v>1176</v>
      </c>
    </row>
    <row r="496" spans="1:33" x14ac:dyDescent="0.3">
      <c r="A496">
        <v>557790</v>
      </c>
      <c r="B496" t="s">
        <v>519</v>
      </c>
      <c r="C496" s="1" t="s">
        <v>1038</v>
      </c>
      <c r="D496" t="s">
        <v>1042</v>
      </c>
      <c r="E496" s="4">
        <v>5.4</v>
      </c>
      <c r="F496" s="3">
        <f t="shared" si="172"/>
        <v>0.48888888888888893</v>
      </c>
      <c r="G496">
        <v>0</v>
      </c>
      <c r="H496">
        <f t="shared" si="163"/>
        <v>0</v>
      </c>
      <c r="I496">
        <v>0</v>
      </c>
      <c r="J496" s="3">
        <f t="shared" si="153"/>
        <v>0</v>
      </c>
      <c r="K496">
        <v>0</v>
      </c>
      <c r="L496" s="3">
        <f t="shared" si="154"/>
        <v>0</v>
      </c>
      <c r="M496">
        <v>24227</v>
      </c>
      <c r="N496">
        <f t="shared" si="155"/>
        <v>0.11349732438148501</v>
      </c>
      <c r="O496" s="15">
        <v>0.52709614100000002</v>
      </c>
      <c r="P496">
        <f t="shared" si="156"/>
        <v>0.53735051753110852</v>
      </c>
      <c r="Q496">
        <v>0.36070000000000002</v>
      </c>
      <c r="R496">
        <f t="shared" si="157"/>
        <v>0.79960097539348263</v>
      </c>
      <c r="S496">
        <f t="shared" si="164"/>
        <v>0</v>
      </c>
      <c r="T496" s="14">
        <f t="shared" si="158"/>
        <v>0</v>
      </c>
      <c r="U496" t="str">
        <f t="shared" si="165"/>
        <v>No Impact</v>
      </c>
      <c r="V496">
        <f t="shared" si="166"/>
        <v>0</v>
      </c>
      <c r="W496">
        <f t="shared" si="159"/>
        <v>0</v>
      </c>
      <c r="X496" t="s">
        <v>1176</v>
      </c>
      <c r="Y496">
        <f t="shared" si="167"/>
        <v>0</v>
      </c>
      <c r="Z496">
        <f t="shared" si="160"/>
        <v>0</v>
      </c>
      <c r="AA496" t="str">
        <f t="shared" si="168"/>
        <v>No Impact</v>
      </c>
      <c r="AB496">
        <f t="shared" si="169"/>
        <v>0</v>
      </c>
      <c r="AC496">
        <f t="shared" si="161"/>
        <v>0</v>
      </c>
      <c r="AD496" t="str">
        <f t="shared" si="170"/>
        <v>No Impact</v>
      </c>
      <c r="AE496">
        <f t="shared" si="171"/>
        <v>0</v>
      </c>
      <c r="AF496">
        <f t="shared" si="162"/>
        <v>0</v>
      </c>
      <c r="AG496" t="s">
        <v>1176</v>
      </c>
    </row>
    <row r="497" spans="1:33" x14ac:dyDescent="0.3">
      <c r="A497">
        <v>558503</v>
      </c>
      <c r="B497" t="s">
        <v>22</v>
      </c>
      <c r="C497" s="1" t="s">
        <v>1044</v>
      </c>
      <c r="D497" t="s">
        <v>1043</v>
      </c>
      <c r="E497" s="4">
        <v>6.3</v>
      </c>
      <c r="F497" s="3">
        <f t="shared" si="172"/>
        <v>0.68888888888888877</v>
      </c>
      <c r="G497">
        <v>48.845880000000001</v>
      </c>
      <c r="H497">
        <f t="shared" si="163"/>
        <v>0.46103949058437366</v>
      </c>
      <c r="I497">
        <v>3.8</v>
      </c>
      <c r="J497" s="3">
        <f t="shared" si="153"/>
        <v>1.1750154607297463E-2</v>
      </c>
      <c r="K497">
        <v>0</v>
      </c>
      <c r="L497" s="3">
        <f t="shared" si="154"/>
        <v>0</v>
      </c>
      <c r="M497">
        <v>34851</v>
      </c>
      <c r="N497">
        <f t="shared" si="155"/>
        <v>0.16376393994880603</v>
      </c>
      <c r="O497" s="15">
        <v>0.33465990499999998</v>
      </c>
      <c r="P497">
        <f t="shared" si="156"/>
        <v>0.34117053637974099</v>
      </c>
      <c r="Q497">
        <v>0.37330000000000002</v>
      </c>
      <c r="R497">
        <f t="shared" si="157"/>
        <v>0.82753269784970074</v>
      </c>
      <c r="S497">
        <f t="shared" si="164"/>
        <v>7.5183206815941303E-2</v>
      </c>
      <c r="T497" s="14">
        <f t="shared" si="158"/>
        <v>0.12613067191923436</v>
      </c>
      <c r="U497" t="str">
        <f t="shared" si="165"/>
        <v>No Impact</v>
      </c>
      <c r="V497">
        <f t="shared" si="166"/>
        <v>0.1064711042926291</v>
      </c>
      <c r="W497">
        <f t="shared" si="159"/>
        <v>0.14310240442259345</v>
      </c>
      <c r="X497" t="s">
        <v>1176</v>
      </c>
      <c r="Y497">
        <f t="shared" si="167"/>
        <v>4.3895309339253501E-2</v>
      </c>
      <c r="Z497">
        <f t="shared" si="160"/>
        <v>8.7950552180822816E-2</v>
      </c>
      <c r="AA497" t="str">
        <f t="shared" si="168"/>
        <v>No Impact</v>
      </c>
      <c r="AB497">
        <f t="shared" si="169"/>
        <v>5.7807985050300055E-2</v>
      </c>
      <c r="AC497">
        <f t="shared" si="161"/>
        <v>0.1357200254269583</v>
      </c>
      <c r="AD497" t="str">
        <f t="shared" si="170"/>
        <v>No Impact</v>
      </c>
      <c r="AE497">
        <f t="shared" si="171"/>
        <v>2.1070016417439479E-2</v>
      </c>
      <c r="AF497">
        <f t="shared" si="162"/>
        <v>0.11526225612148121</v>
      </c>
      <c r="AG497" t="s">
        <v>1175</v>
      </c>
    </row>
    <row r="498" spans="1:33" x14ac:dyDescent="0.3">
      <c r="A498">
        <v>558527</v>
      </c>
      <c r="B498" t="s">
        <v>175</v>
      </c>
      <c r="C498" s="1" t="s">
        <v>1044</v>
      </c>
      <c r="D498" t="s">
        <v>1045</v>
      </c>
      <c r="E498" s="4">
        <v>6.3</v>
      </c>
      <c r="F498" s="3">
        <f t="shared" si="172"/>
        <v>0.68888888888888877</v>
      </c>
      <c r="G498">
        <v>45.545400000000001</v>
      </c>
      <c r="H498">
        <f t="shared" si="163"/>
        <v>0.42988739305058138</v>
      </c>
      <c r="I498">
        <v>2.4</v>
      </c>
      <c r="J498" s="3">
        <f t="shared" si="153"/>
        <v>7.4211502782931347E-3</v>
      </c>
      <c r="K498">
        <v>0</v>
      </c>
      <c r="L498" s="3">
        <f t="shared" si="154"/>
        <v>0</v>
      </c>
      <c r="M498">
        <v>23068</v>
      </c>
      <c r="N498">
        <f t="shared" si="155"/>
        <v>0.1080136075664883</v>
      </c>
      <c r="O498" s="15">
        <v>0.90818423500000001</v>
      </c>
      <c r="P498">
        <f t="shared" si="156"/>
        <v>0.92585247876220711</v>
      </c>
      <c r="Q498">
        <v>0.3417</v>
      </c>
      <c r="R498">
        <f t="shared" si="157"/>
        <v>0.75748171137220133</v>
      </c>
      <c r="S498">
        <f t="shared" si="164"/>
        <v>0.10056266143744</v>
      </c>
      <c r="T498" s="14">
        <f t="shared" si="158"/>
        <v>0.16870836712436366</v>
      </c>
      <c r="U498" t="str">
        <f t="shared" si="165"/>
        <v>Low</v>
      </c>
      <c r="V498">
        <f t="shared" si="166"/>
        <v>9.050416409553598E-2</v>
      </c>
      <c r="W498">
        <f t="shared" si="159"/>
        <v>0.12164205094306289</v>
      </c>
      <c r="X498" t="s">
        <v>1176</v>
      </c>
      <c r="Y498">
        <f t="shared" si="167"/>
        <v>0.11062115877934402</v>
      </c>
      <c r="Z498">
        <f t="shared" si="160"/>
        <v>0.2216453681265079</v>
      </c>
      <c r="AA498" t="str">
        <f t="shared" si="168"/>
        <v>Low</v>
      </c>
      <c r="AB498">
        <f t="shared" si="169"/>
        <v>6.937973054668739E-2</v>
      </c>
      <c r="AC498">
        <f t="shared" si="161"/>
        <v>0.16288785685435428</v>
      </c>
      <c r="AD498" t="str">
        <f t="shared" si="170"/>
        <v>Low</v>
      </c>
      <c r="AE498">
        <f t="shared" si="171"/>
        <v>1.290550136984738E-2</v>
      </c>
      <c r="AF498">
        <f t="shared" si="162"/>
        <v>7.059876816404706E-2</v>
      </c>
      <c r="AG498" t="s">
        <v>1175</v>
      </c>
    </row>
    <row r="499" spans="1:33" x14ac:dyDescent="0.3">
      <c r="A499">
        <v>558542</v>
      </c>
      <c r="B499" t="s">
        <v>263</v>
      </c>
      <c r="C499" s="1" t="s">
        <v>1044</v>
      </c>
      <c r="D499" t="s">
        <v>1046</v>
      </c>
      <c r="E499" s="4">
        <v>6.4</v>
      </c>
      <c r="F499" s="3">
        <f t="shared" si="172"/>
        <v>0.71111111111111114</v>
      </c>
      <c r="G499">
        <v>50.613480000000003</v>
      </c>
      <c r="H499">
        <f t="shared" si="163"/>
        <v>0.47772326009690858</v>
      </c>
      <c r="I499">
        <v>4.6999999999999993</v>
      </c>
      <c r="J499" s="3">
        <f t="shared" si="153"/>
        <v>1.4533085961657387E-2</v>
      </c>
      <c r="K499">
        <v>0</v>
      </c>
      <c r="L499" s="3">
        <f t="shared" si="154"/>
        <v>0</v>
      </c>
      <c r="M499">
        <v>14370</v>
      </c>
      <c r="N499">
        <f t="shared" si="155"/>
        <v>6.6859708639101414E-2</v>
      </c>
      <c r="O499" s="15">
        <v>0.89736018200000001</v>
      </c>
      <c r="P499">
        <f t="shared" si="156"/>
        <v>0.9148178495382111</v>
      </c>
      <c r="Q499">
        <v>0.36020000000000002</v>
      </c>
      <c r="R499">
        <f t="shared" si="157"/>
        <v>0.79849257370871207</v>
      </c>
      <c r="S499">
        <f t="shared" si="164"/>
        <v>0.11817786094671076</v>
      </c>
      <c r="T499" s="14">
        <f t="shared" si="158"/>
        <v>0.19826040466294587</v>
      </c>
      <c r="U499" t="str">
        <f t="shared" si="165"/>
        <v>Low</v>
      </c>
      <c r="V499">
        <f t="shared" si="166"/>
        <v>0.11015417061888683</v>
      </c>
      <c r="W499">
        <f t="shared" si="159"/>
        <v>0.14805262683680631</v>
      </c>
      <c r="X499" t="s">
        <v>1176</v>
      </c>
      <c r="Y499">
        <f t="shared" si="167"/>
        <v>0.12620155127453472</v>
      </c>
      <c r="Z499">
        <f t="shared" si="160"/>
        <v>0.25286292061156518</v>
      </c>
      <c r="AA499" t="str">
        <f t="shared" si="168"/>
        <v>Low</v>
      </c>
      <c r="AB499">
        <f t="shared" si="169"/>
        <v>7.9642641113007978E-2</v>
      </c>
      <c r="AC499">
        <f t="shared" si="161"/>
        <v>0.18698284099544915</v>
      </c>
      <c r="AD499" t="str">
        <f t="shared" si="170"/>
        <v>Low</v>
      </c>
      <c r="AE499">
        <f t="shared" si="171"/>
        <v>9.2234743258204979E-3</v>
      </c>
      <c r="AF499">
        <f t="shared" si="162"/>
        <v>5.0456460925806114E-2</v>
      </c>
      <c r="AG499" t="s">
        <v>1176</v>
      </c>
    </row>
    <row r="500" spans="1:33" x14ac:dyDescent="0.3">
      <c r="A500">
        <v>558549</v>
      </c>
      <c r="B500" t="s">
        <v>436</v>
      </c>
      <c r="C500" s="1" t="s">
        <v>1044</v>
      </c>
      <c r="D500" t="s">
        <v>1047</v>
      </c>
      <c r="E500" s="4">
        <v>6.3</v>
      </c>
      <c r="F500" s="3">
        <f t="shared" si="172"/>
        <v>0.68888888888888877</v>
      </c>
      <c r="G500">
        <v>49.309199999999997</v>
      </c>
      <c r="H500">
        <f t="shared" si="163"/>
        <v>0.46541260898816839</v>
      </c>
      <c r="I500">
        <v>3.5</v>
      </c>
      <c r="J500" s="3">
        <f t="shared" si="153"/>
        <v>1.0822510822510822E-2</v>
      </c>
      <c r="K500">
        <v>0</v>
      </c>
      <c r="L500" s="3">
        <f t="shared" si="154"/>
        <v>0</v>
      </c>
      <c r="M500">
        <v>70957</v>
      </c>
      <c r="N500">
        <f t="shared" si="155"/>
        <v>0.33459662271176654</v>
      </c>
      <c r="O500" s="15">
        <v>0.92705600399999999</v>
      </c>
      <c r="P500">
        <f t="shared" si="156"/>
        <v>0.94509138804285298</v>
      </c>
      <c r="Q500">
        <v>0.3604</v>
      </c>
      <c r="R500">
        <f t="shared" si="157"/>
        <v>0.79893593438262023</v>
      </c>
      <c r="S500">
        <f t="shared" si="164"/>
        <v>0.11313342306861678</v>
      </c>
      <c r="T500" s="14">
        <f t="shared" si="158"/>
        <v>0.18979763264290583</v>
      </c>
      <c r="U500" t="str">
        <f t="shared" si="165"/>
        <v>Low</v>
      </c>
      <c r="V500">
        <f t="shared" si="166"/>
        <v>0.10365245533370027</v>
      </c>
      <c r="W500">
        <f t="shared" si="159"/>
        <v>0.13931400149462758</v>
      </c>
      <c r="X500" t="s">
        <v>1176</v>
      </c>
      <c r="Y500">
        <f t="shared" si="167"/>
        <v>0.12261439080353327</v>
      </c>
      <c r="Z500">
        <f t="shared" si="160"/>
        <v>0.24567552977334484</v>
      </c>
      <c r="AA500" t="str">
        <f t="shared" si="168"/>
        <v>Low</v>
      </c>
      <c r="AB500">
        <f t="shared" si="169"/>
        <v>8.8256155833487324E-2</v>
      </c>
      <c r="AC500">
        <f t="shared" si="161"/>
        <v>0.20720541813356838</v>
      </c>
      <c r="AD500" t="str">
        <f t="shared" si="170"/>
        <v>Low</v>
      </c>
      <c r="AE500">
        <f t="shared" si="171"/>
        <v>4.3409940644663532E-2</v>
      </c>
      <c r="AF500">
        <f t="shared" si="162"/>
        <v>0.23747146645135628</v>
      </c>
      <c r="AG500" t="s">
        <v>1175</v>
      </c>
    </row>
    <row r="501" spans="1:33" x14ac:dyDescent="0.3">
      <c r="A501">
        <v>558558</v>
      </c>
      <c r="B501" t="s">
        <v>339</v>
      </c>
      <c r="C501" s="1" t="s">
        <v>1044</v>
      </c>
      <c r="D501" t="s">
        <v>1048</v>
      </c>
      <c r="E501" s="4">
        <v>6.3</v>
      </c>
      <c r="F501" s="3">
        <f t="shared" si="172"/>
        <v>0.68888888888888877</v>
      </c>
      <c r="G501">
        <v>52.644959999999998</v>
      </c>
      <c r="H501">
        <f t="shared" si="163"/>
        <v>0.49689770232893182</v>
      </c>
      <c r="I501">
        <v>8.6999999999999993</v>
      </c>
      <c r="J501" s="3">
        <f t="shared" si="153"/>
        <v>2.690166975881261E-2</v>
      </c>
      <c r="K501">
        <v>0</v>
      </c>
      <c r="L501" s="3">
        <f t="shared" si="154"/>
        <v>0</v>
      </c>
      <c r="M501">
        <v>23688</v>
      </c>
      <c r="N501">
        <f t="shared" si="155"/>
        <v>0.11094708852015349</v>
      </c>
      <c r="O501" s="15">
        <v>0.964154124</v>
      </c>
      <c r="P501">
        <f t="shared" si="156"/>
        <v>0.98291123233845212</v>
      </c>
      <c r="Q501">
        <v>0.374</v>
      </c>
      <c r="R501">
        <f t="shared" si="157"/>
        <v>0.82908446020837956</v>
      </c>
      <c r="S501">
        <f t="shared" si="164"/>
        <v>0.12740991059862949</v>
      </c>
      <c r="T501" s="14">
        <f t="shared" si="158"/>
        <v>0.21374849934662918</v>
      </c>
      <c r="U501" t="str">
        <f t="shared" si="165"/>
        <v>Low</v>
      </c>
      <c r="V501">
        <f t="shared" si="166"/>
        <v>0.11659362921044304</v>
      </c>
      <c r="W501">
        <f t="shared" si="159"/>
        <v>0.15670757611862021</v>
      </c>
      <c r="X501" t="s">
        <v>1176</v>
      </c>
      <c r="Y501">
        <f t="shared" si="167"/>
        <v>0.13822619198681593</v>
      </c>
      <c r="Z501">
        <f t="shared" si="160"/>
        <v>0.27695601407281562</v>
      </c>
      <c r="AA501" t="str">
        <f t="shared" si="168"/>
        <v>Low</v>
      </c>
      <c r="AB501">
        <f t="shared" si="169"/>
        <v>8.7736474708780363E-2</v>
      </c>
      <c r="AC501">
        <f t="shared" si="161"/>
        <v>0.20598532482988779</v>
      </c>
      <c r="AD501" t="str">
        <f t="shared" si="170"/>
        <v>Low</v>
      </c>
      <c r="AE501">
        <f t="shared" si="171"/>
        <v>1.5602419683087237E-2</v>
      </c>
      <c r="AF501">
        <f t="shared" si="162"/>
        <v>8.5352097406926786E-2</v>
      </c>
      <c r="AG501" t="s">
        <v>1175</v>
      </c>
    </row>
    <row r="502" spans="1:33" x14ac:dyDescent="0.3">
      <c r="A502">
        <v>558573</v>
      </c>
      <c r="B502" t="s">
        <v>414</v>
      </c>
      <c r="C502" s="1" t="s">
        <v>1044</v>
      </c>
      <c r="D502" t="s">
        <v>1049</v>
      </c>
      <c r="E502" s="4">
        <v>6.3</v>
      </c>
      <c r="F502" s="3">
        <f t="shared" si="172"/>
        <v>0.68888888888888877</v>
      </c>
      <c r="G502">
        <v>53.908920000000002</v>
      </c>
      <c r="H502">
        <f t="shared" si="163"/>
        <v>0.5088277868011335</v>
      </c>
      <c r="I502">
        <v>15.5</v>
      </c>
      <c r="J502" s="3">
        <f t="shared" si="153"/>
        <v>4.7928262213976495E-2</v>
      </c>
      <c r="K502">
        <v>0</v>
      </c>
      <c r="L502" s="3">
        <f t="shared" si="154"/>
        <v>0</v>
      </c>
      <c r="M502">
        <v>13223</v>
      </c>
      <c r="N502">
        <f t="shared" si="155"/>
        <v>6.1432768874820798E-2</v>
      </c>
      <c r="O502" s="15">
        <v>0.93412368800000001</v>
      </c>
      <c r="P502">
        <f t="shared" si="156"/>
        <v>0.95229657009548796</v>
      </c>
      <c r="Q502">
        <v>0.38600000000000001</v>
      </c>
      <c r="R502">
        <f t="shared" si="157"/>
        <v>0.85568610064287298</v>
      </c>
      <c r="S502">
        <f t="shared" si="164"/>
        <v>0.13271837864581121</v>
      </c>
      <c r="T502" s="14">
        <f t="shared" si="158"/>
        <v>0.22265422005221164</v>
      </c>
      <c r="U502" t="str">
        <f t="shared" si="165"/>
        <v>Low</v>
      </c>
      <c r="V502">
        <f t="shared" si="166"/>
        <v>0.12562650488314656</v>
      </c>
      <c r="W502">
        <f t="shared" si="159"/>
        <v>0.16884820559928684</v>
      </c>
      <c r="X502" t="s">
        <v>1176</v>
      </c>
      <c r="Y502">
        <f t="shared" si="167"/>
        <v>0.13981025240847586</v>
      </c>
      <c r="Z502">
        <f t="shared" si="160"/>
        <v>0.28012990647430264</v>
      </c>
      <c r="AA502" t="str">
        <f t="shared" si="168"/>
        <v>Low</v>
      </c>
      <c r="AB502">
        <f t="shared" si="169"/>
        <v>8.9069064234761922E-2</v>
      </c>
      <c r="AC502">
        <f t="shared" si="161"/>
        <v>0.20911394251466864</v>
      </c>
      <c r="AD502" t="str">
        <f t="shared" si="170"/>
        <v>Low</v>
      </c>
      <c r="AE502">
        <f t="shared" si="171"/>
        <v>9.019176580336765E-3</v>
      </c>
      <c r="AF502">
        <f t="shared" si="162"/>
        <v>4.9338862410529365E-2</v>
      </c>
      <c r="AG502" t="s">
        <v>1176</v>
      </c>
    </row>
    <row r="503" spans="1:33" x14ac:dyDescent="0.3">
      <c r="A503">
        <v>558576</v>
      </c>
      <c r="B503" t="s">
        <v>415</v>
      </c>
      <c r="C503" s="1" t="s">
        <v>1044</v>
      </c>
      <c r="D503" t="s">
        <v>1147</v>
      </c>
      <c r="E503" s="4">
        <v>6.3</v>
      </c>
      <c r="F503" s="3">
        <f t="shared" si="172"/>
        <v>0.68888888888888877</v>
      </c>
      <c r="G503">
        <v>52.644959999999998</v>
      </c>
      <c r="H503">
        <f t="shared" si="163"/>
        <v>0.49689770232893182</v>
      </c>
      <c r="I503">
        <v>8.6</v>
      </c>
      <c r="J503" s="3">
        <f t="shared" si="153"/>
        <v>2.659245516388373E-2</v>
      </c>
      <c r="K503">
        <v>0</v>
      </c>
      <c r="L503" s="3">
        <f t="shared" si="154"/>
        <v>0</v>
      </c>
      <c r="M503">
        <v>36763</v>
      </c>
      <c r="N503">
        <f t="shared" si="155"/>
        <v>0.17281041669623803</v>
      </c>
      <c r="O503" s="15">
        <v>0.91369008200000001</v>
      </c>
      <c r="P503">
        <f t="shared" si="156"/>
        <v>0.93146543910239132</v>
      </c>
      <c r="Q503">
        <v>0.34389999999999998</v>
      </c>
      <c r="R503">
        <f t="shared" si="157"/>
        <v>0.7623586787851917</v>
      </c>
      <c r="S503">
        <f t="shared" si="164"/>
        <v>0.11906463236341969</v>
      </c>
      <c r="T503" s="14">
        <f t="shared" si="158"/>
        <v>0.19974809159949927</v>
      </c>
      <c r="U503" t="str">
        <f t="shared" si="165"/>
        <v>Low</v>
      </c>
      <c r="V503">
        <f t="shared" si="166"/>
        <v>0.10717754560234158</v>
      </c>
      <c r="W503">
        <f t="shared" si="159"/>
        <v>0.14405189631219997</v>
      </c>
      <c r="X503" t="s">
        <v>1176</v>
      </c>
      <c r="Y503">
        <f t="shared" si="167"/>
        <v>0.1309517191244978</v>
      </c>
      <c r="Z503">
        <f t="shared" si="160"/>
        <v>0.2623805636500719</v>
      </c>
      <c r="AA503" t="str">
        <f t="shared" si="168"/>
        <v>Low</v>
      </c>
      <c r="AB503">
        <f t="shared" si="169"/>
        <v>8.5300857213885459E-2</v>
      </c>
      <c r="AC503">
        <f t="shared" si="161"/>
        <v>0.20026704788164523</v>
      </c>
      <c r="AD503" t="str">
        <f t="shared" si="170"/>
        <v>Low</v>
      </c>
      <c r="AE503">
        <f t="shared" si="171"/>
        <v>2.429485861633306E-2</v>
      </c>
      <c r="AF503">
        <f t="shared" si="162"/>
        <v>0.13290356119291805</v>
      </c>
      <c r="AG503" t="s">
        <v>1175</v>
      </c>
    </row>
    <row r="504" spans="1:33" x14ac:dyDescent="0.3">
      <c r="A504">
        <v>558592</v>
      </c>
      <c r="B504" t="s">
        <v>512</v>
      </c>
      <c r="C504" s="1" t="s">
        <v>1044</v>
      </c>
      <c r="D504" t="s">
        <v>1050</v>
      </c>
      <c r="E504" s="4">
        <v>6</v>
      </c>
      <c r="F504" s="3">
        <f t="shared" si="172"/>
        <v>0.62222222222222223</v>
      </c>
      <c r="G504">
        <v>44.303040000000003</v>
      </c>
      <c r="H504">
        <f t="shared" si="163"/>
        <v>0.41816118356223964</v>
      </c>
      <c r="I504">
        <v>3.5</v>
      </c>
      <c r="J504" s="3">
        <f t="shared" si="153"/>
        <v>1.0822510822510822E-2</v>
      </c>
      <c r="K504">
        <v>0</v>
      </c>
      <c r="L504" s="3">
        <f t="shared" si="154"/>
        <v>0</v>
      </c>
      <c r="M504">
        <v>16160</v>
      </c>
      <c r="N504">
        <f t="shared" si="155"/>
        <v>7.5328952037586411E-2</v>
      </c>
      <c r="O504" s="15">
        <v>0.93809313000000005</v>
      </c>
      <c r="P504">
        <f t="shared" si="156"/>
        <v>0.95634323548932498</v>
      </c>
      <c r="Q504">
        <v>0.38100000000000001</v>
      </c>
      <c r="R504">
        <f t="shared" si="157"/>
        <v>0.84460208379516732</v>
      </c>
      <c r="S504">
        <f t="shared" si="164"/>
        <v>9.4930055278766676E-2</v>
      </c>
      <c r="T504" s="14">
        <f t="shared" si="158"/>
        <v>0.15925885799143788</v>
      </c>
      <c r="U504" t="str">
        <f t="shared" si="165"/>
        <v>Low</v>
      </c>
      <c r="V504">
        <f t="shared" si="166"/>
        <v>8.9040040965920261E-2</v>
      </c>
      <c r="W504">
        <f t="shared" si="159"/>
        <v>0.11967419739621801</v>
      </c>
      <c r="X504" t="s">
        <v>1176</v>
      </c>
      <c r="Y504">
        <f t="shared" si="167"/>
        <v>0.10082006959161312</v>
      </c>
      <c r="Z504">
        <f t="shared" si="160"/>
        <v>0.20200747927209292</v>
      </c>
      <c r="AA504" t="str">
        <f t="shared" si="168"/>
        <v>Low</v>
      </c>
      <c r="AB504">
        <f t="shared" si="169"/>
        <v>6.4189512778318719E-2</v>
      </c>
      <c r="AC504">
        <f t="shared" si="161"/>
        <v>0.15070240380869773</v>
      </c>
      <c r="AD504" t="str">
        <f t="shared" si="170"/>
        <v>Low</v>
      </c>
      <c r="AE504">
        <f t="shared" si="171"/>
        <v>7.9413644650362797E-3</v>
      </c>
      <c r="AF504">
        <f t="shared" si="162"/>
        <v>4.3442756132141512E-2</v>
      </c>
      <c r="AG504" t="s">
        <v>1176</v>
      </c>
    </row>
    <row r="505" spans="1:33" x14ac:dyDescent="0.3">
      <c r="A505">
        <v>559408</v>
      </c>
      <c r="B505" t="s">
        <v>37</v>
      </c>
      <c r="C505" s="1" t="s">
        <v>1052</v>
      </c>
      <c r="D505" t="s">
        <v>1148</v>
      </c>
      <c r="E505" s="4">
        <v>5.5</v>
      </c>
      <c r="F505" s="3">
        <f t="shared" si="172"/>
        <v>0.51111111111111107</v>
      </c>
      <c r="G505">
        <v>0</v>
      </c>
      <c r="H505">
        <f t="shared" si="163"/>
        <v>0</v>
      </c>
      <c r="I505">
        <v>0</v>
      </c>
      <c r="J505" s="3">
        <f t="shared" si="153"/>
        <v>0</v>
      </c>
      <c r="K505">
        <v>0</v>
      </c>
      <c r="L505" s="3">
        <f t="shared" si="154"/>
        <v>0</v>
      </c>
      <c r="M505">
        <v>24763</v>
      </c>
      <c r="N505">
        <f t="shared" si="155"/>
        <v>0.1160333659801375</v>
      </c>
      <c r="O505" s="15">
        <v>0.88720270800000001</v>
      </c>
      <c r="P505">
        <f t="shared" si="156"/>
        <v>0.90446276725596619</v>
      </c>
      <c r="Q505">
        <v>0.33739999999999998</v>
      </c>
      <c r="R505">
        <f t="shared" si="157"/>
        <v>0.74794945688317438</v>
      </c>
      <c r="S505">
        <f t="shared" si="164"/>
        <v>0</v>
      </c>
      <c r="T505" s="14">
        <f t="shared" si="158"/>
        <v>0</v>
      </c>
      <c r="U505" t="str">
        <f t="shared" si="165"/>
        <v>No Impact</v>
      </c>
      <c r="V505">
        <f t="shared" si="166"/>
        <v>0</v>
      </c>
      <c r="W505">
        <f t="shared" si="159"/>
        <v>0</v>
      </c>
      <c r="X505" t="s">
        <v>1176</v>
      </c>
      <c r="Y505">
        <f t="shared" si="167"/>
        <v>0</v>
      </c>
      <c r="Z505">
        <f t="shared" si="160"/>
        <v>0</v>
      </c>
      <c r="AA505" t="str">
        <f t="shared" si="168"/>
        <v>No Impact</v>
      </c>
      <c r="AB505">
        <f t="shared" si="169"/>
        <v>0</v>
      </c>
      <c r="AC505">
        <f t="shared" si="161"/>
        <v>0</v>
      </c>
      <c r="AD505" t="str">
        <f t="shared" si="170"/>
        <v>No Impact</v>
      </c>
      <c r="AE505">
        <f t="shared" si="171"/>
        <v>0</v>
      </c>
      <c r="AF505">
        <f t="shared" si="162"/>
        <v>0</v>
      </c>
      <c r="AG505" t="s">
        <v>1176</v>
      </c>
    </row>
    <row r="506" spans="1:33" x14ac:dyDescent="0.3">
      <c r="A506">
        <v>559451</v>
      </c>
      <c r="B506" t="s">
        <v>203</v>
      </c>
      <c r="C506" s="1" t="s">
        <v>1052</v>
      </c>
      <c r="D506" t="s">
        <v>1053</v>
      </c>
      <c r="E506" s="4">
        <v>5.6</v>
      </c>
      <c r="F506" s="3">
        <f t="shared" si="172"/>
        <v>0.53333333333333321</v>
      </c>
      <c r="G506">
        <v>34.89264</v>
      </c>
      <c r="H506">
        <f t="shared" si="163"/>
        <v>0.32933964892727779</v>
      </c>
      <c r="I506">
        <v>0</v>
      </c>
      <c r="J506" s="3">
        <f t="shared" si="153"/>
        <v>0</v>
      </c>
      <c r="K506">
        <v>0</v>
      </c>
      <c r="L506" s="3">
        <f t="shared" si="154"/>
        <v>0</v>
      </c>
      <c r="M506">
        <v>7570</v>
      </c>
      <c r="N506">
        <f t="shared" si="155"/>
        <v>3.4686046566644431E-2</v>
      </c>
      <c r="O506" s="15">
        <v>0.55367535700000003</v>
      </c>
      <c r="P506">
        <f t="shared" si="156"/>
        <v>0.56444681811504904</v>
      </c>
      <c r="Q506">
        <v>0.34549999999999997</v>
      </c>
      <c r="R506">
        <f t="shared" si="157"/>
        <v>0.7659055641764575</v>
      </c>
      <c r="S506">
        <f t="shared" si="164"/>
        <v>4.673469723023492E-2</v>
      </c>
      <c r="T506" s="14">
        <f t="shared" si="158"/>
        <v>7.8404194410361949E-2</v>
      </c>
      <c r="U506" t="str">
        <f t="shared" si="165"/>
        <v>No Impact</v>
      </c>
      <c r="V506">
        <f t="shared" si="166"/>
        <v>5.3811854851695595E-2</v>
      </c>
      <c r="W506">
        <f t="shared" si="159"/>
        <v>7.2325781411570714E-2</v>
      </c>
      <c r="X506" t="s">
        <v>1176</v>
      </c>
      <c r="Y506">
        <f t="shared" si="167"/>
        <v>3.9657539608774238E-2</v>
      </c>
      <c r="Z506">
        <f t="shared" si="160"/>
        <v>7.9459572314836843E-2</v>
      </c>
      <c r="AA506" t="str">
        <f t="shared" si="168"/>
        <v>No Impact</v>
      </c>
      <c r="AB506">
        <f t="shared" si="169"/>
        <v>3.1584365030512797E-2</v>
      </c>
      <c r="AC506">
        <f t="shared" si="161"/>
        <v>7.4152918862431083E-2</v>
      </c>
      <c r="AD506" t="str">
        <f t="shared" si="170"/>
        <v>No Impact</v>
      </c>
      <c r="AE506">
        <f t="shared" si="171"/>
        <v>2.4370112851058953E-3</v>
      </c>
      <c r="AF506">
        <f t="shared" si="162"/>
        <v>1.3331523495269844E-2</v>
      </c>
      <c r="AG506" t="s">
        <v>1176</v>
      </c>
    </row>
    <row r="507" spans="1:33" x14ac:dyDescent="0.3">
      <c r="A507">
        <v>559482</v>
      </c>
      <c r="B507" t="s">
        <v>416</v>
      </c>
      <c r="C507" s="1" t="s">
        <v>1052</v>
      </c>
      <c r="D507" t="s">
        <v>1147</v>
      </c>
      <c r="E507" s="4">
        <v>5.6</v>
      </c>
      <c r="F507" s="3">
        <f t="shared" si="172"/>
        <v>0.53333333333333321</v>
      </c>
      <c r="G507">
        <v>36.441000000000003</v>
      </c>
      <c r="H507">
        <f t="shared" si="163"/>
        <v>0.34395408735363475</v>
      </c>
      <c r="I507">
        <v>0</v>
      </c>
      <c r="J507" s="3">
        <f t="shared" si="153"/>
        <v>0</v>
      </c>
      <c r="K507">
        <v>0</v>
      </c>
      <c r="L507" s="3">
        <f t="shared" si="154"/>
        <v>0</v>
      </c>
      <c r="M507">
        <v>41019</v>
      </c>
      <c r="N507">
        <f t="shared" si="155"/>
        <v>0.19294734401688171</v>
      </c>
      <c r="O507" s="15">
        <v>0.72696125099999997</v>
      </c>
      <c r="P507">
        <f t="shared" si="156"/>
        <v>0.74110389749545147</v>
      </c>
      <c r="Q507">
        <v>0.37730000000000002</v>
      </c>
      <c r="R507">
        <f t="shared" si="157"/>
        <v>0.83639991132786529</v>
      </c>
      <c r="S507">
        <f t="shared" si="164"/>
        <v>5.7876147505142035E-2</v>
      </c>
      <c r="T507" s="14">
        <f t="shared" si="158"/>
        <v>9.709558400177809E-2</v>
      </c>
      <c r="U507" t="str">
        <f t="shared" si="165"/>
        <v>No Impact</v>
      </c>
      <c r="V507">
        <f t="shared" si="166"/>
        <v>6.1372409208199863E-2</v>
      </c>
      <c r="W507">
        <f t="shared" si="159"/>
        <v>8.2487538579129049E-2</v>
      </c>
      <c r="X507" t="s">
        <v>1176</v>
      </c>
      <c r="Y507">
        <f t="shared" si="167"/>
        <v>5.4379885802084187E-2</v>
      </c>
      <c r="Z507">
        <f t="shared" si="160"/>
        <v>0.10895790588600346</v>
      </c>
      <c r="AA507" t="str">
        <f t="shared" si="168"/>
        <v>No Impact</v>
      </c>
      <c r="AB507">
        <f t="shared" si="169"/>
        <v>4.2749564359019915E-2</v>
      </c>
      <c r="AC507">
        <f t="shared" si="161"/>
        <v>0.10036627218106882</v>
      </c>
      <c r="AD507" t="str">
        <f t="shared" si="170"/>
        <v>No Impact</v>
      </c>
      <c r="AE507">
        <f t="shared" si="171"/>
        <v>1.415787255864199E-2</v>
      </c>
      <c r="AF507">
        <f t="shared" si="162"/>
        <v>7.7449789343248907E-2</v>
      </c>
      <c r="AG507" t="s">
        <v>1175</v>
      </c>
    </row>
    <row r="508" spans="1:33" x14ac:dyDescent="0.3">
      <c r="A508">
        <v>559486</v>
      </c>
      <c r="B508" t="s">
        <v>439</v>
      </c>
      <c r="C508" s="1" t="s">
        <v>1052</v>
      </c>
      <c r="D508" t="s">
        <v>1054</v>
      </c>
      <c r="E508" s="4">
        <v>5.7</v>
      </c>
      <c r="F508" s="3">
        <f t="shared" si="172"/>
        <v>0.55555555555555558</v>
      </c>
      <c r="G508">
        <v>35.541360000000005</v>
      </c>
      <c r="H508">
        <f t="shared" si="163"/>
        <v>0.33546269427587005</v>
      </c>
      <c r="I508">
        <v>0.1</v>
      </c>
      <c r="J508" s="3">
        <f t="shared" si="153"/>
        <v>3.0921459492888061E-4</v>
      </c>
      <c r="K508">
        <v>0</v>
      </c>
      <c r="L508" s="3">
        <f t="shared" si="154"/>
        <v>0</v>
      </c>
      <c r="M508">
        <v>19234</v>
      </c>
      <c r="N508">
        <f t="shared" si="155"/>
        <v>8.9873339862694163E-2</v>
      </c>
      <c r="O508" s="15">
        <v>0.73121050600000004</v>
      </c>
      <c r="P508">
        <f t="shared" si="156"/>
        <v>0.74543581950315152</v>
      </c>
      <c r="Q508">
        <v>0.34670000000000001</v>
      </c>
      <c r="R508">
        <f t="shared" si="157"/>
        <v>0.76856572821990687</v>
      </c>
      <c r="S508">
        <f t="shared" si="164"/>
        <v>5.6458346002740543E-2</v>
      </c>
      <c r="T508" s="14">
        <f t="shared" si="158"/>
        <v>9.471701751440019E-2</v>
      </c>
      <c r="U508" t="str">
        <f t="shared" si="165"/>
        <v>No Impact</v>
      </c>
      <c r="V508">
        <f t="shared" si="166"/>
        <v>5.7320879063757768E-2</v>
      </c>
      <c r="W508">
        <f t="shared" si="159"/>
        <v>7.7042082658367844E-2</v>
      </c>
      <c r="X508" t="s">
        <v>1176</v>
      </c>
      <c r="Y508">
        <f t="shared" si="167"/>
        <v>5.5595812941723326E-2</v>
      </c>
      <c r="Z508">
        <f t="shared" si="160"/>
        <v>0.11139419042192944</v>
      </c>
      <c r="AA508" t="str">
        <f t="shared" si="168"/>
        <v>No Impact</v>
      </c>
      <c r="AB508">
        <f t="shared" si="169"/>
        <v>3.9087066384351145E-2</v>
      </c>
      <c r="AC508">
        <f t="shared" si="161"/>
        <v>9.1767558390651927E-2</v>
      </c>
      <c r="AD508" t="str">
        <f t="shared" si="170"/>
        <v>No Impact</v>
      </c>
      <c r="AE508">
        <f t="shared" si="171"/>
        <v>6.7028995129112473E-3</v>
      </c>
      <c r="AF508">
        <f t="shared" si="162"/>
        <v>3.666780818330357E-2</v>
      </c>
      <c r="AG508" t="s">
        <v>1176</v>
      </c>
    </row>
    <row r="509" spans="1:33" x14ac:dyDescent="0.3">
      <c r="A509">
        <v>559494</v>
      </c>
      <c r="B509" t="s">
        <v>521</v>
      </c>
      <c r="C509" s="1" t="s">
        <v>1052</v>
      </c>
      <c r="D509" t="s">
        <v>1055</v>
      </c>
      <c r="E509" s="4">
        <v>5.7</v>
      </c>
      <c r="F509" s="3">
        <f t="shared" si="172"/>
        <v>0.55555555555555558</v>
      </c>
      <c r="G509">
        <v>0</v>
      </c>
      <c r="H509">
        <f t="shared" si="163"/>
        <v>0</v>
      </c>
      <c r="I509">
        <v>0</v>
      </c>
      <c r="J509" s="3">
        <f t="shared" si="153"/>
        <v>0</v>
      </c>
      <c r="K509">
        <v>0</v>
      </c>
      <c r="L509" s="3">
        <f t="shared" si="154"/>
        <v>0</v>
      </c>
      <c r="M509">
        <v>95551</v>
      </c>
      <c r="N509">
        <f t="shared" si="155"/>
        <v>0.45096118815441466</v>
      </c>
      <c r="O509" s="15">
        <v>0.75379160199999995</v>
      </c>
      <c r="P509">
        <f t="shared" si="156"/>
        <v>0.7684562187779389</v>
      </c>
      <c r="Q509">
        <v>0.36070000000000002</v>
      </c>
      <c r="R509">
        <f t="shared" si="157"/>
        <v>0.79960097539348263</v>
      </c>
      <c r="S509">
        <f t="shared" si="164"/>
        <v>0</v>
      </c>
      <c r="T509" s="14">
        <f t="shared" si="158"/>
        <v>0</v>
      </c>
      <c r="U509" t="str">
        <f t="shared" si="165"/>
        <v>No Impact</v>
      </c>
      <c r="V509">
        <f t="shared" si="166"/>
        <v>0</v>
      </c>
      <c r="W509">
        <f t="shared" si="159"/>
        <v>0</v>
      </c>
      <c r="X509" t="s">
        <v>1176</v>
      </c>
      <c r="Y509">
        <f t="shared" si="167"/>
        <v>0</v>
      </c>
      <c r="Z509">
        <f t="shared" si="160"/>
        <v>0</v>
      </c>
      <c r="AA509" t="str">
        <f t="shared" si="168"/>
        <v>No Impact</v>
      </c>
      <c r="AB509">
        <f t="shared" si="169"/>
        <v>0</v>
      </c>
      <c r="AC509">
        <f t="shared" si="161"/>
        <v>0</v>
      </c>
      <c r="AD509" t="str">
        <f t="shared" si="170"/>
        <v>No Impact</v>
      </c>
      <c r="AE509">
        <f t="shared" si="171"/>
        <v>0</v>
      </c>
      <c r="AF509">
        <f t="shared" si="162"/>
        <v>0</v>
      </c>
      <c r="AG509" t="s">
        <v>1176</v>
      </c>
    </row>
    <row r="510" spans="1:33" x14ac:dyDescent="0.3">
      <c r="A510">
        <v>603602</v>
      </c>
      <c r="B510" t="s">
        <v>5</v>
      </c>
      <c r="C510" s="1" t="s">
        <v>1057</v>
      </c>
      <c r="D510" t="s">
        <v>1056</v>
      </c>
      <c r="E510" s="4">
        <v>5.7</v>
      </c>
      <c r="F510" s="3">
        <f t="shared" si="172"/>
        <v>0.55555555555555558</v>
      </c>
      <c r="G510">
        <v>56.743200000000002</v>
      </c>
      <c r="H510">
        <f t="shared" si="163"/>
        <v>0.53557958259994964</v>
      </c>
      <c r="I510">
        <v>103.29999999999998</v>
      </c>
      <c r="J510" s="3">
        <f t="shared" si="153"/>
        <v>0.31941867656153361</v>
      </c>
      <c r="K510">
        <v>0</v>
      </c>
      <c r="L510" s="3">
        <f t="shared" si="154"/>
        <v>0</v>
      </c>
      <c r="M510">
        <v>7462</v>
      </c>
      <c r="N510">
        <f t="shared" si="155"/>
        <v>3.4175053110199527E-2</v>
      </c>
      <c r="O510" s="15">
        <v>0.72068400799999999</v>
      </c>
      <c r="P510">
        <f t="shared" si="156"/>
        <v>0.73470453405424097</v>
      </c>
      <c r="Q510">
        <v>0.28170000000000001</v>
      </c>
      <c r="R510">
        <f t="shared" si="157"/>
        <v>0.62447350919973399</v>
      </c>
      <c r="S510">
        <f t="shared" si="164"/>
        <v>0.10500238166431335</v>
      </c>
      <c r="T510" s="14">
        <f t="shared" si="158"/>
        <v>0.17615663807561305</v>
      </c>
      <c r="U510" t="str">
        <f t="shared" si="165"/>
        <v>Low</v>
      </c>
      <c r="V510">
        <f t="shared" si="166"/>
        <v>9.6486558295572705E-2</v>
      </c>
      <c r="W510">
        <f t="shared" si="159"/>
        <v>0.12968268318705756</v>
      </c>
      <c r="X510" t="s">
        <v>1176</v>
      </c>
      <c r="Y510">
        <f t="shared" si="167"/>
        <v>0.11351820503305395</v>
      </c>
      <c r="Z510">
        <f t="shared" si="160"/>
        <v>0.22745001608417292</v>
      </c>
      <c r="AA510" t="str">
        <f t="shared" si="168"/>
        <v>Low</v>
      </c>
      <c r="AB510">
        <f t="shared" si="169"/>
        <v>6.9673876364324663E-2</v>
      </c>
      <c r="AC510">
        <f t="shared" si="161"/>
        <v>0.1635784444576798</v>
      </c>
      <c r="AD510" t="str">
        <f t="shared" si="170"/>
        <v>Low</v>
      </c>
      <c r="AE510">
        <f t="shared" si="171"/>
        <v>5.2803412884515118E-3</v>
      </c>
      <c r="AF510">
        <f t="shared" si="162"/>
        <v>2.8885789072977518E-2</v>
      </c>
      <c r="AG510" t="s">
        <v>1176</v>
      </c>
    </row>
    <row r="511" spans="1:33" x14ac:dyDescent="0.3">
      <c r="A511">
        <v>603605</v>
      </c>
      <c r="B511" t="s">
        <v>30</v>
      </c>
      <c r="C511" s="1" t="s">
        <v>1057</v>
      </c>
      <c r="D511" t="s">
        <v>1058</v>
      </c>
      <c r="E511" s="4">
        <v>5.6</v>
      </c>
      <c r="F511" s="3">
        <f t="shared" si="172"/>
        <v>0.53333333333333321</v>
      </c>
      <c r="G511">
        <v>53.601480000000002</v>
      </c>
      <c r="H511">
        <f t="shared" si="163"/>
        <v>0.50592596619752772</v>
      </c>
      <c r="I511">
        <v>103.9</v>
      </c>
      <c r="J511" s="3">
        <f t="shared" si="153"/>
        <v>0.32127396413110698</v>
      </c>
      <c r="K511">
        <v>0</v>
      </c>
      <c r="L511" s="3">
        <f t="shared" si="154"/>
        <v>0</v>
      </c>
      <c r="M511">
        <v>12557</v>
      </c>
      <c r="N511">
        <f t="shared" si="155"/>
        <v>5.8281642560077215E-2</v>
      </c>
      <c r="O511" s="15">
        <v>0.57918296300000005</v>
      </c>
      <c r="P511">
        <f t="shared" si="156"/>
        <v>0.59045066109343969</v>
      </c>
      <c r="Q511">
        <v>0.35549999999999998</v>
      </c>
      <c r="R511">
        <f t="shared" si="157"/>
        <v>0.7880735978718687</v>
      </c>
      <c r="S511">
        <f t="shared" si="164"/>
        <v>9.801314072619681E-2</v>
      </c>
      <c r="T511" s="14">
        <f t="shared" si="158"/>
        <v>0.16443117845418148</v>
      </c>
      <c r="U511" t="str">
        <f t="shared" si="165"/>
        <v>Low</v>
      </c>
      <c r="V511">
        <f t="shared" si="166"/>
        <v>0.11206414098043022</v>
      </c>
      <c r="W511">
        <f t="shared" si="159"/>
        <v>0.15061972100689722</v>
      </c>
      <c r="X511" t="s">
        <v>1176</v>
      </c>
      <c r="Y511">
        <f t="shared" si="167"/>
        <v>8.3962140471963403E-2</v>
      </c>
      <c r="Z511">
        <f t="shared" si="160"/>
        <v>0.1682301988059888</v>
      </c>
      <c r="AA511" t="str">
        <f t="shared" si="168"/>
        <v>Low</v>
      </c>
      <c r="AB511">
        <f t="shared" si="169"/>
        <v>6.7311770785659281E-2</v>
      </c>
      <c r="AC511">
        <f t="shared" si="161"/>
        <v>0.15803275680019307</v>
      </c>
      <c r="AD511" t="str">
        <f t="shared" si="170"/>
        <v>Low</v>
      </c>
      <c r="AE511">
        <f t="shared" si="171"/>
        <v>8.2876551454848287E-3</v>
      </c>
      <c r="AF511">
        <f t="shared" si="162"/>
        <v>4.5337118448314458E-2</v>
      </c>
      <c r="AG511" t="s">
        <v>1176</v>
      </c>
    </row>
    <row r="512" spans="1:33" x14ac:dyDescent="0.3">
      <c r="A512">
        <v>603611</v>
      </c>
      <c r="B512" t="s">
        <v>44</v>
      </c>
      <c r="C512" s="1" t="s">
        <v>1057</v>
      </c>
      <c r="D512" t="s">
        <v>1059</v>
      </c>
      <c r="E512" s="4">
        <v>5.7</v>
      </c>
      <c r="F512" s="3">
        <f t="shared" si="172"/>
        <v>0.55555555555555558</v>
      </c>
      <c r="G512">
        <v>57.518999999999998</v>
      </c>
      <c r="H512">
        <f t="shared" si="163"/>
        <v>0.54290209243691767</v>
      </c>
      <c r="I512">
        <v>103.29999999999998</v>
      </c>
      <c r="J512" s="3">
        <f t="shared" si="153"/>
        <v>0.31941867656153361</v>
      </c>
      <c r="K512">
        <v>0</v>
      </c>
      <c r="L512" s="3">
        <f t="shared" si="154"/>
        <v>0</v>
      </c>
      <c r="M512">
        <v>22652</v>
      </c>
      <c r="N512">
        <f t="shared" si="155"/>
        <v>0.10604533647499681</v>
      </c>
      <c r="O512" s="15">
        <v>0.52832718199999995</v>
      </c>
      <c r="P512">
        <f t="shared" si="156"/>
        <v>0.53860550778240679</v>
      </c>
      <c r="Q512">
        <v>0.25419999999999998</v>
      </c>
      <c r="R512">
        <f t="shared" si="157"/>
        <v>0.56351141653735315</v>
      </c>
      <c r="S512">
        <f t="shared" si="164"/>
        <v>8.6039994334942277E-2</v>
      </c>
      <c r="T512" s="14">
        <f t="shared" si="158"/>
        <v>0.14434449868520835</v>
      </c>
      <c r="U512" t="str">
        <f t="shared" si="165"/>
        <v>No Impact</v>
      </c>
      <c r="V512">
        <f t="shared" si="166"/>
        <v>8.7984347244235275E-2</v>
      </c>
      <c r="W512">
        <f t="shared" si="159"/>
        <v>0.1182552930755514</v>
      </c>
      <c r="X512" t="s">
        <v>1176</v>
      </c>
      <c r="Y512">
        <f t="shared" si="167"/>
        <v>8.4095641425649292E-2</v>
      </c>
      <c r="Z512">
        <f t="shared" si="160"/>
        <v>0.16849768712695251</v>
      </c>
      <c r="AA512" t="str">
        <f t="shared" si="168"/>
        <v>Low</v>
      </c>
      <c r="AB512">
        <f t="shared" si="169"/>
        <v>6.1818332397304353E-2</v>
      </c>
      <c r="AC512">
        <f t="shared" si="161"/>
        <v>0.14513541057544191</v>
      </c>
      <c r="AD512" t="str">
        <f t="shared" si="170"/>
        <v>No Impact</v>
      </c>
      <c r="AE512">
        <f t="shared" si="171"/>
        <v>1.6557481240363506E-2</v>
      </c>
      <c r="AF512">
        <f t="shared" si="162"/>
        <v>9.0576704148829623E-2</v>
      </c>
      <c r="AG512" t="s">
        <v>1175</v>
      </c>
    </row>
    <row r="513" spans="1:33" x14ac:dyDescent="0.3">
      <c r="A513">
        <v>603626</v>
      </c>
      <c r="B513" t="s">
        <v>115</v>
      </c>
      <c r="C513" s="1" t="s">
        <v>1057</v>
      </c>
      <c r="D513" t="s">
        <v>1060</v>
      </c>
      <c r="E513" s="4">
        <v>5.2</v>
      </c>
      <c r="F513" s="3">
        <f t="shared" si="172"/>
        <v>0.44444444444444442</v>
      </c>
      <c r="G513">
        <v>55.918799999999997</v>
      </c>
      <c r="H513">
        <f t="shared" si="163"/>
        <v>0.52779835404929687</v>
      </c>
      <c r="I513">
        <v>101.9</v>
      </c>
      <c r="J513" s="3">
        <f t="shared" si="153"/>
        <v>0.31508967223252937</v>
      </c>
      <c r="K513">
        <v>0</v>
      </c>
      <c r="L513" s="3">
        <f t="shared" si="154"/>
        <v>0</v>
      </c>
      <c r="M513">
        <v>8086</v>
      </c>
      <c r="N513">
        <f t="shared" si="155"/>
        <v>3.7127459747436753E-2</v>
      </c>
      <c r="O513" s="15">
        <v>0.59084794500000004</v>
      </c>
      <c r="P513">
        <f t="shared" si="156"/>
        <v>0.60234257914618639</v>
      </c>
      <c r="Q513">
        <v>0.41620000000000001</v>
      </c>
      <c r="R513">
        <f t="shared" si="157"/>
        <v>0.92263356240301486</v>
      </c>
      <c r="S513">
        <f t="shared" si="164"/>
        <v>9.2900623446728767E-2</v>
      </c>
      <c r="T513" s="14">
        <f t="shared" si="158"/>
        <v>0.15585419342032053</v>
      </c>
      <c r="U513" t="str">
        <f t="shared" si="165"/>
        <v>Low</v>
      </c>
      <c r="V513">
        <f t="shared" si="166"/>
        <v>0.11241255626863979</v>
      </c>
      <c r="W513">
        <f t="shared" si="159"/>
        <v>0.1510880083024187</v>
      </c>
      <c r="X513" t="s">
        <v>1176</v>
      </c>
      <c r="Y513">
        <f t="shared" si="167"/>
        <v>7.3388690624817704E-2</v>
      </c>
      <c r="Z513">
        <f t="shared" si="160"/>
        <v>0.14704477452009365</v>
      </c>
      <c r="AA513" t="str">
        <f t="shared" si="168"/>
        <v>No Impact</v>
      </c>
      <c r="AB513">
        <f t="shared" si="169"/>
        <v>6.294424954317912E-2</v>
      </c>
      <c r="AC513">
        <f t="shared" si="161"/>
        <v>0.14777880843014674</v>
      </c>
      <c r="AD513" t="str">
        <f t="shared" si="170"/>
        <v>No Impact</v>
      </c>
      <c r="AE513">
        <f t="shared" si="171"/>
        <v>4.5235647477425379E-3</v>
      </c>
      <c r="AF513">
        <f t="shared" si="162"/>
        <v>2.4745888574858849E-2</v>
      </c>
      <c r="AG513" t="s">
        <v>1176</v>
      </c>
    </row>
    <row r="514" spans="1:33" x14ac:dyDescent="0.3">
      <c r="A514">
        <v>603644</v>
      </c>
      <c r="B514" t="s">
        <v>196</v>
      </c>
      <c r="C514" s="1" t="s">
        <v>1057</v>
      </c>
      <c r="D514" t="s">
        <v>1061</v>
      </c>
      <c r="E514" s="4">
        <v>5.7</v>
      </c>
      <c r="F514" s="3">
        <f t="shared" si="172"/>
        <v>0.55555555555555558</v>
      </c>
      <c r="G514">
        <v>57.518999999999998</v>
      </c>
      <c r="H514">
        <f t="shared" si="163"/>
        <v>0.54290209243691767</v>
      </c>
      <c r="I514">
        <v>107.3</v>
      </c>
      <c r="J514" s="3">
        <f t="shared" ref="J514:J547" si="173">(I514-$AJ$7)/$AK$7</f>
        <v>0.33178726035868888</v>
      </c>
      <c r="K514">
        <v>0</v>
      </c>
      <c r="L514" s="3">
        <f t="shared" ref="L514:L547" si="174">(K514-$AJ$8)/$AK$8</f>
        <v>0</v>
      </c>
      <c r="M514">
        <v>33136</v>
      </c>
      <c r="N514">
        <f t="shared" ref="N514:N547" si="175">(M514-$AJ$9)/$AK$9</f>
        <v>0.15564955311729667</v>
      </c>
      <c r="O514" s="15">
        <v>0.45302080700000003</v>
      </c>
      <c r="P514">
        <f t="shared" ref="P514:P547" si="176">(O514-$AJ$11)/$AK$11</f>
        <v>0.46183408710216761</v>
      </c>
      <c r="Q514">
        <v>0.35680000000000001</v>
      </c>
      <c r="R514">
        <f t="shared" ref="R514:R547" si="177">(Q514-$AJ$12)/$AK$12</f>
        <v>0.79095544225227221</v>
      </c>
      <c r="S514">
        <f t="shared" si="164"/>
        <v>9.8663539971651906E-2</v>
      </c>
      <c r="T514" s="14">
        <f t="shared" ref="T514:T547" si="178">(S514-$AJ$10)/$AK$10</f>
        <v>0.16552231698523465</v>
      </c>
      <c r="U514" t="str">
        <f t="shared" si="165"/>
        <v>Low</v>
      </c>
      <c r="V514">
        <f t="shared" si="166"/>
        <v>0.12458351872188099</v>
      </c>
      <c r="W514">
        <f t="shared" ref="W514:W547" si="179">(V514-$AJ$13)/$AK$13</f>
        <v>0.16744638086525968</v>
      </c>
      <c r="X514" t="s">
        <v>1176</v>
      </c>
      <c r="Y514">
        <f t="shared" si="167"/>
        <v>7.2743561221422809E-2</v>
      </c>
      <c r="Z514">
        <f t="shared" ref="Z514:Z547" si="180">(Y514-$AJ$14)/$AK$14</f>
        <v>0.14575216517046716</v>
      </c>
      <c r="AA514" t="str">
        <f t="shared" si="168"/>
        <v>No Impact</v>
      </c>
      <c r="AB514">
        <f t="shared" si="169"/>
        <v>7.4008035056159702E-2</v>
      </c>
      <c r="AC514">
        <f t="shared" ref="AC514:AC547" si="181">(AB514-$AJ$15)/$AK$15</f>
        <v>0.17375406513272129</v>
      </c>
      <c r="AD514" t="str">
        <f t="shared" si="170"/>
        <v>Low</v>
      </c>
      <c r="AE514">
        <f t="shared" si="171"/>
        <v>2.4516386105927237E-2</v>
      </c>
      <c r="AF514">
        <f t="shared" ref="AF514:AF547" si="182">(AE514-$AJ$16)/$AK$16</f>
        <v>0.13411541398589541</v>
      </c>
      <c r="AG514" t="s">
        <v>1175</v>
      </c>
    </row>
    <row r="515" spans="1:33" x14ac:dyDescent="0.3">
      <c r="A515">
        <v>603668</v>
      </c>
      <c r="B515" t="s">
        <v>293</v>
      </c>
      <c r="C515" s="1" t="s">
        <v>1057</v>
      </c>
      <c r="D515" t="s">
        <v>1062</v>
      </c>
      <c r="E515" s="4">
        <v>5.6</v>
      </c>
      <c r="F515" s="3">
        <f t="shared" si="172"/>
        <v>0.53333333333333321</v>
      </c>
      <c r="G515">
        <v>59.142600000000002</v>
      </c>
      <c r="H515">
        <f t="shared" ref="H515:H547" si="183">(G515-$AJ$6)/$AK$6</f>
        <v>0.55822669539038661</v>
      </c>
      <c r="I515">
        <v>101.10000000000001</v>
      </c>
      <c r="J515" s="3">
        <f t="shared" si="173"/>
        <v>0.31261595547309834</v>
      </c>
      <c r="K515">
        <v>0</v>
      </c>
      <c r="L515" s="3">
        <f t="shared" si="174"/>
        <v>0</v>
      </c>
      <c r="M515">
        <v>9664</v>
      </c>
      <c r="N515">
        <f t="shared" si="175"/>
        <v>4.4593641916603977E-2</v>
      </c>
      <c r="O515" s="15">
        <v>0.36574056700000002</v>
      </c>
      <c r="P515">
        <f t="shared" si="176"/>
        <v>0.3728558562138497</v>
      </c>
      <c r="Q515">
        <v>0.30549999999999999</v>
      </c>
      <c r="R515">
        <f t="shared" si="177"/>
        <v>0.67723342939481268</v>
      </c>
      <c r="S515">
        <f t="shared" ref="S515:S547" si="184">F515*(R515*0.5+P515*0.5)*(H515*0.4+J515*0.2+L515*0.4)</f>
        <v>8.0034688474291515E-2</v>
      </c>
      <c r="T515" s="14">
        <f t="shared" si="178"/>
        <v>0.13426973205362872</v>
      </c>
      <c r="U515" t="str">
        <f t="shared" ref="U515:U547" si="185">IF(T515&gt;0.7,"High",IF(T515&gt;0.3,"Moderate",IF(T515&gt;0.15,"Low","No Impact")))</f>
        <v>No Impact</v>
      </c>
      <c r="V515">
        <f t="shared" ref="V515:V547" si="186">F515*(R515*1)*(H515*0.4+J515*0.2+L515*0.4)</f>
        <v>0.10323344364869465</v>
      </c>
      <c r="W515">
        <f t="shared" si="179"/>
        <v>0.13875082916722628</v>
      </c>
      <c r="X515" t="s">
        <v>1176</v>
      </c>
      <c r="Y515">
        <f t="shared" ref="Y515:Y547" si="187">F515*(P515*1)*(H515*0.4+J515*0.2+L515*0.4)</f>
        <v>5.683593329988839E-2</v>
      </c>
      <c r="Z515">
        <f t="shared" si="180"/>
        <v>0.11387894954341857</v>
      </c>
      <c r="AA515" t="str">
        <f t="shared" ref="AA515:AA547" si="188">IF(Z515&gt;0.7,"High",IF(Z515&gt;0.3,"Moderate",IF(Z515&gt;0.15,"Low","No Impact")))</f>
        <v>No Impact</v>
      </c>
      <c r="AB515">
        <f t="shared" ref="AB515:AB547" si="189">F515*(R515*0.35+P515*0.3+N515*0.35)*(H515*0.4+J515*0.2+L515*0.4)</f>
        <v>5.5561641783841015E-2</v>
      </c>
      <c r="AC515">
        <f t="shared" si="181"/>
        <v>0.13044612139836742</v>
      </c>
      <c r="AD515" t="str">
        <f t="shared" ref="AD515:AD547" si="190">IF(AC515&gt;0.7,"High",IF(AC515&gt;0.3,"Moderate",IF(AC515&gt;0.15,"Low","No Impact")))</f>
        <v>No Impact</v>
      </c>
      <c r="AE515">
        <f t="shared" ref="AE515:AE547" si="191">F515*(N515*1)*(H515*0.4+J515*0.2+L515*0.4)</f>
        <v>6.7975900480896512E-3</v>
      </c>
      <c r="AF515">
        <f t="shared" si="182"/>
        <v>3.7185807054390334E-2</v>
      </c>
      <c r="AG515" t="s">
        <v>1176</v>
      </c>
    </row>
    <row r="516" spans="1:33" x14ac:dyDescent="0.3">
      <c r="A516">
        <v>603671</v>
      </c>
      <c r="B516" t="s">
        <v>309</v>
      </c>
      <c r="C516" s="1" t="s">
        <v>1057</v>
      </c>
      <c r="D516" t="s">
        <v>1063</v>
      </c>
      <c r="E516" s="4">
        <v>5.5</v>
      </c>
      <c r="F516" s="3">
        <f t="shared" si="172"/>
        <v>0.51111111111111107</v>
      </c>
      <c r="G516">
        <v>57.518999999999998</v>
      </c>
      <c r="H516">
        <f t="shared" si="183"/>
        <v>0.54290209243691767</v>
      </c>
      <c r="I516">
        <v>98.5</v>
      </c>
      <c r="J516" s="3">
        <f t="shared" si="173"/>
        <v>0.30457637600494741</v>
      </c>
      <c r="K516">
        <v>0</v>
      </c>
      <c r="L516" s="3">
        <f t="shared" si="174"/>
        <v>0</v>
      </c>
      <c r="M516">
        <v>31830</v>
      </c>
      <c r="N516">
        <f t="shared" si="175"/>
        <v>0.1494703174310277</v>
      </c>
      <c r="O516" s="15">
        <v>0.57259408099999998</v>
      </c>
      <c r="P516">
        <f t="shared" si="176"/>
        <v>0.58373359588037554</v>
      </c>
      <c r="Q516">
        <v>0.39050000000000001</v>
      </c>
      <c r="R516">
        <f t="shared" si="177"/>
        <v>0.86566171580580809</v>
      </c>
      <c r="S516">
        <f t="shared" si="184"/>
        <v>0.10299967672697381</v>
      </c>
      <c r="T516" s="14">
        <f t="shared" si="178"/>
        <v>0.17279681172474975</v>
      </c>
      <c r="U516" t="str">
        <f t="shared" si="185"/>
        <v>Low</v>
      </c>
      <c r="V516">
        <f t="shared" si="186"/>
        <v>0.12303458713301103</v>
      </c>
      <c r="W516">
        <f t="shared" si="179"/>
        <v>0.16536454057510741</v>
      </c>
      <c r="X516" t="s">
        <v>1176</v>
      </c>
      <c r="Y516">
        <f t="shared" si="187"/>
        <v>8.2964766320936634E-2</v>
      </c>
      <c r="Z516">
        <f t="shared" si="180"/>
        <v>0.16623181654979541</v>
      </c>
      <c r="AA516" t="str">
        <f t="shared" si="188"/>
        <v>Low</v>
      </c>
      <c r="AB516">
        <f t="shared" si="189"/>
        <v>7.5386895488235198E-2</v>
      </c>
      <c r="AC516">
        <f t="shared" si="181"/>
        <v>0.17699131640066776</v>
      </c>
      <c r="AD516" t="str">
        <f t="shared" si="190"/>
        <v>Low</v>
      </c>
      <c r="AE516">
        <f t="shared" si="191"/>
        <v>2.1243885986858162E-2</v>
      </c>
      <c r="AF516">
        <f t="shared" si="182"/>
        <v>0.11621339913176763</v>
      </c>
      <c r="AG516" t="s">
        <v>1175</v>
      </c>
    </row>
    <row r="517" spans="1:33" x14ac:dyDescent="0.3">
      <c r="A517">
        <v>603677</v>
      </c>
      <c r="B517" t="s">
        <v>356</v>
      </c>
      <c r="C517" s="1" t="s">
        <v>1057</v>
      </c>
      <c r="D517" t="s">
        <v>1064</v>
      </c>
      <c r="E517" s="4">
        <v>5.8</v>
      </c>
      <c r="F517" s="3">
        <f t="shared" si="172"/>
        <v>0.57777777777777772</v>
      </c>
      <c r="G517">
        <v>53.601480000000002</v>
      </c>
      <c r="H517">
        <f t="shared" si="183"/>
        <v>0.50592596619752772</v>
      </c>
      <c r="I517">
        <v>104.4</v>
      </c>
      <c r="J517" s="3">
        <f t="shared" si="173"/>
        <v>0.32282003710575136</v>
      </c>
      <c r="K517">
        <v>0</v>
      </c>
      <c r="L517" s="3">
        <f t="shared" si="174"/>
        <v>0</v>
      </c>
      <c r="M517">
        <v>22206</v>
      </c>
      <c r="N517">
        <f t="shared" si="175"/>
        <v>0.10393512275671507</v>
      </c>
      <c r="O517" s="15">
        <v>0.53341939299999996</v>
      </c>
      <c r="P517">
        <f t="shared" si="176"/>
        <v>0.54379678505307005</v>
      </c>
      <c r="Q517">
        <v>0.31540000000000001</v>
      </c>
      <c r="R517">
        <f t="shared" si="177"/>
        <v>0.69917978275326986</v>
      </c>
      <c r="S517">
        <f t="shared" si="184"/>
        <v>9.5851367952741018E-2</v>
      </c>
      <c r="T517" s="14">
        <f t="shared" si="178"/>
        <v>0.16080449286839354</v>
      </c>
      <c r="U517" t="str">
        <f t="shared" si="185"/>
        <v>Low</v>
      </c>
      <c r="V517">
        <f t="shared" si="186"/>
        <v>0.10783363155441679</v>
      </c>
      <c r="W517">
        <f t="shared" si="179"/>
        <v>0.14493370812277165</v>
      </c>
      <c r="X517" t="s">
        <v>1176</v>
      </c>
      <c r="Y517">
        <f t="shared" si="187"/>
        <v>8.386910435106526E-2</v>
      </c>
      <c r="Z517">
        <f t="shared" si="180"/>
        <v>0.16804378758508789</v>
      </c>
      <c r="AA517" t="str">
        <f t="shared" si="188"/>
        <v>Low</v>
      </c>
      <c r="AB517">
        <f t="shared" si="189"/>
        <v>6.8512927168961527E-2</v>
      </c>
      <c r="AC517">
        <f t="shared" si="181"/>
        <v>0.16085279930369301</v>
      </c>
      <c r="AD517" t="str">
        <f t="shared" si="190"/>
        <v>Low</v>
      </c>
      <c r="AE517">
        <f t="shared" si="191"/>
        <v>1.6029785198845951E-2</v>
      </c>
      <c r="AF517">
        <f t="shared" si="182"/>
        <v>8.7689974727900216E-2</v>
      </c>
      <c r="AG517" t="s">
        <v>1175</v>
      </c>
    </row>
    <row r="518" spans="1:33" x14ac:dyDescent="0.3">
      <c r="A518">
        <v>605814</v>
      </c>
      <c r="B518" t="s">
        <v>51</v>
      </c>
      <c r="C518" s="1" t="s">
        <v>1066</v>
      </c>
      <c r="D518" t="s">
        <v>1065</v>
      </c>
      <c r="E518" s="4">
        <v>5.4</v>
      </c>
      <c r="F518" s="3">
        <f t="shared" ref="F518:F547" si="192">(E518-$AJ$5)/$AK$5</f>
        <v>0.48888888888888893</v>
      </c>
      <c r="G518">
        <v>40.298400000000001</v>
      </c>
      <c r="H518">
        <f t="shared" si="183"/>
        <v>0.38036276155461468</v>
      </c>
      <c r="I518">
        <v>67.599999999999994</v>
      </c>
      <c r="J518" s="3">
        <f t="shared" si="173"/>
        <v>0.20902906617192327</v>
      </c>
      <c r="K518">
        <v>0</v>
      </c>
      <c r="L518" s="3">
        <f t="shared" si="174"/>
        <v>0</v>
      </c>
      <c r="M518">
        <v>18472</v>
      </c>
      <c r="N518">
        <f t="shared" si="175"/>
        <v>8.6267997142221775E-2</v>
      </c>
      <c r="O518" s="15">
        <v>0.55905946100000004</v>
      </c>
      <c r="P518">
        <f t="shared" si="176"/>
        <v>0.56993566700958365</v>
      </c>
      <c r="Q518">
        <v>0.39100000000000001</v>
      </c>
      <c r="R518">
        <f t="shared" si="177"/>
        <v>0.86677011749057864</v>
      </c>
      <c r="S518">
        <f t="shared" si="184"/>
        <v>6.8114543589439663E-2</v>
      </c>
      <c r="T518" s="14">
        <f t="shared" si="178"/>
        <v>0.11427196995521555</v>
      </c>
      <c r="U518" t="str">
        <f t="shared" si="185"/>
        <v>No Impact</v>
      </c>
      <c r="V518">
        <f t="shared" si="186"/>
        <v>8.2187531485962473E-2</v>
      </c>
      <c r="W518">
        <f t="shared" si="179"/>
        <v>0.11046408739101483</v>
      </c>
      <c r="X518" t="s">
        <v>1176</v>
      </c>
      <c r="Y518">
        <f t="shared" si="187"/>
        <v>5.404155569291684E-2</v>
      </c>
      <c r="Z518">
        <f t="shared" si="180"/>
        <v>0.1082800129546497</v>
      </c>
      <c r="AA518" t="str">
        <f t="shared" si="188"/>
        <v>No Impact</v>
      </c>
      <c r="AB518">
        <f t="shared" si="189"/>
        <v>4.7841092297975576E-2</v>
      </c>
      <c r="AC518">
        <f t="shared" si="181"/>
        <v>0.11232002391166203</v>
      </c>
      <c r="AD518" t="str">
        <f t="shared" si="190"/>
        <v>No Impact</v>
      </c>
      <c r="AE518">
        <f t="shared" si="191"/>
        <v>8.1799702000390426E-3</v>
      </c>
      <c r="AF518">
        <f t="shared" si="182"/>
        <v>4.4748034438293158E-2</v>
      </c>
      <c r="AG518" t="s">
        <v>1176</v>
      </c>
    </row>
    <row r="519" spans="1:33" x14ac:dyDescent="0.3">
      <c r="A519">
        <v>605835</v>
      </c>
      <c r="B519" t="s">
        <v>229</v>
      </c>
      <c r="C519" s="1" t="s">
        <v>1066</v>
      </c>
      <c r="D519" t="s">
        <v>1067</v>
      </c>
      <c r="E519" s="4">
        <v>5.4</v>
      </c>
      <c r="F519" s="3">
        <f t="shared" si="192"/>
        <v>0.48888888888888893</v>
      </c>
      <c r="G519">
        <v>43.217639999999996</v>
      </c>
      <c r="H519">
        <f t="shared" si="183"/>
        <v>0.40791646562327977</v>
      </c>
      <c r="I519">
        <v>69.499999999999986</v>
      </c>
      <c r="J519" s="3">
        <f t="shared" si="173"/>
        <v>0.21490414347557199</v>
      </c>
      <c r="K519">
        <v>0</v>
      </c>
      <c r="L519" s="3">
        <f t="shared" si="174"/>
        <v>0</v>
      </c>
      <c r="M519">
        <v>9958</v>
      </c>
      <c r="N519">
        <f t="shared" si="175"/>
        <v>4.5984679659148438E-2</v>
      </c>
      <c r="O519" s="15">
        <v>0.50591369799999997</v>
      </c>
      <c r="P519">
        <f t="shared" si="176"/>
        <v>0.51575598131039424</v>
      </c>
      <c r="Q519">
        <v>0.39489999999999997</v>
      </c>
      <c r="R519">
        <f t="shared" si="177"/>
        <v>0.87541565063178894</v>
      </c>
      <c r="S519">
        <f t="shared" si="184"/>
        <v>7.0103350941286668E-2</v>
      </c>
      <c r="T519" s="14">
        <f t="shared" si="178"/>
        <v>0.11760848110218604</v>
      </c>
      <c r="U519" t="str">
        <f t="shared" si="185"/>
        <v>No Impact</v>
      </c>
      <c r="V519">
        <f t="shared" si="186"/>
        <v>8.8227173652266663E-2</v>
      </c>
      <c r="W519">
        <f t="shared" si="179"/>
        <v>0.11858166371928106</v>
      </c>
      <c r="X519" t="s">
        <v>1176</v>
      </c>
      <c r="Y519">
        <f t="shared" si="187"/>
        <v>5.197952823030666E-2</v>
      </c>
      <c r="Z519">
        <f t="shared" si="180"/>
        <v>0.10414844498808322</v>
      </c>
      <c r="AA519" t="str">
        <f t="shared" si="188"/>
        <v>No Impact</v>
      </c>
      <c r="AB519">
        <f t="shared" si="189"/>
        <v>4.8095438044243412E-2</v>
      </c>
      <c r="AC519">
        <f t="shared" si="181"/>
        <v>0.11291716998275711</v>
      </c>
      <c r="AD519" t="str">
        <f t="shared" si="190"/>
        <v>No Impact</v>
      </c>
      <c r="AE519">
        <f t="shared" si="191"/>
        <v>4.6344822767373749E-3</v>
      </c>
      <c r="AF519">
        <f t="shared" si="182"/>
        <v>2.5352656238541493E-2</v>
      </c>
      <c r="AG519" t="s">
        <v>1176</v>
      </c>
    </row>
    <row r="520" spans="1:33" x14ac:dyDescent="0.3">
      <c r="A520">
        <v>605856</v>
      </c>
      <c r="B520" t="s">
        <v>251</v>
      </c>
      <c r="C520" s="1" t="s">
        <v>1066</v>
      </c>
      <c r="D520" t="s">
        <v>1068</v>
      </c>
      <c r="E520" s="4">
        <v>5.4</v>
      </c>
      <c r="F520" s="3">
        <f t="shared" si="192"/>
        <v>0.48888888888888893</v>
      </c>
      <c r="G520">
        <v>52.613280000000003</v>
      </c>
      <c r="H520">
        <f t="shared" si="183"/>
        <v>0.4965986856859374</v>
      </c>
      <c r="I520">
        <v>80.400000000000006</v>
      </c>
      <c r="J520" s="3">
        <f t="shared" si="173"/>
        <v>0.24860853432282004</v>
      </c>
      <c r="K520">
        <v>0</v>
      </c>
      <c r="L520" s="3">
        <f t="shared" si="174"/>
        <v>0</v>
      </c>
      <c r="M520">
        <v>24711</v>
      </c>
      <c r="N520">
        <f t="shared" si="175"/>
        <v>0.11578733209370105</v>
      </c>
      <c r="O520" s="15">
        <v>0.46486062</v>
      </c>
      <c r="P520">
        <f t="shared" si="176"/>
        <v>0.47390423739951448</v>
      </c>
      <c r="Q520">
        <v>0.42399999999999999</v>
      </c>
      <c r="R520">
        <f t="shared" si="177"/>
        <v>0.93992462868543558</v>
      </c>
      <c r="S520">
        <f t="shared" si="184"/>
        <v>8.5834272848911902E-2</v>
      </c>
      <c r="T520" s="14">
        <f t="shared" si="178"/>
        <v>0.14399937122443432</v>
      </c>
      <c r="U520" t="str">
        <f t="shared" si="185"/>
        <v>No Impact</v>
      </c>
      <c r="V520">
        <f t="shared" si="186"/>
        <v>0.11412660891470346</v>
      </c>
      <c r="W520">
        <f t="shared" si="179"/>
        <v>0.15339177942030313</v>
      </c>
      <c r="X520" t="s">
        <v>1176</v>
      </c>
      <c r="Y520">
        <f t="shared" si="187"/>
        <v>5.754193678312032E-2</v>
      </c>
      <c r="Z520">
        <f t="shared" si="180"/>
        <v>0.11529352884873641</v>
      </c>
      <c r="AA520" t="str">
        <f t="shared" si="188"/>
        <v>No Impact</v>
      </c>
      <c r="AB520">
        <f t="shared" si="189"/>
        <v>6.2127549819745193E-2</v>
      </c>
      <c r="AC520">
        <f t="shared" si="181"/>
        <v>0.14586138288531592</v>
      </c>
      <c r="AD520" t="str">
        <f t="shared" si="190"/>
        <v>No Impact</v>
      </c>
      <c r="AE520">
        <f t="shared" si="191"/>
        <v>1.4059016184751106E-2</v>
      </c>
      <c r="AF520">
        <f t="shared" si="182"/>
        <v>7.6909001502323396E-2</v>
      </c>
      <c r="AG520" t="s">
        <v>1175</v>
      </c>
    </row>
    <row r="521" spans="1:33" x14ac:dyDescent="0.3">
      <c r="A521">
        <v>605865</v>
      </c>
      <c r="B521" t="s">
        <v>287</v>
      </c>
      <c r="C521" s="1" t="s">
        <v>1066</v>
      </c>
      <c r="D521" t="s">
        <v>1069</v>
      </c>
      <c r="E521" s="4">
        <v>5.3</v>
      </c>
      <c r="F521" s="3">
        <f t="shared" si="192"/>
        <v>0.46666666666666656</v>
      </c>
      <c r="G521">
        <v>50.430959999999999</v>
      </c>
      <c r="H521">
        <f t="shared" si="183"/>
        <v>0.47600051648329239</v>
      </c>
      <c r="I521">
        <v>81.099999999999994</v>
      </c>
      <c r="J521" s="3">
        <f t="shared" si="173"/>
        <v>0.25077303648732213</v>
      </c>
      <c r="K521">
        <v>0</v>
      </c>
      <c r="L521" s="3">
        <f t="shared" si="174"/>
        <v>0</v>
      </c>
      <c r="M521">
        <v>33224</v>
      </c>
      <c r="N521">
        <f t="shared" si="175"/>
        <v>0.15606591815588139</v>
      </c>
      <c r="O521" s="15">
        <v>0.37657218999999997</v>
      </c>
      <c r="P521">
        <f t="shared" si="176"/>
        <v>0.38389820270819036</v>
      </c>
      <c r="Q521">
        <v>0.39800000000000002</v>
      </c>
      <c r="R521">
        <f t="shared" si="177"/>
        <v>0.88228774107736652</v>
      </c>
      <c r="S521">
        <f t="shared" si="184"/>
        <v>7.1070328946973529E-2</v>
      </c>
      <c r="T521" s="14">
        <f t="shared" si="178"/>
        <v>0.11923072615867843</v>
      </c>
      <c r="U521" t="str">
        <f t="shared" si="185"/>
        <v>No Impact</v>
      </c>
      <c r="V521">
        <f t="shared" si="186"/>
        <v>9.9044662898059091E-2</v>
      </c>
      <c r="W521">
        <f t="shared" si="179"/>
        <v>0.13312090167659424</v>
      </c>
      <c r="X521" t="s">
        <v>1176</v>
      </c>
      <c r="Y521">
        <f t="shared" si="187"/>
        <v>4.3095994995887954E-2</v>
      </c>
      <c r="Z521">
        <f t="shared" si="180"/>
        <v>8.6349011175114829E-2</v>
      </c>
      <c r="AA521" t="str">
        <f t="shared" si="188"/>
        <v>No Impact</v>
      </c>
      <c r="AB521">
        <f t="shared" si="189"/>
        <v>5.372635713621178E-2</v>
      </c>
      <c r="AC521">
        <f t="shared" si="181"/>
        <v>0.12613728968895546</v>
      </c>
      <c r="AD521" t="str">
        <f t="shared" si="190"/>
        <v>No Impact</v>
      </c>
      <c r="AE521">
        <f t="shared" si="191"/>
        <v>1.7519790351784914E-2</v>
      </c>
      <c r="AF521">
        <f t="shared" si="182"/>
        <v>9.5840958199286064E-2</v>
      </c>
      <c r="AG521" t="s">
        <v>1175</v>
      </c>
    </row>
    <row r="522" spans="1:33" x14ac:dyDescent="0.3">
      <c r="A522">
        <v>605874</v>
      </c>
      <c r="B522" t="s">
        <v>329</v>
      </c>
      <c r="C522" s="1" t="s">
        <v>1066</v>
      </c>
      <c r="D522" t="s">
        <v>1070</v>
      </c>
      <c r="E522" s="4">
        <v>5.3</v>
      </c>
      <c r="F522" s="3">
        <f t="shared" si="192"/>
        <v>0.46666666666666656</v>
      </c>
      <c r="G522">
        <v>52.613280000000003</v>
      </c>
      <c r="H522">
        <f t="shared" si="183"/>
        <v>0.4965986856859374</v>
      </c>
      <c r="I522">
        <v>90.7</v>
      </c>
      <c r="J522" s="3">
        <f t="shared" si="173"/>
        <v>0.28045763760049475</v>
      </c>
      <c r="K522">
        <v>0</v>
      </c>
      <c r="L522" s="3">
        <f t="shared" si="174"/>
        <v>0</v>
      </c>
      <c r="M522">
        <v>39868</v>
      </c>
      <c r="N522">
        <f t="shared" si="175"/>
        <v>0.18750147856902907</v>
      </c>
      <c r="O522" s="15">
        <v>0.299404269</v>
      </c>
      <c r="P522">
        <f t="shared" si="176"/>
        <v>0.30522902063548446</v>
      </c>
      <c r="Q522">
        <v>0.37640000000000001</v>
      </c>
      <c r="R522">
        <f t="shared" si="177"/>
        <v>0.8344047882952782</v>
      </c>
      <c r="S522">
        <f t="shared" si="184"/>
        <v>6.7736681093149884E-2</v>
      </c>
      <c r="T522" s="14">
        <f t="shared" si="178"/>
        <v>0.11363805112455451</v>
      </c>
      <c r="U522" t="str">
        <f t="shared" si="185"/>
        <v>No Impact</v>
      </c>
      <c r="V522">
        <f t="shared" si="186"/>
        <v>9.9189424891462319E-2</v>
      </c>
      <c r="W522">
        <f t="shared" si="179"/>
        <v>0.13331546892056753</v>
      </c>
      <c r="X522" t="s">
        <v>1176</v>
      </c>
      <c r="Y522">
        <f t="shared" si="187"/>
        <v>3.6283937294837441E-2</v>
      </c>
      <c r="Z522">
        <f t="shared" si="180"/>
        <v>7.2700075894477661E-2</v>
      </c>
      <c r="AA522" t="str">
        <f t="shared" si="188"/>
        <v>No Impact</v>
      </c>
      <c r="AB522">
        <f t="shared" si="189"/>
        <v>5.3402678347855906E-2</v>
      </c>
      <c r="AC522">
        <f t="shared" si="181"/>
        <v>0.12537736537490782</v>
      </c>
      <c r="AD522" t="str">
        <f t="shared" si="190"/>
        <v>No Impact</v>
      </c>
      <c r="AE522">
        <f t="shared" si="191"/>
        <v>2.2289138421122467E-2</v>
      </c>
      <c r="AF522">
        <f t="shared" si="182"/>
        <v>0.12193138963556503</v>
      </c>
      <c r="AG522" t="s">
        <v>1175</v>
      </c>
    </row>
    <row r="523" spans="1:33" x14ac:dyDescent="0.3">
      <c r="A523">
        <v>605880</v>
      </c>
      <c r="B523" t="s">
        <v>425</v>
      </c>
      <c r="C523" s="1" t="s">
        <v>1066</v>
      </c>
      <c r="D523" t="s">
        <v>1071</v>
      </c>
      <c r="E523" s="4">
        <v>5.2</v>
      </c>
      <c r="F523" s="3">
        <f t="shared" si="192"/>
        <v>0.44444444444444442</v>
      </c>
      <c r="G523">
        <v>52.613280000000003</v>
      </c>
      <c r="H523">
        <f t="shared" si="183"/>
        <v>0.4965986856859374</v>
      </c>
      <c r="I523">
        <v>84.7</v>
      </c>
      <c r="J523" s="3">
        <f t="shared" si="173"/>
        <v>0.26190476190476186</v>
      </c>
      <c r="K523">
        <v>0</v>
      </c>
      <c r="L523" s="3">
        <f t="shared" si="174"/>
        <v>0</v>
      </c>
      <c r="M523">
        <v>16043</v>
      </c>
      <c r="N523">
        <f t="shared" si="175"/>
        <v>7.4775375793104421E-2</v>
      </c>
      <c r="O523" s="15">
        <v>0.493649422</v>
      </c>
      <c r="P523">
        <f t="shared" si="176"/>
        <v>0.50325311030997011</v>
      </c>
      <c r="Q523">
        <v>0.35399999999999998</v>
      </c>
      <c r="R523">
        <f t="shared" si="177"/>
        <v>0.78474839281755704</v>
      </c>
      <c r="S523">
        <f t="shared" si="184"/>
        <v>7.1847708188394407E-2</v>
      </c>
      <c r="T523" s="14">
        <f t="shared" si="178"/>
        <v>0.12053489194528184</v>
      </c>
      <c r="U523" t="str">
        <f t="shared" si="185"/>
        <v>No Impact</v>
      </c>
      <c r="V523">
        <f t="shared" si="186"/>
        <v>8.7550167280953606E-2</v>
      </c>
      <c r="W523">
        <f t="shared" si="179"/>
        <v>0.11767173383560067</v>
      </c>
      <c r="X523" t="s">
        <v>1176</v>
      </c>
      <c r="Y523">
        <f t="shared" si="187"/>
        <v>5.6145249095835209E-2</v>
      </c>
      <c r="Z523">
        <f t="shared" si="180"/>
        <v>0.11249506461258094</v>
      </c>
      <c r="AA523" t="str">
        <f t="shared" si="188"/>
        <v>No Impact</v>
      </c>
      <c r="AB523">
        <f t="shared" si="189"/>
        <v>5.0405933880290597E-2</v>
      </c>
      <c r="AC523">
        <f t="shared" si="181"/>
        <v>0.11834168968093292</v>
      </c>
      <c r="AD523" t="str">
        <f t="shared" si="190"/>
        <v>No Impact</v>
      </c>
      <c r="AE523">
        <f t="shared" si="191"/>
        <v>8.3422874377322275E-3</v>
      </c>
      <c r="AF523">
        <f t="shared" si="182"/>
        <v>4.563598111347647E-2</v>
      </c>
      <c r="AG523" t="s">
        <v>1176</v>
      </c>
    </row>
    <row r="524" spans="1:33" x14ac:dyDescent="0.3">
      <c r="A524">
        <v>605883</v>
      </c>
      <c r="B524" t="s">
        <v>497</v>
      </c>
      <c r="C524" s="1" t="s">
        <v>1066</v>
      </c>
      <c r="D524" t="s">
        <v>1072</v>
      </c>
      <c r="E524" s="4">
        <v>5.4</v>
      </c>
      <c r="F524" s="3">
        <f t="shared" si="192"/>
        <v>0.48888888888888893</v>
      </c>
      <c r="G524">
        <v>52.613280000000003</v>
      </c>
      <c r="H524">
        <f t="shared" si="183"/>
        <v>0.4965986856859374</v>
      </c>
      <c r="I524">
        <v>92.4</v>
      </c>
      <c r="J524" s="3">
        <f t="shared" si="173"/>
        <v>0.2857142857142857</v>
      </c>
      <c r="K524">
        <v>0</v>
      </c>
      <c r="L524" s="3">
        <f t="shared" si="174"/>
        <v>0</v>
      </c>
      <c r="M524">
        <v>37332</v>
      </c>
      <c r="N524">
        <f t="shared" si="175"/>
        <v>0.17550259518435982</v>
      </c>
      <c r="O524" s="15">
        <v>0.37196099599999999</v>
      </c>
      <c r="P524">
        <f t="shared" si="176"/>
        <v>0.37919730036875104</v>
      </c>
      <c r="Q524">
        <v>0.39560000000000001</v>
      </c>
      <c r="R524">
        <f t="shared" si="177"/>
        <v>0.87696741299046777</v>
      </c>
      <c r="S524">
        <f t="shared" si="184"/>
        <v>7.8541158428841809E-2</v>
      </c>
      <c r="T524" s="14">
        <f t="shared" si="178"/>
        <v>0.13176412001415672</v>
      </c>
      <c r="U524" t="str">
        <f t="shared" si="185"/>
        <v>No Impact</v>
      </c>
      <c r="V524">
        <f t="shared" si="186"/>
        <v>0.10966402063057981</v>
      </c>
      <c r="W524">
        <f t="shared" si="179"/>
        <v>0.14739384112851067</v>
      </c>
      <c r="X524" t="s">
        <v>1176</v>
      </c>
      <c r="Y524">
        <f t="shared" si="187"/>
        <v>4.74182962271038E-2</v>
      </c>
      <c r="Z524">
        <f t="shared" si="180"/>
        <v>9.5009362034912392E-2</v>
      </c>
      <c r="AA524" t="str">
        <f t="shared" si="188"/>
        <v>No Impact</v>
      </c>
      <c r="AB524">
        <f t="shared" si="189"/>
        <v>6.0289153085243692E-2</v>
      </c>
      <c r="AC524">
        <f t="shared" si="181"/>
        <v>0.14154524470242857</v>
      </c>
      <c r="AD524" t="str">
        <f t="shared" si="190"/>
        <v>No Impact</v>
      </c>
      <c r="AE524">
        <f t="shared" si="191"/>
        <v>2.1946448561170343E-2</v>
      </c>
      <c r="AF524">
        <f t="shared" si="182"/>
        <v>0.12005672539110136</v>
      </c>
      <c r="AG524" t="s">
        <v>1175</v>
      </c>
    </row>
    <row r="525" spans="1:33" x14ac:dyDescent="0.3">
      <c r="A525">
        <v>609018</v>
      </c>
      <c r="B525" t="s">
        <v>80</v>
      </c>
      <c r="C525" s="1" t="s">
        <v>1074</v>
      </c>
      <c r="D525" t="s">
        <v>1073</v>
      </c>
      <c r="E525" s="4">
        <v>6.2</v>
      </c>
      <c r="F525" s="3">
        <f t="shared" si="192"/>
        <v>0.66666666666666663</v>
      </c>
      <c r="G525">
        <v>47.416320000000006</v>
      </c>
      <c r="H525">
        <f t="shared" si="183"/>
        <v>0.44754636456924618</v>
      </c>
      <c r="I525">
        <v>83.700000000000017</v>
      </c>
      <c r="J525" s="3">
        <f t="shared" si="173"/>
        <v>0.25881261595547311</v>
      </c>
      <c r="K525">
        <v>0</v>
      </c>
      <c r="L525" s="3">
        <f t="shared" si="174"/>
        <v>0</v>
      </c>
      <c r="M525">
        <v>14050</v>
      </c>
      <c r="N525">
        <f t="shared" si="175"/>
        <v>6.5345653953338731E-2</v>
      </c>
      <c r="O525" s="15">
        <v>0.59267401200000003</v>
      </c>
      <c r="P525">
        <f t="shared" si="176"/>
        <v>0.60420417131348036</v>
      </c>
      <c r="Q525">
        <v>0.32100000000000001</v>
      </c>
      <c r="R525">
        <f t="shared" si="177"/>
        <v>0.7115938816227001</v>
      </c>
      <c r="S525">
        <f t="shared" si="184"/>
        <v>0.1012204270898194</v>
      </c>
      <c r="T525" s="14">
        <f t="shared" si="178"/>
        <v>0.16981186386537278</v>
      </c>
      <c r="U525" t="str">
        <f t="shared" si="185"/>
        <v>Low</v>
      </c>
      <c r="V525">
        <f t="shared" si="186"/>
        <v>0.10948159780541283</v>
      </c>
      <c r="W525">
        <f t="shared" si="179"/>
        <v>0.14714865587307077</v>
      </c>
      <c r="X525" t="s">
        <v>1176</v>
      </c>
      <c r="Y525">
        <f t="shared" si="187"/>
        <v>9.2959256374226001E-2</v>
      </c>
      <c r="Z525">
        <f t="shared" si="180"/>
        <v>0.18625721179553467</v>
      </c>
      <c r="AA525" t="str">
        <f t="shared" si="188"/>
        <v>Low</v>
      </c>
      <c r="AB525">
        <f t="shared" si="189"/>
        <v>6.97251287816818E-2</v>
      </c>
      <c r="AC525">
        <f t="shared" si="181"/>
        <v>0.16369877349839712</v>
      </c>
      <c r="AD525" t="str">
        <f t="shared" si="190"/>
        <v>Low</v>
      </c>
      <c r="AE525">
        <f t="shared" si="191"/>
        <v>1.0053693250055756E-2</v>
      </c>
      <c r="AF525">
        <f t="shared" si="182"/>
        <v>5.4998123560814828E-2</v>
      </c>
      <c r="AG525" t="s">
        <v>1176</v>
      </c>
    </row>
    <row r="526" spans="1:33" x14ac:dyDescent="0.3">
      <c r="A526">
        <v>609023</v>
      </c>
      <c r="B526" t="s">
        <v>109</v>
      </c>
      <c r="C526" s="1" t="s">
        <v>1074</v>
      </c>
      <c r="D526" t="s">
        <v>1075</v>
      </c>
      <c r="E526" s="4">
        <v>6.5</v>
      </c>
      <c r="F526" s="3">
        <f t="shared" si="192"/>
        <v>0.73333333333333328</v>
      </c>
      <c r="G526">
        <v>49.361039999999996</v>
      </c>
      <c r="H526">
        <f t="shared" si="183"/>
        <v>0.46590190894943212</v>
      </c>
      <c r="I526">
        <v>88.5</v>
      </c>
      <c r="J526" s="3">
        <f t="shared" si="173"/>
        <v>0.27365491651205937</v>
      </c>
      <c r="K526">
        <v>0</v>
      </c>
      <c r="L526" s="3">
        <f t="shared" si="174"/>
        <v>0</v>
      </c>
      <c r="M526">
        <v>23393</v>
      </c>
      <c r="N526">
        <f t="shared" si="175"/>
        <v>0.10955131935671601</v>
      </c>
      <c r="O526" s="15">
        <v>0.71983818899999996</v>
      </c>
      <c r="P526">
        <f t="shared" si="176"/>
        <v>0.73384226009312759</v>
      </c>
      <c r="Q526">
        <v>0.28079999999999999</v>
      </c>
      <c r="R526">
        <f t="shared" si="177"/>
        <v>0.62247838616714701</v>
      </c>
      <c r="S526">
        <f t="shared" si="184"/>
        <v>0.11989916177772988</v>
      </c>
      <c r="T526" s="14">
        <f t="shared" si="178"/>
        <v>0.20114813504299059</v>
      </c>
      <c r="U526" t="str">
        <f t="shared" si="185"/>
        <v>Low</v>
      </c>
      <c r="V526">
        <f t="shared" si="186"/>
        <v>0.11005456111278981</v>
      </c>
      <c r="W526">
        <f t="shared" si="179"/>
        <v>0.1479187467580701</v>
      </c>
      <c r="X526" t="s">
        <v>1176</v>
      </c>
      <c r="Y526">
        <f t="shared" si="187"/>
        <v>0.12974376244266997</v>
      </c>
      <c r="Z526">
        <f t="shared" si="180"/>
        <v>0.25996024907030274</v>
      </c>
      <c r="AA526" t="str">
        <f t="shared" si="188"/>
        <v>Low</v>
      </c>
      <c r="AB526">
        <f t="shared" si="189"/>
        <v>8.4221284321230175E-2</v>
      </c>
      <c r="AC526">
        <f t="shared" si="181"/>
        <v>0.19773245581250565</v>
      </c>
      <c r="AD526" t="str">
        <f t="shared" si="190"/>
        <v>Low</v>
      </c>
      <c r="AE526">
        <f t="shared" si="191"/>
        <v>1.9368740568436422E-2</v>
      </c>
      <c r="AF526">
        <f t="shared" si="182"/>
        <v>0.10595552902853142</v>
      </c>
      <c r="AG526" t="s">
        <v>1175</v>
      </c>
    </row>
    <row r="527" spans="1:33" x14ac:dyDescent="0.3">
      <c r="A527">
        <v>609027</v>
      </c>
      <c r="B527" t="s">
        <v>123</v>
      </c>
      <c r="C527" s="1" t="s">
        <v>1074</v>
      </c>
      <c r="D527" t="s">
        <v>1076</v>
      </c>
      <c r="E527" s="4">
        <v>6.3</v>
      </c>
      <c r="F527" s="3">
        <f t="shared" si="192"/>
        <v>0.68888888888888877</v>
      </c>
      <c r="G527">
        <v>49.361039999999996</v>
      </c>
      <c r="H527">
        <f t="shared" si="183"/>
        <v>0.46590190894943212</v>
      </c>
      <c r="I527">
        <v>93.2</v>
      </c>
      <c r="J527" s="3">
        <f t="shared" si="173"/>
        <v>0.28818800247371673</v>
      </c>
      <c r="K527">
        <v>0</v>
      </c>
      <c r="L527" s="3">
        <f t="shared" si="174"/>
        <v>0</v>
      </c>
      <c r="M527">
        <v>9097</v>
      </c>
      <c r="N527">
        <f t="shared" si="175"/>
        <v>4.1910926270268226E-2</v>
      </c>
      <c r="O527" s="15">
        <v>0.36622869499999999</v>
      </c>
      <c r="P527">
        <f t="shared" si="176"/>
        <v>0.37335348048581612</v>
      </c>
      <c r="Q527">
        <v>0.1434</v>
      </c>
      <c r="R527">
        <f t="shared" si="177"/>
        <v>0.31788960319219683</v>
      </c>
      <c r="S527">
        <f t="shared" si="184"/>
        <v>5.8094751438367009E-2</v>
      </c>
      <c r="T527" s="14">
        <f t="shared" si="178"/>
        <v>9.746232362555278E-2</v>
      </c>
      <c r="U527" t="str">
        <f t="shared" si="185"/>
        <v>No Impact</v>
      </c>
      <c r="V527">
        <f t="shared" si="186"/>
        <v>5.3433351937577478E-2</v>
      </c>
      <c r="W527">
        <f t="shared" si="179"/>
        <v>7.1817054865987107E-2</v>
      </c>
      <c r="X527" t="s">
        <v>1176</v>
      </c>
      <c r="Y527">
        <f t="shared" si="187"/>
        <v>6.2756150939156527E-2</v>
      </c>
      <c r="Z527">
        <f t="shared" si="180"/>
        <v>0.12574095526207185</v>
      </c>
      <c r="AA527" t="str">
        <f t="shared" si="188"/>
        <v>No Impact</v>
      </c>
      <c r="AB527">
        <f t="shared" si="189"/>
        <v>3.9994168288736962E-2</v>
      </c>
      <c r="AC527">
        <f t="shared" si="181"/>
        <v>9.3897227733407307E-2</v>
      </c>
      <c r="AD527" t="str">
        <f t="shared" si="190"/>
        <v>No Impact</v>
      </c>
      <c r="AE527">
        <f t="shared" si="191"/>
        <v>7.0447137966796972E-3</v>
      </c>
      <c r="AF527">
        <f t="shared" si="182"/>
        <v>3.8537682640975568E-2</v>
      </c>
      <c r="AG527" t="s">
        <v>1176</v>
      </c>
    </row>
    <row r="528" spans="1:33" x14ac:dyDescent="0.3">
      <c r="A528">
        <v>609029</v>
      </c>
      <c r="B528" t="s">
        <v>139</v>
      </c>
      <c r="C528" s="1" t="s">
        <v>1074</v>
      </c>
      <c r="D528" t="s">
        <v>1077</v>
      </c>
      <c r="E528" s="4">
        <v>6.5</v>
      </c>
      <c r="F528" s="3">
        <f t="shared" si="192"/>
        <v>0.73333333333333328</v>
      </c>
      <c r="G528">
        <v>52.383960000000002</v>
      </c>
      <c r="H528">
        <f t="shared" si="183"/>
        <v>0.49443421294062478</v>
      </c>
      <c r="I528">
        <v>94.4</v>
      </c>
      <c r="J528" s="3">
        <f t="shared" si="173"/>
        <v>0.29189857761286331</v>
      </c>
      <c r="K528">
        <v>0</v>
      </c>
      <c r="L528" s="3">
        <f t="shared" si="174"/>
        <v>0</v>
      </c>
      <c r="M528">
        <v>10856</v>
      </c>
      <c r="N528">
        <f t="shared" si="175"/>
        <v>5.0233495621069962E-2</v>
      </c>
      <c r="O528" s="15">
        <v>0.40200677899999998</v>
      </c>
      <c r="P528">
        <f t="shared" si="176"/>
        <v>0.40982760817948</v>
      </c>
      <c r="Q528">
        <v>0.1381</v>
      </c>
      <c r="R528">
        <f t="shared" si="177"/>
        <v>0.30614054533362889</v>
      </c>
      <c r="S528">
        <f t="shared" si="184"/>
        <v>6.7245815015294474E-2</v>
      </c>
      <c r="T528" s="14">
        <f t="shared" si="178"/>
        <v>0.1128145524890968</v>
      </c>
      <c r="U528" t="str">
        <f t="shared" si="185"/>
        <v>No Impact</v>
      </c>
      <c r="V528">
        <f t="shared" si="186"/>
        <v>5.7507223971267472E-2</v>
      </c>
      <c r="W528">
        <f t="shared" si="179"/>
        <v>7.7292539385511894E-2</v>
      </c>
      <c r="X528" t="s">
        <v>1176</v>
      </c>
      <c r="Y528">
        <f t="shared" si="187"/>
        <v>7.6984406059321497E-2</v>
      </c>
      <c r="Z528">
        <f t="shared" si="180"/>
        <v>0.15424930645551194</v>
      </c>
      <c r="AA528" t="str">
        <f t="shared" si="188"/>
        <v>Low</v>
      </c>
      <c r="AB528">
        <f t="shared" si="189"/>
        <v>4.6525503595703857E-2</v>
      </c>
      <c r="AC528">
        <f t="shared" si="181"/>
        <v>0.1092313203014536</v>
      </c>
      <c r="AD528" t="str">
        <f t="shared" si="190"/>
        <v>No Impact</v>
      </c>
      <c r="AE528">
        <f t="shared" si="191"/>
        <v>9.4361525370394213E-3</v>
      </c>
      <c r="AF528">
        <f t="shared" si="182"/>
        <v>5.1619904274273765E-2</v>
      </c>
      <c r="AG528" t="s">
        <v>1176</v>
      </c>
    </row>
    <row r="529" spans="1:33" x14ac:dyDescent="0.3">
      <c r="A529">
        <v>609032</v>
      </c>
      <c r="B529" t="s">
        <v>145</v>
      </c>
      <c r="C529" s="1" t="s">
        <v>1074</v>
      </c>
      <c r="D529" t="s">
        <v>1078</v>
      </c>
      <c r="E529" s="4">
        <v>6.4</v>
      </c>
      <c r="F529" s="3">
        <f t="shared" si="192"/>
        <v>0.71111111111111114</v>
      </c>
      <c r="G529">
        <v>46.550159999999998</v>
      </c>
      <c r="H529">
        <f t="shared" si="183"/>
        <v>0.43937097771646422</v>
      </c>
      <c r="I529">
        <v>90.3</v>
      </c>
      <c r="J529" s="3">
        <f t="shared" si="173"/>
        <v>0.2792207792207792</v>
      </c>
      <c r="K529">
        <v>0</v>
      </c>
      <c r="L529" s="3">
        <f t="shared" si="174"/>
        <v>0</v>
      </c>
      <c r="M529">
        <v>11765</v>
      </c>
      <c r="N529">
        <f t="shared" si="175"/>
        <v>5.4534357212814577E-2</v>
      </c>
      <c r="O529" s="15">
        <v>0.51139853499999999</v>
      </c>
      <c r="P529">
        <f t="shared" si="176"/>
        <v>0.52134752291214492</v>
      </c>
      <c r="Q529">
        <v>0.1794</v>
      </c>
      <c r="R529">
        <f t="shared" si="177"/>
        <v>0.39769452449567722</v>
      </c>
      <c r="S529">
        <f t="shared" si="184"/>
        <v>7.5677613687331849E-2</v>
      </c>
      <c r="T529" s="14">
        <f t="shared" si="178"/>
        <v>0.12696011074647992</v>
      </c>
      <c r="U529" t="str">
        <f t="shared" si="185"/>
        <v>No Impact</v>
      </c>
      <c r="V529">
        <f t="shared" si="186"/>
        <v>6.5495529122392218E-2</v>
      </c>
      <c r="W529">
        <f t="shared" si="179"/>
        <v>8.8029214673911976E-2</v>
      </c>
      <c r="X529" t="s">
        <v>1176</v>
      </c>
      <c r="Y529">
        <f t="shared" si="187"/>
        <v>8.585969825227148E-2</v>
      </c>
      <c r="Z529">
        <f t="shared" si="180"/>
        <v>0.1720322281591313</v>
      </c>
      <c r="AA529" t="str">
        <f t="shared" si="188"/>
        <v>Low</v>
      </c>
      <c r="AB529">
        <f t="shared" si="189"/>
        <v>5.1824749282741868E-2</v>
      </c>
      <c r="AC529">
        <f t="shared" si="181"/>
        <v>0.12167274614881178</v>
      </c>
      <c r="AD529" t="str">
        <f t="shared" si="190"/>
        <v>No Impact</v>
      </c>
      <c r="AE529">
        <f t="shared" si="191"/>
        <v>8.9811560406375703E-3</v>
      </c>
      <c r="AF529">
        <f t="shared" si="182"/>
        <v>4.9130873337437882E-2</v>
      </c>
      <c r="AG529" t="s">
        <v>1176</v>
      </c>
    </row>
    <row r="530" spans="1:33" x14ac:dyDescent="0.3">
      <c r="A530">
        <v>609033</v>
      </c>
      <c r="B530" t="s">
        <v>156</v>
      </c>
      <c r="C530" s="1" t="s">
        <v>1074</v>
      </c>
      <c r="D530" t="s">
        <v>1079</v>
      </c>
      <c r="E530" s="4">
        <v>5.9</v>
      </c>
      <c r="F530" s="3">
        <f t="shared" si="192"/>
        <v>0.60000000000000009</v>
      </c>
      <c r="G530">
        <v>49.290840000000003</v>
      </c>
      <c r="H530">
        <f t="shared" si="183"/>
        <v>0.46523931525188755</v>
      </c>
      <c r="I530">
        <v>84.100000000000009</v>
      </c>
      <c r="J530" s="3">
        <f t="shared" si="173"/>
        <v>0.2600494743351886</v>
      </c>
      <c r="K530">
        <v>0</v>
      </c>
      <c r="L530" s="3">
        <f t="shared" si="174"/>
        <v>0</v>
      </c>
      <c r="M530">
        <v>20104</v>
      </c>
      <c r="N530">
        <f t="shared" si="175"/>
        <v>9.3989676039611461E-2</v>
      </c>
      <c r="O530" s="15">
        <v>0.74601446199999999</v>
      </c>
      <c r="P530">
        <f t="shared" si="176"/>
        <v>0.76052777863420451</v>
      </c>
      <c r="Q530">
        <v>0.32350000000000001</v>
      </c>
      <c r="R530">
        <f t="shared" si="177"/>
        <v>0.71713589004655287</v>
      </c>
      <c r="S530">
        <f t="shared" si="184"/>
        <v>0.10555200762383357</v>
      </c>
      <c r="T530" s="14">
        <f t="shared" si="178"/>
        <v>0.17707871488657237</v>
      </c>
      <c r="U530" t="str">
        <f t="shared" si="185"/>
        <v>Low</v>
      </c>
      <c r="V530">
        <f t="shared" si="186"/>
        <v>0.10245245185069514</v>
      </c>
      <c r="W530">
        <f t="shared" si="179"/>
        <v>0.13770113775216511</v>
      </c>
      <c r="X530" t="s">
        <v>1176</v>
      </c>
      <c r="Y530">
        <f t="shared" si="187"/>
        <v>0.10865156339697199</v>
      </c>
      <c r="Z530">
        <f t="shared" si="180"/>
        <v>0.21769900109868723</v>
      </c>
      <c r="AA530" t="str">
        <f t="shared" si="188"/>
        <v>Low</v>
      </c>
      <c r="AB530">
        <f t="shared" si="189"/>
        <v>7.3153515904209293E-2</v>
      </c>
      <c r="AC530">
        <f t="shared" si="181"/>
        <v>0.17174784815543659</v>
      </c>
      <c r="AD530" t="str">
        <f t="shared" si="190"/>
        <v>Low</v>
      </c>
      <c r="AE530">
        <f t="shared" si="191"/>
        <v>1.3427682106784017E-2</v>
      </c>
      <c r="AF530">
        <f t="shared" si="182"/>
        <v>7.345532644335992E-2</v>
      </c>
      <c r="AG530" t="s">
        <v>1175</v>
      </c>
    </row>
    <row r="531" spans="1:33" x14ac:dyDescent="0.3">
      <c r="A531">
        <v>609047</v>
      </c>
      <c r="B531" t="s">
        <v>216</v>
      </c>
      <c r="C531" s="1" t="s">
        <v>1074</v>
      </c>
      <c r="D531" t="s">
        <v>1080</v>
      </c>
      <c r="E531" s="4">
        <v>6.5</v>
      </c>
      <c r="F531" s="3">
        <f t="shared" si="192"/>
        <v>0.73333333333333328</v>
      </c>
      <c r="G531">
        <v>50.992919999999998</v>
      </c>
      <c r="H531">
        <f t="shared" si="183"/>
        <v>0.4813046639800474</v>
      </c>
      <c r="I531">
        <v>102.39999999999999</v>
      </c>
      <c r="J531" s="3">
        <f t="shared" si="173"/>
        <v>0.31663574520717375</v>
      </c>
      <c r="K531">
        <v>0</v>
      </c>
      <c r="L531" s="3">
        <f t="shared" si="174"/>
        <v>0</v>
      </c>
      <c r="M531">
        <v>19694</v>
      </c>
      <c r="N531">
        <f t="shared" si="175"/>
        <v>9.2049793473478025E-2</v>
      </c>
      <c r="O531" s="15">
        <v>0.57283071200000002</v>
      </c>
      <c r="P531">
        <f t="shared" si="176"/>
        <v>0.58397483041127662</v>
      </c>
      <c r="Q531">
        <v>0.2283</v>
      </c>
      <c r="R531">
        <f t="shared" si="177"/>
        <v>0.50609620926623811</v>
      </c>
      <c r="S531">
        <f t="shared" si="184"/>
        <v>0.10226098717338405</v>
      </c>
      <c r="T531" s="14">
        <f t="shared" si="178"/>
        <v>0.17155755346908513</v>
      </c>
      <c r="U531" t="str">
        <f t="shared" si="185"/>
        <v>Low</v>
      </c>
      <c r="V531">
        <f t="shared" si="186"/>
        <v>9.4955092063695012E-2</v>
      </c>
      <c r="W531">
        <f t="shared" si="179"/>
        <v>0.12762431719630604</v>
      </c>
      <c r="X531" t="s">
        <v>1176</v>
      </c>
      <c r="Y531">
        <f t="shared" si="187"/>
        <v>0.10956688228307312</v>
      </c>
      <c r="Z531">
        <f t="shared" si="180"/>
        <v>0.2195329738549093</v>
      </c>
      <c r="AA531" t="str">
        <f t="shared" si="188"/>
        <v>Low</v>
      </c>
      <c r="AB531">
        <f t="shared" si="189"/>
        <v>7.2149064806281762E-2</v>
      </c>
      <c r="AC531">
        <f t="shared" si="181"/>
        <v>0.16938962500629481</v>
      </c>
      <c r="AD531" t="str">
        <f t="shared" si="190"/>
        <v>Low</v>
      </c>
      <c r="AE531">
        <f t="shared" si="191"/>
        <v>1.7270622568761666E-2</v>
      </c>
      <c r="AF531">
        <f t="shared" si="182"/>
        <v>9.4477900845411564E-2</v>
      </c>
      <c r="AG531" t="s">
        <v>1175</v>
      </c>
    </row>
    <row r="532" spans="1:33" x14ac:dyDescent="0.3">
      <c r="A532">
        <v>609050</v>
      </c>
      <c r="B532" t="s">
        <v>219</v>
      </c>
      <c r="C532" s="1" t="s">
        <v>1074</v>
      </c>
      <c r="D532" t="s">
        <v>1081</v>
      </c>
      <c r="E532" s="4">
        <v>6.4</v>
      </c>
      <c r="F532" s="3">
        <f t="shared" si="192"/>
        <v>0.71111111111111114</v>
      </c>
      <c r="G532">
        <v>47.416320000000006</v>
      </c>
      <c r="H532">
        <f t="shared" si="183"/>
        <v>0.44754636456924618</v>
      </c>
      <c r="I532">
        <v>90.3</v>
      </c>
      <c r="J532" s="3">
        <f t="shared" si="173"/>
        <v>0.2792207792207792</v>
      </c>
      <c r="K532">
        <v>0</v>
      </c>
      <c r="L532" s="3">
        <f t="shared" si="174"/>
        <v>0</v>
      </c>
      <c r="M532">
        <v>10210</v>
      </c>
      <c r="N532">
        <f t="shared" si="175"/>
        <v>4.7176997724186549E-2</v>
      </c>
      <c r="O532" s="15">
        <v>0.70563575000000001</v>
      </c>
      <c r="P532">
        <f t="shared" si="176"/>
        <v>0.71936352015704075</v>
      </c>
      <c r="Q532">
        <v>0.1595</v>
      </c>
      <c r="R532">
        <f t="shared" si="177"/>
        <v>0.35358013744180894</v>
      </c>
      <c r="S532">
        <f t="shared" si="184"/>
        <v>8.9598025303234435E-2</v>
      </c>
      <c r="T532" s="14">
        <f t="shared" si="178"/>
        <v>0.15031360875308294</v>
      </c>
      <c r="U532" t="str">
        <f t="shared" si="185"/>
        <v>Low</v>
      </c>
      <c r="V532">
        <f t="shared" si="186"/>
        <v>5.9052648061929836E-2</v>
      </c>
      <c r="W532">
        <f t="shared" si="179"/>
        <v>7.9369665425442465E-2</v>
      </c>
      <c r="X532" t="s">
        <v>1176</v>
      </c>
      <c r="Y532">
        <f t="shared" si="187"/>
        <v>0.12014340254453905</v>
      </c>
      <c r="Z532">
        <f t="shared" si="180"/>
        <v>0.24072455015656541</v>
      </c>
      <c r="AA532" t="str">
        <f t="shared" si="188"/>
        <v>Low</v>
      </c>
      <c r="AB532">
        <f t="shared" si="189"/>
        <v>5.9469165629335304E-2</v>
      </c>
      <c r="AC532">
        <f t="shared" si="181"/>
        <v>0.13962010030812322</v>
      </c>
      <c r="AD532" t="str">
        <f t="shared" si="190"/>
        <v>No Impact</v>
      </c>
      <c r="AE532">
        <f t="shared" si="191"/>
        <v>7.879194412280445E-3</v>
      </c>
      <c r="AF532">
        <f t="shared" si="182"/>
        <v>4.3102658601989717E-2</v>
      </c>
      <c r="AG532" t="s">
        <v>1176</v>
      </c>
    </row>
    <row r="533" spans="1:33" x14ac:dyDescent="0.3">
      <c r="A533">
        <v>609086</v>
      </c>
      <c r="B533" t="s">
        <v>503</v>
      </c>
      <c r="C533" s="1" t="s">
        <v>1074</v>
      </c>
      <c r="D533" t="s">
        <v>1082</v>
      </c>
      <c r="E533" s="4">
        <v>6.5</v>
      </c>
      <c r="F533" s="3">
        <f t="shared" si="192"/>
        <v>0.73333333333333328</v>
      </c>
      <c r="G533">
        <v>52.383960000000002</v>
      </c>
      <c r="H533">
        <f t="shared" si="183"/>
        <v>0.49443421294062478</v>
      </c>
      <c r="I533">
        <v>99</v>
      </c>
      <c r="J533" s="3">
        <f t="shared" si="173"/>
        <v>0.30612244897959179</v>
      </c>
      <c r="K533">
        <v>0</v>
      </c>
      <c r="L533" s="3">
        <f t="shared" si="174"/>
        <v>0</v>
      </c>
      <c r="M533">
        <v>7371</v>
      </c>
      <c r="N533">
        <f t="shared" si="175"/>
        <v>3.3744493808935759E-2</v>
      </c>
      <c r="O533" s="15">
        <v>0.83211084099999999</v>
      </c>
      <c r="P533">
        <f t="shared" si="176"/>
        <v>0.84829911713316053</v>
      </c>
      <c r="Q533">
        <v>0.17199999999999999</v>
      </c>
      <c r="R533">
        <f t="shared" si="177"/>
        <v>0.38129017956107292</v>
      </c>
      <c r="S533">
        <f t="shared" si="184"/>
        <v>0.11676917406334342</v>
      </c>
      <c r="T533" s="14">
        <f t="shared" si="178"/>
        <v>0.19589712926345518</v>
      </c>
      <c r="U533" t="str">
        <f t="shared" si="185"/>
        <v>Low</v>
      </c>
      <c r="V533">
        <f t="shared" si="186"/>
        <v>7.2419204470160703E-2</v>
      </c>
      <c r="W533">
        <f t="shared" si="179"/>
        <v>9.7334975108066671E-2</v>
      </c>
      <c r="X533" t="s">
        <v>1176</v>
      </c>
      <c r="Y533">
        <f t="shared" si="187"/>
        <v>0.16111914365652616</v>
      </c>
      <c r="Z533">
        <f t="shared" si="180"/>
        <v>0.3228253283733159</v>
      </c>
      <c r="AA533" t="str">
        <f t="shared" si="188"/>
        <v>Moderate</v>
      </c>
      <c r="AB533">
        <f t="shared" si="189"/>
        <v>7.592567032156175E-2</v>
      </c>
      <c r="AC533">
        <f t="shared" si="181"/>
        <v>0.17825623739756566</v>
      </c>
      <c r="AD533" t="str">
        <f t="shared" si="190"/>
        <v>Low</v>
      </c>
      <c r="AE533">
        <f t="shared" si="191"/>
        <v>6.4091590287075955E-3</v>
      </c>
      <c r="AF533">
        <f t="shared" si="182"/>
        <v>3.5060918551480316E-2</v>
      </c>
      <c r="AG533" t="s">
        <v>1176</v>
      </c>
    </row>
    <row r="534" spans="1:33" x14ac:dyDescent="0.3">
      <c r="A534">
        <v>609089</v>
      </c>
      <c r="B534" t="s">
        <v>504</v>
      </c>
      <c r="C534" s="1" t="s">
        <v>1074</v>
      </c>
      <c r="D534" t="s">
        <v>1083</v>
      </c>
      <c r="E534" s="4">
        <v>6.5</v>
      </c>
      <c r="F534" s="3">
        <f t="shared" si="192"/>
        <v>0.73333333333333328</v>
      </c>
      <c r="G534">
        <v>49.290840000000003</v>
      </c>
      <c r="H534">
        <f t="shared" si="183"/>
        <v>0.46523931525188755</v>
      </c>
      <c r="I534">
        <v>82.499999999999986</v>
      </c>
      <c r="J534" s="3">
        <f t="shared" si="173"/>
        <v>0.25510204081632648</v>
      </c>
      <c r="K534">
        <v>0</v>
      </c>
      <c r="L534" s="3">
        <f t="shared" si="174"/>
        <v>0</v>
      </c>
      <c r="M534">
        <v>23247</v>
      </c>
      <c r="N534">
        <f t="shared" si="175"/>
        <v>0.10886053190633679</v>
      </c>
      <c r="O534" s="15">
        <v>0.62906268200000004</v>
      </c>
      <c r="P534">
        <f t="shared" si="176"/>
        <v>0.64130076363470689</v>
      </c>
      <c r="Q534">
        <v>0.25480000000000003</v>
      </c>
      <c r="R534">
        <f t="shared" si="177"/>
        <v>0.56484149855907784</v>
      </c>
      <c r="S534">
        <f t="shared" si="184"/>
        <v>0.10486512321407858</v>
      </c>
      <c r="T534" s="14">
        <f t="shared" si="178"/>
        <v>0.1759263672307276</v>
      </c>
      <c r="U534" t="str">
        <f t="shared" si="185"/>
        <v>Low</v>
      </c>
      <c r="V534">
        <f t="shared" si="186"/>
        <v>9.8217557247498144E-2</v>
      </c>
      <c r="W534">
        <f t="shared" si="179"/>
        <v>0.13200923097407688</v>
      </c>
      <c r="X534" t="s">
        <v>1176</v>
      </c>
      <c r="Y534">
        <f t="shared" si="187"/>
        <v>0.11151268918065901</v>
      </c>
      <c r="Z534">
        <f t="shared" si="180"/>
        <v>0.22343167723930246</v>
      </c>
      <c r="AA534" t="str">
        <f t="shared" si="188"/>
        <v>Low</v>
      </c>
      <c r="AB534">
        <f t="shared" si="189"/>
        <v>7.4455182839041331E-2</v>
      </c>
      <c r="AC534">
        <f t="shared" si="181"/>
        <v>0.17480386661619279</v>
      </c>
      <c r="AD534" t="str">
        <f t="shared" si="190"/>
        <v>Low</v>
      </c>
      <c r="AE534">
        <f t="shared" si="191"/>
        <v>1.8929231566340791E-2</v>
      </c>
      <c r="AF534">
        <f t="shared" si="182"/>
        <v>0.10355122149674834</v>
      </c>
      <c r="AG534" t="s">
        <v>1175</v>
      </c>
    </row>
    <row r="535" spans="1:33" x14ac:dyDescent="0.3">
      <c r="A535">
        <v>609092</v>
      </c>
      <c r="B535" t="s">
        <v>508</v>
      </c>
      <c r="C535" s="1" t="s">
        <v>1074</v>
      </c>
      <c r="D535" t="s">
        <v>1084</v>
      </c>
      <c r="E535" s="4">
        <v>6.4</v>
      </c>
      <c r="F535" s="3">
        <f t="shared" si="192"/>
        <v>0.71111111111111114</v>
      </c>
      <c r="G535">
        <v>47.416320000000006</v>
      </c>
      <c r="H535">
        <f t="shared" si="183"/>
        <v>0.44754636456924618</v>
      </c>
      <c r="I535">
        <v>81.8</v>
      </c>
      <c r="J535" s="3">
        <f t="shared" si="173"/>
        <v>0.25293753865182433</v>
      </c>
      <c r="K535">
        <v>0</v>
      </c>
      <c r="L535" s="3">
        <f t="shared" si="174"/>
        <v>0</v>
      </c>
      <c r="M535">
        <v>18280</v>
      </c>
      <c r="N535">
        <f t="shared" si="175"/>
        <v>8.5359564330764165E-2</v>
      </c>
      <c r="O535" s="15">
        <v>0.83876635300000002</v>
      </c>
      <c r="P535">
        <f t="shared" si="176"/>
        <v>0.85508410859761996</v>
      </c>
      <c r="Q535">
        <v>0.29039999999999999</v>
      </c>
      <c r="R535">
        <f t="shared" si="177"/>
        <v>0.64375969851474169</v>
      </c>
      <c r="S535">
        <f t="shared" si="184"/>
        <v>0.12236217296036002</v>
      </c>
      <c r="T535" s="14">
        <f t="shared" si="178"/>
        <v>0.20528019150302251</v>
      </c>
      <c r="U535" t="str">
        <f t="shared" si="185"/>
        <v>Low</v>
      </c>
      <c r="V535">
        <f t="shared" si="186"/>
        <v>0.10511013249116338</v>
      </c>
      <c r="W535">
        <f t="shared" si="179"/>
        <v>0.14127319133764402</v>
      </c>
      <c r="X535" t="s">
        <v>1176</v>
      </c>
      <c r="Y535">
        <f t="shared" si="187"/>
        <v>0.13961421342955663</v>
      </c>
      <c r="Z535">
        <f t="shared" si="180"/>
        <v>0.27973711424423414</v>
      </c>
      <c r="AA535" t="str">
        <f t="shared" si="188"/>
        <v>Low</v>
      </c>
      <c r="AB535">
        <f t="shared" si="189"/>
        <v>8.3550801828185958E-2</v>
      </c>
      <c r="AC535">
        <f t="shared" si="181"/>
        <v>0.19615831513064116</v>
      </c>
      <c r="AD535" t="str">
        <f t="shared" si="190"/>
        <v>Low</v>
      </c>
      <c r="AE535">
        <f t="shared" si="191"/>
        <v>1.3937118364033701E-2</v>
      </c>
      <c r="AF535">
        <f t="shared" si="182"/>
        <v>7.6242166813929382E-2</v>
      </c>
      <c r="AG535" t="s">
        <v>1175</v>
      </c>
    </row>
    <row r="536" spans="1:33" x14ac:dyDescent="0.3">
      <c r="A536">
        <v>609108</v>
      </c>
      <c r="B536" t="s">
        <v>35</v>
      </c>
      <c r="C536" s="1" t="s">
        <v>1086</v>
      </c>
      <c r="D536" t="s">
        <v>1085</v>
      </c>
      <c r="E536" s="4">
        <v>7</v>
      </c>
      <c r="F536" s="3">
        <f t="shared" si="192"/>
        <v>0.84444444444444444</v>
      </c>
      <c r="G536">
        <v>44.450280000000006</v>
      </c>
      <c r="H536">
        <f t="shared" si="183"/>
        <v>0.41955093136888466</v>
      </c>
      <c r="I536">
        <v>85.8</v>
      </c>
      <c r="J536" s="3">
        <f t="shared" si="173"/>
        <v>0.26530612244897955</v>
      </c>
      <c r="K536">
        <v>0</v>
      </c>
      <c r="L536" s="3">
        <f t="shared" si="174"/>
        <v>0</v>
      </c>
      <c r="M536">
        <v>33148</v>
      </c>
      <c r="N536">
        <f t="shared" si="175"/>
        <v>0.15570633016801275</v>
      </c>
      <c r="O536" s="15">
        <v>0.79589024200000003</v>
      </c>
      <c r="P536">
        <f t="shared" si="176"/>
        <v>0.81137386554431101</v>
      </c>
      <c r="Q536">
        <v>0.28810000000000002</v>
      </c>
      <c r="R536">
        <f t="shared" si="177"/>
        <v>0.63866105076479718</v>
      </c>
      <c r="S536">
        <f t="shared" si="184"/>
        <v>0.13523187852024973</v>
      </c>
      <c r="T536" s="14">
        <f t="shared" si="178"/>
        <v>0.22687097857393806</v>
      </c>
      <c r="U536" t="str">
        <f t="shared" si="185"/>
        <v>Low</v>
      </c>
      <c r="V536">
        <f t="shared" si="186"/>
        <v>0.11912448819160562</v>
      </c>
      <c r="W536">
        <f t="shared" si="179"/>
        <v>0.16010917515213333</v>
      </c>
      <c r="X536" t="s">
        <v>1176</v>
      </c>
      <c r="Y536">
        <f t="shared" si="187"/>
        <v>0.15133926884889384</v>
      </c>
      <c r="Z536">
        <f t="shared" si="180"/>
        <v>0.30322994557414762</v>
      </c>
      <c r="AA536" t="str">
        <f t="shared" si="188"/>
        <v>Moderate</v>
      </c>
      <c r="AB536">
        <f t="shared" si="189"/>
        <v>9.7260294105180389E-2</v>
      </c>
      <c r="AC536">
        <f t="shared" si="181"/>
        <v>0.22834509069123848</v>
      </c>
      <c r="AD536" t="str">
        <f t="shared" si="190"/>
        <v>Low</v>
      </c>
      <c r="AE536">
        <f t="shared" si="191"/>
        <v>2.9042693095572229E-2</v>
      </c>
      <c r="AF536">
        <f t="shared" si="182"/>
        <v>0.15887630382996284</v>
      </c>
      <c r="AG536" t="s">
        <v>1175</v>
      </c>
    </row>
    <row r="537" spans="1:33" x14ac:dyDescent="0.3">
      <c r="A537">
        <v>609117</v>
      </c>
      <c r="B537" t="s">
        <v>57</v>
      </c>
      <c r="C537" s="1" t="s">
        <v>1086</v>
      </c>
      <c r="D537" t="s">
        <v>1087</v>
      </c>
      <c r="E537" s="4">
        <v>6.1</v>
      </c>
      <c r="F537" s="3">
        <f t="shared" si="192"/>
        <v>0.64444444444444438</v>
      </c>
      <c r="G537">
        <v>40.450679999999998</v>
      </c>
      <c r="H537">
        <f t="shared" si="183"/>
        <v>0.38180008019082695</v>
      </c>
      <c r="I537">
        <v>65</v>
      </c>
      <c r="J537" s="3">
        <f t="shared" si="173"/>
        <v>0.2009894867037724</v>
      </c>
      <c r="K537">
        <v>0</v>
      </c>
      <c r="L537" s="3">
        <f t="shared" si="174"/>
        <v>0</v>
      </c>
      <c r="M537">
        <v>29012</v>
      </c>
      <c r="N537">
        <f t="shared" si="175"/>
        <v>0.1361371733545301</v>
      </c>
      <c r="O537" s="15">
        <v>0.462036367</v>
      </c>
      <c r="P537">
        <f t="shared" si="176"/>
        <v>0.47102504005174106</v>
      </c>
      <c r="Q537">
        <v>0.33329999999999999</v>
      </c>
      <c r="R537">
        <f t="shared" si="177"/>
        <v>0.73886056306805581</v>
      </c>
      <c r="S537">
        <f t="shared" si="184"/>
        <v>7.5209445957521839E-2</v>
      </c>
      <c r="T537" s="14">
        <f t="shared" si="178"/>
        <v>0.12617469186329233</v>
      </c>
      <c r="U537" t="str">
        <f t="shared" si="185"/>
        <v>No Impact</v>
      </c>
      <c r="V537">
        <f t="shared" si="186"/>
        <v>9.1858756637686681E-2</v>
      </c>
      <c r="W537">
        <f t="shared" si="179"/>
        <v>0.12346268998952105</v>
      </c>
      <c r="X537" t="s">
        <v>1176</v>
      </c>
      <c r="Y537">
        <f t="shared" si="187"/>
        <v>5.8560135277356991E-2</v>
      </c>
      <c r="Z537">
        <f t="shared" si="180"/>
        <v>0.11733363566529131</v>
      </c>
      <c r="AA537" t="str">
        <f t="shared" si="188"/>
        <v>No Impact</v>
      </c>
      <c r="AB537">
        <f t="shared" si="189"/>
        <v>5.5642438989565106E-2</v>
      </c>
      <c r="AC537">
        <f t="shared" si="181"/>
        <v>0.1306358148949624</v>
      </c>
      <c r="AD537" t="str">
        <f t="shared" si="190"/>
        <v>No Impact</v>
      </c>
      <c r="AE537">
        <f t="shared" si="191"/>
        <v>1.6925238809050475E-2</v>
      </c>
      <c r="AF537">
        <f t="shared" si="182"/>
        <v>9.2588499784523867E-2</v>
      </c>
      <c r="AG537" t="s">
        <v>1175</v>
      </c>
    </row>
    <row r="538" spans="1:33" x14ac:dyDescent="0.3">
      <c r="A538">
        <v>609120</v>
      </c>
      <c r="B538" t="s">
        <v>81</v>
      </c>
      <c r="C538" s="1" t="s">
        <v>1086</v>
      </c>
      <c r="D538" t="s">
        <v>1088</v>
      </c>
      <c r="E538" s="4">
        <v>7</v>
      </c>
      <c r="F538" s="3">
        <f t="shared" si="192"/>
        <v>0.84444444444444444</v>
      </c>
      <c r="G538">
        <v>44.348039999999997</v>
      </c>
      <c r="H538">
        <f t="shared" si="183"/>
        <v>0.4185859231119477</v>
      </c>
      <c r="I538">
        <v>86</v>
      </c>
      <c r="J538" s="3">
        <f t="shared" si="173"/>
        <v>0.26592455163883733</v>
      </c>
      <c r="K538">
        <v>0</v>
      </c>
      <c r="L538" s="3">
        <f t="shared" si="174"/>
        <v>0</v>
      </c>
      <c r="M538">
        <v>16977</v>
      </c>
      <c r="N538">
        <f t="shared" si="175"/>
        <v>7.9194522907174256E-2</v>
      </c>
      <c r="O538" s="15">
        <v>0.40742331100000001</v>
      </c>
      <c r="P538">
        <f t="shared" si="176"/>
        <v>0.41534951594359665</v>
      </c>
      <c r="Q538">
        <v>0.3548</v>
      </c>
      <c r="R538">
        <f t="shared" si="177"/>
        <v>0.78652183551318999</v>
      </c>
      <c r="S538">
        <f t="shared" si="184"/>
        <v>0.11195475204996233</v>
      </c>
      <c r="T538" s="14">
        <f t="shared" si="178"/>
        <v>0.18782024202802333</v>
      </c>
      <c r="U538" t="str">
        <f t="shared" si="185"/>
        <v>Low</v>
      </c>
      <c r="V538">
        <f t="shared" si="186"/>
        <v>0.14652958816270853</v>
      </c>
      <c r="W538">
        <f t="shared" si="179"/>
        <v>0.19694297832682126</v>
      </c>
      <c r="X538" t="s">
        <v>1175</v>
      </c>
      <c r="Y538">
        <f t="shared" si="187"/>
        <v>7.7379915937216104E-2</v>
      </c>
      <c r="Z538">
        <f t="shared" si="180"/>
        <v>0.1550417672600356</v>
      </c>
      <c r="AA538" t="str">
        <f t="shared" si="188"/>
        <v>Low</v>
      </c>
      <c r="AB538">
        <f t="shared" si="189"/>
        <v>7.966322959911952E-2</v>
      </c>
      <c r="AC538">
        <f t="shared" si="181"/>
        <v>0.18703117808687569</v>
      </c>
      <c r="AD538" t="str">
        <f t="shared" si="190"/>
        <v>Low</v>
      </c>
      <c r="AE538">
        <f t="shared" si="191"/>
        <v>1.4753997031447736E-2</v>
      </c>
      <c r="AF538">
        <f t="shared" si="182"/>
        <v>8.0710852377255254E-2</v>
      </c>
      <c r="AG538" t="s">
        <v>1175</v>
      </c>
    </row>
    <row r="539" spans="1:33" x14ac:dyDescent="0.3">
      <c r="A539">
        <v>609127</v>
      </c>
      <c r="B539" t="s">
        <v>119</v>
      </c>
      <c r="C539" s="1" t="s">
        <v>1086</v>
      </c>
      <c r="D539" t="s">
        <v>1128</v>
      </c>
      <c r="E539" s="4">
        <v>6.9</v>
      </c>
      <c r="F539" s="3">
        <f t="shared" si="192"/>
        <v>0.8222222222222223</v>
      </c>
      <c r="G539">
        <v>47.603520000000003</v>
      </c>
      <c r="H539">
        <f t="shared" si="183"/>
        <v>0.44931328109603191</v>
      </c>
      <c r="I539">
        <v>77.399999999999991</v>
      </c>
      <c r="J539" s="3">
        <f t="shared" si="173"/>
        <v>0.23933209647495357</v>
      </c>
      <c r="K539">
        <v>0</v>
      </c>
      <c r="L539" s="3">
        <f t="shared" si="174"/>
        <v>0</v>
      </c>
      <c r="M539">
        <v>8775</v>
      </c>
      <c r="N539">
        <f t="shared" si="175"/>
        <v>4.0387408742719524E-2</v>
      </c>
      <c r="O539" s="15">
        <v>0.57640448300000002</v>
      </c>
      <c r="P539">
        <f t="shared" si="176"/>
        <v>0.58761812723516227</v>
      </c>
      <c r="Q539">
        <v>0.27810000000000001</v>
      </c>
      <c r="R539">
        <f t="shared" si="177"/>
        <v>0.61649301706938597</v>
      </c>
      <c r="S539">
        <f t="shared" si="184"/>
        <v>0.11266324888528005</v>
      </c>
      <c r="T539" s="14">
        <f t="shared" si="178"/>
        <v>0.1890088476445681</v>
      </c>
      <c r="U539" t="str">
        <f t="shared" si="185"/>
        <v>Low</v>
      </c>
      <c r="V539">
        <f t="shared" si="186"/>
        <v>0.11536494209301718</v>
      </c>
      <c r="W539">
        <f t="shared" si="179"/>
        <v>0.15505616015975635</v>
      </c>
      <c r="X539" t="s">
        <v>1176</v>
      </c>
      <c r="Y539">
        <f t="shared" si="187"/>
        <v>0.10996155567754291</v>
      </c>
      <c r="Z539">
        <f t="shared" si="180"/>
        <v>0.22032375864483802</v>
      </c>
      <c r="AA539" t="str">
        <f t="shared" si="188"/>
        <v>Low</v>
      </c>
      <c r="AB539">
        <f t="shared" si="189"/>
        <v>7.6011403809884331E-2</v>
      </c>
      <c r="AC539">
        <f t="shared" si="181"/>
        <v>0.17845752016507535</v>
      </c>
      <c r="AD539" t="str">
        <f t="shared" si="190"/>
        <v>Low</v>
      </c>
      <c r="AE539">
        <f t="shared" si="191"/>
        <v>7.5577353544727223E-3</v>
      </c>
      <c r="AF539">
        <f t="shared" si="182"/>
        <v>4.1344136182285475E-2</v>
      </c>
      <c r="AG539" t="s">
        <v>1176</v>
      </c>
    </row>
    <row r="540" spans="1:33" x14ac:dyDescent="0.3">
      <c r="A540">
        <v>609131</v>
      </c>
      <c r="B540" t="s">
        <v>124</v>
      </c>
      <c r="C540" s="1" t="s">
        <v>1086</v>
      </c>
      <c r="D540" t="s">
        <v>1089</v>
      </c>
      <c r="E540" s="4">
        <v>7</v>
      </c>
      <c r="F540" s="3">
        <f t="shared" si="192"/>
        <v>0.84444444444444444</v>
      </c>
      <c r="G540">
        <v>42.383519999999997</v>
      </c>
      <c r="H540">
        <f t="shared" si="183"/>
        <v>0.40004349332989009</v>
      </c>
      <c r="I540">
        <v>78.600000000000009</v>
      </c>
      <c r="J540" s="3">
        <f t="shared" si="173"/>
        <v>0.24304267161410018</v>
      </c>
      <c r="K540">
        <v>0</v>
      </c>
      <c r="L540" s="3">
        <f t="shared" si="174"/>
        <v>0</v>
      </c>
      <c r="M540">
        <v>13160</v>
      </c>
      <c r="N540">
        <f t="shared" si="175"/>
        <v>6.113468935856127E-2</v>
      </c>
      <c r="O540" s="15">
        <v>0.38579704100000001</v>
      </c>
      <c r="P540">
        <f t="shared" si="176"/>
        <v>0.39330251830343088</v>
      </c>
      <c r="Q540">
        <v>0.33989999999999998</v>
      </c>
      <c r="R540">
        <f t="shared" si="177"/>
        <v>0.75349146530702726</v>
      </c>
      <c r="S540">
        <f t="shared" si="184"/>
        <v>0.10101707337088119</v>
      </c>
      <c r="T540" s="14">
        <f t="shared" si="178"/>
        <v>0.16947070867536149</v>
      </c>
      <c r="U540" t="str">
        <f t="shared" si="185"/>
        <v>Low</v>
      </c>
      <c r="V540">
        <f t="shared" si="186"/>
        <v>0.13274485866348526</v>
      </c>
      <c r="W540">
        <f t="shared" si="179"/>
        <v>0.1784156234284231</v>
      </c>
      <c r="X540" t="s">
        <v>1175</v>
      </c>
      <c r="Y540">
        <f t="shared" si="187"/>
        <v>6.9289288078277111E-2</v>
      </c>
      <c r="Z540">
        <f t="shared" si="180"/>
        <v>0.1388310331657914</v>
      </c>
      <c r="AA540" t="str">
        <f t="shared" si="188"/>
        <v>No Impact</v>
      </c>
      <c r="AB540">
        <f t="shared" si="189"/>
        <v>7.1017085717197934E-2</v>
      </c>
      <c r="AC540">
        <f t="shared" si="181"/>
        <v>0.16673199508510722</v>
      </c>
      <c r="AD540" t="str">
        <f t="shared" si="190"/>
        <v>Low</v>
      </c>
      <c r="AE540">
        <f t="shared" si="191"/>
        <v>1.0770282175699922E-2</v>
      </c>
      <c r="AF540">
        <f t="shared" si="182"/>
        <v>5.8918180130540669E-2</v>
      </c>
      <c r="AG540" t="s">
        <v>1175</v>
      </c>
    </row>
    <row r="541" spans="1:33" x14ac:dyDescent="0.3">
      <c r="A541">
        <v>609135</v>
      </c>
      <c r="B541" t="s">
        <v>166</v>
      </c>
      <c r="C541" s="1" t="s">
        <v>1086</v>
      </c>
      <c r="D541" t="s">
        <v>1090</v>
      </c>
      <c r="E541" s="4">
        <v>7</v>
      </c>
      <c r="F541" s="3">
        <f t="shared" si="192"/>
        <v>0.84444444444444444</v>
      </c>
      <c r="G541">
        <v>38.9574</v>
      </c>
      <c r="H541">
        <f t="shared" si="183"/>
        <v>0.36770552297331272</v>
      </c>
      <c r="I541">
        <v>70</v>
      </c>
      <c r="J541" s="3">
        <f t="shared" si="173"/>
        <v>0.21645021645021642</v>
      </c>
      <c r="K541">
        <v>0</v>
      </c>
      <c r="L541" s="3">
        <f t="shared" si="174"/>
        <v>0</v>
      </c>
      <c r="M541">
        <v>11651</v>
      </c>
      <c r="N541">
        <f t="shared" si="175"/>
        <v>5.3994975231011627E-2</v>
      </c>
      <c r="O541" s="15">
        <v>0.26897359700000001</v>
      </c>
      <c r="P541">
        <f t="shared" si="176"/>
        <v>0.27420633601290928</v>
      </c>
      <c r="Q541">
        <v>0.3039</v>
      </c>
      <c r="R541">
        <f t="shared" si="177"/>
        <v>0.67368654400354688</v>
      </c>
      <c r="S541">
        <f t="shared" si="184"/>
        <v>7.619105668621956E-2</v>
      </c>
      <c r="T541" s="14">
        <f t="shared" si="178"/>
        <v>0.12782148542288177</v>
      </c>
      <c r="U541" t="str">
        <f t="shared" si="185"/>
        <v>No Impact</v>
      </c>
      <c r="V541">
        <f t="shared" si="186"/>
        <v>0.10830103431524137</v>
      </c>
      <c r="W541">
        <f t="shared" si="179"/>
        <v>0.14556192043776672</v>
      </c>
      <c r="X541" t="s">
        <v>1176</v>
      </c>
      <c r="Y541">
        <f t="shared" si="187"/>
        <v>4.408107905719777E-2</v>
      </c>
      <c r="Z541">
        <f t="shared" si="180"/>
        <v>8.8322768472668456E-2</v>
      </c>
      <c r="AA541" t="str">
        <f t="shared" si="188"/>
        <v>No Impact</v>
      </c>
      <c r="AB541">
        <f t="shared" si="189"/>
        <v>5.4167744155538884E-2</v>
      </c>
      <c r="AC541">
        <f t="shared" si="181"/>
        <v>0.12717356620739975</v>
      </c>
      <c r="AD541" t="str">
        <f t="shared" si="190"/>
        <v>No Impact</v>
      </c>
      <c r="AE541">
        <f t="shared" si="191"/>
        <v>8.6801669372716609E-3</v>
      </c>
      <c r="AF541">
        <f t="shared" si="182"/>
        <v>4.7484330570949022E-2</v>
      </c>
      <c r="AG541" t="s">
        <v>1176</v>
      </c>
    </row>
    <row r="542" spans="1:33" x14ac:dyDescent="0.3">
      <c r="A542">
        <v>609138</v>
      </c>
      <c r="B542" t="s">
        <v>188</v>
      </c>
      <c r="C542" s="1" t="s">
        <v>1086</v>
      </c>
      <c r="D542" t="s">
        <v>1091</v>
      </c>
      <c r="E542" s="4">
        <v>6.5</v>
      </c>
      <c r="F542" s="3">
        <f t="shared" si="192"/>
        <v>0.73333333333333328</v>
      </c>
      <c r="G542">
        <v>42.383519999999997</v>
      </c>
      <c r="H542">
        <f t="shared" si="183"/>
        <v>0.40004349332989009</v>
      </c>
      <c r="I542">
        <v>70</v>
      </c>
      <c r="J542" s="3">
        <f t="shared" si="173"/>
        <v>0.21645021645021642</v>
      </c>
      <c r="K542">
        <v>0</v>
      </c>
      <c r="L542" s="3">
        <f t="shared" si="174"/>
        <v>0</v>
      </c>
      <c r="M542">
        <v>29178</v>
      </c>
      <c r="N542">
        <f t="shared" si="175"/>
        <v>0.13692258922276948</v>
      </c>
      <c r="O542" s="15">
        <v>0.13629273</v>
      </c>
      <c r="P542">
        <f t="shared" si="176"/>
        <v>0.13894423294825001</v>
      </c>
      <c r="Q542">
        <v>0.35199999999999998</v>
      </c>
      <c r="R542">
        <f t="shared" si="177"/>
        <v>0.78031478607847482</v>
      </c>
      <c r="S542">
        <f t="shared" si="184"/>
        <v>6.8527139423238181E-2</v>
      </c>
      <c r="T542" s="14">
        <f t="shared" si="178"/>
        <v>0.11496415896858775</v>
      </c>
      <c r="U542" t="str">
        <f t="shared" si="185"/>
        <v>No Impact</v>
      </c>
      <c r="V542">
        <f t="shared" si="186"/>
        <v>0.11633878816055292</v>
      </c>
      <c r="W542">
        <f t="shared" si="179"/>
        <v>0.15636505720490043</v>
      </c>
      <c r="X542" t="s">
        <v>1176</v>
      </c>
      <c r="Y542">
        <f t="shared" si="187"/>
        <v>2.0715490685923425E-2</v>
      </c>
      <c r="Z542">
        <f t="shared" si="180"/>
        <v>4.1506458707066991E-2</v>
      </c>
      <c r="AA542" t="str">
        <f t="shared" si="188"/>
        <v>No Impact</v>
      </c>
      <c r="AB542">
        <f t="shared" si="189"/>
        <v>5.4078150897713326E-2</v>
      </c>
      <c r="AC542">
        <f t="shared" si="181"/>
        <v>0.12696322157733542</v>
      </c>
      <c r="AD542" t="str">
        <f t="shared" si="190"/>
        <v>No Impact</v>
      </c>
      <c r="AE542">
        <f t="shared" si="191"/>
        <v>2.0414079530693647E-2</v>
      </c>
      <c r="AF542">
        <f t="shared" si="182"/>
        <v>0.11167399287850396</v>
      </c>
      <c r="AG542" t="s">
        <v>1175</v>
      </c>
    </row>
    <row r="543" spans="1:33" x14ac:dyDescent="0.3">
      <c r="A543">
        <v>609141</v>
      </c>
      <c r="B543" t="s">
        <v>193</v>
      </c>
      <c r="C543" s="1" t="s">
        <v>1086</v>
      </c>
      <c r="D543" t="s">
        <v>1092</v>
      </c>
      <c r="E543" s="4">
        <v>6.9</v>
      </c>
      <c r="F543" s="3">
        <f t="shared" si="192"/>
        <v>0.8222222222222223</v>
      </c>
      <c r="G543">
        <v>48.810960000000001</v>
      </c>
      <c r="H543">
        <f t="shared" si="183"/>
        <v>0.46070989269380014</v>
      </c>
      <c r="I543">
        <v>70.5</v>
      </c>
      <c r="J543" s="3">
        <f t="shared" si="173"/>
        <v>0.21799628942486082</v>
      </c>
      <c r="K543">
        <v>0</v>
      </c>
      <c r="L543" s="3">
        <f t="shared" si="174"/>
        <v>0</v>
      </c>
      <c r="M543">
        <v>28466</v>
      </c>
      <c r="N543">
        <f t="shared" si="175"/>
        <v>0.13355381754694753</v>
      </c>
      <c r="O543" s="15">
        <v>0.31328808600000002</v>
      </c>
      <c r="P543">
        <f t="shared" si="176"/>
        <v>0.31938293994914757</v>
      </c>
      <c r="Q543">
        <v>0.31280000000000002</v>
      </c>
      <c r="R543">
        <f t="shared" si="177"/>
        <v>0.69341609399246296</v>
      </c>
      <c r="S543">
        <f t="shared" si="184"/>
        <v>9.4884403319158456E-2</v>
      </c>
      <c r="T543" s="14">
        <f t="shared" si="178"/>
        <v>0.15918227024553458</v>
      </c>
      <c r="U543" t="str">
        <f t="shared" si="185"/>
        <v>Low</v>
      </c>
      <c r="V543">
        <f t="shared" si="186"/>
        <v>0.12992581968471642</v>
      </c>
      <c r="W543">
        <f t="shared" si="179"/>
        <v>0.17462669629459643</v>
      </c>
      <c r="X543" t="s">
        <v>1176</v>
      </c>
      <c r="Y543">
        <f t="shared" si="187"/>
        <v>5.984298695360047E-2</v>
      </c>
      <c r="Z543">
        <f t="shared" si="180"/>
        <v>0.11990401311541243</v>
      </c>
      <c r="AA543" t="str">
        <f t="shared" si="188"/>
        <v>No Impact</v>
      </c>
      <c r="AB543">
        <f t="shared" si="189"/>
        <v>7.2185355629171041E-2</v>
      </c>
      <c r="AC543">
        <f t="shared" si="181"/>
        <v>0.16947482761975749</v>
      </c>
      <c r="AD543" t="str">
        <f t="shared" si="190"/>
        <v>Low</v>
      </c>
      <c r="AE543">
        <f t="shared" si="191"/>
        <v>2.5024064724114739E-2</v>
      </c>
      <c r="AF543">
        <f t="shared" si="182"/>
        <v>0.13689263929780804</v>
      </c>
      <c r="AG543" t="s">
        <v>1175</v>
      </c>
    </row>
    <row r="544" spans="1:33" x14ac:dyDescent="0.3">
      <c r="A544">
        <v>609153</v>
      </c>
      <c r="B544" t="s">
        <v>217</v>
      </c>
      <c r="C544" s="1" t="s">
        <v>1086</v>
      </c>
      <c r="D544" t="s">
        <v>1093</v>
      </c>
      <c r="E544" s="4">
        <v>7</v>
      </c>
      <c r="F544" s="3">
        <f t="shared" si="192"/>
        <v>0.84444444444444444</v>
      </c>
      <c r="G544">
        <v>65.157120000000006</v>
      </c>
      <c r="H544">
        <f t="shared" si="183"/>
        <v>0.61499568464617493</v>
      </c>
      <c r="I544">
        <v>67.8</v>
      </c>
      <c r="J544" s="3">
        <f t="shared" si="173"/>
        <v>0.20964749536178104</v>
      </c>
      <c r="K544">
        <v>0</v>
      </c>
      <c r="L544" s="3">
        <f t="shared" si="174"/>
        <v>0</v>
      </c>
      <c r="M544">
        <v>17294</v>
      </c>
      <c r="N544">
        <f t="shared" si="175"/>
        <v>8.0694383330257913E-2</v>
      </c>
      <c r="O544" s="15">
        <v>0.77212422400000003</v>
      </c>
      <c r="P544">
        <f t="shared" si="176"/>
        <v>0.78714549223896813</v>
      </c>
      <c r="Q544">
        <v>0.33450000000000002</v>
      </c>
      <c r="R544">
        <f t="shared" si="177"/>
        <v>0.7415207271115053</v>
      </c>
      <c r="S544">
        <f t="shared" si="184"/>
        <v>0.18583919426113743</v>
      </c>
      <c r="T544" s="14">
        <f t="shared" si="178"/>
        <v>0.31177204902247307</v>
      </c>
      <c r="U544" t="str">
        <f t="shared" si="185"/>
        <v>Moderate</v>
      </c>
      <c r="V544">
        <f t="shared" si="186"/>
        <v>0.18029261418871065</v>
      </c>
      <c r="W544">
        <f t="shared" si="179"/>
        <v>0.24232214704121946</v>
      </c>
      <c r="X544" t="s">
        <v>1175</v>
      </c>
      <c r="Y544">
        <f t="shared" si="187"/>
        <v>0.19138577433356424</v>
      </c>
      <c r="Z544">
        <f t="shared" si="180"/>
        <v>0.38346886684629938</v>
      </c>
      <c r="AA544" t="str">
        <f t="shared" si="188"/>
        <v>Moderate</v>
      </c>
      <c r="AB544">
        <f t="shared" si="189"/>
        <v>0.12738513058318668</v>
      </c>
      <c r="AC544">
        <f t="shared" si="181"/>
        <v>0.2990713678520916</v>
      </c>
      <c r="AD544" t="str">
        <f t="shared" si="190"/>
        <v>Low</v>
      </c>
      <c r="AE544">
        <f t="shared" si="191"/>
        <v>1.9619952334481924E-2</v>
      </c>
      <c r="AF544">
        <f t="shared" si="182"/>
        <v>0.1073297678684547</v>
      </c>
      <c r="AG544" t="s">
        <v>1175</v>
      </c>
    </row>
    <row r="545" spans="1:33" x14ac:dyDescent="0.3">
      <c r="A545">
        <v>609159</v>
      </c>
      <c r="B545" t="s">
        <v>255</v>
      </c>
      <c r="C545" s="1" t="s">
        <v>1086</v>
      </c>
      <c r="D545" t="s">
        <v>1094</v>
      </c>
      <c r="E545" s="4">
        <v>7</v>
      </c>
      <c r="F545" s="3">
        <f t="shared" si="192"/>
        <v>0.84444444444444444</v>
      </c>
      <c r="G545">
        <v>46.578600000000002</v>
      </c>
      <c r="H545">
        <f t="shared" si="183"/>
        <v>0.43963941311187976</v>
      </c>
      <c r="I545">
        <v>62.3</v>
      </c>
      <c r="J545" s="3">
        <f t="shared" si="173"/>
        <v>0.19264069264069261</v>
      </c>
      <c r="K545">
        <v>0</v>
      </c>
      <c r="L545" s="3">
        <f t="shared" si="174"/>
        <v>0</v>
      </c>
      <c r="M545">
        <v>16637</v>
      </c>
      <c r="N545">
        <f t="shared" si="175"/>
        <v>7.758583980355141E-2</v>
      </c>
      <c r="O545" s="15">
        <v>0.42954021799999997</v>
      </c>
      <c r="P545">
        <f t="shared" si="176"/>
        <v>0.43789669566699624</v>
      </c>
      <c r="Q545">
        <v>0.34539999999999998</v>
      </c>
      <c r="R545">
        <f t="shared" si="177"/>
        <v>0.76568388383950337</v>
      </c>
      <c r="S545">
        <f t="shared" si="184"/>
        <v>0.10894528354793291</v>
      </c>
      <c r="T545" s="14">
        <f t="shared" si="178"/>
        <v>0.1827714246077978</v>
      </c>
      <c r="U545" t="str">
        <f t="shared" si="185"/>
        <v>Low</v>
      </c>
      <c r="V545">
        <f t="shared" si="186"/>
        <v>0.13861580895095649</v>
      </c>
      <c r="W545">
        <f t="shared" si="179"/>
        <v>0.18630646956892671</v>
      </c>
      <c r="X545" t="s">
        <v>1175</v>
      </c>
      <c r="Y545">
        <f t="shared" si="187"/>
        <v>7.9274758144909335E-2</v>
      </c>
      <c r="Z545">
        <f t="shared" si="180"/>
        <v>0.15883835557370127</v>
      </c>
      <c r="AA545" t="str">
        <f t="shared" si="188"/>
        <v>Low</v>
      </c>
      <c r="AB545">
        <f t="shared" si="189"/>
        <v>7.7213982006395579E-2</v>
      </c>
      <c r="AC545">
        <f t="shared" si="181"/>
        <v>0.18128090076321235</v>
      </c>
      <c r="AD545" t="str">
        <f t="shared" si="190"/>
        <v>Low</v>
      </c>
      <c r="AE545">
        <f t="shared" si="191"/>
        <v>1.4045775514537142E-2</v>
      </c>
      <c r="AF545">
        <f t="shared" si="182"/>
        <v>7.6836569213179148E-2</v>
      </c>
      <c r="AG545" t="s">
        <v>1175</v>
      </c>
    </row>
    <row r="546" spans="1:33" x14ac:dyDescent="0.3">
      <c r="A546">
        <v>609162</v>
      </c>
      <c r="B546" t="s">
        <v>507</v>
      </c>
      <c r="C546" s="1" t="s">
        <v>1086</v>
      </c>
      <c r="D546" t="s">
        <v>1095</v>
      </c>
      <c r="E546" s="4">
        <v>7</v>
      </c>
      <c r="F546" s="3">
        <f t="shared" si="192"/>
        <v>0.84444444444444444</v>
      </c>
      <c r="G546">
        <v>42.383519999999997</v>
      </c>
      <c r="H546">
        <f t="shared" si="183"/>
        <v>0.40004349332989009</v>
      </c>
      <c r="I546">
        <v>77.399999999999991</v>
      </c>
      <c r="J546" s="3">
        <f t="shared" si="173"/>
        <v>0.23933209647495357</v>
      </c>
      <c r="K546">
        <v>0</v>
      </c>
      <c r="L546" s="3">
        <f t="shared" si="174"/>
        <v>0</v>
      </c>
      <c r="M546">
        <v>11227</v>
      </c>
      <c r="N546">
        <f t="shared" si="175"/>
        <v>5.1988852772376075E-2</v>
      </c>
      <c r="O546" s="15">
        <v>0.596807702</v>
      </c>
      <c r="P546">
        <f t="shared" si="176"/>
        <v>0.608418280065252</v>
      </c>
      <c r="Q546">
        <v>0.32969999999999999</v>
      </c>
      <c r="R546">
        <f t="shared" si="177"/>
        <v>0.73088007093770779</v>
      </c>
      <c r="S546">
        <f t="shared" si="184"/>
        <v>0.1175544578525502</v>
      </c>
      <c r="T546" s="14">
        <f t="shared" si="178"/>
        <v>0.19721455606891744</v>
      </c>
      <c r="U546" t="str">
        <f t="shared" si="185"/>
        <v>Low</v>
      </c>
      <c r="V546">
        <f t="shared" si="186"/>
        <v>0.12830331707639916</v>
      </c>
      <c r="W546">
        <f t="shared" si="179"/>
        <v>0.17244597293331723</v>
      </c>
      <c r="X546" t="s">
        <v>1176</v>
      </c>
      <c r="Y546">
        <f t="shared" si="187"/>
        <v>0.10680559862870119</v>
      </c>
      <c r="Z546">
        <f t="shared" si="180"/>
        <v>0.2140003457498667</v>
      </c>
      <c r="AA546" t="str">
        <f t="shared" si="188"/>
        <v>Low</v>
      </c>
      <c r="AB546">
        <f t="shared" si="189"/>
        <v>8.0142098945657339E-2</v>
      </c>
      <c r="AC546">
        <f t="shared" si="181"/>
        <v>0.18815545460043612</v>
      </c>
      <c r="AD546" t="str">
        <f t="shared" si="190"/>
        <v>Low</v>
      </c>
      <c r="AE546">
        <f t="shared" si="191"/>
        <v>9.1264525151636116E-3</v>
      </c>
      <c r="AF546">
        <f t="shared" si="182"/>
        <v>4.9925708952587536E-2</v>
      </c>
      <c r="AG546" t="s">
        <v>1176</v>
      </c>
    </row>
    <row r="547" spans="1:33" x14ac:dyDescent="0.3">
      <c r="A547">
        <v>609194</v>
      </c>
      <c r="B547" t="s">
        <v>534</v>
      </c>
      <c r="C547" s="1" t="s">
        <v>1086</v>
      </c>
      <c r="D547" t="s">
        <v>1096</v>
      </c>
      <c r="E547" s="4">
        <v>7</v>
      </c>
      <c r="F547" s="3">
        <f t="shared" si="192"/>
        <v>0.84444444444444444</v>
      </c>
      <c r="G547">
        <v>46.578600000000002</v>
      </c>
      <c r="H547">
        <f t="shared" si="183"/>
        <v>0.43963941311187976</v>
      </c>
      <c r="I547">
        <v>65.099999999999994</v>
      </c>
      <c r="J547" s="3">
        <f t="shared" si="173"/>
        <v>0.20129870129870125</v>
      </c>
      <c r="K547">
        <v>0</v>
      </c>
      <c r="L547" s="3">
        <f t="shared" si="174"/>
        <v>0</v>
      </c>
      <c r="M547">
        <v>13447</v>
      </c>
      <c r="N547">
        <f t="shared" si="175"/>
        <v>6.2492607154854676E-2</v>
      </c>
      <c r="O547" s="15">
        <v>0.500317915</v>
      </c>
      <c r="P547">
        <f t="shared" si="176"/>
        <v>0.51005133531291613</v>
      </c>
      <c r="Q547">
        <v>0.36080000000000001</v>
      </c>
      <c r="R547">
        <f t="shared" si="177"/>
        <v>0.79982265573043676</v>
      </c>
      <c r="S547">
        <f t="shared" si="184"/>
        <v>0.11952438921575323</v>
      </c>
      <c r="T547" s="14">
        <f t="shared" si="178"/>
        <v>0.2005194000227522</v>
      </c>
      <c r="U547" t="str">
        <f t="shared" si="185"/>
        <v>Low</v>
      </c>
      <c r="V547">
        <f t="shared" si="186"/>
        <v>0.1459656654926865</v>
      </c>
      <c r="W547">
        <f t="shared" si="179"/>
        <v>0.19618503850338553</v>
      </c>
      <c r="X547" t="s">
        <v>1175</v>
      </c>
      <c r="Y547">
        <f t="shared" si="187"/>
        <v>9.308311293881999E-2</v>
      </c>
      <c r="Z547">
        <f t="shared" si="180"/>
        <v>0.1865053761987758</v>
      </c>
      <c r="AA547" t="str">
        <f t="shared" si="188"/>
        <v>Low</v>
      </c>
      <c r="AB547">
        <f t="shared" si="189"/>
        <v>8.3004578235819942E-2</v>
      </c>
      <c r="AC547">
        <f t="shared" si="181"/>
        <v>0.19487590613852329</v>
      </c>
      <c r="AD547" t="str">
        <f t="shared" si="190"/>
        <v>Low</v>
      </c>
      <c r="AE547">
        <f t="shared" si="191"/>
        <v>1.1404746947810497E-2</v>
      </c>
      <c r="AF547">
        <f t="shared" si="182"/>
        <v>6.2388981463307416E-2</v>
      </c>
      <c r="AG547" t="s">
        <v>1175</v>
      </c>
    </row>
    <row r="548" spans="1:33" x14ac:dyDescent="0.3">
      <c r="C548" s="1"/>
    </row>
    <row r="549" spans="1:33" x14ac:dyDescent="0.3">
      <c r="C549" s="1"/>
    </row>
    <row r="550" spans="1:33" x14ac:dyDescent="0.3">
      <c r="C550" s="1"/>
    </row>
    <row r="551" spans="1:33" x14ac:dyDescent="0.3">
      <c r="C551" s="1"/>
    </row>
    <row r="552" spans="1:33" x14ac:dyDescent="0.3">
      <c r="C552" s="1"/>
    </row>
    <row r="553" spans="1:33" x14ac:dyDescent="0.3">
      <c r="C553" s="1"/>
    </row>
    <row r="554" spans="1:33" x14ac:dyDescent="0.3">
      <c r="C554" s="1"/>
    </row>
    <row r="555" spans="1:33" x14ac:dyDescent="0.3">
      <c r="C555" s="1"/>
    </row>
    <row r="556" spans="1:33" x14ac:dyDescent="0.3">
      <c r="C556" s="1"/>
    </row>
    <row r="557" spans="1:33" x14ac:dyDescent="0.3">
      <c r="C557" s="1"/>
    </row>
    <row r="558" spans="1:33" x14ac:dyDescent="0.3">
      <c r="C558" s="1"/>
    </row>
    <row r="559" spans="1:33" x14ac:dyDescent="0.3">
      <c r="C559" s="1"/>
    </row>
    <row r="560" spans="1:33" x14ac:dyDescent="0.3">
      <c r="C560" s="1"/>
    </row>
    <row r="561" spans="3:3" x14ac:dyDescent="0.3">
      <c r="C561" s="1"/>
    </row>
    <row r="562" spans="3:3" x14ac:dyDescent="0.3">
      <c r="C562" s="1"/>
    </row>
    <row r="563" spans="3:3" x14ac:dyDescent="0.3">
      <c r="C563" s="1"/>
    </row>
    <row r="564" spans="3:3" x14ac:dyDescent="0.3">
      <c r="C564" s="1"/>
    </row>
    <row r="565" spans="3:3" x14ac:dyDescent="0.3">
      <c r="C565" s="1"/>
    </row>
    <row r="566" spans="3:3" x14ac:dyDescent="0.3">
      <c r="C566" s="1"/>
    </row>
    <row r="567" spans="3:3" x14ac:dyDescent="0.3">
      <c r="C567" s="1"/>
    </row>
    <row r="568" spans="3:3" x14ac:dyDescent="0.3">
      <c r="C568" s="1"/>
    </row>
    <row r="569" spans="3:3" x14ac:dyDescent="0.3">
      <c r="C569" s="1"/>
    </row>
    <row r="570" spans="3:3" x14ac:dyDescent="0.3">
      <c r="C570" s="1"/>
    </row>
    <row r="571" spans="3:3" x14ac:dyDescent="0.3">
      <c r="C571" s="1"/>
    </row>
    <row r="572" spans="3:3" x14ac:dyDescent="0.3">
      <c r="C572" s="1"/>
    </row>
    <row r="573" spans="3:3" x14ac:dyDescent="0.3">
      <c r="C573" s="1"/>
    </row>
    <row r="574" spans="3:3" x14ac:dyDescent="0.3">
      <c r="C574" s="1"/>
    </row>
    <row r="575" spans="3:3" x14ac:dyDescent="0.3">
      <c r="C575" s="1"/>
    </row>
    <row r="576" spans="3:3" x14ac:dyDescent="0.3">
      <c r="C576" s="1"/>
    </row>
    <row r="577" spans="3:3" x14ac:dyDescent="0.3">
      <c r="C577" s="1"/>
    </row>
    <row r="578" spans="3:3" x14ac:dyDescent="0.3">
      <c r="C578" s="1"/>
    </row>
    <row r="579" spans="3:3" x14ac:dyDescent="0.3">
      <c r="C579" s="1"/>
    </row>
    <row r="580" spans="3:3" x14ac:dyDescent="0.3">
      <c r="C580" s="1"/>
    </row>
    <row r="581" spans="3:3" x14ac:dyDescent="0.3">
      <c r="C581" s="1"/>
    </row>
    <row r="582" spans="3:3" x14ac:dyDescent="0.3">
      <c r="C582" s="1"/>
    </row>
    <row r="583" spans="3:3" x14ac:dyDescent="0.3">
      <c r="C583" s="1"/>
    </row>
    <row r="584" spans="3:3" x14ac:dyDescent="0.3">
      <c r="C584" s="1"/>
    </row>
    <row r="585" spans="3:3" x14ac:dyDescent="0.3">
      <c r="C585" s="1"/>
    </row>
    <row r="586" spans="3:3" x14ac:dyDescent="0.3">
      <c r="C586" s="1"/>
    </row>
    <row r="587" spans="3:3" x14ac:dyDescent="0.3">
      <c r="C587" s="1"/>
    </row>
    <row r="588" spans="3:3" x14ac:dyDescent="0.3">
      <c r="C588" s="1"/>
    </row>
    <row r="589" spans="3:3" x14ac:dyDescent="0.3">
      <c r="C589" s="1"/>
    </row>
    <row r="590" spans="3:3" x14ac:dyDescent="0.3">
      <c r="C590" s="1"/>
    </row>
    <row r="591" spans="3:3" x14ac:dyDescent="0.3">
      <c r="C591" s="1"/>
    </row>
    <row r="592" spans="3:3" x14ac:dyDescent="0.3">
      <c r="C592" s="1"/>
    </row>
    <row r="593" spans="3:3" x14ac:dyDescent="0.3">
      <c r="C593" s="1"/>
    </row>
    <row r="594" spans="3:3" x14ac:dyDescent="0.3">
      <c r="C594" s="1"/>
    </row>
    <row r="595" spans="3:3" x14ac:dyDescent="0.3">
      <c r="C595" s="1"/>
    </row>
    <row r="596" spans="3:3" x14ac:dyDescent="0.3">
      <c r="C596" s="1"/>
    </row>
    <row r="597" spans="3:3" x14ac:dyDescent="0.3">
      <c r="C597" s="1"/>
    </row>
    <row r="598" spans="3:3" x14ac:dyDescent="0.3">
      <c r="C598" s="1"/>
    </row>
    <row r="599" spans="3:3" x14ac:dyDescent="0.3">
      <c r="C599" s="1"/>
    </row>
    <row r="600" spans="3:3" x14ac:dyDescent="0.3">
      <c r="C600" s="1"/>
    </row>
    <row r="601" spans="3:3" x14ac:dyDescent="0.3">
      <c r="C601" s="1"/>
    </row>
    <row r="602" spans="3:3" x14ac:dyDescent="0.3">
      <c r="C602" s="1"/>
    </row>
    <row r="603" spans="3:3" x14ac:dyDescent="0.3">
      <c r="C603" s="1"/>
    </row>
    <row r="604" spans="3:3" x14ac:dyDescent="0.3">
      <c r="C604" s="1"/>
    </row>
    <row r="605" spans="3:3" x14ac:dyDescent="0.3">
      <c r="C605" s="1"/>
    </row>
    <row r="606" spans="3:3" x14ac:dyDescent="0.3">
      <c r="C606" s="1"/>
    </row>
    <row r="607" spans="3:3" x14ac:dyDescent="0.3">
      <c r="C607" s="1"/>
    </row>
    <row r="608" spans="3:3" x14ac:dyDescent="0.3">
      <c r="C608" s="1"/>
    </row>
    <row r="609" spans="3:3" x14ac:dyDescent="0.3">
      <c r="C609" s="1"/>
    </row>
    <row r="610" spans="3:3" x14ac:dyDescent="0.3">
      <c r="C610" s="1"/>
    </row>
    <row r="611" spans="3:3" x14ac:dyDescent="0.3">
      <c r="C611" s="1"/>
    </row>
    <row r="612" spans="3:3" x14ac:dyDescent="0.3">
      <c r="C612" s="1"/>
    </row>
    <row r="613" spans="3:3" x14ac:dyDescent="0.3">
      <c r="C613" s="1"/>
    </row>
    <row r="614" spans="3:3" x14ac:dyDescent="0.3">
      <c r="C614" s="1"/>
    </row>
    <row r="615" spans="3:3" x14ac:dyDescent="0.3">
      <c r="C615" s="1"/>
    </row>
    <row r="616" spans="3:3" x14ac:dyDescent="0.3">
      <c r="C616" s="1"/>
    </row>
    <row r="617" spans="3:3" x14ac:dyDescent="0.3">
      <c r="C617" s="1"/>
    </row>
    <row r="618" spans="3:3" x14ac:dyDescent="0.3">
      <c r="C618" s="1"/>
    </row>
    <row r="619" spans="3:3" x14ac:dyDescent="0.3">
      <c r="C619" s="1"/>
    </row>
    <row r="620" spans="3:3" x14ac:dyDescent="0.3">
      <c r="C620" s="1"/>
    </row>
    <row r="621" spans="3:3" x14ac:dyDescent="0.3">
      <c r="C621" s="1"/>
    </row>
    <row r="622" spans="3:3" x14ac:dyDescent="0.3">
      <c r="C622" s="1"/>
    </row>
    <row r="623" spans="3:3" x14ac:dyDescent="0.3">
      <c r="C623" s="1"/>
    </row>
    <row r="624" spans="3:3" x14ac:dyDescent="0.3">
      <c r="C624" s="1"/>
    </row>
    <row r="625" spans="3:3" x14ac:dyDescent="0.3">
      <c r="C625" s="1"/>
    </row>
    <row r="626" spans="3:3" x14ac:dyDescent="0.3">
      <c r="C626" s="1"/>
    </row>
    <row r="627" spans="3:3" x14ac:dyDescent="0.3">
      <c r="C627" s="1"/>
    </row>
    <row r="628" spans="3:3" x14ac:dyDescent="0.3">
      <c r="C628" s="1"/>
    </row>
    <row r="629" spans="3:3" x14ac:dyDescent="0.3">
      <c r="C629" s="1"/>
    </row>
    <row r="630" spans="3:3" x14ac:dyDescent="0.3">
      <c r="C630" s="1"/>
    </row>
    <row r="631" spans="3:3" x14ac:dyDescent="0.3">
      <c r="C631" s="1"/>
    </row>
    <row r="632" spans="3:3" x14ac:dyDescent="0.3">
      <c r="C632" s="1"/>
    </row>
    <row r="633" spans="3:3" x14ac:dyDescent="0.3">
      <c r="C633" s="1"/>
    </row>
    <row r="634" spans="3:3" x14ac:dyDescent="0.3">
      <c r="C634" s="1"/>
    </row>
    <row r="635" spans="3:3" x14ac:dyDescent="0.3">
      <c r="C635" s="1"/>
    </row>
    <row r="636" spans="3:3" x14ac:dyDescent="0.3">
      <c r="C636" s="1"/>
    </row>
    <row r="637" spans="3:3" x14ac:dyDescent="0.3">
      <c r="C637" s="1"/>
    </row>
    <row r="638" spans="3:3" x14ac:dyDescent="0.3">
      <c r="C638" s="1"/>
    </row>
    <row r="639" spans="3:3" x14ac:dyDescent="0.3">
      <c r="C639" s="1"/>
    </row>
    <row r="640" spans="3:3" x14ac:dyDescent="0.3">
      <c r="C640" s="1"/>
    </row>
    <row r="641" spans="3:3" x14ac:dyDescent="0.3">
      <c r="C641" s="1"/>
    </row>
    <row r="642" spans="3:3" x14ac:dyDescent="0.3">
      <c r="C642" s="1"/>
    </row>
    <row r="643" spans="3:3" x14ac:dyDescent="0.3">
      <c r="C643" s="1"/>
    </row>
    <row r="644" spans="3:3" x14ac:dyDescent="0.3">
      <c r="C644" s="1"/>
    </row>
    <row r="645" spans="3:3" x14ac:dyDescent="0.3">
      <c r="C645" s="1"/>
    </row>
    <row r="646" spans="3:3" x14ac:dyDescent="0.3">
      <c r="C646" s="1"/>
    </row>
    <row r="647" spans="3:3" x14ac:dyDescent="0.3">
      <c r="C647" s="1"/>
    </row>
    <row r="648" spans="3:3" x14ac:dyDescent="0.3">
      <c r="C648" s="1"/>
    </row>
    <row r="649" spans="3:3" x14ac:dyDescent="0.3">
      <c r="C649" s="1"/>
    </row>
    <row r="650" spans="3:3" x14ac:dyDescent="0.3">
      <c r="C650" s="1"/>
    </row>
    <row r="651" spans="3:3" x14ac:dyDescent="0.3">
      <c r="C651" s="1"/>
    </row>
    <row r="652" spans="3:3" x14ac:dyDescent="0.3">
      <c r="C652" s="1"/>
    </row>
    <row r="653" spans="3:3" x14ac:dyDescent="0.3">
      <c r="C653" s="1"/>
    </row>
    <row r="654" spans="3:3" x14ac:dyDescent="0.3">
      <c r="C654" s="1"/>
    </row>
    <row r="655" spans="3:3" x14ac:dyDescent="0.3">
      <c r="C655" s="1"/>
    </row>
    <row r="656" spans="3:3" x14ac:dyDescent="0.3">
      <c r="C656" s="1"/>
    </row>
    <row r="657" spans="3:3" x14ac:dyDescent="0.3">
      <c r="C657" s="1"/>
    </row>
    <row r="658" spans="3:3" x14ac:dyDescent="0.3">
      <c r="C658" s="1"/>
    </row>
    <row r="659" spans="3:3" x14ac:dyDescent="0.3">
      <c r="C659" s="1"/>
    </row>
    <row r="660" spans="3:3" x14ac:dyDescent="0.3">
      <c r="C660" s="1"/>
    </row>
    <row r="661" spans="3:3" x14ac:dyDescent="0.3">
      <c r="C661" s="1"/>
    </row>
    <row r="662" spans="3:3" x14ac:dyDescent="0.3">
      <c r="C662" s="1"/>
    </row>
    <row r="663" spans="3:3" x14ac:dyDescent="0.3">
      <c r="C663" s="1"/>
    </row>
    <row r="664" spans="3:3" x14ac:dyDescent="0.3">
      <c r="C664" s="1"/>
    </row>
    <row r="665" spans="3:3" x14ac:dyDescent="0.3">
      <c r="C665" s="1"/>
    </row>
    <row r="666" spans="3:3" x14ac:dyDescent="0.3">
      <c r="C666" s="1"/>
    </row>
    <row r="667" spans="3:3" x14ac:dyDescent="0.3">
      <c r="C667" s="1"/>
    </row>
    <row r="668" spans="3:3" x14ac:dyDescent="0.3">
      <c r="C668" s="1"/>
    </row>
    <row r="669" spans="3:3" x14ac:dyDescent="0.3">
      <c r="C669" s="1"/>
    </row>
    <row r="670" spans="3:3" x14ac:dyDescent="0.3">
      <c r="C670" s="1"/>
    </row>
    <row r="671" spans="3:3" x14ac:dyDescent="0.3">
      <c r="C671" s="1"/>
    </row>
    <row r="672" spans="3:3" x14ac:dyDescent="0.3">
      <c r="C672" s="1"/>
    </row>
    <row r="673" spans="3:3" x14ac:dyDescent="0.3">
      <c r="C673" s="1"/>
    </row>
    <row r="674" spans="3:3" x14ac:dyDescent="0.3">
      <c r="C674" s="1"/>
    </row>
    <row r="675" spans="3:3" x14ac:dyDescent="0.3">
      <c r="C675" s="1"/>
    </row>
    <row r="676" spans="3:3" x14ac:dyDescent="0.3">
      <c r="C676" s="1"/>
    </row>
    <row r="677" spans="3:3" x14ac:dyDescent="0.3">
      <c r="C677" s="1"/>
    </row>
    <row r="678" spans="3:3" x14ac:dyDescent="0.3">
      <c r="C678" s="1"/>
    </row>
    <row r="679" spans="3:3" x14ac:dyDescent="0.3">
      <c r="C679" s="1"/>
    </row>
    <row r="680" spans="3:3" x14ac:dyDescent="0.3">
      <c r="C680" s="1"/>
    </row>
    <row r="681" spans="3:3" x14ac:dyDescent="0.3">
      <c r="C681" s="1"/>
    </row>
    <row r="682" spans="3:3" x14ac:dyDescent="0.3">
      <c r="C682" s="1"/>
    </row>
    <row r="683" spans="3:3" x14ac:dyDescent="0.3">
      <c r="C683" s="1"/>
    </row>
    <row r="684" spans="3:3" x14ac:dyDescent="0.3">
      <c r="C684" s="1"/>
    </row>
    <row r="685" spans="3:3" x14ac:dyDescent="0.3">
      <c r="C685" s="1"/>
    </row>
    <row r="686" spans="3:3" x14ac:dyDescent="0.3">
      <c r="C686" s="1"/>
    </row>
    <row r="687" spans="3:3" x14ac:dyDescent="0.3">
      <c r="C687" s="1"/>
    </row>
    <row r="688" spans="3:3" x14ac:dyDescent="0.3">
      <c r="C688" s="1"/>
    </row>
    <row r="689" spans="3:3" x14ac:dyDescent="0.3">
      <c r="C689" s="1"/>
    </row>
    <row r="690" spans="3:3" x14ac:dyDescent="0.3">
      <c r="C690" s="1"/>
    </row>
    <row r="691" spans="3:3" x14ac:dyDescent="0.3">
      <c r="C691" s="1"/>
    </row>
    <row r="692" spans="3:3" x14ac:dyDescent="0.3">
      <c r="C692" s="1"/>
    </row>
    <row r="693" spans="3:3" x14ac:dyDescent="0.3">
      <c r="C693" s="1"/>
    </row>
    <row r="694" spans="3:3" x14ac:dyDescent="0.3">
      <c r="C694" s="1"/>
    </row>
    <row r="695" spans="3:3" x14ac:dyDescent="0.3">
      <c r="C695" s="1"/>
    </row>
    <row r="696" spans="3:3" x14ac:dyDescent="0.3">
      <c r="C696" s="1"/>
    </row>
    <row r="697" spans="3:3" x14ac:dyDescent="0.3">
      <c r="C697" s="1"/>
    </row>
    <row r="698" spans="3:3" x14ac:dyDescent="0.3">
      <c r="C698" s="1"/>
    </row>
    <row r="699" spans="3:3" x14ac:dyDescent="0.3">
      <c r="C699" s="1"/>
    </row>
    <row r="700" spans="3:3" x14ac:dyDescent="0.3">
      <c r="C700" s="1"/>
    </row>
    <row r="701" spans="3:3" x14ac:dyDescent="0.3">
      <c r="C701" s="1"/>
    </row>
    <row r="702" spans="3:3" x14ac:dyDescent="0.3">
      <c r="C702" s="1"/>
    </row>
    <row r="703" spans="3:3" x14ac:dyDescent="0.3">
      <c r="C703" s="1"/>
    </row>
    <row r="704" spans="3:3" x14ac:dyDescent="0.3">
      <c r="C704" s="1"/>
    </row>
    <row r="705" spans="3:3" x14ac:dyDescent="0.3">
      <c r="C705" s="1"/>
    </row>
    <row r="706" spans="3:3" x14ac:dyDescent="0.3">
      <c r="C706" s="1"/>
    </row>
    <row r="707" spans="3:3" x14ac:dyDescent="0.3">
      <c r="C707" s="1"/>
    </row>
    <row r="708" spans="3:3" x14ac:dyDescent="0.3">
      <c r="C708" s="1"/>
    </row>
    <row r="709" spans="3:3" x14ac:dyDescent="0.3">
      <c r="C709" s="1"/>
    </row>
    <row r="710" spans="3:3" x14ac:dyDescent="0.3">
      <c r="C710" s="1"/>
    </row>
    <row r="711" spans="3:3" x14ac:dyDescent="0.3">
      <c r="C711" s="1"/>
    </row>
    <row r="712" spans="3:3" x14ac:dyDescent="0.3">
      <c r="C712" s="1"/>
    </row>
    <row r="713" spans="3:3" x14ac:dyDescent="0.3">
      <c r="C713" s="1"/>
    </row>
    <row r="714" spans="3:3" x14ac:dyDescent="0.3">
      <c r="C714" s="1"/>
    </row>
    <row r="715" spans="3:3" x14ac:dyDescent="0.3">
      <c r="C715" s="1"/>
    </row>
    <row r="716" spans="3:3" x14ac:dyDescent="0.3">
      <c r="C716" s="1"/>
    </row>
    <row r="717" spans="3:3" x14ac:dyDescent="0.3">
      <c r="C717" s="1"/>
    </row>
    <row r="718" spans="3:3" x14ac:dyDescent="0.3">
      <c r="C718" s="1"/>
    </row>
    <row r="719" spans="3:3" x14ac:dyDescent="0.3">
      <c r="C719" s="1"/>
    </row>
    <row r="720" spans="3:3" x14ac:dyDescent="0.3">
      <c r="C720" s="1"/>
    </row>
    <row r="721" spans="3:3" x14ac:dyDescent="0.3">
      <c r="C721" s="1"/>
    </row>
    <row r="722" spans="3:3" x14ac:dyDescent="0.3">
      <c r="C722" s="1"/>
    </row>
    <row r="723" spans="3:3" x14ac:dyDescent="0.3">
      <c r="C723" s="1"/>
    </row>
    <row r="724" spans="3:3" x14ac:dyDescent="0.3">
      <c r="C724" s="1"/>
    </row>
    <row r="725" spans="3:3" x14ac:dyDescent="0.3">
      <c r="C725" s="1"/>
    </row>
    <row r="726" spans="3:3" x14ac:dyDescent="0.3">
      <c r="C726" s="1"/>
    </row>
    <row r="727" spans="3:3" x14ac:dyDescent="0.3">
      <c r="C727" s="1"/>
    </row>
    <row r="728" spans="3:3" x14ac:dyDescent="0.3">
      <c r="C728" s="1"/>
    </row>
    <row r="729" spans="3:3" x14ac:dyDescent="0.3">
      <c r="C729" s="1"/>
    </row>
    <row r="730" spans="3:3" x14ac:dyDescent="0.3">
      <c r="C730" s="1"/>
    </row>
    <row r="731" spans="3:3" x14ac:dyDescent="0.3">
      <c r="C731" s="1"/>
    </row>
    <row r="732" spans="3:3" x14ac:dyDescent="0.3">
      <c r="C732" s="1"/>
    </row>
    <row r="733" spans="3:3" x14ac:dyDescent="0.3">
      <c r="C733" s="1"/>
    </row>
    <row r="734" spans="3:3" x14ac:dyDescent="0.3">
      <c r="C734" s="1"/>
    </row>
    <row r="735" spans="3:3" x14ac:dyDescent="0.3">
      <c r="C735" s="1"/>
    </row>
    <row r="736" spans="3:3" x14ac:dyDescent="0.3">
      <c r="C736" s="1"/>
    </row>
    <row r="737" spans="3:3" x14ac:dyDescent="0.3">
      <c r="C737" s="1"/>
    </row>
    <row r="738" spans="3:3" x14ac:dyDescent="0.3">
      <c r="C738" s="1"/>
    </row>
    <row r="739" spans="3:3" x14ac:dyDescent="0.3">
      <c r="C739" s="1"/>
    </row>
    <row r="740" spans="3:3" x14ac:dyDescent="0.3">
      <c r="C740" s="1"/>
    </row>
    <row r="741" spans="3:3" x14ac:dyDescent="0.3">
      <c r="C741" s="1"/>
    </row>
    <row r="742" spans="3:3" x14ac:dyDescent="0.3">
      <c r="C742" s="1"/>
    </row>
    <row r="743" spans="3:3" x14ac:dyDescent="0.3">
      <c r="C743" s="1"/>
    </row>
    <row r="744" spans="3:3" x14ac:dyDescent="0.3">
      <c r="C744" s="1"/>
    </row>
    <row r="745" spans="3:3" x14ac:dyDescent="0.3">
      <c r="C745" s="1"/>
    </row>
    <row r="746" spans="3:3" x14ac:dyDescent="0.3">
      <c r="C746" s="1"/>
    </row>
    <row r="747" spans="3:3" x14ac:dyDescent="0.3">
      <c r="C747" s="1"/>
    </row>
    <row r="748" spans="3:3" x14ac:dyDescent="0.3">
      <c r="C748" s="1"/>
    </row>
    <row r="749" spans="3:3" x14ac:dyDescent="0.3">
      <c r="C749" s="1"/>
    </row>
    <row r="750" spans="3:3" x14ac:dyDescent="0.3">
      <c r="C750" s="1"/>
    </row>
    <row r="751" spans="3:3" x14ac:dyDescent="0.3">
      <c r="C751" s="1"/>
    </row>
    <row r="752" spans="3:3" x14ac:dyDescent="0.3">
      <c r="C752" s="1"/>
    </row>
    <row r="753" spans="3:3" x14ac:dyDescent="0.3">
      <c r="C753" s="1"/>
    </row>
    <row r="754" spans="3:3" x14ac:dyDescent="0.3">
      <c r="C754" s="1"/>
    </row>
    <row r="755" spans="3:3" x14ac:dyDescent="0.3">
      <c r="C755" s="1"/>
    </row>
    <row r="756" spans="3:3" x14ac:dyDescent="0.3">
      <c r="C756" s="1"/>
    </row>
    <row r="757" spans="3:3" x14ac:dyDescent="0.3">
      <c r="C757" s="1"/>
    </row>
    <row r="758" spans="3:3" x14ac:dyDescent="0.3">
      <c r="C758" s="1"/>
    </row>
    <row r="759" spans="3:3" x14ac:dyDescent="0.3">
      <c r="C759" s="1"/>
    </row>
    <row r="760" spans="3:3" x14ac:dyDescent="0.3">
      <c r="C760" s="1"/>
    </row>
    <row r="761" spans="3:3" x14ac:dyDescent="0.3">
      <c r="C761" s="1"/>
    </row>
    <row r="762" spans="3:3" x14ac:dyDescent="0.3">
      <c r="C762" s="1"/>
    </row>
    <row r="763" spans="3:3" x14ac:dyDescent="0.3">
      <c r="C763" s="1"/>
    </row>
    <row r="764" spans="3:3" x14ac:dyDescent="0.3">
      <c r="C764" s="1"/>
    </row>
    <row r="765" spans="3:3" x14ac:dyDescent="0.3">
      <c r="C765" s="1"/>
    </row>
    <row r="766" spans="3:3" x14ac:dyDescent="0.3">
      <c r="C766" s="1"/>
    </row>
    <row r="767" spans="3:3" x14ac:dyDescent="0.3">
      <c r="C767" s="1"/>
    </row>
    <row r="768" spans="3:3" x14ac:dyDescent="0.3">
      <c r="C768" s="1"/>
    </row>
    <row r="769" spans="3:3" x14ac:dyDescent="0.3">
      <c r="C769" s="1"/>
    </row>
    <row r="770" spans="3:3" x14ac:dyDescent="0.3">
      <c r="C770" s="1"/>
    </row>
    <row r="771" spans="3:3" x14ac:dyDescent="0.3">
      <c r="C771" s="1"/>
    </row>
    <row r="772" spans="3:3" x14ac:dyDescent="0.3">
      <c r="C772" s="1"/>
    </row>
    <row r="773" spans="3:3" x14ac:dyDescent="0.3">
      <c r="C773" s="1"/>
    </row>
    <row r="774" spans="3:3" x14ac:dyDescent="0.3">
      <c r="C774" s="1"/>
    </row>
    <row r="775" spans="3:3" x14ac:dyDescent="0.3">
      <c r="C775" s="1"/>
    </row>
    <row r="776" spans="3:3" x14ac:dyDescent="0.3">
      <c r="C776" s="1"/>
    </row>
    <row r="777" spans="3:3" x14ac:dyDescent="0.3">
      <c r="C777" s="1"/>
    </row>
    <row r="778" spans="3:3" x14ac:dyDescent="0.3">
      <c r="C778" s="1"/>
    </row>
    <row r="779" spans="3:3" x14ac:dyDescent="0.3">
      <c r="C779" s="1"/>
    </row>
    <row r="780" spans="3:3" x14ac:dyDescent="0.3">
      <c r="C780" s="1"/>
    </row>
    <row r="781" spans="3:3" x14ac:dyDescent="0.3">
      <c r="C781" s="1"/>
    </row>
    <row r="782" spans="3:3" x14ac:dyDescent="0.3">
      <c r="C782" s="1"/>
    </row>
    <row r="783" spans="3:3" x14ac:dyDescent="0.3">
      <c r="C783" s="1"/>
    </row>
    <row r="784" spans="3:3" x14ac:dyDescent="0.3">
      <c r="C784" s="1"/>
    </row>
    <row r="785" spans="3:3" x14ac:dyDescent="0.3">
      <c r="C785" s="1"/>
    </row>
    <row r="786" spans="3:3" x14ac:dyDescent="0.3">
      <c r="C786" s="1"/>
    </row>
    <row r="787" spans="3:3" x14ac:dyDescent="0.3">
      <c r="C787" s="1"/>
    </row>
    <row r="788" spans="3:3" x14ac:dyDescent="0.3">
      <c r="C788" s="1"/>
    </row>
    <row r="789" spans="3:3" x14ac:dyDescent="0.3">
      <c r="C789" s="1"/>
    </row>
    <row r="790" spans="3:3" x14ac:dyDescent="0.3">
      <c r="C790" s="1"/>
    </row>
    <row r="791" spans="3:3" x14ac:dyDescent="0.3">
      <c r="C791" s="1"/>
    </row>
    <row r="792" spans="3:3" x14ac:dyDescent="0.3">
      <c r="C792" s="1"/>
    </row>
    <row r="793" spans="3:3" x14ac:dyDescent="0.3">
      <c r="C793" s="1"/>
    </row>
    <row r="794" spans="3:3" x14ac:dyDescent="0.3">
      <c r="C794" s="1"/>
    </row>
    <row r="795" spans="3:3" x14ac:dyDescent="0.3">
      <c r="C795" s="1"/>
    </row>
    <row r="796" spans="3:3" x14ac:dyDescent="0.3">
      <c r="C796" s="1"/>
    </row>
    <row r="797" spans="3:3" x14ac:dyDescent="0.3">
      <c r="C797" s="1"/>
    </row>
    <row r="798" spans="3:3" x14ac:dyDescent="0.3">
      <c r="C798" s="1"/>
    </row>
    <row r="799" spans="3:3" x14ac:dyDescent="0.3">
      <c r="C799" s="1"/>
    </row>
    <row r="800" spans="3:3" x14ac:dyDescent="0.3">
      <c r="C800" s="1"/>
    </row>
    <row r="801" spans="3:3" x14ac:dyDescent="0.3">
      <c r="C801" s="1"/>
    </row>
    <row r="802" spans="3:3" x14ac:dyDescent="0.3">
      <c r="C802" s="1"/>
    </row>
    <row r="803" spans="3:3" x14ac:dyDescent="0.3">
      <c r="C803" s="1"/>
    </row>
    <row r="804" spans="3:3" x14ac:dyDescent="0.3">
      <c r="C804" s="1"/>
    </row>
    <row r="805" spans="3:3" x14ac:dyDescent="0.3">
      <c r="C805" s="1"/>
    </row>
    <row r="806" spans="3:3" x14ac:dyDescent="0.3">
      <c r="C806" s="1"/>
    </row>
    <row r="807" spans="3:3" x14ac:dyDescent="0.3">
      <c r="C807" s="1"/>
    </row>
    <row r="808" spans="3:3" x14ac:dyDescent="0.3">
      <c r="C808" s="1"/>
    </row>
    <row r="809" spans="3:3" x14ac:dyDescent="0.3">
      <c r="C809" s="1"/>
    </row>
    <row r="810" spans="3:3" x14ac:dyDescent="0.3">
      <c r="C810" s="1"/>
    </row>
    <row r="811" spans="3:3" x14ac:dyDescent="0.3">
      <c r="C811" s="1"/>
    </row>
    <row r="812" spans="3:3" x14ac:dyDescent="0.3">
      <c r="C812" s="1"/>
    </row>
    <row r="813" spans="3:3" x14ac:dyDescent="0.3">
      <c r="C813" s="1"/>
    </row>
    <row r="814" spans="3:3" x14ac:dyDescent="0.3">
      <c r="C814" s="1"/>
    </row>
    <row r="815" spans="3:3" x14ac:dyDescent="0.3">
      <c r="C815" s="1"/>
    </row>
    <row r="816" spans="3:3" x14ac:dyDescent="0.3">
      <c r="C816" s="1"/>
    </row>
    <row r="817" spans="3:3" x14ac:dyDescent="0.3">
      <c r="C817" s="1"/>
    </row>
    <row r="818" spans="3:3" x14ac:dyDescent="0.3">
      <c r="C818" s="1"/>
    </row>
    <row r="819" spans="3:3" x14ac:dyDescent="0.3">
      <c r="C819" s="1"/>
    </row>
    <row r="820" spans="3:3" x14ac:dyDescent="0.3">
      <c r="C820" s="1"/>
    </row>
    <row r="821" spans="3:3" x14ac:dyDescent="0.3">
      <c r="C821" s="1"/>
    </row>
    <row r="822" spans="3:3" x14ac:dyDescent="0.3">
      <c r="C822" s="1"/>
    </row>
    <row r="823" spans="3:3" x14ac:dyDescent="0.3">
      <c r="C823" s="1"/>
    </row>
    <row r="824" spans="3:3" x14ac:dyDescent="0.3">
      <c r="C824" s="1"/>
    </row>
    <row r="825" spans="3:3" x14ac:dyDescent="0.3">
      <c r="C825" s="1"/>
    </row>
    <row r="826" spans="3:3" x14ac:dyDescent="0.3">
      <c r="C826" s="1"/>
    </row>
    <row r="827" spans="3:3" x14ac:dyDescent="0.3">
      <c r="C827" s="1"/>
    </row>
    <row r="828" spans="3:3" x14ac:dyDescent="0.3">
      <c r="C828" s="1"/>
    </row>
    <row r="829" spans="3:3" x14ac:dyDescent="0.3">
      <c r="C829" s="1"/>
    </row>
    <row r="830" spans="3:3" x14ac:dyDescent="0.3">
      <c r="C830" s="1"/>
    </row>
    <row r="831" spans="3:3" x14ac:dyDescent="0.3">
      <c r="C831" s="1"/>
    </row>
    <row r="832" spans="3:3" x14ac:dyDescent="0.3">
      <c r="C832" s="1"/>
    </row>
    <row r="833" spans="3:3" x14ac:dyDescent="0.3">
      <c r="C833" s="1"/>
    </row>
    <row r="834" spans="3:3" x14ac:dyDescent="0.3">
      <c r="C834" s="1"/>
    </row>
    <row r="835" spans="3:3" x14ac:dyDescent="0.3">
      <c r="C835" s="1"/>
    </row>
    <row r="836" spans="3:3" x14ac:dyDescent="0.3">
      <c r="C836" s="1"/>
    </row>
    <row r="837" spans="3:3" x14ac:dyDescent="0.3">
      <c r="C837" s="1"/>
    </row>
    <row r="838" spans="3:3" x14ac:dyDescent="0.3">
      <c r="C838" s="1"/>
    </row>
    <row r="839" spans="3:3" x14ac:dyDescent="0.3">
      <c r="C839" s="1"/>
    </row>
    <row r="840" spans="3:3" x14ac:dyDescent="0.3">
      <c r="C840" s="1"/>
    </row>
    <row r="841" spans="3:3" x14ac:dyDescent="0.3">
      <c r="C841" s="1"/>
    </row>
    <row r="842" spans="3:3" x14ac:dyDescent="0.3">
      <c r="C842" s="1"/>
    </row>
    <row r="843" spans="3:3" x14ac:dyDescent="0.3">
      <c r="C843" s="1"/>
    </row>
    <row r="844" spans="3:3" x14ac:dyDescent="0.3">
      <c r="C844" s="1"/>
    </row>
    <row r="845" spans="3:3" x14ac:dyDescent="0.3">
      <c r="C845" s="1"/>
    </row>
    <row r="846" spans="3:3" x14ac:dyDescent="0.3">
      <c r="C846" s="1"/>
    </row>
    <row r="847" spans="3:3" x14ac:dyDescent="0.3">
      <c r="C847" s="1"/>
    </row>
    <row r="848" spans="3:3" x14ac:dyDescent="0.3">
      <c r="C848" s="1"/>
    </row>
    <row r="849" spans="3:3" x14ac:dyDescent="0.3">
      <c r="C849" s="1"/>
    </row>
    <row r="850" spans="3:3" x14ac:dyDescent="0.3">
      <c r="C850" s="1"/>
    </row>
    <row r="851" spans="3:3" x14ac:dyDescent="0.3">
      <c r="C851" s="1"/>
    </row>
    <row r="852" spans="3:3" x14ac:dyDescent="0.3">
      <c r="C852" s="1"/>
    </row>
    <row r="853" spans="3:3" x14ac:dyDescent="0.3">
      <c r="C853" s="1"/>
    </row>
    <row r="854" spans="3:3" x14ac:dyDescent="0.3">
      <c r="C854" s="1"/>
    </row>
    <row r="855" spans="3:3" x14ac:dyDescent="0.3">
      <c r="C855" s="1"/>
    </row>
    <row r="856" spans="3:3" x14ac:dyDescent="0.3">
      <c r="C856" s="1"/>
    </row>
    <row r="857" spans="3:3" x14ac:dyDescent="0.3">
      <c r="C857" s="1"/>
    </row>
    <row r="858" spans="3:3" x14ac:dyDescent="0.3">
      <c r="C858" s="1"/>
    </row>
    <row r="859" spans="3:3" x14ac:dyDescent="0.3">
      <c r="C859" s="1"/>
    </row>
    <row r="860" spans="3:3" x14ac:dyDescent="0.3">
      <c r="C860" s="1"/>
    </row>
    <row r="861" spans="3:3" x14ac:dyDescent="0.3">
      <c r="C861" s="1"/>
    </row>
    <row r="862" spans="3:3" x14ac:dyDescent="0.3">
      <c r="C862" s="1"/>
    </row>
    <row r="863" spans="3:3" x14ac:dyDescent="0.3">
      <c r="C863" s="1"/>
    </row>
    <row r="864" spans="3:3" x14ac:dyDescent="0.3">
      <c r="C864" s="1"/>
    </row>
    <row r="865" spans="3:3" x14ac:dyDescent="0.3">
      <c r="C865" s="1"/>
    </row>
    <row r="866" spans="3:3" x14ac:dyDescent="0.3">
      <c r="C866" s="1"/>
    </row>
    <row r="867" spans="3:3" x14ac:dyDescent="0.3">
      <c r="C867" s="1"/>
    </row>
    <row r="868" spans="3:3" x14ac:dyDescent="0.3">
      <c r="C868" s="1"/>
    </row>
    <row r="869" spans="3:3" x14ac:dyDescent="0.3">
      <c r="C869" s="1"/>
    </row>
    <row r="870" spans="3:3" x14ac:dyDescent="0.3">
      <c r="C870" s="1"/>
    </row>
    <row r="871" spans="3:3" x14ac:dyDescent="0.3">
      <c r="C871" s="1"/>
    </row>
    <row r="872" spans="3:3" x14ac:dyDescent="0.3">
      <c r="C872" s="1"/>
    </row>
    <row r="873" spans="3:3" x14ac:dyDescent="0.3">
      <c r="C873" s="1"/>
    </row>
    <row r="874" spans="3:3" x14ac:dyDescent="0.3">
      <c r="C874" s="1"/>
    </row>
    <row r="875" spans="3:3" x14ac:dyDescent="0.3">
      <c r="C875" s="1"/>
    </row>
    <row r="876" spans="3:3" x14ac:dyDescent="0.3">
      <c r="C876" s="1"/>
    </row>
    <row r="877" spans="3:3" x14ac:dyDescent="0.3">
      <c r="C877" s="1"/>
    </row>
    <row r="878" spans="3:3" x14ac:dyDescent="0.3">
      <c r="C878" s="1"/>
    </row>
    <row r="879" spans="3:3" x14ac:dyDescent="0.3">
      <c r="C879" s="1"/>
    </row>
    <row r="880" spans="3:3" x14ac:dyDescent="0.3">
      <c r="C880" s="1"/>
    </row>
    <row r="881" spans="3:3" x14ac:dyDescent="0.3">
      <c r="C881" s="1"/>
    </row>
    <row r="882" spans="3:3" x14ac:dyDescent="0.3">
      <c r="C882" s="1"/>
    </row>
    <row r="883" spans="3:3" x14ac:dyDescent="0.3">
      <c r="C883" s="1"/>
    </row>
    <row r="884" spans="3:3" x14ac:dyDescent="0.3">
      <c r="C884" s="1"/>
    </row>
    <row r="885" spans="3:3" x14ac:dyDescent="0.3">
      <c r="C885" s="1"/>
    </row>
    <row r="886" spans="3:3" x14ac:dyDescent="0.3">
      <c r="C886" s="1"/>
    </row>
    <row r="887" spans="3:3" x14ac:dyDescent="0.3">
      <c r="C887" s="1"/>
    </row>
    <row r="888" spans="3:3" x14ac:dyDescent="0.3">
      <c r="C888" s="1"/>
    </row>
    <row r="889" spans="3:3" x14ac:dyDescent="0.3">
      <c r="C889" s="1"/>
    </row>
    <row r="890" spans="3:3" x14ac:dyDescent="0.3">
      <c r="C890" s="1"/>
    </row>
    <row r="891" spans="3:3" x14ac:dyDescent="0.3">
      <c r="C891" s="1"/>
    </row>
    <row r="892" spans="3:3" x14ac:dyDescent="0.3">
      <c r="C892" s="1"/>
    </row>
    <row r="893" spans="3:3" x14ac:dyDescent="0.3">
      <c r="C893" s="1"/>
    </row>
    <row r="894" spans="3:3" x14ac:dyDescent="0.3">
      <c r="C894" s="1"/>
    </row>
    <row r="895" spans="3:3" x14ac:dyDescent="0.3">
      <c r="C895" s="1"/>
    </row>
    <row r="896" spans="3:3" x14ac:dyDescent="0.3">
      <c r="C896" s="1"/>
    </row>
    <row r="897" spans="3:3" x14ac:dyDescent="0.3">
      <c r="C897" s="1"/>
    </row>
    <row r="898" spans="3:3" x14ac:dyDescent="0.3">
      <c r="C898" s="1"/>
    </row>
    <row r="899" spans="3:3" x14ac:dyDescent="0.3">
      <c r="C899" s="1"/>
    </row>
    <row r="900" spans="3:3" x14ac:dyDescent="0.3">
      <c r="C900" s="1"/>
    </row>
    <row r="901" spans="3:3" x14ac:dyDescent="0.3">
      <c r="C901" s="1"/>
    </row>
    <row r="902" spans="3:3" x14ac:dyDescent="0.3">
      <c r="C902" s="1"/>
    </row>
    <row r="903" spans="3:3" x14ac:dyDescent="0.3">
      <c r="C903" s="1"/>
    </row>
    <row r="904" spans="3:3" x14ac:dyDescent="0.3">
      <c r="C904" s="1"/>
    </row>
    <row r="905" spans="3:3" x14ac:dyDescent="0.3">
      <c r="C905" s="1"/>
    </row>
    <row r="906" spans="3:3" x14ac:dyDescent="0.3">
      <c r="C906" s="1"/>
    </row>
    <row r="907" spans="3:3" x14ac:dyDescent="0.3">
      <c r="C907" s="1"/>
    </row>
    <row r="908" spans="3:3" x14ac:dyDescent="0.3">
      <c r="C908" s="1"/>
    </row>
    <row r="909" spans="3:3" x14ac:dyDescent="0.3">
      <c r="C909" s="1"/>
    </row>
    <row r="910" spans="3:3" x14ac:dyDescent="0.3">
      <c r="C910" s="1"/>
    </row>
    <row r="911" spans="3:3" x14ac:dyDescent="0.3">
      <c r="C911" s="1"/>
    </row>
    <row r="912" spans="3:3" x14ac:dyDescent="0.3">
      <c r="C912" s="1"/>
    </row>
    <row r="913" spans="3:3" x14ac:dyDescent="0.3">
      <c r="C913" s="1"/>
    </row>
    <row r="914" spans="3:3" x14ac:dyDescent="0.3">
      <c r="C914" s="1"/>
    </row>
    <row r="915" spans="3:3" x14ac:dyDescent="0.3">
      <c r="C915" s="1"/>
    </row>
    <row r="916" spans="3:3" x14ac:dyDescent="0.3">
      <c r="C916" s="1"/>
    </row>
    <row r="917" spans="3:3" x14ac:dyDescent="0.3">
      <c r="C917" s="1"/>
    </row>
    <row r="918" spans="3:3" x14ac:dyDescent="0.3">
      <c r="C918" s="1"/>
    </row>
    <row r="919" spans="3:3" x14ac:dyDescent="0.3">
      <c r="C919" s="1"/>
    </row>
    <row r="920" spans="3:3" x14ac:dyDescent="0.3">
      <c r="C920" s="1"/>
    </row>
    <row r="921" spans="3:3" x14ac:dyDescent="0.3">
      <c r="C921" s="1"/>
    </row>
    <row r="922" spans="3:3" x14ac:dyDescent="0.3">
      <c r="C922" s="1"/>
    </row>
    <row r="923" spans="3:3" x14ac:dyDescent="0.3">
      <c r="C923" s="1"/>
    </row>
    <row r="924" spans="3:3" x14ac:dyDescent="0.3">
      <c r="C924" s="1"/>
    </row>
    <row r="925" spans="3:3" x14ac:dyDescent="0.3">
      <c r="C925" s="1"/>
    </row>
    <row r="926" spans="3:3" x14ac:dyDescent="0.3">
      <c r="C926" s="1"/>
    </row>
    <row r="927" spans="3:3" x14ac:dyDescent="0.3">
      <c r="C927" s="1"/>
    </row>
    <row r="928" spans="3:3" x14ac:dyDescent="0.3">
      <c r="C928" s="1"/>
    </row>
    <row r="929" spans="3:3" x14ac:dyDescent="0.3">
      <c r="C929" s="1"/>
    </row>
    <row r="930" spans="3:3" x14ac:dyDescent="0.3">
      <c r="C930" s="1"/>
    </row>
    <row r="931" spans="3:3" x14ac:dyDescent="0.3">
      <c r="C931" s="1"/>
    </row>
    <row r="932" spans="3:3" x14ac:dyDescent="0.3">
      <c r="C932" s="1"/>
    </row>
    <row r="933" spans="3:3" x14ac:dyDescent="0.3">
      <c r="C933" s="1"/>
    </row>
    <row r="934" spans="3:3" x14ac:dyDescent="0.3">
      <c r="C934" s="1"/>
    </row>
    <row r="935" spans="3:3" x14ac:dyDescent="0.3">
      <c r="C935" s="1"/>
    </row>
    <row r="936" spans="3:3" x14ac:dyDescent="0.3">
      <c r="C936" s="1"/>
    </row>
    <row r="937" spans="3:3" x14ac:dyDescent="0.3">
      <c r="C937" s="1"/>
    </row>
    <row r="938" spans="3:3" x14ac:dyDescent="0.3">
      <c r="C938" s="1"/>
    </row>
    <row r="939" spans="3:3" x14ac:dyDescent="0.3">
      <c r="C939" s="1"/>
    </row>
    <row r="940" spans="3:3" x14ac:dyDescent="0.3">
      <c r="C940" s="1"/>
    </row>
    <row r="941" spans="3:3" x14ac:dyDescent="0.3">
      <c r="C941" s="1"/>
    </row>
    <row r="942" spans="3:3" x14ac:dyDescent="0.3">
      <c r="C942" s="1"/>
    </row>
    <row r="943" spans="3:3" x14ac:dyDescent="0.3">
      <c r="C943" s="1"/>
    </row>
    <row r="944" spans="3:3" x14ac:dyDescent="0.3">
      <c r="C944" s="1"/>
    </row>
    <row r="945" spans="3:3" x14ac:dyDescent="0.3">
      <c r="C945" s="1"/>
    </row>
    <row r="946" spans="3:3" x14ac:dyDescent="0.3">
      <c r="C946" s="1"/>
    </row>
    <row r="947" spans="3:3" x14ac:dyDescent="0.3">
      <c r="C947" s="1"/>
    </row>
    <row r="948" spans="3:3" x14ac:dyDescent="0.3">
      <c r="C948" s="1"/>
    </row>
    <row r="949" spans="3:3" x14ac:dyDescent="0.3">
      <c r="C949" s="1"/>
    </row>
    <row r="950" spans="3:3" x14ac:dyDescent="0.3">
      <c r="C950" s="1"/>
    </row>
    <row r="951" spans="3:3" x14ac:dyDescent="0.3">
      <c r="C951" s="1"/>
    </row>
    <row r="952" spans="3:3" x14ac:dyDescent="0.3">
      <c r="C952" s="1"/>
    </row>
    <row r="953" spans="3:3" x14ac:dyDescent="0.3">
      <c r="C953" s="1"/>
    </row>
    <row r="954" spans="3:3" x14ac:dyDescent="0.3">
      <c r="C954" s="1"/>
    </row>
    <row r="955" spans="3:3" x14ac:dyDescent="0.3">
      <c r="C955" s="1"/>
    </row>
    <row r="956" spans="3:3" x14ac:dyDescent="0.3">
      <c r="C956" s="1"/>
    </row>
    <row r="957" spans="3:3" x14ac:dyDescent="0.3">
      <c r="C957" s="1"/>
    </row>
    <row r="958" spans="3:3" x14ac:dyDescent="0.3">
      <c r="C958" s="1"/>
    </row>
    <row r="959" spans="3:3" x14ac:dyDescent="0.3">
      <c r="C959" s="1"/>
    </row>
    <row r="960" spans="3:3" x14ac:dyDescent="0.3">
      <c r="C960" s="1"/>
    </row>
    <row r="961" spans="3:3" x14ac:dyDescent="0.3">
      <c r="C961" s="1"/>
    </row>
    <row r="962" spans="3:3" x14ac:dyDescent="0.3">
      <c r="C962" s="1"/>
    </row>
    <row r="963" spans="3:3" x14ac:dyDescent="0.3">
      <c r="C963" s="1"/>
    </row>
    <row r="964" spans="3:3" x14ac:dyDescent="0.3">
      <c r="C964" s="1"/>
    </row>
    <row r="965" spans="3:3" x14ac:dyDescent="0.3">
      <c r="C965" s="1"/>
    </row>
    <row r="966" spans="3:3" x14ac:dyDescent="0.3">
      <c r="C966" s="1"/>
    </row>
    <row r="967" spans="3:3" x14ac:dyDescent="0.3">
      <c r="C967" s="1"/>
    </row>
    <row r="968" spans="3:3" x14ac:dyDescent="0.3">
      <c r="C968" s="1"/>
    </row>
    <row r="969" spans="3:3" x14ac:dyDescent="0.3">
      <c r="C969" s="1"/>
    </row>
    <row r="970" spans="3:3" x14ac:dyDescent="0.3">
      <c r="C970" s="1"/>
    </row>
    <row r="971" spans="3:3" x14ac:dyDescent="0.3">
      <c r="C971" s="1"/>
    </row>
    <row r="972" spans="3:3" x14ac:dyDescent="0.3">
      <c r="C972" s="1"/>
    </row>
    <row r="973" spans="3:3" x14ac:dyDescent="0.3">
      <c r="C973" s="1"/>
    </row>
    <row r="974" spans="3:3" x14ac:dyDescent="0.3">
      <c r="C974" s="1"/>
    </row>
    <row r="975" spans="3:3" x14ac:dyDescent="0.3">
      <c r="C975" s="1"/>
    </row>
    <row r="976" spans="3:3" x14ac:dyDescent="0.3">
      <c r="C976" s="1"/>
    </row>
    <row r="977" spans="3:3" x14ac:dyDescent="0.3">
      <c r="C977" s="1"/>
    </row>
    <row r="978" spans="3:3" x14ac:dyDescent="0.3">
      <c r="C978" s="1"/>
    </row>
    <row r="979" spans="3:3" x14ac:dyDescent="0.3">
      <c r="C979" s="1"/>
    </row>
    <row r="980" spans="3:3" x14ac:dyDescent="0.3">
      <c r="C980" s="1"/>
    </row>
    <row r="981" spans="3:3" x14ac:dyDescent="0.3">
      <c r="C981" s="1"/>
    </row>
    <row r="982" spans="3:3" x14ac:dyDescent="0.3">
      <c r="C982" s="1"/>
    </row>
    <row r="983" spans="3:3" x14ac:dyDescent="0.3">
      <c r="C983" s="1"/>
    </row>
    <row r="984" spans="3:3" x14ac:dyDescent="0.3">
      <c r="C984" s="1"/>
    </row>
    <row r="985" spans="3:3" x14ac:dyDescent="0.3">
      <c r="C985" s="1"/>
    </row>
    <row r="986" spans="3:3" x14ac:dyDescent="0.3">
      <c r="C986" s="1"/>
    </row>
    <row r="987" spans="3:3" x14ac:dyDescent="0.3">
      <c r="C987" s="1"/>
    </row>
    <row r="988" spans="3:3" x14ac:dyDescent="0.3">
      <c r="C988" s="1"/>
    </row>
    <row r="989" spans="3:3" x14ac:dyDescent="0.3">
      <c r="C989" s="1"/>
    </row>
    <row r="990" spans="3:3" x14ac:dyDescent="0.3">
      <c r="C990" s="1"/>
    </row>
    <row r="991" spans="3:3" x14ac:dyDescent="0.3">
      <c r="C991" s="1"/>
    </row>
    <row r="992" spans="3:3" x14ac:dyDescent="0.3">
      <c r="C992" s="1"/>
    </row>
    <row r="993" spans="3:3" x14ac:dyDescent="0.3">
      <c r="C993" s="1"/>
    </row>
    <row r="994" spans="3:3" x14ac:dyDescent="0.3">
      <c r="C994" s="1"/>
    </row>
    <row r="995" spans="3:3" x14ac:dyDescent="0.3">
      <c r="C995" s="1"/>
    </row>
    <row r="996" spans="3:3" x14ac:dyDescent="0.3">
      <c r="C996" s="1"/>
    </row>
    <row r="997" spans="3:3" x14ac:dyDescent="0.3">
      <c r="C997" s="1"/>
    </row>
    <row r="998" spans="3:3" x14ac:dyDescent="0.3">
      <c r="C998" s="1"/>
    </row>
    <row r="999" spans="3:3" x14ac:dyDescent="0.3">
      <c r="C999" s="1"/>
    </row>
    <row r="1000" spans="3:3" x14ac:dyDescent="0.3">
      <c r="C1000" s="1"/>
    </row>
    <row r="1001" spans="3:3" x14ac:dyDescent="0.3">
      <c r="C1001" s="1"/>
    </row>
    <row r="1002" spans="3:3" x14ac:dyDescent="0.3">
      <c r="C1002" s="1"/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Sitrang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Raisa Ahmed</dc:creator>
  <cp:lastModifiedBy>Ibrahim Abdullah</cp:lastModifiedBy>
  <dcterms:created xsi:type="dcterms:W3CDTF">2025-08-14T04:47:09Z</dcterms:created>
  <dcterms:modified xsi:type="dcterms:W3CDTF">2026-09-02T07:40:28Z</dcterms:modified>
</cp:coreProperties>
</file>