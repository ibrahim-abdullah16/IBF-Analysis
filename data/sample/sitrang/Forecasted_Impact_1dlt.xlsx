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\IBF-Analysis\data\sample\sitrang\"/>
    </mc:Choice>
  </mc:AlternateContent>
  <xr:revisionPtr revIDLastSave="0" documentId="13_ncr:1_{88FAF3AB-9ABB-4E90-81D4-0C648A3FFB07}" xr6:coauthVersionLast="47" xr6:coauthVersionMax="47" xr10:uidLastSave="{00000000-0000-0000-0000-000000000000}"/>
  <bookViews>
    <workbookView xWindow="-108" yWindow="-108" windowWidth="23256" windowHeight="12456" xr2:uid="{F777613E-AB6C-4744-9284-054562D026F2}"/>
  </bookViews>
  <sheets>
    <sheet name="Sitrang" sheetId="10" r:id="rId1"/>
  </sheets>
  <definedNames>
    <definedName name="_xlnm._FilterDatabase" localSheetId="0" hidden="1">Sitrang!$A$1:$AK$547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12" i="10" l="1"/>
  <c r="AI12" i="10"/>
  <c r="AJ11" i="10"/>
  <c r="AI11" i="10"/>
  <c r="AJ9" i="10"/>
  <c r="AI9" i="10"/>
  <c r="AJ8" i="10"/>
  <c r="AI8" i="10"/>
  <c r="AJ7" i="10"/>
  <c r="AI7" i="10"/>
  <c r="AJ6" i="10"/>
  <c r="AI6" i="10"/>
  <c r="AJ5" i="10"/>
  <c r="AI5" i="10"/>
  <c r="AK11" i="10" l="1"/>
  <c r="P31" i="10" s="1"/>
  <c r="AK8" i="10"/>
  <c r="L353" i="10" s="1"/>
  <c r="L463" i="10"/>
  <c r="L14" i="10"/>
  <c r="L392" i="10"/>
  <c r="L428" i="10"/>
  <c r="L345" i="10"/>
  <c r="L441" i="10"/>
  <c r="L40" i="10"/>
  <c r="L52" i="10"/>
  <c r="L88" i="10"/>
  <c r="L232" i="10"/>
  <c r="L41" i="10"/>
  <c r="L161" i="10"/>
  <c r="L173" i="10"/>
  <c r="L305" i="10"/>
  <c r="L455" i="10"/>
  <c r="L479" i="10"/>
  <c r="L396" i="10"/>
  <c r="L492" i="10"/>
  <c r="L91" i="10"/>
  <c r="L450" i="10"/>
  <c r="L117" i="10"/>
  <c r="L162" i="10"/>
  <c r="L179" i="10"/>
  <c r="L223" i="10"/>
  <c r="L397" i="10"/>
  <c r="L458" i="10"/>
  <c r="L517" i="10"/>
  <c r="L398" i="10"/>
  <c r="L164" i="10"/>
  <c r="L203" i="10"/>
  <c r="L246" i="10"/>
  <c r="L165" i="10"/>
  <c r="L187" i="10"/>
  <c r="L247" i="10"/>
  <c r="L520" i="10"/>
  <c r="L166" i="10"/>
  <c r="L412" i="10"/>
  <c r="L446" i="10"/>
  <c r="L472" i="10"/>
  <c r="L175" i="10"/>
  <c r="L214" i="10"/>
  <c r="L237" i="10"/>
  <c r="L271" i="10"/>
  <c r="L152" i="10"/>
  <c r="L213" i="10"/>
  <c r="L268" i="10"/>
  <c r="L386" i="10"/>
  <c r="L495" i="10"/>
  <c r="L234" i="10"/>
  <c r="L411" i="10"/>
  <c r="L42" i="10"/>
  <c r="L177" i="10"/>
  <c r="L238" i="10"/>
  <c r="L337" i="10"/>
  <c r="L438" i="10"/>
  <c r="L529" i="10"/>
  <c r="L129" i="10"/>
  <c r="L150" i="10"/>
  <c r="L211" i="10"/>
  <c r="L339" i="10"/>
  <c r="L299" i="10"/>
  <c r="L191" i="10"/>
  <c r="L212" i="10"/>
  <c r="L70" i="10"/>
  <c r="L303" i="10"/>
  <c r="L85" i="10"/>
  <c r="P7" i="10"/>
  <c r="P19" i="10"/>
  <c r="P55" i="10"/>
  <c r="P67" i="10"/>
  <c r="P91" i="10"/>
  <c r="P103" i="10"/>
  <c r="P127" i="10"/>
  <c r="P139" i="10"/>
  <c r="P151" i="10"/>
  <c r="P163" i="10"/>
  <c r="P199" i="10"/>
  <c r="P211" i="10"/>
  <c r="P235" i="10"/>
  <c r="P247" i="10"/>
  <c r="P271" i="10"/>
  <c r="P283" i="10"/>
  <c r="P295" i="10"/>
  <c r="P307" i="10"/>
  <c r="P343" i="10"/>
  <c r="P355" i="10"/>
  <c r="P379" i="10"/>
  <c r="P391" i="10"/>
  <c r="P415" i="10"/>
  <c r="P427" i="10"/>
  <c r="P439" i="10"/>
  <c r="P451" i="10"/>
  <c r="P487" i="10"/>
  <c r="P9" i="10"/>
  <c r="P33" i="10"/>
  <c r="P45" i="10"/>
  <c r="P69" i="10"/>
  <c r="P81" i="10"/>
  <c r="P93" i="10"/>
  <c r="P105" i="10"/>
  <c r="P141" i="10"/>
  <c r="P153" i="10"/>
  <c r="P177" i="10"/>
  <c r="P189" i="10"/>
  <c r="P213" i="10"/>
  <c r="P225" i="10"/>
  <c r="P237" i="10"/>
  <c r="P249" i="10"/>
  <c r="P285" i="10"/>
  <c r="P297" i="10"/>
  <c r="P321" i="10"/>
  <c r="P333" i="10"/>
  <c r="P345" i="10"/>
  <c r="P357" i="10"/>
  <c r="P369" i="10"/>
  <c r="P381" i="10"/>
  <c r="P393" i="10"/>
  <c r="P405" i="10"/>
  <c r="P429" i="10"/>
  <c r="P441" i="10"/>
  <c r="P465" i="10"/>
  <c r="P477" i="10"/>
  <c r="P489" i="10"/>
  <c r="P501" i="10"/>
  <c r="P513" i="10"/>
  <c r="P525" i="10"/>
  <c r="P537" i="10"/>
  <c r="P11" i="10"/>
  <c r="P35" i="10"/>
  <c r="P47" i="10"/>
  <c r="P71" i="10"/>
  <c r="P83" i="10"/>
  <c r="P95" i="10"/>
  <c r="P107" i="10"/>
  <c r="P119" i="10"/>
  <c r="P131" i="10"/>
  <c r="P143" i="10"/>
  <c r="P155" i="10"/>
  <c r="P179" i="10"/>
  <c r="P191" i="10"/>
  <c r="P24" i="10"/>
  <c r="P36" i="10"/>
  <c r="P48" i="10"/>
  <c r="P60" i="10"/>
  <c r="P72" i="10"/>
  <c r="P84" i="10"/>
  <c r="P96" i="10"/>
  <c r="P108" i="10"/>
  <c r="P132" i="10"/>
  <c r="P144" i="10"/>
  <c r="P168" i="10"/>
  <c r="P180" i="10"/>
  <c r="P192" i="10"/>
  <c r="P204" i="10"/>
  <c r="P216" i="10"/>
  <c r="P228" i="10"/>
  <c r="P240" i="10"/>
  <c r="P252" i="10"/>
  <c r="P276" i="10"/>
  <c r="P288" i="10"/>
  <c r="P25" i="10"/>
  <c r="P37" i="10"/>
  <c r="P49" i="10"/>
  <c r="P61" i="10"/>
  <c r="P73" i="10"/>
  <c r="P85" i="10"/>
  <c r="P97" i="10"/>
  <c r="P109" i="10"/>
  <c r="P133" i="10"/>
  <c r="P145" i="10"/>
  <c r="P169" i="10"/>
  <c r="P181" i="10"/>
  <c r="P193" i="10"/>
  <c r="P205" i="10"/>
  <c r="P217" i="10"/>
  <c r="P229" i="10"/>
  <c r="P241" i="10"/>
  <c r="P253" i="10"/>
  <c r="P277" i="10"/>
  <c r="P289" i="10"/>
  <c r="P313" i="10"/>
  <c r="P325" i="10"/>
  <c r="P337" i="10"/>
  <c r="P349" i="10"/>
  <c r="P361" i="10"/>
  <c r="P373" i="10"/>
  <c r="P385" i="10"/>
  <c r="P397" i="10"/>
  <c r="P421" i="10"/>
  <c r="P433" i="10"/>
  <c r="P457" i="10"/>
  <c r="P469" i="10"/>
  <c r="P481" i="10"/>
  <c r="P493" i="10"/>
  <c r="P505" i="10"/>
  <c r="P517" i="10"/>
  <c r="P529" i="10"/>
  <c r="P541" i="10"/>
  <c r="P34" i="10"/>
  <c r="P54" i="10"/>
  <c r="P98" i="10"/>
  <c r="P116" i="10"/>
  <c r="P137" i="10"/>
  <c r="P159" i="10"/>
  <c r="P178" i="10"/>
  <c r="P198" i="10"/>
  <c r="P218" i="10"/>
  <c r="P234" i="10"/>
  <c r="P270" i="10"/>
  <c r="P290" i="10"/>
  <c r="P322" i="10"/>
  <c r="P338" i="10"/>
  <c r="P353" i="10"/>
  <c r="P370" i="10"/>
  <c r="P386" i="10"/>
  <c r="P401" i="10"/>
  <c r="P418" i="10"/>
  <c r="P434" i="10"/>
  <c r="P449" i="10"/>
  <c r="P466" i="10"/>
  <c r="P482" i="10"/>
  <c r="P497" i="10"/>
  <c r="P511" i="10"/>
  <c r="P526" i="10"/>
  <c r="P540" i="10"/>
  <c r="P16" i="10"/>
  <c r="P38" i="10"/>
  <c r="P56" i="10"/>
  <c r="P77" i="10"/>
  <c r="P99" i="10"/>
  <c r="P118" i="10"/>
  <c r="P138" i="10"/>
  <c r="P160" i="10"/>
  <c r="P182" i="10"/>
  <c r="P200" i="10"/>
  <c r="P219" i="10"/>
  <c r="P236" i="10"/>
  <c r="P255" i="10"/>
  <c r="P272" i="10"/>
  <c r="P291" i="10"/>
  <c r="P306" i="10"/>
  <c r="P323" i="10"/>
  <c r="P339" i="10"/>
  <c r="P354" i="10"/>
  <c r="P371" i="10"/>
  <c r="P387" i="10"/>
  <c r="P402" i="10"/>
  <c r="P419" i="10"/>
  <c r="P435" i="10"/>
  <c r="P450" i="10"/>
  <c r="P467" i="10"/>
  <c r="P483" i="10"/>
  <c r="P498" i="10"/>
  <c r="P512" i="10"/>
  <c r="P527" i="10"/>
  <c r="P542" i="10"/>
  <c r="P17" i="10"/>
  <c r="P39" i="10"/>
  <c r="P58" i="10"/>
  <c r="P78" i="10"/>
  <c r="P100" i="10"/>
  <c r="P122" i="10"/>
  <c r="P140" i="10"/>
  <c r="P161" i="10"/>
  <c r="P183" i="10"/>
  <c r="P202" i="10"/>
  <c r="P220" i="10"/>
  <c r="P238" i="10"/>
  <c r="P256" i="10"/>
  <c r="P274" i="10"/>
  <c r="P292" i="10"/>
  <c r="P308" i="10"/>
  <c r="P324" i="10"/>
  <c r="P340" i="10"/>
  <c r="P356" i="10"/>
  <c r="P372" i="10"/>
  <c r="P388" i="10"/>
  <c r="P404" i="10"/>
  <c r="P420" i="10"/>
  <c r="P436" i="10"/>
  <c r="P452" i="10"/>
  <c r="P468" i="10"/>
  <c r="P484" i="10"/>
  <c r="P499" i="10"/>
  <c r="P514" i="10"/>
  <c r="P528" i="10"/>
  <c r="P543" i="10"/>
  <c r="P18" i="10"/>
  <c r="P40" i="10"/>
  <c r="P62" i="10"/>
  <c r="P80" i="10"/>
  <c r="P101" i="10"/>
  <c r="P123" i="10"/>
  <c r="P142" i="10"/>
  <c r="P162" i="10"/>
  <c r="P184" i="10"/>
  <c r="P203" i="10"/>
  <c r="P221" i="10"/>
  <c r="P239" i="10"/>
  <c r="P257" i="10"/>
  <c r="P275" i="10"/>
  <c r="P293" i="10"/>
  <c r="P310" i="10"/>
  <c r="P326" i="10"/>
  <c r="P341" i="10"/>
  <c r="P358" i="10"/>
  <c r="P374" i="10"/>
  <c r="P389" i="10"/>
  <c r="P406" i="10"/>
  <c r="P422" i="10"/>
  <c r="P437" i="10"/>
  <c r="P454" i="10"/>
  <c r="P470" i="10"/>
  <c r="P485" i="10"/>
  <c r="P500" i="10"/>
  <c r="P515" i="10"/>
  <c r="P530" i="10"/>
  <c r="P544" i="10"/>
  <c r="P20" i="10"/>
  <c r="P41" i="10"/>
  <c r="P63" i="10"/>
  <c r="P82" i="10"/>
  <c r="P102" i="10"/>
  <c r="P124" i="10"/>
  <c r="P146" i="10"/>
  <c r="P164" i="10"/>
  <c r="P185" i="10"/>
  <c r="P206" i="10"/>
  <c r="P222" i="10"/>
  <c r="P242" i="10"/>
  <c r="P258" i="10"/>
  <c r="P278" i="10"/>
  <c r="P294" i="10"/>
  <c r="P311" i="10"/>
  <c r="P327" i="10"/>
  <c r="P342" i="10"/>
  <c r="P359" i="10"/>
  <c r="P375" i="10"/>
  <c r="P390" i="10"/>
  <c r="P407" i="10"/>
  <c r="P423" i="10"/>
  <c r="P438" i="10"/>
  <c r="P455" i="10"/>
  <c r="P471" i="10"/>
  <c r="P486" i="10"/>
  <c r="P502" i="10"/>
  <c r="P516" i="10"/>
  <c r="P531" i="10"/>
  <c r="P545" i="10"/>
  <c r="P3" i="10"/>
  <c r="P22" i="10"/>
  <c r="P42" i="10"/>
  <c r="P64" i="10"/>
  <c r="P86" i="10"/>
  <c r="P104" i="10"/>
  <c r="P125" i="10"/>
  <c r="P147" i="10"/>
  <c r="P166" i="10"/>
  <c r="P186" i="10"/>
  <c r="P207" i="10"/>
  <c r="P224" i="10"/>
  <c r="P243" i="10"/>
  <c r="P260" i="10"/>
  <c r="P279" i="10"/>
  <c r="P296" i="10"/>
  <c r="P312" i="10"/>
  <c r="P328" i="10"/>
  <c r="P344" i="10"/>
  <c r="P360" i="10"/>
  <c r="P376" i="10"/>
  <c r="P392" i="10"/>
  <c r="P408" i="10"/>
  <c r="P424" i="10"/>
  <c r="P440" i="10"/>
  <c r="P456" i="10"/>
  <c r="P472" i="10"/>
  <c r="P488" i="10"/>
  <c r="P503" i="10"/>
  <c r="P518" i="10"/>
  <c r="P532" i="10"/>
  <c r="P546" i="10"/>
  <c r="P4" i="10"/>
  <c r="P26" i="10"/>
  <c r="P44" i="10"/>
  <c r="P65" i="10"/>
  <c r="P87" i="10"/>
  <c r="P106" i="10"/>
  <c r="P126" i="10"/>
  <c r="P148" i="10"/>
  <c r="P170" i="10"/>
  <c r="P188" i="10"/>
  <c r="P208" i="10"/>
  <c r="P226" i="10"/>
  <c r="P244" i="10"/>
  <c r="P262" i="10"/>
  <c r="P280" i="10"/>
  <c r="P298" i="10"/>
  <c r="P314" i="10"/>
  <c r="P329" i="10"/>
  <c r="P346" i="10"/>
  <c r="P362" i="10"/>
  <c r="P377" i="10"/>
  <c r="P394" i="10"/>
  <c r="P410" i="10"/>
  <c r="P425" i="10"/>
  <c r="P442" i="10"/>
  <c r="P458" i="10"/>
  <c r="P473" i="10"/>
  <c r="P490" i="10"/>
  <c r="P504" i="10"/>
  <c r="P519" i="10"/>
  <c r="P533" i="10"/>
  <c r="P547" i="10"/>
  <c r="P5" i="10"/>
  <c r="P27" i="10"/>
  <c r="P46" i="10"/>
  <c r="P66" i="10"/>
  <c r="P88" i="10"/>
  <c r="P110" i="10"/>
  <c r="P128" i="10"/>
  <c r="P149" i="10"/>
  <c r="P171" i="10"/>
  <c r="P190" i="10"/>
  <c r="P209" i="10"/>
  <c r="P227" i="10"/>
  <c r="P245" i="10"/>
  <c r="P263" i="10"/>
  <c r="P281" i="10"/>
  <c r="P299" i="10"/>
  <c r="P315" i="10"/>
  <c r="P330" i="10"/>
  <c r="P347" i="10"/>
  <c r="P363" i="10"/>
  <c r="P378" i="10"/>
  <c r="P395" i="10"/>
  <c r="P411" i="10"/>
  <c r="P426" i="10"/>
  <c r="P443" i="10"/>
  <c r="P459" i="10"/>
  <c r="P474" i="10"/>
  <c r="P491" i="10"/>
  <c r="P506" i="10"/>
  <c r="P520" i="10"/>
  <c r="P534" i="10"/>
  <c r="P10" i="10"/>
  <c r="P30" i="10"/>
  <c r="P52" i="10"/>
  <c r="P74" i="10"/>
  <c r="P92" i="10"/>
  <c r="P113" i="10"/>
  <c r="P135" i="10"/>
  <c r="P154" i="10"/>
  <c r="P174" i="10"/>
  <c r="P196" i="10"/>
  <c r="P214" i="10"/>
  <c r="P232" i="10"/>
  <c r="P250" i="10"/>
  <c r="P268" i="10"/>
  <c r="P286" i="10"/>
  <c r="P303" i="10"/>
  <c r="P318" i="10"/>
  <c r="P335" i="10"/>
  <c r="P351" i="10"/>
  <c r="P366" i="10"/>
  <c r="P383" i="10"/>
  <c r="P399" i="10"/>
  <c r="P414" i="10"/>
  <c r="P431" i="10"/>
  <c r="P14" i="10"/>
  <c r="P32" i="10"/>
  <c r="P53" i="10"/>
  <c r="P75" i="10"/>
  <c r="P94" i="10"/>
  <c r="P114" i="10"/>
  <c r="P136" i="10"/>
  <c r="P158" i="10"/>
  <c r="P176" i="10"/>
  <c r="P197" i="10"/>
  <c r="P215" i="10"/>
  <c r="P233" i="10"/>
  <c r="P251" i="10"/>
  <c r="P269" i="10"/>
  <c r="P287" i="10"/>
  <c r="P304" i="10"/>
  <c r="P320" i="10"/>
  <c r="P336" i="10"/>
  <c r="P352" i="10"/>
  <c r="P368" i="10"/>
  <c r="P384" i="10"/>
  <c r="P400" i="10"/>
  <c r="P416" i="10"/>
  <c r="P432" i="10"/>
  <c r="P448" i="10"/>
  <c r="P464" i="10"/>
  <c r="P480" i="10"/>
  <c r="P112" i="10"/>
  <c r="P231" i="10"/>
  <c r="P334" i="10"/>
  <c r="P430" i="10"/>
  <c r="P495" i="10"/>
  <c r="P538" i="10"/>
  <c r="P6" i="10"/>
  <c r="P130" i="10"/>
  <c r="P246" i="10"/>
  <c r="P348" i="10"/>
  <c r="P444" i="10"/>
  <c r="P496" i="10"/>
  <c r="P539" i="10"/>
  <c r="P8" i="10"/>
  <c r="P134" i="10"/>
  <c r="P248" i="10"/>
  <c r="P350" i="10"/>
  <c r="P446" i="10"/>
  <c r="P507" i="10"/>
  <c r="P28" i="10"/>
  <c r="P150" i="10"/>
  <c r="P266" i="10"/>
  <c r="P364" i="10"/>
  <c r="P447" i="10"/>
  <c r="P508" i="10"/>
  <c r="P29" i="10"/>
  <c r="P152" i="10"/>
  <c r="P267" i="10"/>
  <c r="P365" i="10"/>
  <c r="P460" i="10"/>
  <c r="P509" i="10"/>
  <c r="P50" i="10"/>
  <c r="P172" i="10"/>
  <c r="P282" i="10"/>
  <c r="P380" i="10"/>
  <c r="P461" i="10"/>
  <c r="P510" i="10"/>
  <c r="P51" i="10"/>
  <c r="P173" i="10"/>
  <c r="P284" i="10"/>
  <c r="P382" i="10"/>
  <c r="P462" i="10"/>
  <c r="P521" i="10"/>
  <c r="P89" i="10"/>
  <c r="P210" i="10"/>
  <c r="P316" i="10"/>
  <c r="P412" i="10"/>
  <c r="P479" i="10"/>
  <c r="P524" i="10"/>
  <c r="P90" i="10"/>
  <c r="P212" i="10"/>
  <c r="P317" i="10"/>
  <c r="P413" i="10"/>
  <c r="P492" i="10"/>
  <c r="P535" i="10"/>
  <c r="P396" i="10"/>
  <c r="P398" i="10"/>
  <c r="P428" i="10"/>
  <c r="P68" i="10"/>
  <c r="P476" i="10"/>
  <c r="P70" i="10"/>
  <c r="P478" i="10"/>
  <c r="P111" i="10"/>
  <c r="P494" i="10"/>
  <c r="P194" i="10"/>
  <c r="P522" i="10"/>
  <c r="P195" i="10"/>
  <c r="P523" i="10"/>
  <c r="P302" i="10"/>
  <c r="P536" i="10"/>
  <c r="P230" i="10"/>
  <c r="P300" i="10"/>
  <c r="P332" i="10"/>
  <c r="AK7" i="10"/>
  <c r="J23" i="10" s="1"/>
  <c r="AK12" i="10"/>
  <c r="R348" i="10" s="1"/>
  <c r="AK5" i="10"/>
  <c r="F183" i="10" s="1"/>
  <c r="AK9" i="10"/>
  <c r="N44" i="10" s="1"/>
  <c r="AK6" i="10"/>
  <c r="H403" i="10" s="1"/>
  <c r="P2" i="10"/>
  <c r="L2" i="10"/>
  <c r="P201" i="10" l="1"/>
  <c r="P57" i="10"/>
  <c r="P403" i="10"/>
  <c r="P259" i="10"/>
  <c r="P115" i="10"/>
  <c r="L123" i="10"/>
  <c r="P305" i="10"/>
  <c r="P76" i="10"/>
  <c r="P445" i="10"/>
  <c r="P301" i="10"/>
  <c r="P157" i="10"/>
  <c r="P13" i="10"/>
  <c r="P156" i="10"/>
  <c r="P12" i="10"/>
  <c r="P59" i="10"/>
  <c r="P453" i="10"/>
  <c r="P309" i="10"/>
  <c r="P165" i="10"/>
  <c r="P21" i="10"/>
  <c r="P367" i="10"/>
  <c r="P223" i="10"/>
  <c r="P79" i="10"/>
  <c r="L445" i="10"/>
  <c r="L116" i="10"/>
  <c r="L215" i="10"/>
  <c r="L399" i="10"/>
  <c r="L157" i="10"/>
  <c r="L65" i="10"/>
  <c r="L206" i="10"/>
  <c r="P254" i="10"/>
  <c r="P15" i="10"/>
  <c r="P409" i="10"/>
  <c r="P265" i="10"/>
  <c r="P121" i="10"/>
  <c r="P264" i="10"/>
  <c r="P120" i="10"/>
  <c r="P167" i="10"/>
  <c r="P23" i="10"/>
  <c r="P417" i="10"/>
  <c r="P273" i="10"/>
  <c r="P129" i="10"/>
  <c r="P475" i="10"/>
  <c r="P331" i="10"/>
  <c r="P187" i="10"/>
  <c r="P43" i="10"/>
  <c r="L265" i="10"/>
  <c r="L283" i="10"/>
  <c r="L531" i="10"/>
  <c r="L186" i="10"/>
  <c r="L351" i="10"/>
  <c r="L184" i="10"/>
  <c r="L427" i="10"/>
  <c r="P261" i="10"/>
  <c r="P117" i="10"/>
  <c r="P463" i="10"/>
  <c r="P319" i="10"/>
  <c r="P175" i="10"/>
  <c r="L426" i="10"/>
  <c r="L387" i="10"/>
  <c r="L209" i="10"/>
  <c r="L64" i="10"/>
  <c r="L380" i="10"/>
  <c r="L198" i="10"/>
  <c r="L462" i="10"/>
  <c r="L518" i="10"/>
  <c r="L140" i="10"/>
  <c r="L360" i="10"/>
  <c r="L29" i="10"/>
  <c r="L279" i="10"/>
  <c r="L415" i="10"/>
  <c r="L167" i="10"/>
  <c r="L447" i="10"/>
  <c r="L435" i="10"/>
  <c r="L459" i="10"/>
  <c r="L352" i="10"/>
  <c r="L348" i="10"/>
  <c r="L17" i="10"/>
  <c r="L267" i="10"/>
  <c r="L390" i="10"/>
  <c r="L35" i="10"/>
  <c r="L253" i="10"/>
  <c r="L400" i="10"/>
  <c r="L433" i="10"/>
  <c r="L200" i="10"/>
  <c r="L503" i="10"/>
  <c r="L418" i="10"/>
  <c r="L171" i="10"/>
  <c r="L132" i="10"/>
  <c r="L338" i="10"/>
  <c r="L409" i="10"/>
  <c r="L193" i="10"/>
  <c r="L205" i="10"/>
  <c r="L163" i="10"/>
  <c r="L139" i="10"/>
  <c r="L467" i="10"/>
  <c r="L196" i="10"/>
  <c r="L524" i="10"/>
  <c r="L147" i="10"/>
  <c r="L182" i="10"/>
  <c r="L366" i="10"/>
  <c r="L135" i="10"/>
  <c r="L170" i="10"/>
  <c r="L354" i="10"/>
  <c r="L158" i="10"/>
  <c r="L342" i="10"/>
  <c r="L20" i="10"/>
  <c r="L248" i="10"/>
  <c r="L519" i="10"/>
  <c r="L244" i="10"/>
  <c r="L483" i="10"/>
  <c r="L540" i="10"/>
  <c r="L359" i="10"/>
  <c r="L466" i="10"/>
  <c r="L489" i="10"/>
  <c r="L27" i="10"/>
  <c r="L62" i="10"/>
  <c r="L216" i="10"/>
  <c r="L506" i="10"/>
  <c r="L210" i="10"/>
  <c r="L460" i="10"/>
  <c r="L202" i="10"/>
  <c r="L424" i="10"/>
  <c r="L516" i="10"/>
  <c r="L335" i="10"/>
  <c r="L442" i="10"/>
  <c r="L465" i="10"/>
  <c r="L3" i="10"/>
  <c r="L38" i="10"/>
  <c r="L192" i="10"/>
  <c r="L474" i="10"/>
  <c r="L188" i="10"/>
  <c r="L434" i="10"/>
  <c r="L181" i="10"/>
  <c r="L388" i="10"/>
  <c r="L504" i="10"/>
  <c r="L317" i="10"/>
  <c r="L430" i="10"/>
  <c r="L453" i="10"/>
  <c r="L536" i="10"/>
  <c r="L26" i="10"/>
  <c r="L168" i="10"/>
  <c r="L372" i="10"/>
  <c r="L185" i="10"/>
  <c r="L208" i="10"/>
  <c r="L291" i="10"/>
  <c r="L404" i="10"/>
  <c r="L439" i="10"/>
  <c r="L266" i="10"/>
  <c r="L151" i="10"/>
  <c r="L83" i="10"/>
  <c r="L297" i="10"/>
  <c r="L46" i="10"/>
  <c r="L169" i="10"/>
  <c r="L318" i="10"/>
  <c r="L90" i="10"/>
  <c r="L176" i="10"/>
  <c r="L421" i="10"/>
  <c r="L153" i="10"/>
  <c r="L376" i="10"/>
  <c r="L145" i="10"/>
  <c r="L364" i="10"/>
  <c r="L143" i="10"/>
  <c r="L363" i="10"/>
  <c r="L142" i="10"/>
  <c r="L362" i="10"/>
  <c r="L141" i="10"/>
  <c r="L361" i="10"/>
  <c r="L118" i="10"/>
  <c r="L319" i="10"/>
  <c r="L95" i="10"/>
  <c r="L79" i="10"/>
  <c r="L480" i="10"/>
  <c r="L336" i="10"/>
  <c r="L443" i="10"/>
  <c r="L293" i="10"/>
  <c r="L149" i="10"/>
  <c r="L5" i="10"/>
  <c r="L406" i="10"/>
  <c r="L172" i="10"/>
  <c r="L28" i="10"/>
  <c r="L429" i="10"/>
  <c r="L255" i="10"/>
  <c r="L111" i="10"/>
  <c r="L512" i="10"/>
  <c r="L368" i="10"/>
  <c r="L146" i="10"/>
  <c r="L547" i="10"/>
  <c r="L403" i="10"/>
  <c r="L330" i="10"/>
  <c r="L84" i="10"/>
  <c r="L10" i="10"/>
  <c r="L374" i="10"/>
  <c r="L9" i="10"/>
  <c r="L249" i="10"/>
  <c r="L507" i="10"/>
  <c r="L107" i="10"/>
  <c r="L272" i="10"/>
  <c r="L11" i="10"/>
  <c r="L154" i="10"/>
  <c r="L385" i="10"/>
  <c r="L131" i="10"/>
  <c r="L340" i="10"/>
  <c r="L127" i="10"/>
  <c r="L328" i="10"/>
  <c r="L126" i="10"/>
  <c r="L327" i="10"/>
  <c r="L121" i="10"/>
  <c r="L326" i="10"/>
  <c r="L119" i="10"/>
  <c r="L320" i="10"/>
  <c r="L97" i="10"/>
  <c r="L304" i="10"/>
  <c r="L71" i="10"/>
  <c r="L67" i="10"/>
  <c r="L468" i="10"/>
  <c r="L30" i="10"/>
  <c r="L431" i="10"/>
  <c r="L281" i="10"/>
  <c r="L137" i="10"/>
  <c r="L538" i="10"/>
  <c r="L394" i="10"/>
  <c r="L160" i="10"/>
  <c r="L16" i="10"/>
  <c r="L417" i="10"/>
  <c r="L243" i="10"/>
  <c r="L99" i="10"/>
  <c r="L500" i="10"/>
  <c r="L356" i="10"/>
  <c r="L134" i="10"/>
  <c r="L535" i="10"/>
  <c r="L391" i="10"/>
  <c r="L324" i="10"/>
  <c r="L60" i="10"/>
  <c r="L256" i="10"/>
  <c r="L448" i="10"/>
  <c r="L469" i="10"/>
  <c r="L189" i="10"/>
  <c r="L422" i="10"/>
  <c r="L37" i="10"/>
  <c r="L217" i="10"/>
  <c r="L471" i="10"/>
  <c r="L133" i="10"/>
  <c r="L349" i="10"/>
  <c r="L114" i="10"/>
  <c r="L325" i="10"/>
  <c r="L105" i="10"/>
  <c r="L323" i="10"/>
  <c r="L104" i="10"/>
  <c r="L322" i="10"/>
  <c r="L103" i="10"/>
  <c r="L321" i="10"/>
  <c r="L102" i="10"/>
  <c r="L306" i="10"/>
  <c r="L73" i="10"/>
  <c r="L289" i="10"/>
  <c r="L47" i="10"/>
  <c r="L55" i="10"/>
  <c r="L456" i="10"/>
  <c r="L18" i="10"/>
  <c r="L419" i="10"/>
  <c r="L269" i="10"/>
  <c r="L125" i="10"/>
  <c r="L526" i="10"/>
  <c r="L382" i="10"/>
  <c r="L148" i="10"/>
  <c r="L4" i="10"/>
  <c r="L405" i="10"/>
  <c r="L231" i="10"/>
  <c r="L87" i="10"/>
  <c r="L488" i="10"/>
  <c r="L344" i="10"/>
  <c r="L122" i="10"/>
  <c r="L523" i="10"/>
  <c r="L379" i="10"/>
  <c r="L288" i="10"/>
  <c r="L24" i="10"/>
  <c r="L534" i="10"/>
  <c r="L138" i="10"/>
  <c r="L373" i="10"/>
  <c r="L128" i="10"/>
  <c r="L284" i="10"/>
  <c r="L496" i="10"/>
  <c r="L155" i="10"/>
  <c r="L375" i="10"/>
  <c r="L115" i="10"/>
  <c r="L315" i="10"/>
  <c r="L92" i="10"/>
  <c r="L310" i="10"/>
  <c r="L82" i="10"/>
  <c r="L309" i="10"/>
  <c r="L81" i="10"/>
  <c r="L308" i="10"/>
  <c r="L80" i="10"/>
  <c r="L307" i="10"/>
  <c r="L78" i="10"/>
  <c r="L290" i="10"/>
  <c r="L49" i="10"/>
  <c r="L273" i="10"/>
  <c r="L22" i="10"/>
  <c r="L43" i="10"/>
  <c r="L444" i="10"/>
  <c r="L6" i="10"/>
  <c r="L407" i="10"/>
  <c r="L257" i="10"/>
  <c r="L113" i="10"/>
  <c r="L514" i="10"/>
  <c r="L370" i="10"/>
  <c r="L136" i="10"/>
  <c r="L537" i="10"/>
  <c r="L393" i="10"/>
  <c r="L219" i="10"/>
  <c r="L75" i="10"/>
  <c r="L476" i="10"/>
  <c r="L332" i="10"/>
  <c r="L110" i="10"/>
  <c r="L511" i="10"/>
  <c r="L367" i="10"/>
  <c r="L264" i="10"/>
  <c r="L12" i="10"/>
  <c r="L251" i="10"/>
  <c r="L350" i="10"/>
  <c r="L298" i="10"/>
  <c r="L59" i="10"/>
  <c r="L235" i="10"/>
  <c r="L410" i="10"/>
  <c r="L94" i="10"/>
  <c r="L316" i="10"/>
  <c r="L93" i="10"/>
  <c r="L301" i="10"/>
  <c r="L68" i="10"/>
  <c r="L296" i="10"/>
  <c r="L58" i="10"/>
  <c r="L295" i="10"/>
  <c r="L57" i="10"/>
  <c r="L294" i="10"/>
  <c r="L56" i="10"/>
  <c r="L292" i="10"/>
  <c r="L54" i="10"/>
  <c r="L274" i="10"/>
  <c r="L23" i="10"/>
  <c r="L258" i="10"/>
  <c r="L541" i="10"/>
  <c r="L31" i="10"/>
  <c r="L432" i="10"/>
  <c r="L539" i="10"/>
  <c r="L395" i="10"/>
  <c r="L245" i="10"/>
  <c r="L101" i="10"/>
  <c r="L502" i="10"/>
  <c r="L358" i="10"/>
  <c r="L124" i="10"/>
  <c r="L525" i="10"/>
  <c r="L381" i="10"/>
  <c r="L207" i="10"/>
  <c r="L63" i="10"/>
  <c r="L464" i="10"/>
  <c r="L242" i="10"/>
  <c r="L98" i="10"/>
  <c r="L499" i="10"/>
  <c r="L355" i="10"/>
  <c r="L252" i="10"/>
  <c r="L533" i="10"/>
  <c r="L530" i="10"/>
  <c r="L199" i="10"/>
  <c r="L250" i="10"/>
  <c r="L522" i="10"/>
  <c r="L174" i="10"/>
  <c r="L282" i="10"/>
  <c r="L21" i="10"/>
  <c r="L302" i="10"/>
  <c r="L69" i="10"/>
  <c r="L285" i="10"/>
  <c r="L44" i="10"/>
  <c r="L280" i="10"/>
  <c r="L34" i="10"/>
  <c r="L278" i="10"/>
  <c r="L33" i="10"/>
  <c r="L277" i="10"/>
  <c r="L32" i="10"/>
  <c r="L275" i="10"/>
  <c r="L25" i="10"/>
  <c r="L259" i="10"/>
  <c r="L542" i="10"/>
  <c r="L239" i="10"/>
  <c r="L508" i="10"/>
  <c r="L19" i="10"/>
  <c r="L420" i="10"/>
  <c r="L527" i="10"/>
  <c r="L383" i="10"/>
  <c r="L233" i="10"/>
  <c r="L89" i="10"/>
  <c r="L490" i="10"/>
  <c r="L346" i="10"/>
  <c r="L112" i="10"/>
  <c r="L513" i="10"/>
  <c r="L369" i="10"/>
  <c r="L195" i="10"/>
  <c r="L51" i="10"/>
  <c r="L452" i="10"/>
  <c r="L230" i="10"/>
  <c r="L86" i="10"/>
  <c r="L487" i="10"/>
  <c r="L331" i="10"/>
  <c r="L240" i="10"/>
  <c r="L521" i="10"/>
  <c r="L66" i="10"/>
  <c r="L130" i="10"/>
  <c r="L190" i="10"/>
  <c r="L436" i="10"/>
  <c r="L109" i="10"/>
  <c r="L229" i="10"/>
  <c r="L481" i="10"/>
  <c r="L286" i="10"/>
  <c r="L45" i="10"/>
  <c r="L270" i="10"/>
  <c r="L13" i="10"/>
  <c r="L263" i="10"/>
  <c r="L8" i="10"/>
  <c r="L262" i="10"/>
  <c r="L546" i="10"/>
  <c r="L261" i="10"/>
  <c r="L544" i="10"/>
  <c r="L260" i="10"/>
  <c r="L543" i="10"/>
  <c r="L241" i="10"/>
  <c r="L510" i="10"/>
  <c r="L222" i="10"/>
  <c r="L482" i="10"/>
  <c r="L7" i="10"/>
  <c r="L408" i="10"/>
  <c r="L515" i="10"/>
  <c r="L371" i="10"/>
  <c r="L221" i="10"/>
  <c r="L77" i="10"/>
  <c r="L478" i="10"/>
  <c r="L334" i="10"/>
  <c r="L100" i="10"/>
  <c r="L501" i="10"/>
  <c r="L357" i="10"/>
  <c r="L183" i="10"/>
  <c r="L39" i="10"/>
  <c r="L440" i="10"/>
  <c r="L218" i="10"/>
  <c r="L74" i="10"/>
  <c r="L475" i="10"/>
  <c r="L402" i="10"/>
  <c r="L228" i="10"/>
  <c r="L497" i="10"/>
  <c r="L313" i="10"/>
  <c r="L470" i="10"/>
  <c r="L311" i="10"/>
  <c r="L61" i="10"/>
  <c r="L287" i="10"/>
  <c r="L498" i="10"/>
  <c r="L106" i="10"/>
  <c r="L314" i="10"/>
  <c r="L254" i="10"/>
  <c r="L532" i="10"/>
  <c r="L236" i="10"/>
  <c r="L505" i="10"/>
  <c r="L227" i="10"/>
  <c r="L494" i="10"/>
  <c r="L226" i="10"/>
  <c r="L493" i="10"/>
  <c r="L225" i="10"/>
  <c r="L486" i="10"/>
  <c r="L224" i="10"/>
  <c r="L484" i="10"/>
  <c r="L201" i="10"/>
  <c r="L457" i="10"/>
  <c r="L178" i="10"/>
  <c r="L423" i="10"/>
  <c r="L528" i="10"/>
  <c r="L384" i="10"/>
  <c r="L491" i="10"/>
  <c r="L347" i="10"/>
  <c r="L197" i="10"/>
  <c r="L53" i="10"/>
  <c r="L454" i="10"/>
  <c r="L220" i="10"/>
  <c r="L76" i="10"/>
  <c r="L477" i="10"/>
  <c r="L333" i="10"/>
  <c r="L159" i="10"/>
  <c r="L15" i="10"/>
  <c r="L416" i="10"/>
  <c r="L194" i="10"/>
  <c r="L50" i="10"/>
  <c r="L451" i="10"/>
  <c r="L378" i="10"/>
  <c r="L204" i="10"/>
  <c r="L461" i="10"/>
  <c r="L312" i="10"/>
  <c r="L156" i="10"/>
  <c r="L449" i="10"/>
  <c r="L343" i="10"/>
  <c r="L300" i="10"/>
  <c r="L144" i="10"/>
  <c r="L425" i="10"/>
  <c r="L414" i="10"/>
  <c r="L276" i="10"/>
  <c r="L120" i="10"/>
  <c r="L108" i="10"/>
  <c r="L96" i="10"/>
  <c r="L437" i="10"/>
  <c r="L72" i="10"/>
  <c r="L377" i="10"/>
  <c r="L48" i="10"/>
  <c r="L180" i="10"/>
  <c r="L36" i="10"/>
  <c r="L413" i="10"/>
  <c r="L365" i="10"/>
  <c r="R513" i="10"/>
  <c r="R323" i="10"/>
  <c r="R265" i="10"/>
  <c r="R378" i="10"/>
  <c r="F75" i="10"/>
  <c r="L401" i="10"/>
  <c r="L545" i="10"/>
  <c r="L389" i="10"/>
  <c r="L509" i="10"/>
  <c r="L341" i="10"/>
  <c r="L473" i="10"/>
  <c r="H131" i="10"/>
  <c r="H164" i="10"/>
  <c r="H71" i="10"/>
  <c r="R457" i="10"/>
  <c r="H353" i="10"/>
  <c r="H120" i="10"/>
  <c r="R456" i="10"/>
  <c r="H432" i="10"/>
  <c r="F517" i="10"/>
  <c r="H44" i="10"/>
  <c r="H169" i="10"/>
  <c r="F364" i="10"/>
  <c r="H184" i="10"/>
  <c r="H78" i="10"/>
  <c r="F459" i="10"/>
  <c r="H425" i="10"/>
  <c r="H77" i="10"/>
  <c r="F92" i="10"/>
  <c r="L485" i="10"/>
  <c r="L329" i="10"/>
  <c r="H56" i="10"/>
  <c r="H220" i="10"/>
  <c r="H135" i="10"/>
  <c r="F258" i="10"/>
  <c r="H477" i="10"/>
  <c r="H98" i="10"/>
  <c r="F331" i="10"/>
  <c r="H121" i="10"/>
  <c r="H190" i="10"/>
  <c r="H467" i="10"/>
  <c r="H512" i="10"/>
  <c r="H112" i="10"/>
  <c r="H401" i="10"/>
  <c r="H36" i="10"/>
  <c r="H105" i="10"/>
  <c r="H172" i="10"/>
  <c r="H443" i="10"/>
  <c r="H500" i="10"/>
  <c r="R193" i="10"/>
  <c r="F328" i="10"/>
  <c r="F89" i="10"/>
  <c r="H253" i="10"/>
  <c r="H73" i="10"/>
  <c r="H338" i="10"/>
  <c r="H413" i="10"/>
  <c r="H483" i="10"/>
  <c r="H269" i="10"/>
  <c r="H314" i="10"/>
  <c r="F235" i="10"/>
  <c r="F86" i="10"/>
  <c r="H438" i="10"/>
  <c r="H311" i="10"/>
  <c r="H323" i="10"/>
  <c r="H396" i="10"/>
  <c r="H447" i="10"/>
  <c r="H257" i="10"/>
  <c r="H278" i="10"/>
  <c r="R417" i="10"/>
  <c r="F182" i="10"/>
  <c r="F464" i="10"/>
  <c r="H201" i="10"/>
  <c r="H295" i="10"/>
  <c r="H91" i="10"/>
  <c r="H156" i="10"/>
  <c r="H189" i="10"/>
  <c r="H89" i="10"/>
  <c r="H110" i="10"/>
  <c r="R402" i="10"/>
  <c r="F531" i="10"/>
  <c r="F475" i="10"/>
  <c r="H237" i="10"/>
  <c r="H59" i="10"/>
  <c r="H376" i="10"/>
  <c r="H412" i="10"/>
  <c r="H482" i="10"/>
  <c r="H454" i="10"/>
  <c r="H475" i="10"/>
  <c r="R472" i="10"/>
  <c r="F250" i="10"/>
  <c r="F101" i="10"/>
  <c r="H165" i="10"/>
  <c r="H23" i="10"/>
  <c r="H337" i="10"/>
  <c r="H390" i="10"/>
  <c r="H462" i="10"/>
  <c r="H442" i="10"/>
  <c r="H463" i="10"/>
  <c r="R448" i="10"/>
  <c r="F237" i="10"/>
  <c r="F486" i="10"/>
  <c r="H386" i="10"/>
  <c r="H424" i="10"/>
  <c r="H88" i="10"/>
  <c r="H155" i="10"/>
  <c r="H258" i="10"/>
  <c r="H357" i="10"/>
  <c r="F286" i="10"/>
  <c r="F239" i="10"/>
  <c r="H274" i="10"/>
  <c r="H152" i="10"/>
  <c r="H308" i="10"/>
  <c r="H70" i="10"/>
  <c r="H139" i="10"/>
  <c r="H246" i="10"/>
  <c r="H315" i="10"/>
  <c r="R391" i="10"/>
  <c r="R384" i="10"/>
  <c r="F273" i="10"/>
  <c r="F62" i="10"/>
  <c r="H202" i="10"/>
  <c r="H80" i="10"/>
  <c r="H288" i="10"/>
  <c r="H375" i="10"/>
  <c r="H448" i="10"/>
  <c r="H90" i="10"/>
  <c r="H147" i="10"/>
  <c r="R370" i="10"/>
  <c r="F199" i="10"/>
  <c r="F108" i="10"/>
  <c r="F219" i="10"/>
  <c r="H130" i="10"/>
  <c r="H40" i="10"/>
  <c r="H312" i="10"/>
  <c r="H93" i="10"/>
  <c r="H8" i="10"/>
  <c r="H132" i="10"/>
  <c r="H275" i="10"/>
  <c r="H532" i="10"/>
  <c r="H272" i="10"/>
  <c r="H20" i="10"/>
  <c r="H307" i="10"/>
  <c r="H55" i="10"/>
  <c r="H304" i="10"/>
  <c r="H52" i="10"/>
  <c r="H336" i="10"/>
  <c r="H85" i="10"/>
  <c r="H374" i="10"/>
  <c r="H84" i="10"/>
  <c r="H373" i="10"/>
  <c r="H119" i="10"/>
  <c r="H411" i="10"/>
  <c r="H154" i="10"/>
  <c r="H410" i="10"/>
  <c r="H153" i="10"/>
  <c r="H446" i="10"/>
  <c r="H234" i="10"/>
  <c r="H66" i="10"/>
  <c r="H419" i="10"/>
  <c r="H245" i="10"/>
  <c r="H65" i="10"/>
  <c r="H430" i="10"/>
  <c r="H303" i="10"/>
  <c r="H123" i="10"/>
  <c r="H488" i="10"/>
  <c r="H266" i="10"/>
  <c r="H86" i="10"/>
  <c r="H451" i="10"/>
  <c r="R345" i="10"/>
  <c r="R11" i="10"/>
  <c r="R403" i="10"/>
  <c r="R68" i="10"/>
  <c r="R198" i="10"/>
  <c r="R256" i="10"/>
  <c r="R144" i="10"/>
  <c r="F300" i="10"/>
  <c r="F399" i="10"/>
  <c r="F261" i="10"/>
  <c r="F170" i="10"/>
  <c r="F116" i="10"/>
  <c r="F155" i="10"/>
  <c r="F359" i="10"/>
  <c r="F53" i="10"/>
  <c r="F440" i="10"/>
  <c r="F307" i="10"/>
  <c r="F462" i="10"/>
  <c r="F26" i="10"/>
  <c r="F27" i="10"/>
  <c r="H58" i="10"/>
  <c r="H441" i="10"/>
  <c r="H240" i="10"/>
  <c r="H21" i="10"/>
  <c r="H481" i="10"/>
  <c r="H530" i="10"/>
  <c r="H239" i="10"/>
  <c r="H516" i="10"/>
  <c r="H252" i="10"/>
  <c r="H545" i="10"/>
  <c r="H287" i="10"/>
  <c r="H19" i="10"/>
  <c r="H286" i="10"/>
  <c r="H34" i="10"/>
  <c r="H321" i="10"/>
  <c r="H69" i="10"/>
  <c r="H330" i="10"/>
  <c r="H68" i="10"/>
  <c r="H351" i="10"/>
  <c r="H103" i="10"/>
  <c r="H389" i="10"/>
  <c r="H118" i="10"/>
  <c r="H388" i="10"/>
  <c r="H133" i="10"/>
  <c r="H426" i="10"/>
  <c r="H222" i="10"/>
  <c r="H42" i="10"/>
  <c r="H407" i="10"/>
  <c r="H233" i="10"/>
  <c r="H53" i="10"/>
  <c r="H406" i="10"/>
  <c r="H291" i="10"/>
  <c r="H111" i="10"/>
  <c r="H464" i="10"/>
  <c r="H254" i="10"/>
  <c r="H74" i="10"/>
  <c r="H427" i="10"/>
  <c r="R321" i="10"/>
  <c r="R406" i="10"/>
  <c r="R191" i="10"/>
  <c r="R416" i="10"/>
  <c r="R90" i="10"/>
  <c r="R160" i="10"/>
  <c r="F385" i="10"/>
  <c r="F197" i="10"/>
  <c r="F327" i="10"/>
  <c r="F532" i="10"/>
  <c r="F41" i="10"/>
  <c r="F80" i="10"/>
  <c r="F127" i="10"/>
  <c r="F233" i="10"/>
  <c r="F35" i="10"/>
  <c r="F428" i="10"/>
  <c r="F294" i="10"/>
  <c r="F450" i="10"/>
  <c r="F10" i="10"/>
  <c r="F15" i="10"/>
  <c r="N355" i="10"/>
  <c r="H531" i="10"/>
  <c r="H273" i="10"/>
  <c r="H168" i="10"/>
  <c r="H494" i="10"/>
  <c r="H408" i="10"/>
  <c r="H260" i="10"/>
  <c r="H203" i="10"/>
  <c r="H496" i="10"/>
  <c r="H236" i="10"/>
  <c r="H529" i="10"/>
  <c r="H271" i="10"/>
  <c r="H528" i="10"/>
  <c r="H268" i="10"/>
  <c r="H16" i="10"/>
  <c r="H301" i="10"/>
  <c r="H49" i="10"/>
  <c r="H300" i="10"/>
  <c r="H48" i="10"/>
  <c r="H329" i="10"/>
  <c r="H83" i="10"/>
  <c r="H372" i="10"/>
  <c r="H82" i="10"/>
  <c r="H366" i="10"/>
  <c r="H117" i="10"/>
  <c r="H409" i="10"/>
  <c r="H210" i="10"/>
  <c r="H18" i="10"/>
  <c r="H395" i="10"/>
  <c r="H221" i="10"/>
  <c r="H41" i="10"/>
  <c r="H370" i="10"/>
  <c r="H279" i="10"/>
  <c r="H99" i="10"/>
  <c r="H428" i="10"/>
  <c r="H242" i="10"/>
  <c r="H62" i="10"/>
  <c r="H391" i="10"/>
  <c r="R177" i="10"/>
  <c r="R367" i="10"/>
  <c r="R143" i="10"/>
  <c r="R373" i="10"/>
  <c r="R66" i="10"/>
  <c r="R124" i="10"/>
  <c r="F484" i="10"/>
  <c r="F5" i="10"/>
  <c r="F238" i="10"/>
  <c r="F460" i="10"/>
  <c r="F518" i="10"/>
  <c r="F44" i="10"/>
  <c r="F93" i="10"/>
  <c r="F526" i="10"/>
  <c r="F323" i="10"/>
  <c r="F416" i="10"/>
  <c r="F228" i="10"/>
  <c r="F438" i="10"/>
  <c r="F67" i="10"/>
  <c r="F3" i="10"/>
  <c r="N50" i="10"/>
  <c r="H384" i="10"/>
  <c r="H458" i="10"/>
  <c r="H96" i="10"/>
  <c r="H422" i="10"/>
  <c r="H60" i="10"/>
  <c r="H423" i="10"/>
  <c r="H187" i="10"/>
  <c r="H480" i="10"/>
  <c r="H216" i="10"/>
  <c r="H509" i="10"/>
  <c r="H235" i="10"/>
  <c r="H508" i="10"/>
  <c r="H250" i="10"/>
  <c r="H543" i="10"/>
  <c r="H285" i="10"/>
  <c r="H13" i="10"/>
  <c r="H284" i="10"/>
  <c r="H32" i="10"/>
  <c r="H319" i="10"/>
  <c r="H67" i="10"/>
  <c r="H328" i="10"/>
  <c r="H64" i="10"/>
  <c r="H349" i="10"/>
  <c r="H97" i="10"/>
  <c r="H387" i="10"/>
  <c r="H186" i="10"/>
  <c r="H6" i="10"/>
  <c r="H383" i="10"/>
  <c r="H209" i="10"/>
  <c r="H29" i="10"/>
  <c r="H358" i="10"/>
  <c r="H267" i="10"/>
  <c r="H87" i="10"/>
  <c r="H416" i="10"/>
  <c r="H230" i="10"/>
  <c r="H50" i="10"/>
  <c r="H379" i="10"/>
  <c r="R33" i="10"/>
  <c r="R320" i="10"/>
  <c r="R95" i="10"/>
  <c r="R327" i="10"/>
  <c r="R30" i="10"/>
  <c r="R88" i="10"/>
  <c r="F448" i="10"/>
  <c r="F302" i="10"/>
  <c r="F186" i="10"/>
  <c r="F424" i="10"/>
  <c r="F236" i="10"/>
  <c r="F24" i="10"/>
  <c r="F73" i="10"/>
  <c r="F514" i="10"/>
  <c r="F405" i="10"/>
  <c r="F269" i="10"/>
  <c r="F48" i="10"/>
  <c r="F533" i="10"/>
  <c r="F78" i="10"/>
  <c r="N180" i="10"/>
  <c r="H378" i="10"/>
  <c r="H517" i="10"/>
  <c r="H24" i="10"/>
  <c r="H339" i="10"/>
  <c r="H238" i="10"/>
  <c r="H217" i="10"/>
  <c r="H167" i="10"/>
  <c r="H460" i="10"/>
  <c r="H200" i="10"/>
  <c r="H493" i="10"/>
  <c r="H199" i="10"/>
  <c r="H492" i="10"/>
  <c r="H232" i="10"/>
  <c r="H525" i="10"/>
  <c r="H265" i="10"/>
  <c r="H522" i="10"/>
  <c r="H264" i="10"/>
  <c r="H12" i="10"/>
  <c r="H299" i="10"/>
  <c r="H47" i="10"/>
  <c r="H298" i="10"/>
  <c r="H46" i="10"/>
  <c r="H327" i="10"/>
  <c r="H81" i="10"/>
  <c r="H365" i="10"/>
  <c r="H162" i="10"/>
  <c r="H539" i="10"/>
  <c r="H371" i="10"/>
  <c r="H197" i="10"/>
  <c r="H5" i="10"/>
  <c r="H346" i="10"/>
  <c r="H255" i="10"/>
  <c r="H63" i="10"/>
  <c r="H404" i="10"/>
  <c r="H218" i="10"/>
  <c r="H26" i="10"/>
  <c r="H367" i="10"/>
  <c r="R130" i="10"/>
  <c r="R8" i="10"/>
  <c r="R310" i="10"/>
  <c r="R331" i="10"/>
  <c r="R389" i="10"/>
  <c r="R458" i="10"/>
  <c r="F412" i="10"/>
  <c r="F446" i="10"/>
  <c r="F131" i="10"/>
  <c r="F388" i="10"/>
  <c r="F59" i="10"/>
  <c r="F480" i="10"/>
  <c r="F407" i="10"/>
  <c r="F454" i="10"/>
  <c r="F381" i="10"/>
  <c r="F242" i="10"/>
  <c r="F12" i="10"/>
  <c r="F509" i="10"/>
  <c r="F54" i="10"/>
  <c r="N108" i="10"/>
  <c r="H188" i="10"/>
  <c r="H325" i="10"/>
  <c r="H497" i="10"/>
  <c r="H204" i="10"/>
  <c r="H340" i="10"/>
  <c r="H145" i="10"/>
  <c r="H151" i="10"/>
  <c r="H444" i="10"/>
  <c r="H180" i="10"/>
  <c r="H457" i="10"/>
  <c r="H179" i="10"/>
  <c r="H472" i="10"/>
  <c r="H214" i="10"/>
  <c r="H507" i="10"/>
  <c r="H229" i="10"/>
  <c r="H506" i="10"/>
  <c r="H248" i="10"/>
  <c r="H541" i="10"/>
  <c r="H283" i="10"/>
  <c r="H11" i="10"/>
  <c r="H280" i="10"/>
  <c r="H28" i="10"/>
  <c r="H313" i="10"/>
  <c r="H61" i="10"/>
  <c r="H326" i="10"/>
  <c r="H150" i="10"/>
  <c r="H527" i="10"/>
  <c r="H359" i="10"/>
  <c r="H185" i="10"/>
  <c r="H514" i="10"/>
  <c r="H334" i="10"/>
  <c r="H243" i="10"/>
  <c r="H27" i="10"/>
  <c r="H392" i="10"/>
  <c r="H206" i="10"/>
  <c r="H535" i="10"/>
  <c r="H355" i="10"/>
  <c r="R415" i="10"/>
  <c r="R405" i="10"/>
  <c r="R94" i="10"/>
  <c r="R235" i="10"/>
  <c r="R293" i="10"/>
  <c r="R326" i="10"/>
  <c r="F376" i="10"/>
  <c r="F472" i="10"/>
  <c r="F421" i="10"/>
  <c r="F352" i="10"/>
  <c r="F530" i="10"/>
  <c r="F468" i="10"/>
  <c r="F347" i="10"/>
  <c r="F442" i="10"/>
  <c r="F369" i="10"/>
  <c r="F229" i="10"/>
  <c r="F479" i="10"/>
  <c r="F497" i="10"/>
  <c r="F42" i="10"/>
  <c r="N517" i="10"/>
  <c r="H421" i="10"/>
  <c r="H163" i="10"/>
  <c r="H456" i="10"/>
  <c r="H196" i="10"/>
  <c r="H489" i="10"/>
  <c r="H193" i="10"/>
  <c r="H486" i="10"/>
  <c r="H228" i="10"/>
  <c r="H521" i="10"/>
  <c r="H263" i="10"/>
  <c r="H520" i="10"/>
  <c r="H262" i="10"/>
  <c r="H10" i="10"/>
  <c r="H297" i="10"/>
  <c r="H45" i="10"/>
  <c r="H306" i="10"/>
  <c r="H138" i="10"/>
  <c r="H515" i="10"/>
  <c r="H347" i="10"/>
  <c r="H173" i="10"/>
  <c r="H502" i="10"/>
  <c r="H417" i="10"/>
  <c r="H231" i="10"/>
  <c r="H15" i="10"/>
  <c r="H380" i="10"/>
  <c r="H194" i="10"/>
  <c r="H523" i="10"/>
  <c r="H343" i="10"/>
  <c r="R371" i="10"/>
  <c r="R363" i="10"/>
  <c r="R46" i="10"/>
  <c r="R199" i="10"/>
  <c r="R257" i="10"/>
  <c r="R302" i="10"/>
  <c r="F23" i="10"/>
  <c r="F519" i="10"/>
  <c r="F434" i="10"/>
  <c r="F339" i="10"/>
  <c r="F350" i="10"/>
  <c r="F408" i="10"/>
  <c r="F259" i="10"/>
  <c r="F382" i="10"/>
  <c r="F357" i="10"/>
  <c r="F164" i="10"/>
  <c r="F383" i="10"/>
  <c r="F437" i="10"/>
  <c r="F30" i="10"/>
  <c r="N7" i="10"/>
  <c r="H445" i="10"/>
  <c r="H109" i="10"/>
  <c r="H342" i="10"/>
  <c r="H116" i="10"/>
  <c r="H148" i="10"/>
  <c r="H546" i="10"/>
  <c r="H115" i="10"/>
  <c r="H402" i="10"/>
  <c r="H128" i="10"/>
  <c r="H399" i="10"/>
  <c r="H143" i="10"/>
  <c r="H436" i="10"/>
  <c r="H178" i="10"/>
  <c r="H453" i="10"/>
  <c r="H177" i="10"/>
  <c r="H470" i="10"/>
  <c r="H212" i="10"/>
  <c r="H505" i="10"/>
  <c r="H227" i="10"/>
  <c r="H504" i="10"/>
  <c r="H244" i="10"/>
  <c r="H537" i="10"/>
  <c r="H277" i="10"/>
  <c r="H9" i="10"/>
  <c r="H294" i="10"/>
  <c r="H126" i="10"/>
  <c r="H503" i="10"/>
  <c r="H335" i="10"/>
  <c r="H149" i="10"/>
  <c r="H490" i="10"/>
  <c r="H405" i="10"/>
  <c r="H207" i="10"/>
  <c r="H3" i="10"/>
  <c r="H368" i="10"/>
  <c r="H170" i="10"/>
  <c r="H511" i="10"/>
  <c r="H331" i="10"/>
  <c r="R325" i="10"/>
  <c r="R315" i="10"/>
  <c r="R523" i="10"/>
  <c r="R163" i="10"/>
  <c r="R233" i="10"/>
  <c r="R290" i="10"/>
  <c r="F25" i="10"/>
  <c r="F544" i="10"/>
  <c r="F541" i="10"/>
  <c r="F145" i="10"/>
  <c r="F110" i="10"/>
  <c r="F336" i="10"/>
  <c r="F167" i="10"/>
  <c r="F310" i="10"/>
  <c r="F204" i="10"/>
  <c r="F431" i="10"/>
  <c r="F240" i="10"/>
  <c r="F292" i="10"/>
  <c r="F4" i="10"/>
  <c r="H276" i="10"/>
  <c r="H364" i="10"/>
  <c r="H37" i="10"/>
  <c r="H461" i="10"/>
  <c r="H296" i="10"/>
  <c r="H76" i="10"/>
  <c r="H474" i="10"/>
  <c r="H95" i="10"/>
  <c r="H385" i="10"/>
  <c r="H92" i="10"/>
  <c r="H377" i="10"/>
  <c r="H127" i="10"/>
  <c r="H420" i="10"/>
  <c r="H160" i="10"/>
  <c r="H414" i="10"/>
  <c r="H157" i="10"/>
  <c r="H450" i="10"/>
  <c r="H192" i="10"/>
  <c r="H485" i="10"/>
  <c r="H191" i="10"/>
  <c r="H484" i="10"/>
  <c r="H226" i="10"/>
  <c r="H519" i="10"/>
  <c r="H261" i="10"/>
  <c r="H518" i="10"/>
  <c r="H282" i="10"/>
  <c r="H114" i="10"/>
  <c r="H491" i="10"/>
  <c r="H317" i="10"/>
  <c r="H113" i="10"/>
  <c r="H478" i="10"/>
  <c r="H393" i="10"/>
  <c r="H171" i="10"/>
  <c r="H536" i="10"/>
  <c r="H356" i="10"/>
  <c r="H134" i="10"/>
  <c r="H499" i="10"/>
  <c r="R81" i="10"/>
  <c r="R13" i="10"/>
  <c r="R505" i="10"/>
  <c r="R165" i="10"/>
  <c r="R534" i="10"/>
  <c r="R53" i="10"/>
  <c r="R14" i="10"/>
  <c r="F94" i="10"/>
  <c r="F436" i="10"/>
  <c r="F397" i="10"/>
  <c r="F326" i="10"/>
  <c r="F276" i="10"/>
  <c r="F312" i="10"/>
  <c r="F140" i="10"/>
  <c r="F284" i="10"/>
  <c r="F178" i="10"/>
  <c r="F499" i="10"/>
  <c r="F201" i="10"/>
  <c r="F265" i="10"/>
  <c r="F291" i="10"/>
  <c r="J145" i="10"/>
  <c r="H533" i="10"/>
  <c r="H256" i="10"/>
  <c r="H510" i="10"/>
  <c r="H495" i="10"/>
  <c r="H224" i="10"/>
  <c r="H4" i="10"/>
  <c r="H400" i="10"/>
  <c r="H79" i="10"/>
  <c r="H341" i="10"/>
  <c r="H72" i="10"/>
  <c r="H360" i="10"/>
  <c r="H107" i="10"/>
  <c r="H398" i="10"/>
  <c r="H124" i="10"/>
  <c r="H397" i="10"/>
  <c r="H141" i="10"/>
  <c r="H434" i="10"/>
  <c r="H176" i="10"/>
  <c r="H449" i="10"/>
  <c r="H175" i="10"/>
  <c r="H468" i="10"/>
  <c r="H208" i="10"/>
  <c r="H501" i="10"/>
  <c r="H225" i="10"/>
  <c r="H498" i="10"/>
  <c r="H270" i="10"/>
  <c r="H102" i="10"/>
  <c r="H479" i="10"/>
  <c r="H293" i="10"/>
  <c r="H101" i="10"/>
  <c r="H466" i="10"/>
  <c r="H381" i="10"/>
  <c r="H159" i="10"/>
  <c r="H524" i="10"/>
  <c r="H344" i="10"/>
  <c r="H122" i="10"/>
  <c r="H487" i="10"/>
  <c r="R490" i="10"/>
  <c r="R411" i="10"/>
  <c r="R337" i="10"/>
  <c r="R519" i="10"/>
  <c r="R426" i="10"/>
  <c r="R496" i="10"/>
  <c r="R480" i="10"/>
  <c r="F410" i="10"/>
  <c r="F400" i="10"/>
  <c r="F287" i="10"/>
  <c r="F129" i="10"/>
  <c r="F263" i="10"/>
  <c r="F299" i="10"/>
  <c r="F125" i="10"/>
  <c r="F271" i="10"/>
  <c r="F165" i="10"/>
  <c r="F487" i="10"/>
  <c r="F188" i="10"/>
  <c r="F252" i="10"/>
  <c r="F279" i="10"/>
  <c r="J101" i="10"/>
  <c r="R531" i="10"/>
  <c r="R178" i="10"/>
  <c r="R537" i="10"/>
  <c r="R536" i="10"/>
  <c r="R529" i="10"/>
  <c r="R527" i="10"/>
  <c r="R465" i="10"/>
  <c r="R381" i="10"/>
  <c r="R262" i="10"/>
  <c r="R141" i="10"/>
  <c r="R44" i="10"/>
  <c r="R307" i="10"/>
  <c r="R522" i="10"/>
  <c r="R174" i="10"/>
  <c r="R377" i="10"/>
  <c r="R41" i="10"/>
  <c r="R232" i="10"/>
  <c r="R446" i="10"/>
  <c r="R528" i="10"/>
  <c r="R132" i="10"/>
  <c r="N316" i="10"/>
  <c r="N9" i="10"/>
  <c r="J340" i="10"/>
  <c r="R491" i="10"/>
  <c r="R451" i="10"/>
  <c r="R515" i="10"/>
  <c r="R514" i="10"/>
  <c r="R511" i="10"/>
  <c r="R507" i="10"/>
  <c r="R443" i="10"/>
  <c r="R359" i="10"/>
  <c r="R238" i="10"/>
  <c r="R117" i="10"/>
  <c r="R20" i="10"/>
  <c r="R295" i="10"/>
  <c r="R510" i="10"/>
  <c r="R162" i="10"/>
  <c r="R365" i="10"/>
  <c r="R29" i="10"/>
  <c r="R220" i="10"/>
  <c r="R350" i="10"/>
  <c r="R492" i="10"/>
  <c r="R120" i="10"/>
  <c r="N324" i="10"/>
  <c r="J292" i="10"/>
  <c r="N370" i="10"/>
  <c r="N514" i="10"/>
  <c r="N113" i="10"/>
  <c r="N257" i="10"/>
  <c r="N407" i="10"/>
  <c r="N6" i="10"/>
  <c r="N150" i="10"/>
  <c r="N294" i="10"/>
  <c r="N444" i="10"/>
  <c r="N43" i="10"/>
  <c r="N187" i="10"/>
  <c r="N336" i="10"/>
  <c r="N481" i="10"/>
  <c r="N80" i="10"/>
  <c r="N224" i="10"/>
  <c r="N374" i="10"/>
  <c r="N518" i="10"/>
  <c r="N117" i="10"/>
  <c r="N261" i="10"/>
  <c r="N411" i="10"/>
  <c r="N10" i="10"/>
  <c r="N154" i="10"/>
  <c r="N298" i="10"/>
  <c r="N448" i="10"/>
  <c r="N47" i="10"/>
  <c r="N191" i="10"/>
  <c r="N326" i="10"/>
  <c r="N473" i="10"/>
  <c r="N72" i="10"/>
  <c r="N216" i="10"/>
  <c r="N428" i="10"/>
  <c r="N315" i="10"/>
  <c r="N208" i="10"/>
  <c r="N73" i="10"/>
  <c r="N475" i="10"/>
  <c r="N368" i="10"/>
  <c r="N255" i="10"/>
  <c r="N148" i="10"/>
  <c r="N489" i="10"/>
  <c r="N390" i="10"/>
  <c r="N277" i="10"/>
  <c r="N391" i="10"/>
  <c r="N87" i="10"/>
  <c r="N451" i="10"/>
  <c r="N15" i="10"/>
  <c r="N382" i="10"/>
  <c r="N526" i="10"/>
  <c r="N125" i="10"/>
  <c r="N269" i="10"/>
  <c r="N419" i="10"/>
  <c r="N18" i="10"/>
  <c r="N162" i="10"/>
  <c r="N306" i="10"/>
  <c r="N456" i="10"/>
  <c r="N55" i="10"/>
  <c r="N199" i="10"/>
  <c r="N349" i="10"/>
  <c r="N493" i="10"/>
  <c r="N92" i="10"/>
  <c r="N236" i="10"/>
  <c r="N386" i="10"/>
  <c r="N530" i="10"/>
  <c r="N129" i="10"/>
  <c r="N273" i="10"/>
  <c r="N423" i="10"/>
  <c r="N22" i="10"/>
  <c r="N166" i="10"/>
  <c r="N310" i="10"/>
  <c r="N460" i="10"/>
  <c r="N59" i="10"/>
  <c r="N203" i="10"/>
  <c r="N341" i="10"/>
  <c r="N485" i="10"/>
  <c r="N84" i="10"/>
  <c r="N228" i="10"/>
  <c r="N464" i="10"/>
  <c r="N357" i="10"/>
  <c r="N244" i="10"/>
  <c r="N109" i="10"/>
  <c r="N511" i="10"/>
  <c r="N404" i="10"/>
  <c r="N291" i="10"/>
  <c r="N184" i="10"/>
  <c r="N525" i="10"/>
  <c r="N426" i="10"/>
  <c r="N313" i="10"/>
  <c r="N522" i="10"/>
  <c r="N195" i="10"/>
  <c r="N14" i="10"/>
  <c r="N26" i="10"/>
  <c r="N394" i="10"/>
  <c r="N538" i="10"/>
  <c r="N137" i="10"/>
  <c r="N281" i="10"/>
  <c r="N431" i="10"/>
  <c r="N30" i="10"/>
  <c r="N174" i="10"/>
  <c r="N318" i="10"/>
  <c r="N468" i="10"/>
  <c r="N67" i="10"/>
  <c r="N211" i="10"/>
  <c r="N361" i="10"/>
  <c r="N505" i="10"/>
  <c r="N104" i="10"/>
  <c r="N248" i="10"/>
  <c r="N398" i="10"/>
  <c r="N542" i="10"/>
  <c r="N141" i="10"/>
  <c r="N285" i="10"/>
  <c r="N435" i="10"/>
  <c r="N34" i="10"/>
  <c r="N178" i="10"/>
  <c r="N322" i="10"/>
  <c r="N472" i="10"/>
  <c r="N71" i="10"/>
  <c r="N215" i="10"/>
  <c r="N353" i="10"/>
  <c r="N497" i="10"/>
  <c r="N96" i="10"/>
  <c r="N240" i="10"/>
  <c r="N500" i="10"/>
  <c r="N393" i="10"/>
  <c r="N280" i="10"/>
  <c r="N145" i="10"/>
  <c r="N547" i="10"/>
  <c r="N440" i="10"/>
  <c r="N332" i="10"/>
  <c r="N220" i="10"/>
  <c r="N16" i="10"/>
  <c r="N462" i="10"/>
  <c r="N379" i="10"/>
  <c r="N85" i="10"/>
  <c r="N303" i="10"/>
  <c r="N122" i="10"/>
  <c r="N231" i="10"/>
  <c r="N406" i="10"/>
  <c r="N418" i="10"/>
  <c r="N17" i="10"/>
  <c r="N161" i="10"/>
  <c r="N305" i="10"/>
  <c r="N455" i="10"/>
  <c r="N54" i="10"/>
  <c r="N198" i="10"/>
  <c r="N348" i="10"/>
  <c r="N492" i="10"/>
  <c r="N91" i="10"/>
  <c r="N235" i="10"/>
  <c r="N385" i="10"/>
  <c r="N529" i="10"/>
  <c r="N128" i="10"/>
  <c r="N272" i="10"/>
  <c r="N422" i="10"/>
  <c r="N21" i="10"/>
  <c r="N165" i="10"/>
  <c r="N309" i="10"/>
  <c r="N459" i="10"/>
  <c r="N58" i="10"/>
  <c r="N202" i="10"/>
  <c r="N352" i="10"/>
  <c r="N496" i="10"/>
  <c r="N95" i="10"/>
  <c r="N239" i="10"/>
  <c r="N377" i="10"/>
  <c r="N521" i="10"/>
  <c r="N120" i="10"/>
  <c r="N264" i="10"/>
  <c r="N27" i="10"/>
  <c r="N465" i="10"/>
  <c r="N328" i="10"/>
  <c r="N217" i="10"/>
  <c r="N74" i="10"/>
  <c r="N512" i="10"/>
  <c r="N405" i="10"/>
  <c r="N292" i="10"/>
  <c r="N88" i="10"/>
  <c r="N534" i="10"/>
  <c r="N51" i="10"/>
  <c r="N301" i="10"/>
  <c r="N535" i="10"/>
  <c r="N344" i="10"/>
  <c r="N123" i="10"/>
  <c r="N430" i="10"/>
  <c r="N29" i="10"/>
  <c r="N173" i="10"/>
  <c r="N317" i="10"/>
  <c r="N467" i="10"/>
  <c r="N66" i="10"/>
  <c r="N210" i="10"/>
  <c r="N360" i="10"/>
  <c r="N504" i="10"/>
  <c r="N103" i="10"/>
  <c r="N247" i="10"/>
  <c r="N397" i="10"/>
  <c r="N541" i="10"/>
  <c r="N140" i="10"/>
  <c r="N284" i="10"/>
  <c r="N434" i="10"/>
  <c r="N33" i="10"/>
  <c r="N177" i="10"/>
  <c r="N321" i="10"/>
  <c r="N471" i="10"/>
  <c r="N70" i="10"/>
  <c r="N214" i="10"/>
  <c r="N364" i="10"/>
  <c r="N508" i="10"/>
  <c r="N107" i="10"/>
  <c r="N251" i="10"/>
  <c r="N389" i="10"/>
  <c r="N533" i="10"/>
  <c r="N132" i="10"/>
  <c r="N276" i="10"/>
  <c r="N63" i="10"/>
  <c r="N501" i="10"/>
  <c r="N366" i="10"/>
  <c r="N253" i="10"/>
  <c r="N110" i="10"/>
  <c r="N3" i="10"/>
  <c r="N441" i="10"/>
  <c r="N342" i="10"/>
  <c r="N124" i="10"/>
  <c r="N25" i="10"/>
  <c r="N159" i="10"/>
  <c r="N415" i="10"/>
  <c r="N98" i="10"/>
  <c r="N486" i="10"/>
  <c r="N134" i="10"/>
  <c r="N327" i="10"/>
  <c r="N442" i="10"/>
  <c r="N41" i="10"/>
  <c r="N185" i="10"/>
  <c r="N334" i="10"/>
  <c r="N479" i="10"/>
  <c r="N78" i="10"/>
  <c r="N222" i="10"/>
  <c r="N372" i="10"/>
  <c r="N516" i="10"/>
  <c r="N115" i="10"/>
  <c r="N259" i="10"/>
  <c r="N409" i="10"/>
  <c r="N8" i="10"/>
  <c r="N152" i="10"/>
  <c r="N296" i="10"/>
  <c r="N446" i="10"/>
  <c r="N45" i="10"/>
  <c r="N189" i="10"/>
  <c r="N338" i="10"/>
  <c r="N483" i="10"/>
  <c r="N82" i="10"/>
  <c r="N226" i="10"/>
  <c r="N376" i="10"/>
  <c r="N520" i="10"/>
  <c r="N119" i="10"/>
  <c r="N263" i="10"/>
  <c r="N401" i="10"/>
  <c r="N545" i="10"/>
  <c r="N144" i="10"/>
  <c r="N288" i="10"/>
  <c r="N99" i="10"/>
  <c r="N537" i="10"/>
  <c r="N402" i="10"/>
  <c r="N289" i="10"/>
  <c r="N146" i="10"/>
  <c r="N39" i="10"/>
  <c r="N477" i="10"/>
  <c r="N378" i="10"/>
  <c r="N160" i="10"/>
  <c r="N61" i="10"/>
  <c r="N267" i="10"/>
  <c r="N523" i="10"/>
  <c r="N206" i="10"/>
  <c r="N49" i="10"/>
  <c r="N158" i="10"/>
  <c r="N339" i="10"/>
  <c r="N454" i="10"/>
  <c r="N53" i="10"/>
  <c r="N197" i="10"/>
  <c r="N347" i="10"/>
  <c r="N491" i="10"/>
  <c r="N90" i="10"/>
  <c r="N234" i="10"/>
  <c r="N384" i="10"/>
  <c r="N528" i="10"/>
  <c r="N127" i="10"/>
  <c r="N271" i="10"/>
  <c r="N421" i="10"/>
  <c r="N20" i="10"/>
  <c r="N164" i="10"/>
  <c r="N308" i="10"/>
  <c r="N458" i="10"/>
  <c r="N57" i="10"/>
  <c r="N201" i="10"/>
  <c r="N351" i="10"/>
  <c r="N495" i="10"/>
  <c r="N94" i="10"/>
  <c r="N238" i="10"/>
  <c r="N388" i="10"/>
  <c r="N532" i="10"/>
  <c r="N131" i="10"/>
  <c r="N275" i="10"/>
  <c r="N413" i="10"/>
  <c r="N12" i="10"/>
  <c r="N156" i="10"/>
  <c r="N300" i="10"/>
  <c r="N135" i="10"/>
  <c r="N28" i="10"/>
  <c r="N438" i="10"/>
  <c r="N325" i="10"/>
  <c r="N182" i="10"/>
  <c r="N75" i="10"/>
  <c r="N513" i="10"/>
  <c r="N414" i="10"/>
  <c r="N196" i="10"/>
  <c r="N97" i="10"/>
  <c r="N380" i="10"/>
  <c r="N86" i="10"/>
  <c r="N314" i="10"/>
  <c r="N157" i="10"/>
  <c r="N343" i="10"/>
  <c r="N331" i="10"/>
  <c r="N466" i="10"/>
  <c r="N65" i="10"/>
  <c r="N209" i="10"/>
  <c r="N359" i="10"/>
  <c r="N503" i="10"/>
  <c r="N102" i="10"/>
  <c r="N246" i="10"/>
  <c r="N396" i="10"/>
  <c r="N540" i="10"/>
  <c r="N139" i="10"/>
  <c r="N283" i="10"/>
  <c r="N433" i="10"/>
  <c r="N32" i="10"/>
  <c r="N176" i="10"/>
  <c r="N320" i="10"/>
  <c r="N470" i="10"/>
  <c r="N69" i="10"/>
  <c r="N213" i="10"/>
  <c r="N363" i="10"/>
  <c r="N507" i="10"/>
  <c r="N106" i="10"/>
  <c r="N250" i="10"/>
  <c r="N400" i="10"/>
  <c r="N544" i="10"/>
  <c r="N143" i="10"/>
  <c r="N287" i="10"/>
  <c r="N425" i="10"/>
  <c r="N24" i="10"/>
  <c r="N168" i="10"/>
  <c r="N312" i="10"/>
  <c r="N171" i="10"/>
  <c r="N64" i="10"/>
  <c r="N474" i="10"/>
  <c r="N329" i="10"/>
  <c r="N218" i="10"/>
  <c r="N111" i="10"/>
  <c r="N4" i="10"/>
  <c r="N345" i="10"/>
  <c r="N232" i="10"/>
  <c r="N133" i="10"/>
  <c r="N499" i="10"/>
  <c r="N194" i="10"/>
  <c r="N450" i="10"/>
  <c r="N265" i="10"/>
  <c r="N242" i="10"/>
  <c r="N346" i="10"/>
  <c r="N490" i="10"/>
  <c r="N89" i="10"/>
  <c r="N233" i="10"/>
  <c r="N383" i="10"/>
  <c r="N527" i="10"/>
  <c r="N126" i="10"/>
  <c r="N270" i="10"/>
  <c r="N420" i="10"/>
  <c r="N19" i="10"/>
  <c r="N163" i="10"/>
  <c r="N307" i="10"/>
  <c r="N457" i="10"/>
  <c r="N56" i="10"/>
  <c r="N200" i="10"/>
  <c r="N350" i="10"/>
  <c r="N494" i="10"/>
  <c r="N93" i="10"/>
  <c r="N237" i="10"/>
  <c r="N387" i="10"/>
  <c r="N531" i="10"/>
  <c r="N130" i="10"/>
  <c r="N274" i="10"/>
  <c r="N424" i="10"/>
  <c r="N23" i="10"/>
  <c r="N167" i="10"/>
  <c r="N311" i="10"/>
  <c r="N449" i="10"/>
  <c r="N48" i="10"/>
  <c r="N192" i="10"/>
  <c r="N356" i="10"/>
  <c r="N243" i="10"/>
  <c r="N136" i="10"/>
  <c r="N546" i="10"/>
  <c r="N403" i="10"/>
  <c r="N290" i="10"/>
  <c r="N183" i="10"/>
  <c r="N76" i="10"/>
  <c r="N417" i="10"/>
  <c r="N304" i="10"/>
  <c r="N205" i="10"/>
  <c r="N170" i="10"/>
  <c r="N416" i="10"/>
  <c r="N121" i="10"/>
  <c r="N463" i="10"/>
  <c r="N266" i="10"/>
  <c r="N77" i="10"/>
  <c r="N114" i="10"/>
  <c r="N151" i="10"/>
  <c r="N188" i="10"/>
  <c r="N101" i="10"/>
  <c r="N138" i="10"/>
  <c r="N175" i="10"/>
  <c r="N212" i="10"/>
  <c r="N249" i="10"/>
  <c r="N286" i="10"/>
  <c r="N323" i="10"/>
  <c r="N392" i="10"/>
  <c r="N439" i="10"/>
  <c r="N453" i="10"/>
  <c r="N524" i="10"/>
  <c r="N149" i="10"/>
  <c r="N186" i="10"/>
  <c r="N223" i="10"/>
  <c r="N260" i="10"/>
  <c r="N297" i="10"/>
  <c r="N340" i="10"/>
  <c r="N365" i="10"/>
  <c r="N536" i="10"/>
  <c r="N38" i="10"/>
  <c r="N52" i="10"/>
  <c r="N427" i="10"/>
  <c r="N221" i="10"/>
  <c r="N258" i="10"/>
  <c r="N295" i="10"/>
  <c r="N337" i="10"/>
  <c r="N375" i="10"/>
  <c r="N412" i="10"/>
  <c r="N437" i="10"/>
  <c r="N207" i="10"/>
  <c r="N254" i="10"/>
  <c r="N268" i="10"/>
  <c r="N13" i="10"/>
  <c r="N245" i="10"/>
  <c r="N282" i="10"/>
  <c r="N319" i="10"/>
  <c r="N362" i="10"/>
  <c r="N399" i="10"/>
  <c r="N436" i="10"/>
  <c r="N461" i="10"/>
  <c r="N279" i="10"/>
  <c r="N330" i="10"/>
  <c r="N354" i="10"/>
  <c r="N229" i="10"/>
  <c r="N293" i="10"/>
  <c r="N335" i="10"/>
  <c r="N373" i="10"/>
  <c r="N410" i="10"/>
  <c r="N447" i="10"/>
  <c r="N484" i="10"/>
  <c r="N509" i="10"/>
  <c r="N429" i="10"/>
  <c r="N476" i="10"/>
  <c r="N498" i="10"/>
  <c r="N230" i="10"/>
  <c r="N371" i="10"/>
  <c r="N408" i="10"/>
  <c r="N445" i="10"/>
  <c r="N482" i="10"/>
  <c r="N519" i="10"/>
  <c r="N11" i="10"/>
  <c r="N36" i="10"/>
  <c r="N100" i="10"/>
  <c r="N147" i="10"/>
  <c r="N169" i="10"/>
  <c r="N452" i="10"/>
  <c r="N333" i="10"/>
  <c r="N395" i="10"/>
  <c r="N432" i="10"/>
  <c r="N469" i="10"/>
  <c r="N506" i="10"/>
  <c r="N543" i="10"/>
  <c r="N35" i="10"/>
  <c r="N60" i="10"/>
  <c r="N172" i="10"/>
  <c r="N219" i="10"/>
  <c r="N241" i="10"/>
  <c r="N487" i="10"/>
  <c r="N502" i="10"/>
  <c r="N539" i="10"/>
  <c r="N31" i="10"/>
  <c r="N68" i="10"/>
  <c r="N105" i="10"/>
  <c r="N142" i="10"/>
  <c r="N179" i="10"/>
  <c r="N204" i="10"/>
  <c r="N37" i="10"/>
  <c r="N112" i="10"/>
  <c r="N278" i="10"/>
  <c r="N5" i="10"/>
  <c r="N42" i="10"/>
  <c r="N79" i="10"/>
  <c r="N116" i="10"/>
  <c r="N153" i="10"/>
  <c r="N190" i="10"/>
  <c r="N227" i="10"/>
  <c r="N252" i="10"/>
  <c r="N181" i="10"/>
  <c r="N256" i="10"/>
  <c r="N193" i="10"/>
  <c r="N302" i="10"/>
  <c r="N299" i="10"/>
  <c r="N480" i="10"/>
  <c r="J406" i="10"/>
  <c r="R249" i="10"/>
  <c r="R430" i="10"/>
  <c r="R301" i="10"/>
  <c r="R299" i="10"/>
  <c r="R296" i="10"/>
  <c r="R291" i="10"/>
  <c r="R169" i="10"/>
  <c r="R71" i="10"/>
  <c r="R501" i="10"/>
  <c r="R395" i="10"/>
  <c r="R303" i="10"/>
  <c r="R151" i="10"/>
  <c r="R366" i="10"/>
  <c r="R18" i="10"/>
  <c r="R221" i="10"/>
  <c r="R436" i="10"/>
  <c r="R76" i="10"/>
  <c r="R278" i="10"/>
  <c r="N62" i="10"/>
  <c r="N155" i="10"/>
  <c r="N515" i="10"/>
  <c r="J382" i="10"/>
  <c r="R36" i="10"/>
  <c r="R180" i="10"/>
  <c r="R324" i="10"/>
  <c r="R468" i="10"/>
  <c r="R74" i="10"/>
  <c r="R218" i="10"/>
  <c r="R362" i="10"/>
  <c r="R506" i="10"/>
  <c r="R100" i="10"/>
  <c r="R244" i="10"/>
  <c r="R388" i="10"/>
  <c r="R532" i="10"/>
  <c r="R125" i="10"/>
  <c r="R269" i="10"/>
  <c r="R413" i="10"/>
  <c r="R6" i="10"/>
  <c r="R150" i="10"/>
  <c r="R294" i="10"/>
  <c r="R438" i="10"/>
  <c r="R31" i="10"/>
  <c r="R175" i="10"/>
  <c r="R319" i="10"/>
  <c r="R207" i="10"/>
  <c r="R477" i="10"/>
  <c r="R212" i="10"/>
  <c r="R478" i="10"/>
  <c r="R213" i="10"/>
  <c r="R479" i="10"/>
  <c r="R214" i="10"/>
  <c r="R481" i="10"/>
  <c r="R215" i="10"/>
  <c r="R483" i="10"/>
  <c r="R217" i="10"/>
  <c r="R487" i="10"/>
  <c r="R219" i="10"/>
  <c r="R72" i="10"/>
  <c r="R216" i="10"/>
  <c r="R360" i="10"/>
  <c r="R504" i="10"/>
  <c r="R110" i="10"/>
  <c r="R254" i="10"/>
  <c r="R398" i="10"/>
  <c r="R542" i="10"/>
  <c r="R136" i="10"/>
  <c r="R280" i="10"/>
  <c r="R424" i="10"/>
  <c r="R17" i="10"/>
  <c r="R161" i="10"/>
  <c r="R305" i="10"/>
  <c r="R449" i="10"/>
  <c r="R42" i="10"/>
  <c r="R186" i="10"/>
  <c r="R330" i="10"/>
  <c r="R474" i="10"/>
  <c r="R67" i="10"/>
  <c r="R211" i="10"/>
  <c r="R355" i="10"/>
  <c r="R279" i="10"/>
  <c r="R538" i="10"/>
  <c r="R284" i="10"/>
  <c r="R539" i="10"/>
  <c r="R285" i="10"/>
  <c r="R541" i="10"/>
  <c r="R286" i="10"/>
  <c r="R543" i="10"/>
  <c r="R287" i="10"/>
  <c r="R547" i="10"/>
  <c r="R289" i="10"/>
  <c r="R3" i="10"/>
  <c r="R12" i="10"/>
  <c r="R192" i="10"/>
  <c r="R372" i="10"/>
  <c r="R540" i="10"/>
  <c r="R170" i="10"/>
  <c r="R338" i="10"/>
  <c r="R518" i="10"/>
  <c r="R148" i="10"/>
  <c r="R316" i="10"/>
  <c r="R484" i="10"/>
  <c r="R101" i="10"/>
  <c r="R281" i="10"/>
  <c r="R461" i="10"/>
  <c r="R78" i="10"/>
  <c r="R246" i="10"/>
  <c r="R414" i="10"/>
  <c r="R43" i="10"/>
  <c r="R223" i="10"/>
  <c r="R63" i="10"/>
  <c r="R394" i="10"/>
  <c r="R164" i="10"/>
  <c r="R500" i="10"/>
  <c r="R309" i="10"/>
  <c r="R70" i="10"/>
  <c r="R399" i="10"/>
  <c r="R167" i="10"/>
  <c r="R503" i="10"/>
  <c r="R313" i="10"/>
  <c r="R75" i="10"/>
  <c r="R383" i="10"/>
  <c r="R104" i="10"/>
  <c r="R385" i="10"/>
  <c r="R107" i="10"/>
  <c r="R392" i="10"/>
  <c r="R109" i="10"/>
  <c r="R393" i="10"/>
  <c r="R9" i="10"/>
  <c r="R34" i="10"/>
  <c r="R105" i="10"/>
  <c r="R82" i="10"/>
  <c r="R24" i="10"/>
  <c r="R48" i="10"/>
  <c r="R228" i="10"/>
  <c r="R396" i="10"/>
  <c r="R26" i="10"/>
  <c r="R194" i="10"/>
  <c r="R374" i="10"/>
  <c r="R4" i="10"/>
  <c r="R172" i="10"/>
  <c r="R340" i="10"/>
  <c r="R508" i="10"/>
  <c r="R137" i="10"/>
  <c r="R317" i="10"/>
  <c r="R485" i="10"/>
  <c r="R102" i="10"/>
  <c r="R270" i="10"/>
  <c r="R450" i="10"/>
  <c r="R79" i="10"/>
  <c r="R247" i="10"/>
  <c r="R111" i="10"/>
  <c r="R435" i="10"/>
  <c r="R236" i="10"/>
  <c r="R21" i="10"/>
  <c r="R357" i="10"/>
  <c r="R118" i="10"/>
  <c r="R441" i="10"/>
  <c r="R239" i="10"/>
  <c r="R25" i="10"/>
  <c r="R361" i="10"/>
  <c r="R123" i="10"/>
  <c r="R427" i="10"/>
  <c r="R152" i="10"/>
  <c r="R428" i="10"/>
  <c r="R155" i="10"/>
  <c r="R431" i="10"/>
  <c r="R157" i="10"/>
  <c r="R433" i="10"/>
  <c r="R297" i="10"/>
  <c r="R322" i="10"/>
  <c r="R387" i="10"/>
  <c r="R225" i="10"/>
  <c r="R60" i="10"/>
  <c r="R240" i="10"/>
  <c r="R408" i="10"/>
  <c r="R38" i="10"/>
  <c r="R206" i="10"/>
  <c r="R386" i="10"/>
  <c r="R16" i="10"/>
  <c r="R184" i="10"/>
  <c r="R352" i="10"/>
  <c r="R520" i="10"/>
  <c r="R149" i="10"/>
  <c r="R329" i="10"/>
  <c r="R497" i="10"/>
  <c r="R114" i="10"/>
  <c r="R282" i="10"/>
  <c r="R462" i="10"/>
  <c r="R91" i="10"/>
  <c r="R259" i="10"/>
  <c r="R135" i="10"/>
  <c r="R455" i="10"/>
  <c r="R260" i="10"/>
  <c r="R45" i="10"/>
  <c r="R379" i="10"/>
  <c r="R142" i="10"/>
  <c r="R463" i="10"/>
  <c r="R263" i="10"/>
  <c r="R49" i="10"/>
  <c r="R382" i="10"/>
  <c r="R147" i="10"/>
  <c r="R445" i="10"/>
  <c r="R176" i="10"/>
  <c r="R447" i="10"/>
  <c r="R179" i="10"/>
  <c r="R453" i="10"/>
  <c r="R181" i="10"/>
  <c r="R454" i="10"/>
  <c r="R429" i="10"/>
  <c r="R452" i="10"/>
  <c r="R512" i="10"/>
  <c r="R226" i="10"/>
  <c r="R84" i="10"/>
  <c r="R252" i="10"/>
  <c r="R420" i="10"/>
  <c r="R50" i="10"/>
  <c r="R230" i="10"/>
  <c r="R410" i="10"/>
  <c r="R28" i="10"/>
  <c r="R196" i="10"/>
  <c r="R364" i="10"/>
  <c r="R544" i="10"/>
  <c r="R173" i="10"/>
  <c r="R341" i="10"/>
  <c r="R509" i="10"/>
  <c r="R126" i="10"/>
  <c r="R306" i="10"/>
  <c r="R486" i="10"/>
  <c r="R103" i="10"/>
  <c r="R271" i="10"/>
  <c r="R159" i="10"/>
  <c r="R499" i="10"/>
  <c r="R308" i="10"/>
  <c r="R69" i="10"/>
  <c r="R397" i="10"/>
  <c r="R166" i="10"/>
  <c r="R502" i="10"/>
  <c r="R311" i="10"/>
  <c r="R73" i="10"/>
  <c r="R404" i="10"/>
  <c r="R171" i="10"/>
  <c r="R466" i="10"/>
  <c r="R200" i="10"/>
  <c r="R467" i="10"/>
  <c r="R203" i="10"/>
  <c r="R475" i="10"/>
  <c r="R205" i="10"/>
  <c r="R476" i="10"/>
  <c r="R10" i="10"/>
  <c r="R57" i="10"/>
  <c r="R106" i="10"/>
  <c r="R369" i="10"/>
  <c r="R96" i="10"/>
  <c r="R264" i="10"/>
  <c r="R432" i="10"/>
  <c r="R62" i="10"/>
  <c r="R242" i="10"/>
  <c r="R422" i="10"/>
  <c r="R40" i="10"/>
  <c r="R208" i="10"/>
  <c r="R376" i="10"/>
  <c r="R5" i="10"/>
  <c r="R185" i="10"/>
  <c r="R353" i="10"/>
  <c r="R521" i="10"/>
  <c r="R138" i="10"/>
  <c r="R318" i="10"/>
  <c r="R498" i="10"/>
  <c r="R115" i="10"/>
  <c r="R283" i="10"/>
  <c r="R183" i="10"/>
  <c r="R517" i="10"/>
  <c r="R332" i="10"/>
  <c r="R93" i="10"/>
  <c r="R418" i="10"/>
  <c r="R190" i="10"/>
  <c r="R524" i="10"/>
  <c r="R335" i="10"/>
  <c r="R97" i="10"/>
  <c r="R423" i="10"/>
  <c r="R195" i="10"/>
  <c r="R488" i="10"/>
  <c r="R224" i="10"/>
  <c r="R489" i="10"/>
  <c r="R227" i="10"/>
  <c r="R493" i="10"/>
  <c r="R229" i="10"/>
  <c r="R495" i="10"/>
  <c r="R154" i="10"/>
  <c r="R201" i="10"/>
  <c r="R250" i="10"/>
  <c r="R368" i="10"/>
  <c r="R108" i="10"/>
  <c r="R276" i="10"/>
  <c r="R444" i="10"/>
  <c r="R86" i="10"/>
  <c r="R266" i="10"/>
  <c r="R434" i="10"/>
  <c r="R156" i="10"/>
  <c r="R336" i="10"/>
  <c r="R516" i="10"/>
  <c r="R146" i="10"/>
  <c r="R314" i="10"/>
  <c r="R482" i="10"/>
  <c r="R112" i="10"/>
  <c r="R292" i="10"/>
  <c r="R460" i="10"/>
  <c r="R77" i="10"/>
  <c r="R245" i="10"/>
  <c r="R425" i="10"/>
  <c r="R54" i="10"/>
  <c r="R222" i="10"/>
  <c r="R390" i="10"/>
  <c r="R7" i="10"/>
  <c r="R187" i="10"/>
  <c r="R15" i="10"/>
  <c r="R351" i="10"/>
  <c r="R116" i="10"/>
  <c r="R439" i="10"/>
  <c r="R237" i="10"/>
  <c r="R22" i="10"/>
  <c r="R358" i="10"/>
  <c r="R119" i="10"/>
  <c r="R442" i="10"/>
  <c r="R241" i="10"/>
  <c r="R27" i="10"/>
  <c r="R339" i="10"/>
  <c r="R56" i="10"/>
  <c r="R344" i="10"/>
  <c r="R59" i="10"/>
  <c r="R347" i="10"/>
  <c r="R61" i="10"/>
  <c r="R349" i="10"/>
  <c r="R471" i="10"/>
  <c r="R298" i="10"/>
  <c r="R277" i="10"/>
  <c r="R275" i="10"/>
  <c r="R272" i="10"/>
  <c r="R267" i="10"/>
  <c r="R145" i="10"/>
  <c r="R47" i="10"/>
  <c r="R459" i="10"/>
  <c r="R375" i="10"/>
  <c r="R255" i="10"/>
  <c r="R139" i="10"/>
  <c r="R354" i="10"/>
  <c r="R545" i="10"/>
  <c r="R209" i="10"/>
  <c r="R412" i="10"/>
  <c r="R64" i="10"/>
  <c r="R182" i="10"/>
  <c r="R312" i="10"/>
  <c r="N488" i="10"/>
  <c r="N83" i="10"/>
  <c r="N443" i="10"/>
  <c r="J336" i="10"/>
  <c r="J432" i="10"/>
  <c r="J31" i="10"/>
  <c r="J175" i="10"/>
  <c r="J319" i="10"/>
  <c r="J469" i="10"/>
  <c r="J68" i="10"/>
  <c r="J212" i="10"/>
  <c r="J362" i="10"/>
  <c r="J506" i="10"/>
  <c r="J105" i="10"/>
  <c r="J249" i="10"/>
  <c r="J399" i="10"/>
  <c r="J543" i="10"/>
  <c r="J142" i="10"/>
  <c r="J286" i="10"/>
  <c r="J436" i="10"/>
  <c r="J35" i="10"/>
  <c r="J179" i="10"/>
  <c r="J323" i="10"/>
  <c r="J473" i="10"/>
  <c r="J417" i="10"/>
  <c r="J16" i="10"/>
  <c r="J418" i="10"/>
  <c r="J17" i="10"/>
  <c r="J535" i="10"/>
  <c r="J265" i="10"/>
  <c r="J100" i="10"/>
  <c r="J366" i="10"/>
  <c r="J162" i="10"/>
  <c r="J475" i="10"/>
  <c r="J229" i="10"/>
  <c r="J27" i="10"/>
  <c r="J291" i="10"/>
  <c r="J109" i="10"/>
  <c r="J378" i="10"/>
  <c r="J171" i="10"/>
  <c r="J487" i="10"/>
  <c r="J233" i="10"/>
  <c r="J42" i="10"/>
  <c r="J302" i="10"/>
  <c r="J345" i="10"/>
  <c r="J325" i="10"/>
  <c r="J264" i="10"/>
  <c r="J13" i="10"/>
  <c r="J39" i="10"/>
  <c r="J348" i="10"/>
  <c r="J444" i="10"/>
  <c r="J43" i="10"/>
  <c r="J187" i="10"/>
  <c r="J334" i="10"/>
  <c r="J481" i="10"/>
  <c r="J80" i="10"/>
  <c r="J224" i="10"/>
  <c r="J374" i="10"/>
  <c r="J518" i="10"/>
  <c r="J117" i="10"/>
  <c r="J261" i="10"/>
  <c r="J411" i="10"/>
  <c r="J10" i="10"/>
  <c r="J154" i="10"/>
  <c r="J298" i="10"/>
  <c r="J448" i="10"/>
  <c r="J47" i="10"/>
  <c r="J191" i="10"/>
  <c r="J339" i="10"/>
  <c r="J485" i="10"/>
  <c r="J429" i="10"/>
  <c r="J28" i="10"/>
  <c r="J430" i="10"/>
  <c r="J29" i="10"/>
  <c r="J18" i="10"/>
  <c r="J282" i="10"/>
  <c r="J122" i="10"/>
  <c r="J402" i="10"/>
  <c r="J184" i="10"/>
  <c r="J511" i="10"/>
  <c r="J246" i="10"/>
  <c r="J60" i="10"/>
  <c r="J313" i="10"/>
  <c r="J126" i="10"/>
  <c r="J414" i="10"/>
  <c r="J193" i="10"/>
  <c r="J523" i="10"/>
  <c r="J255" i="10"/>
  <c r="J73" i="10"/>
  <c r="J324" i="10"/>
  <c r="J491" i="10"/>
  <c r="J257" i="10"/>
  <c r="J120" i="10"/>
  <c r="J113" i="10"/>
  <c r="J135" i="10"/>
  <c r="J360" i="10"/>
  <c r="J456" i="10"/>
  <c r="J55" i="10"/>
  <c r="J199" i="10"/>
  <c r="J347" i="10"/>
  <c r="J493" i="10"/>
  <c r="J92" i="10"/>
  <c r="J236" i="10"/>
  <c r="J386" i="10"/>
  <c r="J530" i="10"/>
  <c r="J129" i="10"/>
  <c r="J273" i="10"/>
  <c r="J423" i="10"/>
  <c r="J22" i="10"/>
  <c r="J166" i="10"/>
  <c r="J310" i="10"/>
  <c r="J460" i="10"/>
  <c r="J59" i="10"/>
  <c r="J203" i="10"/>
  <c r="J352" i="10"/>
  <c r="J497" i="10"/>
  <c r="J441" i="10"/>
  <c r="J40" i="10"/>
  <c r="J442" i="10"/>
  <c r="J41" i="10"/>
  <c r="J49" i="10"/>
  <c r="J304" i="10"/>
  <c r="J144" i="10"/>
  <c r="J438" i="10"/>
  <c r="J206" i="10"/>
  <c r="J545" i="10"/>
  <c r="J268" i="10"/>
  <c r="J85" i="10"/>
  <c r="J332" i="10"/>
  <c r="J148" i="10"/>
  <c r="J450" i="10"/>
  <c r="J210" i="10"/>
  <c r="J6" i="10"/>
  <c r="J277" i="10"/>
  <c r="J97" i="10"/>
  <c r="J342" i="10"/>
  <c r="J72" i="10"/>
  <c r="J380" i="10"/>
  <c r="J300" i="10"/>
  <c r="J196" i="10"/>
  <c r="J218" i="10"/>
  <c r="J329" i="10"/>
  <c r="J468" i="10"/>
  <c r="J67" i="10"/>
  <c r="J211" i="10"/>
  <c r="J361" i="10"/>
  <c r="J505" i="10"/>
  <c r="J104" i="10"/>
  <c r="J248" i="10"/>
  <c r="J398" i="10"/>
  <c r="J542" i="10"/>
  <c r="J141" i="10"/>
  <c r="J285" i="10"/>
  <c r="J435" i="10"/>
  <c r="J34" i="10"/>
  <c r="J178" i="10"/>
  <c r="J322" i="10"/>
  <c r="J472" i="10"/>
  <c r="J71" i="10"/>
  <c r="J215" i="10"/>
  <c r="J365" i="10"/>
  <c r="J509" i="10"/>
  <c r="J453" i="10"/>
  <c r="J52" i="10"/>
  <c r="J454" i="10"/>
  <c r="J53" i="10"/>
  <c r="J75" i="10"/>
  <c r="J358" i="10"/>
  <c r="J161" i="10"/>
  <c r="J474" i="10"/>
  <c r="J228" i="10"/>
  <c r="J26" i="10"/>
  <c r="J290" i="10"/>
  <c r="J108" i="10"/>
  <c r="J371" i="10"/>
  <c r="J170" i="10"/>
  <c r="J486" i="10"/>
  <c r="J232" i="10"/>
  <c r="J37" i="10"/>
  <c r="J294" i="10"/>
  <c r="J114" i="10"/>
  <c r="J488" i="10"/>
  <c r="J157" i="10"/>
  <c r="J524" i="10"/>
  <c r="J463" i="10"/>
  <c r="J279" i="10"/>
  <c r="J301" i="10"/>
  <c r="J333" i="10"/>
  <c r="J480" i="10"/>
  <c r="J79" i="10"/>
  <c r="J223" i="10"/>
  <c r="J373" i="10"/>
  <c r="J517" i="10"/>
  <c r="J116" i="10"/>
  <c r="J260" i="10"/>
  <c r="J410" i="10"/>
  <c r="J9" i="10"/>
  <c r="J153" i="10"/>
  <c r="J297" i="10"/>
  <c r="J447" i="10"/>
  <c r="J46" i="10"/>
  <c r="J190" i="10"/>
  <c r="J338" i="10"/>
  <c r="J484" i="10"/>
  <c r="J83" i="10"/>
  <c r="J227" i="10"/>
  <c r="J377" i="10"/>
  <c r="J521" i="10"/>
  <c r="J465" i="10"/>
  <c r="J64" i="10"/>
  <c r="J466" i="10"/>
  <c r="J65" i="10"/>
  <c r="J99" i="10"/>
  <c r="J395" i="10"/>
  <c r="J183" i="10"/>
  <c r="J510" i="10"/>
  <c r="J245" i="10"/>
  <c r="J54" i="10"/>
  <c r="J312" i="10"/>
  <c r="J125" i="10"/>
  <c r="J407" i="10"/>
  <c r="J192" i="10"/>
  <c r="J522" i="10"/>
  <c r="J254" i="10"/>
  <c r="J63" i="10"/>
  <c r="J316" i="10"/>
  <c r="J136" i="10"/>
  <c r="J66" i="10"/>
  <c r="J240" i="10"/>
  <c r="J90" i="10"/>
  <c r="J416" i="10"/>
  <c r="J427" i="10"/>
  <c r="J220" i="10"/>
  <c r="J346" i="10"/>
  <c r="J492" i="10"/>
  <c r="J91" i="10"/>
  <c r="J235" i="10"/>
  <c r="J385" i="10"/>
  <c r="J529" i="10"/>
  <c r="J128" i="10"/>
  <c r="J272" i="10"/>
  <c r="J422" i="10"/>
  <c r="J21" i="10"/>
  <c r="J165" i="10"/>
  <c r="J309" i="10"/>
  <c r="J459" i="10"/>
  <c r="J58" i="10"/>
  <c r="J202" i="10"/>
  <c r="J351" i="10"/>
  <c r="J496" i="10"/>
  <c r="J95" i="10"/>
  <c r="J239" i="10"/>
  <c r="J389" i="10"/>
  <c r="J330" i="10"/>
  <c r="J477" i="10"/>
  <c r="J331" i="10"/>
  <c r="J478" i="10"/>
  <c r="J77" i="10"/>
  <c r="J121" i="10"/>
  <c r="J431" i="10"/>
  <c r="J205" i="10"/>
  <c r="J539" i="10"/>
  <c r="J267" i="10"/>
  <c r="J84" i="10"/>
  <c r="J328" i="10"/>
  <c r="J147" i="10"/>
  <c r="J443" i="10"/>
  <c r="J209" i="10"/>
  <c r="J3" i="10"/>
  <c r="J276" i="10"/>
  <c r="J88" i="10"/>
  <c r="J353" i="10"/>
  <c r="J158" i="10"/>
  <c r="J156" i="10"/>
  <c r="J318" i="10"/>
  <c r="J173" i="10"/>
  <c r="J12" i="10"/>
  <c r="J15" i="10"/>
  <c r="J359" i="10"/>
  <c r="J504" i="10"/>
  <c r="J103" i="10"/>
  <c r="J247" i="10"/>
  <c r="J397" i="10"/>
  <c r="J541" i="10"/>
  <c r="J140" i="10"/>
  <c r="J284" i="10"/>
  <c r="J434" i="10"/>
  <c r="J33" i="10"/>
  <c r="J177" i="10"/>
  <c r="J321" i="10"/>
  <c r="J471" i="10"/>
  <c r="J70" i="10"/>
  <c r="J214" i="10"/>
  <c r="J364" i="10"/>
  <c r="J508" i="10"/>
  <c r="J107" i="10"/>
  <c r="J251" i="10"/>
  <c r="J401" i="10"/>
  <c r="J343" i="10"/>
  <c r="J489" i="10"/>
  <c r="J344" i="10"/>
  <c r="J490" i="10"/>
  <c r="J89" i="10"/>
  <c r="J138" i="10"/>
  <c r="J467" i="10"/>
  <c r="J222" i="10"/>
  <c r="J25" i="10"/>
  <c r="J289" i="10"/>
  <c r="J102" i="10"/>
  <c r="J368" i="10"/>
  <c r="J169" i="10"/>
  <c r="J479" i="10"/>
  <c r="J231" i="10"/>
  <c r="J36" i="10"/>
  <c r="J293" i="10"/>
  <c r="J111" i="10"/>
  <c r="J390" i="10"/>
  <c r="J180" i="10"/>
  <c r="J234" i="10"/>
  <c r="J527" i="10"/>
  <c r="J256" i="10"/>
  <c r="J112" i="10"/>
  <c r="J198" i="10"/>
  <c r="J372" i="10"/>
  <c r="J516" i="10"/>
  <c r="J115" i="10"/>
  <c r="J259" i="10"/>
  <c r="J409" i="10"/>
  <c r="J8" i="10"/>
  <c r="J152" i="10"/>
  <c r="J296" i="10"/>
  <c r="J446" i="10"/>
  <c r="J45" i="10"/>
  <c r="J189" i="10"/>
  <c r="J337" i="10"/>
  <c r="J483" i="10"/>
  <c r="J82" i="10"/>
  <c r="J226" i="10"/>
  <c r="J376" i="10"/>
  <c r="J520" i="10"/>
  <c r="J119" i="10"/>
  <c r="J263" i="10"/>
  <c r="J413" i="10"/>
  <c r="J356" i="10"/>
  <c r="J501" i="10"/>
  <c r="J357" i="10"/>
  <c r="J502" i="10"/>
  <c r="J355" i="10"/>
  <c r="J160" i="10"/>
  <c r="J503" i="10"/>
  <c r="J244" i="10"/>
  <c r="J51" i="10"/>
  <c r="J306" i="10"/>
  <c r="J124" i="10"/>
  <c r="J404" i="10"/>
  <c r="J186" i="10"/>
  <c r="J515" i="10"/>
  <c r="J253" i="10"/>
  <c r="J62" i="10"/>
  <c r="J315" i="10"/>
  <c r="J133" i="10"/>
  <c r="J426" i="10"/>
  <c r="J197" i="10"/>
  <c r="J317" i="10"/>
  <c r="J354" i="10"/>
  <c r="J96" i="10"/>
  <c r="J195" i="10"/>
  <c r="J281" i="10"/>
  <c r="J384" i="10"/>
  <c r="J528" i="10"/>
  <c r="J127" i="10"/>
  <c r="J271" i="10"/>
  <c r="J421" i="10"/>
  <c r="J20" i="10"/>
  <c r="J164" i="10"/>
  <c r="J308" i="10"/>
  <c r="J458" i="10"/>
  <c r="J57" i="10"/>
  <c r="J201" i="10"/>
  <c r="J350" i="10"/>
  <c r="J495" i="10"/>
  <c r="J94" i="10"/>
  <c r="J238" i="10"/>
  <c r="J388" i="10"/>
  <c r="J532" i="10"/>
  <c r="J131" i="10"/>
  <c r="J275" i="10"/>
  <c r="J425" i="10"/>
  <c r="J369" i="10"/>
  <c r="J513" i="10"/>
  <c r="J370" i="10"/>
  <c r="J514" i="10"/>
  <c r="J392" i="10"/>
  <c r="J182" i="10"/>
  <c r="J536" i="10"/>
  <c r="J266" i="10"/>
  <c r="J78" i="10"/>
  <c r="J327" i="10"/>
  <c r="J146" i="10"/>
  <c r="J440" i="10"/>
  <c r="J208" i="10"/>
  <c r="J547" i="10"/>
  <c r="J270" i="10"/>
  <c r="J87" i="10"/>
  <c r="J341" i="10"/>
  <c r="J150" i="10"/>
  <c r="J462" i="10"/>
  <c r="J219" i="10"/>
  <c r="J383" i="10"/>
  <c r="J499" i="10"/>
  <c r="J391" i="10"/>
  <c r="J278" i="10"/>
  <c r="J452" i="10"/>
  <c r="J408" i="10"/>
  <c r="J7" i="10"/>
  <c r="J151" i="10"/>
  <c r="J295" i="10"/>
  <c r="J445" i="10"/>
  <c r="J44" i="10"/>
  <c r="J188" i="10"/>
  <c r="J335" i="10"/>
  <c r="J482" i="10"/>
  <c r="J81" i="10"/>
  <c r="J225" i="10"/>
  <c r="J375" i="10"/>
  <c r="J519" i="10"/>
  <c r="J118" i="10"/>
  <c r="J262" i="10"/>
  <c r="J412" i="10"/>
  <c r="J11" i="10"/>
  <c r="J155" i="10"/>
  <c r="J299" i="10"/>
  <c r="J449" i="10"/>
  <c r="J393" i="10"/>
  <c r="J537" i="10"/>
  <c r="J394" i="10"/>
  <c r="J538" i="10"/>
  <c r="J464" i="10"/>
  <c r="J221" i="10"/>
  <c r="J50" i="10"/>
  <c r="J305" i="10"/>
  <c r="J123" i="10"/>
  <c r="J403" i="10"/>
  <c r="J185" i="10"/>
  <c r="J512" i="10"/>
  <c r="J252" i="10"/>
  <c r="J61" i="10"/>
  <c r="J314" i="10"/>
  <c r="J132" i="10"/>
  <c r="J415" i="10"/>
  <c r="J194" i="10"/>
  <c r="J533" i="10"/>
  <c r="J258" i="10"/>
  <c r="J38" i="10"/>
  <c r="J159" i="10"/>
  <c r="J98" i="10"/>
  <c r="J137" i="10"/>
  <c r="J48" i="10"/>
  <c r="J396" i="10"/>
  <c r="J176" i="10"/>
  <c r="J507" i="10"/>
  <c r="J287" i="10"/>
  <c r="J428" i="10"/>
  <c r="J168" i="10"/>
  <c r="J379" i="10"/>
  <c r="J534" i="10"/>
  <c r="J420" i="10"/>
  <c r="J200" i="10"/>
  <c r="J531" i="10"/>
  <c r="J311" i="10"/>
  <c r="J500" i="10"/>
  <c r="J207" i="10"/>
  <c r="J451" i="10"/>
  <c r="J181" i="10"/>
  <c r="J540" i="10"/>
  <c r="J320" i="10"/>
  <c r="J106" i="10"/>
  <c r="J437" i="10"/>
  <c r="J204" i="10"/>
  <c r="J476" i="10"/>
  <c r="J172" i="10"/>
  <c r="J134" i="10"/>
  <c r="J19" i="10"/>
  <c r="J349" i="10"/>
  <c r="J130" i="10"/>
  <c r="J461" i="10"/>
  <c r="J243" i="10"/>
  <c r="J546" i="10"/>
  <c r="J216" i="10"/>
  <c r="J419" i="10"/>
  <c r="J139" i="10"/>
  <c r="J470" i="10"/>
  <c r="J250" i="10"/>
  <c r="J381" i="10"/>
  <c r="J24" i="10"/>
  <c r="J230" i="10"/>
  <c r="J498" i="10"/>
  <c r="J217" i="10"/>
  <c r="J163" i="10"/>
  <c r="J494" i="10"/>
  <c r="J274" i="10"/>
  <c r="J405" i="10"/>
  <c r="J76" i="10"/>
  <c r="J269" i="10"/>
  <c r="J14" i="10"/>
  <c r="J455" i="10"/>
  <c r="J283" i="10"/>
  <c r="J69" i="10"/>
  <c r="J400" i="10"/>
  <c r="J525" i="10"/>
  <c r="J288" i="10"/>
  <c r="J30" i="10"/>
  <c r="J241" i="10"/>
  <c r="J307" i="10"/>
  <c r="J93" i="10"/>
  <c r="J424" i="10"/>
  <c r="J4" i="10"/>
  <c r="J326" i="10"/>
  <c r="J86" i="10"/>
  <c r="J280" i="10"/>
  <c r="J32" i="10"/>
  <c r="J363" i="10"/>
  <c r="J143" i="10"/>
  <c r="J526" i="10"/>
  <c r="J367" i="10"/>
  <c r="J110" i="10"/>
  <c r="J74" i="10"/>
  <c r="J56" i="10"/>
  <c r="J387" i="10"/>
  <c r="J167" i="10"/>
  <c r="J5" i="10"/>
  <c r="J439" i="10"/>
  <c r="J149" i="10"/>
  <c r="J242" i="10"/>
  <c r="R346" i="10"/>
  <c r="R153" i="10"/>
  <c r="R253" i="10"/>
  <c r="R251" i="10"/>
  <c r="R248" i="10"/>
  <c r="R243" i="10"/>
  <c r="R121" i="10"/>
  <c r="R23" i="10"/>
  <c r="R440" i="10"/>
  <c r="R356" i="10"/>
  <c r="R231" i="10"/>
  <c r="R127" i="10"/>
  <c r="R342" i="10"/>
  <c r="R533" i="10"/>
  <c r="R197" i="10"/>
  <c r="R400" i="10"/>
  <c r="R52" i="10"/>
  <c r="R158" i="10"/>
  <c r="R300" i="10"/>
  <c r="N381" i="10"/>
  <c r="N262" i="10"/>
  <c r="N478" i="10"/>
  <c r="J544" i="10"/>
  <c r="R407" i="10"/>
  <c r="R202" i="10"/>
  <c r="R535" i="10"/>
  <c r="R133" i="10"/>
  <c r="R131" i="10"/>
  <c r="R128" i="10"/>
  <c r="R99" i="10"/>
  <c r="R525" i="10"/>
  <c r="R419" i="10"/>
  <c r="R333" i="10"/>
  <c r="R188" i="10"/>
  <c r="R87" i="10"/>
  <c r="R55" i="10"/>
  <c r="R258" i="10"/>
  <c r="R473" i="10"/>
  <c r="R113" i="10"/>
  <c r="R328" i="10"/>
  <c r="R530" i="10"/>
  <c r="R134" i="10"/>
  <c r="R288" i="10"/>
  <c r="N40" i="10"/>
  <c r="N118" i="10"/>
  <c r="N358" i="10"/>
  <c r="J237" i="10"/>
  <c r="R273" i="10"/>
  <c r="R58" i="10"/>
  <c r="R409" i="10"/>
  <c r="R85" i="10"/>
  <c r="R83" i="10"/>
  <c r="R80" i="10"/>
  <c r="R51" i="10"/>
  <c r="R464" i="10"/>
  <c r="R380" i="10"/>
  <c r="R261" i="10"/>
  <c r="R140" i="10"/>
  <c r="R39" i="10"/>
  <c r="R19" i="10"/>
  <c r="R234" i="10"/>
  <c r="R437" i="10"/>
  <c r="R89" i="10"/>
  <c r="R304" i="10"/>
  <c r="R494" i="10"/>
  <c r="R122" i="10"/>
  <c r="R204" i="10"/>
  <c r="N369" i="10"/>
  <c r="N46" i="10"/>
  <c r="J213" i="10"/>
  <c r="R129" i="10"/>
  <c r="R469" i="10"/>
  <c r="R274" i="10"/>
  <c r="R37" i="10"/>
  <c r="R35" i="10"/>
  <c r="R32" i="10"/>
  <c r="R526" i="10"/>
  <c r="R421" i="10"/>
  <c r="R334" i="10"/>
  <c r="R189" i="10"/>
  <c r="R92" i="10"/>
  <c r="R343" i="10"/>
  <c r="R546" i="10"/>
  <c r="R210" i="10"/>
  <c r="R401" i="10"/>
  <c r="R65" i="10"/>
  <c r="R268" i="10"/>
  <c r="R470" i="10"/>
  <c r="R98" i="10"/>
  <c r="R168" i="10"/>
  <c r="N367" i="10"/>
  <c r="N225" i="10"/>
  <c r="J303" i="10"/>
  <c r="J457" i="10"/>
  <c r="N510" i="10"/>
  <c r="N81" i="10"/>
  <c r="J174" i="10"/>
  <c r="J433" i="10"/>
  <c r="F520" i="10"/>
  <c r="F375" i="10"/>
  <c r="F143" i="10"/>
  <c r="F508" i="10"/>
  <c r="F289" i="10"/>
  <c r="F469" i="10"/>
  <c r="F496" i="10"/>
  <c r="F470" i="10"/>
  <c r="F313" i="10"/>
  <c r="F38" i="10"/>
  <c r="F60" i="10"/>
  <c r="F324" i="10"/>
  <c r="F109" i="10"/>
  <c r="F154" i="10"/>
  <c r="F538" i="10"/>
  <c r="F297" i="10"/>
  <c r="F71" i="10"/>
  <c r="F393" i="10"/>
  <c r="F191" i="10"/>
  <c r="F452" i="10"/>
  <c r="F256" i="10"/>
  <c r="F523" i="10"/>
  <c r="F319" i="10"/>
  <c r="F32" i="10"/>
  <c r="F214" i="10"/>
  <c r="F474" i="10"/>
  <c r="F521" i="10"/>
  <c r="F278" i="10"/>
  <c r="F46" i="10"/>
  <c r="F66" i="10"/>
  <c r="F303" i="10"/>
  <c r="F39" i="10"/>
  <c r="F245" i="10"/>
  <c r="F537" i="10"/>
  <c r="F345" i="10"/>
  <c r="F70" i="10"/>
  <c r="F404" i="10"/>
  <c r="F151" i="10"/>
  <c r="F463" i="10"/>
  <c r="F215" i="10"/>
  <c r="F547" i="10"/>
  <c r="F83" i="10"/>
  <c r="F426" i="10"/>
  <c r="F425" i="10"/>
  <c r="F226" i="10"/>
  <c r="F55" i="10"/>
  <c r="F18" i="10"/>
  <c r="F207" i="10"/>
  <c r="H459" i="10"/>
  <c r="H513" i="10"/>
  <c r="H361" i="10"/>
  <c r="H310" i="10"/>
  <c r="H57" i="10"/>
  <c r="H22" i="10"/>
  <c r="H94" i="10"/>
  <c r="H259" i="10"/>
  <c r="H43" i="10"/>
  <c r="H363" i="10"/>
  <c r="H144" i="10"/>
  <c r="H473" i="10"/>
  <c r="H251" i="10"/>
  <c r="H35" i="10"/>
  <c r="H354" i="10"/>
  <c r="H142" i="10"/>
  <c r="H471" i="10"/>
  <c r="H249" i="10"/>
  <c r="H33" i="10"/>
  <c r="H352" i="10"/>
  <c r="H140" i="10"/>
  <c r="H469" i="10"/>
  <c r="H247" i="10"/>
  <c r="H31" i="10"/>
  <c r="H350" i="10"/>
  <c r="H136" i="10"/>
  <c r="H465" i="10"/>
  <c r="H241" i="10"/>
  <c r="H25" i="10"/>
  <c r="H348" i="10"/>
  <c r="H198" i="10"/>
  <c r="H54" i="10"/>
  <c r="H455" i="10"/>
  <c r="H305" i="10"/>
  <c r="H161" i="10"/>
  <c r="H17" i="10"/>
  <c r="H418" i="10"/>
  <c r="H369" i="10"/>
  <c r="H219" i="10"/>
  <c r="H75" i="10"/>
  <c r="H476" i="10"/>
  <c r="H332" i="10"/>
  <c r="H182" i="10"/>
  <c r="H38" i="10"/>
  <c r="H439" i="10"/>
  <c r="F304" i="10"/>
  <c r="F445" i="10"/>
  <c r="F290" i="10"/>
  <c r="F248" i="10"/>
  <c r="F22" i="10"/>
  <c r="F128" i="10"/>
  <c r="F316" i="10"/>
  <c r="F351" i="10"/>
  <c r="F494" i="10"/>
  <c r="F224" i="10"/>
  <c r="F456" i="10"/>
  <c r="F260" i="10"/>
  <c r="F311" i="10"/>
  <c r="F72" i="10"/>
  <c r="F430" i="10"/>
  <c r="F232" i="10"/>
  <c r="F525" i="10"/>
  <c r="F333" i="10"/>
  <c r="F50" i="10"/>
  <c r="F392" i="10"/>
  <c r="F136" i="10"/>
  <c r="F451" i="10"/>
  <c r="F202" i="10"/>
  <c r="F511" i="10"/>
  <c r="F65" i="10"/>
  <c r="F414" i="10"/>
  <c r="F413" i="10"/>
  <c r="F213" i="10"/>
  <c r="F43" i="10"/>
  <c r="F6" i="10"/>
  <c r="F195" i="10"/>
  <c r="F262" i="10"/>
  <c r="F409" i="10"/>
  <c r="F142" i="10"/>
  <c r="F196" i="10"/>
  <c r="F482" i="10"/>
  <c r="F58" i="10"/>
  <c r="F277" i="10"/>
  <c r="F315" i="10"/>
  <c r="F458" i="10"/>
  <c r="F211" i="10"/>
  <c r="F444" i="10"/>
  <c r="F247" i="10"/>
  <c r="F298" i="10"/>
  <c r="F56" i="10"/>
  <c r="F418" i="10"/>
  <c r="F218" i="10"/>
  <c r="F513" i="10"/>
  <c r="F321" i="10"/>
  <c r="F34" i="10"/>
  <c r="F380" i="10"/>
  <c r="F121" i="10"/>
  <c r="F439" i="10"/>
  <c r="F189" i="10"/>
  <c r="F534" i="10"/>
  <c r="F47" i="10"/>
  <c r="F390" i="10"/>
  <c r="F401" i="10"/>
  <c r="F200" i="10"/>
  <c r="F31" i="10"/>
  <c r="F112" i="10"/>
  <c r="F51" i="10"/>
  <c r="F63" i="10"/>
  <c r="F87" i="10"/>
  <c r="F231" i="10"/>
  <c r="F64" i="10"/>
  <c r="F90" i="10"/>
  <c r="F79" i="10"/>
  <c r="F146" i="10"/>
  <c r="F305" i="10"/>
  <c r="F449" i="10"/>
  <c r="F293" i="10"/>
  <c r="F510" i="10"/>
  <c r="F133" i="10"/>
  <c r="F354" i="10"/>
  <c r="F68" i="10"/>
  <c r="F241" i="10"/>
  <c r="F391" i="10"/>
  <c r="F491" i="10"/>
  <c r="F177" i="10"/>
  <c r="F332" i="10"/>
  <c r="F476" i="10"/>
  <c r="F106" i="10"/>
  <c r="F270" i="10"/>
  <c r="F417" i="10"/>
  <c r="F455" i="10"/>
  <c r="F166" i="10"/>
  <c r="F322" i="10"/>
  <c r="F466" i="10"/>
  <c r="F467" i="10"/>
  <c r="F180" i="10"/>
  <c r="F539" i="10"/>
  <c r="F194" i="10"/>
  <c r="F348" i="10"/>
  <c r="F492" i="10"/>
  <c r="F158" i="10"/>
  <c r="F169" i="10"/>
  <c r="F362" i="10"/>
  <c r="F387" i="10"/>
  <c r="F45" i="10"/>
  <c r="F505" i="10"/>
  <c r="F325" i="10"/>
  <c r="F483" i="10"/>
  <c r="F471" i="10"/>
  <c r="F9" i="10"/>
  <c r="F447" i="10"/>
  <c r="F481" i="10"/>
  <c r="F210" i="10"/>
  <c r="F99" i="10"/>
  <c r="F243" i="10"/>
  <c r="F76" i="10"/>
  <c r="F102" i="10"/>
  <c r="F91" i="10"/>
  <c r="F161" i="10"/>
  <c r="F317" i="10"/>
  <c r="F461" i="10"/>
  <c r="F318" i="10"/>
  <c r="F522" i="10"/>
  <c r="F148" i="10"/>
  <c r="F378" i="10"/>
  <c r="F84" i="10"/>
  <c r="F254" i="10"/>
  <c r="F403" i="10"/>
  <c r="F528" i="10"/>
  <c r="F190" i="10"/>
  <c r="F344" i="10"/>
  <c r="F488" i="10"/>
  <c r="F122" i="10"/>
  <c r="F283" i="10"/>
  <c r="F429" i="10"/>
  <c r="F503" i="10"/>
  <c r="F179" i="10"/>
  <c r="F334" i="10"/>
  <c r="F478" i="10"/>
  <c r="F515" i="10"/>
  <c r="F193" i="10"/>
  <c r="F21" i="10"/>
  <c r="F208" i="10"/>
  <c r="F360" i="10"/>
  <c r="F504" i="10"/>
  <c r="F172" i="10"/>
  <c r="F222" i="10"/>
  <c r="F506" i="10"/>
  <c r="F423" i="10"/>
  <c r="F117" i="10"/>
  <c r="F184" i="10"/>
  <c r="F361" i="10"/>
  <c r="F160" i="10"/>
  <c r="F507" i="10"/>
  <c r="F301" i="10"/>
  <c r="F212" i="10"/>
  <c r="F111" i="10"/>
  <c r="F255" i="10"/>
  <c r="F88" i="10"/>
  <c r="F114" i="10"/>
  <c r="F103" i="10"/>
  <c r="F174" i="10"/>
  <c r="F329" i="10"/>
  <c r="F473" i="10"/>
  <c r="F342" i="10"/>
  <c r="F546" i="10"/>
  <c r="F162" i="10"/>
  <c r="F402" i="10"/>
  <c r="F104" i="10"/>
  <c r="F268" i="10"/>
  <c r="F415" i="10"/>
  <c r="F13" i="10"/>
  <c r="F203" i="10"/>
  <c r="F356" i="10"/>
  <c r="F500" i="10"/>
  <c r="F137" i="10"/>
  <c r="F296" i="10"/>
  <c r="F441" i="10"/>
  <c r="F516" i="10"/>
  <c r="F192" i="10"/>
  <c r="F346" i="10"/>
  <c r="F490" i="10"/>
  <c r="F20" i="10"/>
  <c r="F206" i="10"/>
  <c r="F37" i="10"/>
  <c r="F221" i="10"/>
  <c r="F372" i="10"/>
  <c r="F540" i="10"/>
  <c r="F185" i="10"/>
  <c r="F123" i="10"/>
  <c r="F267" i="10"/>
  <c r="F100" i="10"/>
  <c r="F126" i="10"/>
  <c r="F115" i="10"/>
  <c r="F187" i="10"/>
  <c r="F341" i="10"/>
  <c r="F485" i="10"/>
  <c r="F366" i="10"/>
  <c r="F535" i="10"/>
  <c r="F175" i="10"/>
  <c r="F498" i="10"/>
  <c r="F120" i="10"/>
  <c r="F281" i="10"/>
  <c r="F427" i="10"/>
  <c r="F33" i="10"/>
  <c r="F216" i="10"/>
  <c r="F368" i="10"/>
  <c r="F512" i="10"/>
  <c r="F152" i="10"/>
  <c r="F309" i="10"/>
  <c r="F453" i="10"/>
  <c r="F17" i="10"/>
  <c r="F205" i="10"/>
  <c r="F358" i="10"/>
  <c r="F502" i="10"/>
  <c r="F36" i="10"/>
  <c r="F220" i="10"/>
  <c r="F57" i="10"/>
  <c r="F234" i="10"/>
  <c r="F384" i="10"/>
  <c r="F8" i="10"/>
  <c r="F198" i="10"/>
  <c r="F314" i="10"/>
  <c r="F209" i="10"/>
  <c r="F495" i="10"/>
  <c r="F225" i="10"/>
  <c r="F338" i="10"/>
  <c r="F433" i="10"/>
  <c r="F61" i="10"/>
  <c r="F74" i="10"/>
  <c r="F411" i="10"/>
  <c r="F77" i="10"/>
  <c r="F251" i="10"/>
  <c r="F340" i="10"/>
  <c r="H129" i="10"/>
  <c r="H362" i="10"/>
  <c r="H181" i="10"/>
  <c r="H309" i="10"/>
  <c r="H166" i="10"/>
  <c r="H292" i="10"/>
  <c r="H289" i="10"/>
  <c r="H223" i="10"/>
  <c r="H7" i="10"/>
  <c r="H324" i="10"/>
  <c r="H108" i="10"/>
  <c r="H437" i="10"/>
  <c r="H215" i="10"/>
  <c r="H544" i="10"/>
  <c r="H322" i="10"/>
  <c r="H106" i="10"/>
  <c r="H435" i="10"/>
  <c r="H213" i="10"/>
  <c r="H542" i="10"/>
  <c r="H320" i="10"/>
  <c r="H104" i="10"/>
  <c r="H433" i="10"/>
  <c r="H211" i="10"/>
  <c r="H540" i="10"/>
  <c r="H316" i="10"/>
  <c r="H100" i="10"/>
  <c r="H429" i="10"/>
  <c r="H205" i="10"/>
  <c r="H534" i="10"/>
  <c r="H318" i="10"/>
  <c r="H174" i="10"/>
  <c r="H30" i="10"/>
  <c r="H431" i="10"/>
  <c r="H281" i="10"/>
  <c r="H137" i="10"/>
  <c r="H538" i="10"/>
  <c r="H394" i="10"/>
  <c r="H345" i="10"/>
  <c r="H195" i="10"/>
  <c r="H51" i="10"/>
  <c r="H452" i="10"/>
  <c r="H302" i="10"/>
  <c r="H158" i="10"/>
  <c r="H14" i="10"/>
  <c r="H415" i="10"/>
  <c r="F157" i="10"/>
  <c r="F373" i="10"/>
  <c r="F529" i="10"/>
  <c r="F543" i="10"/>
  <c r="F81" i="10"/>
  <c r="F493" i="10"/>
  <c r="F173" i="10"/>
  <c r="F275" i="10"/>
  <c r="F422" i="10"/>
  <c r="F144" i="10"/>
  <c r="F432" i="10"/>
  <c r="F181" i="10"/>
  <c r="F285" i="10"/>
  <c r="F443" i="10"/>
  <c r="F406" i="10"/>
  <c r="F153" i="10"/>
  <c r="F501" i="10"/>
  <c r="F257" i="10"/>
  <c r="F14" i="10"/>
  <c r="F320" i="10"/>
  <c r="F105" i="10"/>
  <c r="F379" i="10"/>
  <c r="F176" i="10"/>
  <c r="F330" i="10"/>
  <c r="F29" i="10"/>
  <c r="F266" i="10"/>
  <c r="F389" i="10"/>
  <c r="F132" i="10"/>
  <c r="F19" i="10"/>
  <c r="F52" i="10"/>
  <c r="F171" i="10"/>
  <c r="H125" i="10"/>
  <c r="H526" i="10"/>
  <c r="H382" i="10"/>
  <c r="H333" i="10"/>
  <c r="H183" i="10"/>
  <c r="H39" i="10"/>
  <c r="H440" i="10"/>
  <c r="H290" i="10"/>
  <c r="H146" i="10"/>
  <c r="H547" i="10"/>
  <c r="F95" i="10"/>
  <c r="F337" i="10"/>
  <c r="F97" i="10"/>
  <c r="F435" i="10"/>
  <c r="F542" i="10"/>
  <c r="F264" i="10"/>
  <c r="F349" i="10"/>
  <c r="F223" i="10"/>
  <c r="F386" i="10"/>
  <c r="F130" i="10"/>
  <c r="F420" i="10"/>
  <c r="F168" i="10"/>
  <c r="F272" i="10"/>
  <c r="F395" i="10"/>
  <c r="F394" i="10"/>
  <c r="F139" i="10"/>
  <c r="F489" i="10"/>
  <c r="F244" i="10"/>
  <c r="F419" i="10"/>
  <c r="F308" i="10"/>
  <c r="F85" i="10"/>
  <c r="F367" i="10"/>
  <c r="F163" i="10"/>
  <c r="F306" i="10"/>
  <c r="F11" i="10"/>
  <c r="F227" i="10"/>
  <c r="F377" i="10"/>
  <c r="F118" i="10"/>
  <c r="F7" i="10"/>
  <c r="F40" i="10"/>
  <c r="F159" i="10"/>
  <c r="F124" i="10"/>
  <c r="F477" i="10"/>
  <c r="F230" i="10"/>
  <c r="F536" i="10"/>
  <c r="F295" i="10"/>
  <c r="F69" i="10"/>
  <c r="F355" i="10"/>
  <c r="F149" i="10"/>
  <c r="F280" i="10"/>
  <c r="F527" i="10"/>
  <c r="F119" i="10"/>
  <c r="F365" i="10"/>
  <c r="F98" i="10"/>
  <c r="F150" i="10"/>
  <c r="F28" i="10"/>
  <c r="F147" i="10"/>
  <c r="F457" i="10"/>
  <c r="F249" i="10"/>
  <c r="F156" i="10"/>
  <c r="F363" i="10"/>
  <c r="F288" i="10"/>
  <c r="F398" i="10"/>
  <c r="F374" i="10"/>
  <c r="F113" i="10"/>
  <c r="F274" i="10"/>
  <c r="F96" i="10"/>
  <c r="F396" i="10"/>
  <c r="F141" i="10"/>
  <c r="F246" i="10"/>
  <c r="F335" i="10"/>
  <c r="F370" i="10"/>
  <c r="F107" i="10"/>
  <c r="F465" i="10"/>
  <c r="F217" i="10"/>
  <c r="F524" i="10"/>
  <c r="F282" i="10"/>
  <c r="F49" i="10"/>
  <c r="F343" i="10"/>
  <c r="F134" i="10"/>
  <c r="F253" i="10"/>
  <c r="F371" i="10"/>
  <c r="F545" i="10"/>
  <c r="F353" i="10"/>
  <c r="F82" i="10"/>
  <c r="F138" i="10"/>
  <c r="F16" i="10"/>
  <c r="F135" i="10"/>
  <c r="J2" i="10"/>
  <c r="F2" i="10"/>
  <c r="N2" i="10"/>
  <c r="R2" i="10"/>
  <c r="H2" i="10"/>
  <c r="Y89" i="10" l="1"/>
  <c r="Y24" i="10"/>
  <c r="Y250" i="10"/>
  <c r="Y271" i="10"/>
  <c r="AE518" i="10"/>
  <c r="Y385" i="10"/>
  <c r="AE541" i="10"/>
  <c r="V291" i="10"/>
  <c r="S89" i="10"/>
  <c r="Y462" i="10"/>
  <c r="Y26" i="10"/>
  <c r="Y10" i="10"/>
  <c r="Y364" i="10"/>
  <c r="Y446" i="10"/>
  <c r="S531" i="10"/>
  <c r="AE145" i="10"/>
  <c r="Y125" i="10"/>
  <c r="Y15" i="10"/>
  <c r="Y532" i="10"/>
  <c r="Y12" i="10"/>
  <c r="Y424" i="10"/>
  <c r="S131" i="10"/>
  <c r="Y101" i="10"/>
  <c r="Y514" i="10"/>
  <c r="Y436" i="10"/>
  <c r="V410" i="10"/>
  <c r="V273" i="10"/>
  <c r="AB531" i="10"/>
  <c r="AE310" i="10"/>
  <c r="Y291" i="10"/>
  <c r="AE110" i="10"/>
  <c r="Y307" i="10"/>
  <c r="S382" i="10"/>
  <c r="AE350" i="10"/>
  <c r="Y237" i="10"/>
  <c r="AE201" i="10"/>
  <c r="Y48" i="10"/>
  <c r="AE108" i="10"/>
  <c r="Y531" i="10"/>
  <c r="Y421" i="10"/>
  <c r="S291" i="10"/>
  <c r="Y261" i="10"/>
  <c r="AE4" i="10"/>
  <c r="S235" i="10"/>
  <c r="AE517" i="10"/>
  <c r="S328" i="10"/>
  <c r="Y259" i="10"/>
  <c r="AE299" i="10"/>
  <c r="AB388" i="10"/>
  <c r="AE472" i="10"/>
  <c r="Y182" i="10"/>
  <c r="AE434" i="10"/>
  <c r="Y323" i="10"/>
  <c r="AB385" i="10"/>
  <c r="V219" i="10"/>
  <c r="Y517" i="10"/>
  <c r="V530" i="10"/>
  <c r="AB472" i="10"/>
  <c r="V328" i="10"/>
  <c r="Y4" i="10"/>
  <c r="Y127" i="10"/>
  <c r="Y357" i="10"/>
  <c r="V53" i="10"/>
  <c r="S271" i="10"/>
  <c r="AB261" i="10"/>
  <c r="Y454" i="10"/>
  <c r="S323" i="10"/>
  <c r="AB336" i="10"/>
  <c r="AE235" i="10"/>
  <c r="Y116" i="10"/>
  <c r="AE258" i="10"/>
  <c r="S273" i="10"/>
  <c r="Y219" i="10"/>
  <c r="AE236" i="10"/>
  <c r="Y183" i="10"/>
  <c r="AB276" i="10"/>
  <c r="V448" i="10"/>
  <c r="S5" i="10"/>
  <c r="V431" i="10"/>
  <c r="AB532" i="10"/>
  <c r="Y382" i="10"/>
  <c r="AE531" i="10"/>
  <c r="AE12" i="10"/>
  <c r="AE397" i="10"/>
  <c r="V286" i="10"/>
  <c r="AE199" i="10"/>
  <c r="V531" i="10"/>
  <c r="V310" i="10"/>
  <c r="AE400" i="10"/>
  <c r="AE3" i="10"/>
  <c r="AE410" i="10"/>
  <c r="V462" i="10"/>
  <c r="AE5" i="10"/>
  <c r="Y164" i="10"/>
  <c r="Y228" i="10"/>
  <c r="Y145" i="10"/>
  <c r="AB269" i="10"/>
  <c r="AE265" i="10"/>
  <c r="V25" i="10"/>
  <c r="S201" i="10"/>
  <c r="V271" i="10"/>
  <c r="S236" i="10"/>
  <c r="AB199" i="10"/>
  <c r="V237" i="10"/>
  <c r="S86" i="10"/>
  <c r="S517" i="10"/>
  <c r="AB428" i="10"/>
  <c r="AB12" i="10"/>
  <c r="AB155" i="10"/>
  <c r="AE276" i="10"/>
  <c r="AB140" i="10"/>
  <c r="S23" i="10"/>
  <c r="S326" i="10"/>
  <c r="V116" i="10"/>
  <c r="V183" i="10"/>
  <c r="AB4" i="10"/>
  <c r="AE165" i="10"/>
  <c r="Y434" i="10"/>
  <c r="Y23" i="10"/>
  <c r="V376" i="10"/>
  <c r="Y327" i="10"/>
  <c r="S199" i="10"/>
  <c r="V532" i="10"/>
  <c r="AB383" i="10"/>
  <c r="AE75" i="10"/>
  <c r="AE532" i="10"/>
  <c r="AE101" i="10"/>
  <c r="Y199" i="10"/>
  <c r="AB517" i="10"/>
  <c r="V199" i="10"/>
  <c r="AE44" i="10"/>
  <c r="AB323" i="10"/>
  <c r="V35" i="10"/>
  <c r="AB182" i="10"/>
  <c r="Y475" i="10"/>
  <c r="V357" i="10"/>
  <c r="AE347" i="10"/>
  <c r="AE369" i="10"/>
  <c r="AB94" i="10"/>
  <c r="Y204" i="10"/>
  <c r="AE67" i="10"/>
  <c r="AE530" i="10"/>
  <c r="Y359" i="10"/>
  <c r="AE312" i="10"/>
  <c r="AB258" i="10"/>
  <c r="AB235" i="10"/>
  <c r="Y339" i="10"/>
  <c r="AB271" i="10"/>
  <c r="S410" i="10"/>
  <c r="AB110" i="10"/>
  <c r="AB479" i="10"/>
  <c r="AE23" i="10"/>
  <c r="AE250" i="10"/>
  <c r="AE78" i="10"/>
  <c r="AB25" i="10"/>
  <c r="AE436" i="10"/>
  <c r="AE442" i="10"/>
  <c r="AE26" i="10"/>
  <c r="AE328" i="10"/>
  <c r="Y155" i="10"/>
  <c r="AE239" i="10"/>
  <c r="AE424" i="10"/>
  <c r="AE479" i="10"/>
  <c r="AE178" i="10"/>
  <c r="AE273" i="10"/>
  <c r="S237" i="10"/>
  <c r="AE307" i="10"/>
  <c r="S359" i="10"/>
  <c r="V23" i="10"/>
  <c r="Y440" i="10"/>
  <c r="AE140" i="10"/>
  <c r="Y328" i="10"/>
  <c r="S376" i="10"/>
  <c r="S12" i="10"/>
  <c r="AB239" i="10"/>
  <c r="AE271" i="10"/>
  <c r="S110" i="10"/>
  <c r="S258" i="10"/>
  <c r="AE186" i="10"/>
  <c r="Y497" i="10"/>
  <c r="V436" i="10"/>
  <c r="AE357" i="10"/>
  <c r="V239" i="10"/>
  <c r="AE284" i="10"/>
  <c r="S442" i="10"/>
  <c r="Y376" i="10"/>
  <c r="V12" i="10"/>
  <c r="Y239" i="10"/>
  <c r="V110" i="10"/>
  <c r="Y428" i="10"/>
  <c r="Y397" i="10"/>
  <c r="AB108" i="10"/>
  <c r="V364" i="10"/>
  <c r="AB497" i="10"/>
  <c r="AB484" i="10"/>
  <c r="AB67" i="10"/>
  <c r="V438" i="10"/>
  <c r="Y388" i="10"/>
  <c r="AB307" i="10"/>
  <c r="V204" i="10"/>
  <c r="AE116" i="10"/>
  <c r="AE468" i="10"/>
  <c r="AE326" i="10"/>
  <c r="V533" i="10"/>
  <c r="Y42" i="10"/>
  <c r="AE240" i="10"/>
  <c r="Y170" i="10"/>
  <c r="AB86" i="10"/>
  <c r="Y486" i="10"/>
  <c r="S347" i="10"/>
  <c r="S155" i="10"/>
  <c r="V442" i="10"/>
  <c r="S472" i="10"/>
  <c r="AB299" i="10"/>
  <c r="Y67" i="10"/>
  <c r="V127" i="10"/>
  <c r="AE242" i="10"/>
  <c r="AE287" i="10"/>
  <c r="Y464" i="10"/>
  <c r="S519" i="10"/>
  <c r="AB408" i="10"/>
  <c r="AE263" i="10"/>
  <c r="S279" i="10"/>
  <c r="Y509" i="10"/>
  <c r="Y92" i="10"/>
  <c r="AE233" i="10"/>
  <c r="AB312" i="10"/>
  <c r="V145" i="10"/>
  <c r="AB15" i="10"/>
  <c r="AB62" i="10"/>
  <c r="V454" i="10"/>
  <c r="V450" i="10"/>
  <c r="S26" i="10"/>
  <c r="S164" i="10"/>
  <c r="AB294" i="10"/>
  <c r="Y437" i="10"/>
  <c r="AB397" i="10"/>
  <c r="AE15" i="10"/>
  <c r="V155" i="10"/>
  <c r="Y442" i="10"/>
  <c r="Y530" i="10"/>
  <c r="V472" i="10"/>
  <c r="V129" i="10"/>
  <c r="AB188" i="10"/>
  <c r="S400" i="10"/>
  <c r="Y369" i="10"/>
  <c r="Y59" i="10"/>
  <c r="Y73" i="10"/>
  <c r="AE487" i="10"/>
  <c r="AE252" i="10"/>
  <c r="AB480" i="10"/>
  <c r="AE499" i="10"/>
  <c r="Y167" i="10"/>
  <c r="AB339" i="10"/>
  <c r="AB352" i="10"/>
  <c r="V412" i="10"/>
  <c r="AE460" i="10"/>
  <c r="Y269" i="10"/>
  <c r="S327" i="10"/>
  <c r="Y284" i="10"/>
  <c r="Y526" i="10"/>
  <c r="Y80" i="10"/>
  <c r="Y286" i="10"/>
  <c r="AE399" i="10"/>
  <c r="V382" i="10"/>
  <c r="AB442" i="10"/>
  <c r="AB530" i="10"/>
  <c r="Y472" i="10"/>
  <c r="S475" i="10"/>
  <c r="S25" i="10"/>
  <c r="AE438" i="10"/>
  <c r="V186" i="10"/>
  <c r="AB89" i="10"/>
  <c r="AE188" i="10"/>
  <c r="AB178" i="10"/>
  <c r="V165" i="10"/>
  <c r="AE450" i="10"/>
  <c r="AE336" i="10"/>
  <c r="V331" i="10"/>
  <c r="V434" i="10"/>
  <c r="AE10" i="10"/>
  <c r="V421" i="10"/>
  <c r="V299" i="10"/>
  <c r="Y383" i="10"/>
  <c r="AE41" i="10"/>
  <c r="Y27" i="10"/>
  <c r="AE300" i="10"/>
  <c r="AE385" i="10"/>
  <c r="AE480" i="10"/>
  <c r="AE292" i="10"/>
  <c r="Y75" i="10"/>
  <c r="V307" i="10"/>
  <c r="S4" i="10"/>
  <c r="Y25" i="10"/>
  <c r="V323" i="10"/>
  <c r="S357" i="10"/>
  <c r="AB5" i="10"/>
  <c r="Y312" i="10"/>
  <c r="S532" i="10"/>
  <c r="S42" i="10"/>
  <c r="V359" i="10"/>
  <c r="Y347" i="10"/>
  <c r="S182" i="10"/>
  <c r="AB347" i="10"/>
  <c r="V517" i="10"/>
  <c r="Y258" i="10"/>
  <c r="V235" i="10"/>
  <c r="Y165" i="10"/>
  <c r="Y410" i="10"/>
  <c r="AB437" i="10"/>
  <c r="AB350" i="10"/>
  <c r="S462" i="10"/>
  <c r="S219" i="10"/>
  <c r="V258" i="10"/>
  <c r="Y235" i="10"/>
  <c r="AB165" i="10"/>
  <c r="S530" i="10"/>
  <c r="S385" i="10"/>
  <c r="V479" i="10"/>
  <c r="Y484" i="10"/>
  <c r="AB186" i="10"/>
  <c r="AB101" i="10"/>
  <c r="AE89" i="10"/>
  <c r="AE331" i="10"/>
  <c r="AE238" i="10"/>
  <c r="AE127" i="10"/>
  <c r="AE428" i="10"/>
  <c r="AE261" i="10"/>
  <c r="AB328" i="10"/>
  <c r="V238" i="10"/>
  <c r="Y62" i="10"/>
  <c r="Y518" i="10"/>
  <c r="AE229" i="10"/>
  <c r="AB129" i="10"/>
  <c r="Y140" i="10"/>
  <c r="AB407" i="10"/>
  <c r="S460" i="10"/>
  <c r="S408" i="10"/>
  <c r="AB3" i="10"/>
  <c r="V269" i="10"/>
  <c r="AE408" i="10"/>
  <c r="S339" i="10"/>
  <c r="AB533" i="10"/>
  <c r="AE533" i="10"/>
  <c r="AE80" i="10"/>
  <c r="S116" i="10"/>
  <c r="V339" i="10"/>
  <c r="AB434" i="10"/>
  <c r="AB23" i="10"/>
  <c r="S307" i="10"/>
  <c r="S286" i="10"/>
  <c r="Y299" i="10"/>
  <c r="AB436" i="10"/>
  <c r="S67" i="10"/>
  <c r="AE383" i="10"/>
  <c r="Y300" i="10"/>
  <c r="AB42" i="10"/>
  <c r="AB59" i="10"/>
  <c r="V276" i="10"/>
  <c r="V475" i="10"/>
  <c r="AB544" i="10"/>
  <c r="S240" i="10"/>
  <c r="AE388" i="10"/>
  <c r="AB183" i="10"/>
  <c r="AB331" i="10"/>
  <c r="S399" i="10"/>
  <c r="S54" i="10"/>
  <c r="AB287" i="10"/>
  <c r="S412" i="10"/>
  <c r="AB116" i="10"/>
  <c r="AE339" i="10"/>
  <c r="V399" i="10"/>
  <c r="AE183" i="10"/>
  <c r="Y431" i="10"/>
  <c r="AE182" i="10"/>
  <c r="AE94" i="10"/>
  <c r="V86" i="10"/>
  <c r="AB286" i="10"/>
  <c r="S252" i="10"/>
  <c r="S92" i="10"/>
  <c r="V326" i="10"/>
  <c r="AB464" i="10"/>
  <c r="AB10" i="10"/>
  <c r="Y310" i="10"/>
  <c r="Y110" i="10"/>
  <c r="AE25" i="10"/>
  <c r="Y331" i="10"/>
  <c r="S165" i="10"/>
  <c r="Y399" i="10"/>
  <c r="S336" i="10"/>
  <c r="S250" i="10"/>
  <c r="V385" i="10"/>
  <c r="AE62" i="10"/>
  <c r="Y412" i="10"/>
  <c r="V80" i="10"/>
  <c r="AE514" i="10"/>
  <c r="V514" i="10"/>
  <c r="V381" i="10"/>
  <c r="V108" i="10"/>
  <c r="S259" i="10"/>
  <c r="S261" i="10"/>
  <c r="AB399" i="10"/>
  <c r="AE30" i="10"/>
  <c r="S468" i="10"/>
  <c r="Y86" i="10"/>
  <c r="AE286" i="10"/>
  <c r="V252" i="10"/>
  <c r="AB369" i="10"/>
  <c r="Y326" i="10"/>
  <c r="V4" i="10"/>
  <c r="S167" i="10"/>
  <c r="AB357" i="10"/>
  <c r="AB440" i="10"/>
  <c r="AE86" i="10"/>
  <c r="AB197" i="10"/>
  <c r="Y416" i="10"/>
  <c r="V10" i="10"/>
  <c r="Y450" i="10"/>
  <c r="AB27" i="10"/>
  <c r="S239" i="10"/>
  <c r="V228" i="10"/>
  <c r="V518" i="10"/>
  <c r="S454" i="10"/>
  <c r="AE407" i="10"/>
  <c r="V259" i="10"/>
  <c r="S350" i="10"/>
  <c r="V261" i="10"/>
  <c r="V468" i="10"/>
  <c r="Y499" i="10"/>
  <c r="S284" i="10"/>
  <c r="AB326" i="10"/>
  <c r="AB80" i="10"/>
  <c r="S41" i="10"/>
  <c r="V167" i="10"/>
  <c r="AE167" i="10"/>
  <c r="Y381" i="10"/>
  <c r="Y252" i="10"/>
  <c r="V327" i="10"/>
  <c r="Y131" i="10"/>
  <c r="V42" i="10"/>
  <c r="AB48" i="10"/>
  <c r="Y236" i="10"/>
  <c r="AE42" i="10"/>
  <c r="AE323" i="10"/>
  <c r="AB446" i="10"/>
  <c r="AE464" i="10"/>
  <c r="S300" i="10"/>
  <c r="S526" i="10"/>
  <c r="Y302" i="10"/>
  <c r="Y468" i="10"/>
  <c r="V182" i="10"/>
  <c r="S27" i="10"/>
  <c r="AB201" i="10"/>
  <c r="AB250" i="10"/>
  <c r="V188" i="10"/>
  <c r="S125" i="10"/>
  <c r="AB421" i="10"/>
  <c r="V284" i="10"/>
  <c r="V41" i="10"/>
  <c r="AB167" i="10"/>
  <c r="AE381" i="10"/>
  <c r="AB78" i="10"/>
  <c r="AE421" i="10"/>
  <c r="Y240" i="10"/>
  <c r="S35" i="10"/>
  <c r="V369" i="10"/>
  <c r="AB486" i="10"/>
  <c r="V24" i="10"/>
  <c r="V75" i="10"/>
  <c r="S480" i="10"/>
  <c r="AE197" i="10"/>
  <c r="Y438" i="10"/>
  <c r="AB364" i="10"/>
  <c r="AB300" i="10"/>
  <c r="AE92" i="10"/>
  <c r="AB468" i="10"/>
  <c r="V27" i="10"/>
  <c r="S178" i="10"/>
  <c r="S101" i="10"/>
  <c r="Y188" i="10"/>
  <c r="AB125" i="10"/>
  <c r="V526" i="10"/>
  <c r="V397" i="10"/>
  <c r="Y41" i="10"/>
  <c r="AB240" i="10"/>
  <c r="S541" i="10"/>
  <c r="AB131" i="10"/>
  <c r="V460" i="10"/>
  <c r="AE269" i="10"/>
  <c r="Y294" i="10"/>
  <c r="AB73" i="10"/>
  <c r="Y480" i="10"/>
  <c r="AE279" i="10"/>
  <c r="AE437" i="10"/>
  <c r="AE416" i="10"/>
  <c r="AE237" i="10"/>
  <c r="AE24" i="10"/>
  <c r="AB359" i="10"/>
  <c r="AE164" i="10"/>
  <c r="AE53" i="10"/>
  <c r="AB327" i="10"/>
  <c r="AE27" i="10"/>
  <c r="AE431" i="10"/>
  <c r="AB92" i="10"/>
  <c r="AB526" i="10"/>
  <c r="AE475" i="10"/>
  <c r="S170" i="10"/>
  <c r="V300" i="10"/>
  <c r="AE35" i="10"/>
  <c r="V347" i="10"/>
  <c r="V178" i="10"/>
  <c r="V101" i="10"/>
  <c r="AE125" i="10"/>
  <c r="AB284" i="10"/>
  <c r="S437" i="10"/>
  <c r="AB41" i="10"/>
  <c r="V240" i="10"/>
  <c r="Y336" i="10"/>
  <c r="Y541" i="10"/>
  <c r="Y460" i="10"/>
  <c r="S383" i="10"/>
  <c r="Y93" i="10"/>
  <c r="AB204" i="10"/>
  <c r="AE155" i="10"/>
  <c r="Y273" i="10"/>
  <c r="Y35" i="10"/>
  <c r="S479" i="10"/>
  <c r="AB93" i="10"/>
  <c r="AB252" i="10"/>
  <c r="S44" i="10"/>
  <c r="V480" i="10"/>
  <c r="AE302" i="10"/>
  <c r="AE219" i="10"/>
  <c r="AE412" i="10"/>
  <c r="AE170" i="10"/>
  <c r="AE93" i="10"/>
  <c r="AE131" i="10"/>
  <c r="AE454" i="10"/>
  <c r="AE376" i="10"/>
  <c r="AE259" i="10"/>
  <c r="AE54" i="10"/>
  <c r="AE462" i="10"/>
  <c r="AE497" i="10"/>
  <c r="AE291" i="10"/>
  <c r="AE59" i="10"/>
  <c r="AE382" i="10"/>
  <c r="AE73" i="10"/>
  <c r="V170" i="10"/>
  <c r="S434" i="10"/>
  <c r="Y350" i="10"/>
  <c r="AE459" i="10"/>
  <c r="S421" i="10"/>
  <c r="Y178" i="10"/>
  <c r="S299" i="10"/>
  <c r="AB35" i="10"/>
  <c r="S436" i="10"/>
  <c r="V336" i="10"/>
  <c r="V541" i="10"/>
  <c r="AB460" i="10"/>
  <c r="V383" i="10"/>
  <c r="V400" i="10"/>
  <c r="AE405" i="10"/>
  <c r="Y479" i="10"/>
  <c r="S78" i="10"/>
  <c r="V388" i="10"/>
  <c r="V44" i="10"/>
  <c r="AE486" i="10"/>
  <c r="Y108" i="10"/>
  <c r="S242" i="10"/>
  <c r="Y352" i="10"/>
  <c r="V499" i="10"/>
  <c r="AB514" i="10"/>
  <c r="AE544" i="10"/>
  <c r="AB273" i="10"/>
  <c r="S431" i="10"/>
  <c r="AB541" i="10"/>
  <c r="S428" i="10"/>
  <c r="AE204" i="10"/>
  <c r="AE484" i="10"/>
  <c r="AE294" i="10"/>
  <c r="AE134" i="10"/>
  <c r="Y134" i="10"/>
  <c r="AB134" i="10"/>
  <c r="V134" i="10"/>
  <c r="S134" i="10"/>
  <c r="AE396" i="10"/>
  <c r="AB396" i="10"/>
  <c r="V396" i="10"/>
  <c r="Y396" i="10"/>
  <c r="S396" i="10"/>
  <c r="AE28" i="10"/>
  <c r="AB28" i="10"/>
  <c r="V28" i="10"/>
  <c r="Y28" i="10"/>
  <c r="S28" i="10"/>
  <c r="AE230" i="10"/>
  <c r="AB230" i="10"/>
  <c r="Y230" i="10"/>
  <c r="V230" i="10"/>
  <c r="S230" i="10"/>
  <c r="AE359" i="10"/>
  <c r="V408" i="10"/>
  <c r="AE11" i="10"/>
  <c r="Y11" i="10"/>
  <c r="AB11" i="10"/>
  <c r="V11" i="10"/>
  <c r="S11" i="10"/>
  <c r="AE272" i="10"/>
  <c r="AB272" i="10"/>
  <c r="Y272" i="10"/>
  <c r="V272" i="10"/>
  <c r="S272" i="10"/>
  <c r="AE95" i="10"/>
  <c r="Y95" i="10"/>
  <c r="AB95" i="10"/>
  <c r="S95" i="10"/>
  <c r="V95" i="10"/>
  <c r="AE52" i="10"/>
  <c r="AB52" i="10"/>
  <c r="V52" i="10"/>
  <c r="Y52" i="10"/>
  <c r="S52" i="10"/>
  <c r="AE257" i="10"/>
  <c r="AB257" i="10"/>
  <c r="Y257" i="10"/>
  <c r="S257" i="10"/>
  <c r="V257" i="10"/>
  <c r="AE493" i="10"/>
  <c r="AB493" i="10"/>
  <c r="Y493" i="10"/>
  <c r="V493" i="10"/>
  <c r="S493" i="10"/>
  <c r="AE495" i="10"/>
  <c r="AB495" i="10"/>
  <c r="Y495" i="10"/>
  <c r="V495" i="10"/>
  <c r="S495" i="10"/>
  <c r="AE205" i="10"/>
  <c r="AB205" i="10"/>
  <c r="Y205" i="10"/>
  <c r="V205" i="10"/>
  <c r="S205" i="10"/>
  <c r="AE498" i="10"/>
  <c r="AB498" i="10"/>
  <c r="V498" i="10"/>
  <c r="Y498" i="10"/>
  <c r="S498" i="10"/>
  <c r="AE185" i="10"/>
  <c r="AB185" i="10"/>
  <c r="Y185" i="10"/>
  <c r="V185" i="10"/>
  <c r="S185" i="10"/>
  <c r="AE296" i="10"/>
  <c r="AB296" i="10"/>
  <c r="Y296" i="10"/>
  <c r="V296" i="10"/>
  <c r="S296" i="10"/>
  <c r="AE342" i="10"/>
  <c r="AB342" i="10"/>
  <c r="V342" i="10"/>
  <c r="Y342" i="10"/>
  <c r="S342" i="10"/>
  <c r="AE160" i="10"/>
  <c r="AB160" i="10"/>
  <c r="V160" i="10"/>
  <c r="Y160" i="10"/>
  <c r="S160" i="10"/>
  <c r="AE193" i="10"/>
  <c r="AB193" i="10"/>
  <c r="Y193" i="10"/>
  <c r="V193" i="10"/>
  <c r="S193" i="10"/>
  <c r="AE528" i="10"/>
  <c r="AB528" i="10"/>
  <c r="Y528" i="10"/>
  <c r="V528" i="10"/>
  <c r="S528" i="10"/>
  <c r="AE102" i="10"/>
  <c r="AB102" i="10"/>
  <c r="V102" i="10"/>
  <c r="S102" i="10"/>
  <c r="Y102" i="10"/>
  <c r="AE45" i="10"/>
  <c r="AB45" i="10"/>
  <c r="Y45" i="10"/>
  <c r="V45" i="10"/>
  <c r="S45" i="10"/>
  <c r="AE322" i="10"/>
  <c r="AB322" i="10"/>
  <c r="Y322" i="10"/>
  <c r="V322" i="10"/>
  <c r="S322" i="10"/>
  <c r="AE68" i="10"/>
  <c r="AB68" i="10"/>
  <c r="Y68" i="10"/>
  <c r="S68" i="10"/>
  <c r="V68" i="10"/>
  <c r="AE87" i="10"/>
  <c r="AB87" i="10"/>
  <c r="V87" i="10"/>
  <c r="S87" i="10"/>
  <c r="Y87" i="10"/>
  <c r="AE121" i="10"/>
  <c r="AB121" i="10"/>
  <c r="Y121" i="10"/>
  <c r="V121" i="10"/>
  <c r="S121" i="10"/>
  <c r="AE458" i="10"/>
  <c r="AB458" i="10"/>
  <c r="Y458" i="10"/>
  <c r="V458" i="10"/>
  <c r="S458" i="10"/>
  <c r="AE213" i="10"/>
  <c r="AB213" i="10"/>
  <c r="V213" i="10"/>
  <c r="Y213" i="10"/>
  <c r="S213" i="10"/>
  <c r="AE232" i="10"/>
  <c r="AB232" i="10"/>
  <c r="Y232" i="10"/>
  <c r="V232" i="10"/>
  <c r="S232" i="10"/>
  <c r="AE248" i="10"/>
  <c r="AB248" i="10"/>
  <c r="Y248" i="10"/>
  <c r="V248" i="10"/>
  <c r="S248" i="10"/>
  <c r="AE404" i="10"/>
  <c r="AB404" i="10"/>
  <c r="Y404" i="10"/>
  <c r="V404" i="10"/>
  <c r="S404" i="10"/>
  <c r="V26" i="10"/>
  <c r="AB509" i="10"/>
  <c r="AE440" i="10"/>
  <c r="AE474" i="10"/>
  <c r="AB474" i="10"/>
  <c r="Y474" i="10"/>
  <c r="V474" i="10"/>
  <c r="S474" i="10"/>
  <c r="AE154" i="10"/>
  <c r="AB154" i="10"/>
  <c r="Y154" i="10"/>
  <c r="V154" i="10"/>
  <c r="S154" i="10"/>
  <c r="AE375" i="10"/>
  <c r="AB375" i="10"/>
  <c r="Y375" i="10"/>
  <c r="V375" i="10"/>
  <c r="S375" i="10"/>
  <c r="S108" i="10"/>
  <c r="S129" i="10"/>
  <c r="Y400" i="10"/>
  <c r="V140" i="10"/>
  <c r="Y276" i="10"/>
  <c r="AB145" i="10"/>
  <c r="AB164" i="10"/>
  <c r="AB127" i="10"/>
  <c r="AB228" i="10"/>
  <c r="AB381" i="10"/>
  <c r="AE446" i="10"/>
  <c r="S183" i="10"/>
  <c r="Y78" i="10"/>
  <c r="AE48" i="10"/>
  <c r="S514" i="10"/>
  <c r="AB24" i="10"/>
  <c r="S186" i="10"/>
  <c r="Y448" i="10"/>
  <c r="V428" i="10"/>
  <c r="V89" i="10"/>
  <c r="AE343" i="10"/>
  <c r="AB343" i="10"/>
  <c r="Y343" i="10"/>
  <c r="V343" i="10"/>
  <c r="S343" i="10"/>
  <c r="AE96" i="10"/>
  <c r="Y96" i="10"/>
  <c r="AB96" i="10"/>
  <c r="V96" i="10"/>
  <c r="S96" i="10"/>
  <c r="AE150" i="10"/>
  <c r="AB150" i="10"/>
  <c r="Y150" i="10"/>
  <c r="V150" i="10"/>
  <c r="S150" i="10"/>
  <c r="AE477" i="10"/>
  <c r="Y477" i="10"/>
  <c r="V477" i="10"/>
  <c r="AB477" i="10"/>
  <c r="S477" i="10"/>
  <c r="Y408" i="10"/>
  <c r="AE306" i="10"/>
  <c r="AB306" i="10"/>
  <c r="Y306" i="10"/>
  <c r="V306" i="10"/>
  <c r="S306" i="10"/>
  <c r="AE168" i="10"/>
  <c r="AB168" i="10"/>
  <c r="Y168" i="10"/>
  <c r="V168" i="10"/>
  <c r="S168" i="10"/>
  <c r="AE19" i="10"/>
  <c r="AB19" i="10"/>
  <c r="Y19" i="10"/>
  <c r="V19" i="10"/>
  <c r="S19" i="10"/>
  <c r="AE501" i="10"/>
  <c r="AB501" i="10"/>
  <c r="Y501" i="10"/>
  <c r="V501" i="10"/>
  <c r="S501" i="10"/>
  <c r="AE81" i="10"/>
  <c r="AB81" i="10"/>
  <c r="Y81" i="10"/>
  <c r="V81" i="10"/>
  <c r="S81" i="10"/>
  <c r="AE209" i="10"/>
  <c r="AB209" i="10"/>
  <c r="Y209" i="10"/>
  <c r="V209" i="10"/>
  <c r="S209" i="10"/>
  <c r="AE17" i="10"/>
  <c r="AB17" i="10"/>
  <c r="Y17" i="10"/>
  <c r="S17" i="10"/>
  <c r="V17" i="10"/>
  <c r="AE175" i="10"/>
  <c r="AB175" i="10"/>
  <c r="Y175" i="10"/>
  <c r="V175" i="10"/>
  <c r="S175" i="10"/>
  <c r="AE540" i="10"/>
  <c r="AB540" i="10"/>
  <c r="V540" i="10"/>
  <c r="Y540" i="10"/>
  <c r="S540" i="10"/>
  <c r="AE137" i="10"/>
  <c r="AB137" i="10"/>
  <c r="Y137" i="10"/>
  <c r="V137" i="10"/>
  <c r="S137" i="10"/>
  <c r="AE473" i="10"/>
  <c r="AB473" i="10"/>
  <c r="Y473" i="10"/>
  <c r="V473" i="10"/>
  <c r="S473" i="10"/>
  <c r="AE361" i="10"/>
  <c r="AB361" i="10"/>
  <c r="Y361" i="10"/>
  <c r="V361" i="10"/>
  <c r="S361" i="10"/>
  <c r="AE515" i="10"/>
  <c r="AB515" i="10"/>
  <c r="Y515" i="10"/>
  <c r="S515" i="10"/>
  <c r="V515" i="10"/>
  <c r="AE403" i="10"/>
  <c r="Y403" i="10"/>
  <c r="AB403" i="10"/>
  <c r="V403" i="10"/>
  <c r="S403" i="10"/>
  <c r="AE76" i="10"/>
  <c r="AB76" i="10"/>
  <c r="V76" i="10"/>
  <c r="Y76" i="10"/>
  <c r="S76" i="10"/>
  <c r="AE387" i="10"/>
  <c r="AB387" i="10"/>
  <c r="Y387" i="10"/>
  <c r="V387" i="10"/>
  <c r="S387" i="10"/>
  <c r="AE166" i="10"/>
  <c r="AB166" i="10"/>
  <c r="Y166" i="10"/>
  <c r="S166" i="10"/>
  <c r="V166" i="10"/>
  <c r="AE354" i="10"/>
  <c r="AB354" i="10"/>
  <c r="V354" i="10"/>
  <c r="Y354" i="10"/>
  <c r="S354" i="10"/>
  <c r="AE63" i="10"/>
  <c r="AB63" i="10"/>
  <c r="Y63" i="10"/>
  <c r="V63" i="10"/>
  <c r="S63" i="10"/>
  <c r="AE380" i="10"/>
  <c r="AB380" i="10"/>
  <c r="Y380" i="10"/>
  <c r="V380" i="10"/>
  <c r="S380" i="10"/>
  <c r="AE315" i="10"/>
  <c r="AB315" i="10"/>
  <c r="Y315" i="10"/>
  <c r="V315" i="10"/>
  <c r="S315" i="10"/>
  <c r="AE413" i="10"/>
  <c r="AB413" i="10"/>
  <c r="Y413" i="10"/>
  <c r="V413" i="10"/>
  <c r="S413" i="10"/>
  <c r="AE430" i="10"/>
  <c r="Y430" i="10"/>
  <c r="AB430" i="10"/>
  <c r="V430" i="10"/>
  <c r="S430" i="10"/>
  <c r="AE290" i="10"/>
  <c r="AB290" i="10"/>
  <c r="Y290" i="10"/>
  <c r="V290" i="10"/>
  <c r="S290" i="10"/>
  <c r="AE207" i="10"/>
  <c r="AB207" i="10"/>
  <c r="Y207" i="10"/>
  <c r="S207" i="10"/>
  <c r="V207" i="10"/>
  <c r="AE70" i="10"/>
  <c r="AB70" i="10"/>
  <c r="Y70" i="10"/>
  <c r="V70" i="10"/>
  <c r="S70" i="10"/>
  <c r="AE352" i="10"/>
  <c r="AB26" i="10"/>
  <c r="AE509" i="10"/>
  <c r="AB499" i="10"/>
  <c r="AE214" i="10"/>
  <c r="AB214" i="10"/>
  <c r="Y214" i="10"/>
  <c r="V214" i="10"/>
  <c r="S214" i="10"/>
  <c r="AE109" i="10"/>
  <c r="AB109" i="10"/>
  <c r="Y109" i="10"/>
  <c r="V109" i="10"/>
  <c r="S109" i="10"/>
  <c r="AE520" i="10"/>
  <c r="AB520" i="10"/>
  <c r="V520" i="10"/>
  <c r="Y520" i="10"/>
  <c r="S520" i="10"/>
  <c r="S364" i="10"/>
  <c r="S188" i="10"/>
  <c r="AB400" i="10"/>
  <c r="S140" i="10"/>
  <c r="S310" i="10"/>
  <c r="V67" i="10"/>
  <c r="V437" i="10"/>
  <c r="AB450" i="10"/>
  <c r="AE228" i="10"/>
  <c r="AB518" i="10"/>
  <c r="S80" i="10"/>
  <c r="S269" i="10"/>
  <c r="Y186" i="10"/>
  <c r="AB448" i="10"/>
  <c r="S438" i="10"/>
  <c r="AB75" i="10"/>
  <c r="S331" i="10"/>
  <c r="AE124" i="10"/>
  <c r="AB124" i="10"/>
  <c r="V124" i="10"/>
  <c r="Y124" i="10"/>
  <c r="S124" i="10"/>
  <c r="AE543" i="10"/>
  <c r="AB543" i="10"/>
  <c r="V543" i="10"/>
  <c r="Y543" i="10"/>
  <c r="S543" i="10"/>
  <c r="AE453" i="10"/>
  <c r="AB453" i="10"/>
  <c r="Y453" i="10"/>
  <c r="V453" i="10"/>
  <c r="S453" i="10"/>
  <c r="AE254" i="10"/>
  <c r="AB254" i="10"/>
  <c r="Y254" i="10"/>
  <c r="V254" i="10"/>
  <c r="S254" i="10"/>
  <c r="AE34" i="10"/>
  <c r="AB34" i="10"/>
  <c r="V34" i="10"/>
  <c r="Y34" i="10"/>
  <c r="S34" i="10"/>
  <c r="AE345" i="10"/>
  <c r="Y345" i="10"/>
  <c r="AB345" i="10"/>
  <c r="V345" i="10"/>
  <c r="S345" i="10"/>
  <c r="AE282" i="10"/>
  <c r="AB282" i="10"/>
  <c r="Y282" i="10"/>
  <c r="V282" i="10"/>
  <c r="S282" i="10"/>
  <c r="AE221" i="10"/>
  <c r="AB221" i="10"/>
  <c r="Y221" i="10"/>
  <c r="V221" i="10"/>
  <c r="S221" i="10"/>
  <c r="AE99" i="10"/>
  <c r="AB99" i="10"/>
  <c r="V99" i="10"/>
  <c r="Y99" i="10"/>
  <c r="S99" i="10"/>
  <c r="AE58" i="10"/>
  <c r="Y58" i="10"/>
  <c r="AB58" i="10"/>
  <c r="V58" i="10"/>
  <c r="S58" i="10"/>
  <c r="AE135" i="10"/>
  <c r="AB135" i="10"/>
  <c r="V135" i="10"/>
  <c r="Y135" i="10"/>
  <c r="S135" i="10"/>
  <c r="AE524" i="10"/>
  <c r="AB524" i="10"/>
  <c r="Y524" i="10"/>
  <c r="V524" i="10"/>
  <c r="S524" i="10"/>
  <c r="AE374" i="10"/>
  <c r="AB374" i="10"/>
  <c r="Y374" i="10"/>
  <c r="V374" i="10"/>
  <c r="S374" i="10"/>
  <c r="Y119" i="10"/>
  <c r="AE119" i="10"/>
  <c r="AB119" i="10"/>
  <c r="V119" i="10"/>
  <c r="S119" i="10"/>
  <c r="AB259" i="10"/>
  <c r="Y519" i="10"/>
  <c r="AE85" i="10"/>
  <c r="AB85" i="10"/>
  <c r="V85" i="10"/>
  <c r="Y85" i="10"/>
  <c r="S85" i="10"/>
  <c r="AE386" i="10"/>
  <c r="AB386" i="10"/>
  <c r="Y386" i="10"/>
  <c r="V386" i="10"/>
  <c r="S386" i="10"/>
  <c r="AE266" i="10"/>
  <c r="AB266" i="10"/>
  <c r="V266" i="10"/>
  <c r="Y266" i="10"/>
  <c r="S266" i="10"/>
  <c r="AE443" i="10"/>
  <c r="AB443" i="10"/>
  <c r="Y443" i="10"/>
  <c r="V443" i="10"/>
  <c r="S443" i="10"/>
  <c r="AE373" i="10"/>
  <c r="AB373" i="10"/>
  <c r="Y373" i="10"/>
  <c r="V373" i="10"/>
  <c r="S373" i="10"/>
  <c r="AE251" i="10"/>
  <c r="Y251" i="10"/>
  <c r="AB251" i="10"/>
  <c r="V251" i="10"/>
  <c r="S251" i="10"/>
  <c r="AE8" i="10"/>
  <c r="Y8" i="10"/>
  <c r="AB8" i="10"/>
  <c r="V8" i="10"/>
  <c r="S8" i="10"/>
  <c r="AE152" i="10"/>
  <c r="AB152" i="10"/>
  <c r="Y152" i="10"/>
  <c r="V152" i="10"/>
  <c r="S152" i="10"/>
  <c r="AE485" i="10"/>
  <c r="AB485" i="10"/>
  <c r="Y485" i="10"/>
  <c r="V485" i="10"/>
  <c r="S485" i="10"/>
  <c r="AE37" i="10"/>
  <c r="AB37" i="10"/>
  <c r="Y37" i="10"/>
  <c r="V37" i="10"/>
  <c r="S37" i="10"/>
  <c r="AE203" i="10"/>
  <c r="AB203" i="10"/>
  <c r="Y203" i="10"/>
  <c r="V203" i="10"/>
  <c r="S203" i="10"/>
  <c r="AE103" i="10"/>
  <c r="AB103" i="10"/>
  <c r="Y103" i="10"/>
  <c r="V103" i="10"/>
  <c r="S103" i="10"/>
  <c r="AE423" i="10"/>
  <c r="AB423" i="10"/>
  <c r="Y423" i="10"/>
  <c r="V423" i="10"/>
  <c r="S423" i="10"/>
  <c r="AE179" i="10"/>
  <c r="Y179" i="10"/>
  <c r="AB179" i="10"/>
  <c r="V179" i="10"/>
  <c r="S179" i="10"/>
  <c r="AE378" i="10"/>
  <c r="AB378" i="10"/>
  <c r="Y378" i="10"/>
  <c r="V378" i="10"/>
  <c r="S378" i="10"/>
  <c r="AE210" i="10"/>
  <c r="AB210" i="10"/>
  <c r="V210" i="10"/>
  <c r="Y210" i="10"/>
  <c r="S210" i="10"/>
  <c r="AE158" i="10"/>
  <c r="Y158" i="10"/>
  <c r="AB158" i="10"/>
  <c r="V158" i="10"/>
  <c r="S158" i="10"/>
  <c r="AE270" i="10"/>
  <c r="AB270" i="10"/>
  <c r="Y270" i="10"/>
  <c r="V270" i="10"/>
  <c r="S270" i="10"/>
  <c r="AE293" i="10"/>
  <c r="AB293" i="10"/>
  <c r="Y293" i="10"/>
  <c r="V293" i="10"/>
  <c r="S293" i="10"/>
  <c r="AE31" i="10"/>
  <c r="AB31" i="10"/>
  <c r="Y31" i="10"/>
  <c r="V31" i="10"/>
  <c r="S31" i="10"/>
  <c r="AE513" i="10"/>
  <c r="AB513" i="10"/>
  <c r="Y513" i="10"/>
  <c r="V513" i="10"/>
  <c r="S513" i="10"/>
  <c r="AE482" i="10"/>
  <c r="AB482" i="10"/>
  <c r="Y482" i="10"/>
  <c r="V482" i="10"/>
  <c r="S482" i="10"/>
  <c r="AE511" i="10"/>
  <c r="AB511" i="10"/>
  <c r="Y511" i="10"/>
  <c r="V511" i="10"/>
  <c r="S511" i="10"/>
  <c r="AE260" i="10"/>
  <c r="AB260" i="10"/>
  <c r="V260" i="10"/>
  <c r="Y260" i="10"/>
  <c r="S260" i="10"/>
  <c r="AE226" i="10"/>
  <c r="Y226" i="10"/>
  <c r="AB226" i="10"/>
  <c r="V226" i="10"/>
  <c r="S226" i="10"/>
  <c r="AE245" i="10"/>
  <c r="AB245" i="10"/>
  <c r="Y245" i="10"/>
  <c r="V245" i="10"/>
  <c r="S245" i="10"/>
  <c r="S459" i="10"/>
  <c r="AB291" i="10"/>
  <c r="S265" i="10"/>
  <c r="V242" i="10"/>
  <c r="AE523" i="10"/>
  <c r="AB523" i="10"/>
  <c r="Y523" i="10"/>
  <c r="V523" i="10"/>
  <c r="S523" i="10"/>
  <c r="AE38" i="10"/>
  <c r="AB38" i="10"/>
  <c r="Y38" i="10"/>
  <c r="V38" i="10"/>
  <c r="S38" i="10"/>
  <c r="V279" i="10"/>
  <c r="AE129" i="10"/>
  <c r="AE526" i="10"/>
  <c r="AB310" i="10"/>
  <c r="S233" i="10"/>
  <c r="Y44" i="10"/>
  <c r="AE327" i="10"/>
  <c r="V131" i="10"/>
  <c r="AB412" i="10"/>
  <c r="V484" i="10"/>
  <c r="S533" i="10"/>
  <c r="S73" i="10"/>
  <c r="V236" i="10"/>
  <c r="AB438" i="10"/>
  <c r="V62" i="10"/>
  <c r="AE16" i="10"/>
  <c r="AB16" i="10"/>
  <c r="V16" i="10"/>
  <c r="Y16" i="10"/>
  <c r="S16" i="10"/>
  <c r="AE217" i="10"/>
  <c r="AB217" i="10"/>
  <c r="Y217" i="10"/>
  <c r="V217" i="10"/>
  <c r="S217" i="10"/>
  <c r="AE398" i="10"/>
  <c r="AB398" i="10"/>
  <c r="Y398" i="10"/>
  <c r="V398" i="10"/>
  <c r="S398" i="10"/>
  <c r="AE527" i="10"/>
  <c r="AB527" i="10"/>
  <c r="Y527" i="10"/>
  <c r="V527" i="10"/>
  <c r="S527" i="10"/>
  <c r="AB170" i="10"/>
  <c r="V519" i="10"/>
  <c r="AE308" i="10"/>
  <c r="AB308" i="10"/>
  <c r="Y308" i="10"/>
  <c r="V308" i="10"/>
  <c r="S308" i="10"/>
  <c r="AE223" i="10"/>
  <c r="AB223" i="10"/>
  <c r="V223" i="10"/>
  <c r="Y223" i="10"/>
  <c r="S223" i="10"/>
  <c r="AE29" i="10"/>
  <c r="AB29" i="10"/>
  <c r="Y29" i="10"/>
  <c r="V29" i="10"/>
  <c r="S29" i="10"/>
  <c r="AE285" i="10"/>
  <c r="Y285" i="10"/>
  <c r="AB285" i="10"/>
  <c r="V285" i="10"/>
  <c r="S285" i="10"/>
  <c r="AE384" i="10"/>
  <c r="AB384" i="10"/>
  <c r="Y384" i="10"/>
  <c r="V384" i="10"/>
  <c r="S384" i="10"/>
  <c r="AE512" i="10"/>
  <c r="AB512" i="10"/>
  <c r="Y512" i="10"/>
  <c r="V512" i="10"/>
  <c r="S512" i="10"/>
  <c r="AE341" i="10"/>
  <c r="AB341" i="10"/>
  <c r="Y341" i="10"/>
  <c r="S341" i="10"/>
  <c r="V341" i="10"/>
  <c r="AE206" i="10"/>
  <c r="AB206" i="10"/>
  <c r="Y206" i="10"/>
  <c r="V206" i="10"/>
  <c r="S206" i="10"/>
  <c r="AE13" i="10"/>
  <c r="AB13" i="10"/>
  <c r="Y13" i="10"/>
  <c r="V13" i="10"/>
  <c r="S13" i="10"/>
  <c r="AE114" i="10"/>
  <c r="AB114" i="10"/>
  <c r="Y114" i="10"/>
  <c r="S114" i="10"/>
  <c r="V114" i="10"/>
  <c r="AE506" i="10"/>
  <c r="AB506" i="10"/>
  <c r="Y506" i="10"/>
  <c r="V506" i="10"/>
  <c r="S506" i="10"/>
  <c r="AE503" i="10"/>
  <c r="AB503" i="10"/>
  <c r="V503" i="10"/>
  <c r="Y503" i="10"/>
  <c r="S503" i="10"/>
  <c r="AE148" i="10"/>
  <c r="AB148" i="10"/>
  <c r="V148" i="10"/>
  <c r="Y148" i="10"/>
  <c r="S148" i="10"/>
  <c r="AE481" i="10"/>
  <c r="AB481" i="10"/>
  <c r="Y481" i="10"/>
  <c r="V481" i="10"/>
  <c r="S481" i="10"/>
  <c r="AE492" i="10"/>
  <c r="AB492" i="10"/>
  <c r="Y492" i="10"/>
  <c r="V492" i="10"/>
  <c r="S492" i="10"/>
  <c r="AE106" i="10"/>
  <c r="AB106" i="10"/>
  <c r="Y106" i="10"/>
  <c r="V106" i="10"/>
  <c r="S106" i="10"/>
  <c r="AE449" i="10"/>
  <c r="AB449" i="10"/>
  <c r="Y449" i="10"/>
  <c r="V449" i="10"/>
  <c r="S449" i="10"/>
  <c r="AE200" i="10"/>
  <c r="AB200" i="10"/>
  <c r="Y200" i="10"/>
  <c r="V200" i="10"/>
  <c r="S200" i="10"/>
  <c r="AE218" i="10"/>
  <c r="AB218" i="10"/>
  <c r="Y218" i="10"/>
  <c r="V218" i="10"/>
  <c r="S218" i="10"/>
  <c r="AE196" i="10"/>
  <c r="AB196" i="10"/>
  <c r="Y196" i="10"/>
  <c r="S196" i="10"/>
  <c r="V196" i="10"/>
  <c r="AE202" i="10"/>
  <c r="Y202" i="10"/>
  <c r="AB202" i="10"/>
  <c r="S202" i="10"/>
  <c r="V202" i="10"/>
  <c r="AE456" i="10"/>
  <c r="AB456" i="10"/>
  <c r="V456" i="10"/>
  <c r="Y456" i="10"/>
  <c r="S456" i="10"/>
  <c r="AE425" i="10"/>
  <c r="AB425" i="10"/>
  <c r="Y425" i="10"/>
  <c r="V425" i="10"/>
  <c r="S425" i="10"/>
  <c r="V459" i="10"/>
  <c r="V265" i="10"/>
  <c r="AB462" i="10"/>
  <c r="Y242" i="10"/>
  <c r="AE256" i="10"/>
  <c r="AB256" i="10"/>
  <c r="Y256" i="10"/>
  <c r="V256" i="10"/>
  <c r="S256" i="10"/>
  <c r="AE313" i="10"/>
  <c r="AB313" i="10"/>
  <c r="V313" i="10"/>
  <c r="Y313" i="10"/>
  <c r="S313" i="10"/>
  <c r="AE364" i="10"/>
  <c r="Y279" i="10"/>
  <c r="S287" i="10"/>
  <c r="S312" i="10"/>
  <c r="S292" i="10"/>
  <c r="V233" i="10"/>
  <c r="S93" i="10"/>
  <c r="S229" i="10"/>
  <c r="AB44" i="10"/>
  <c r="AB454" i="10"/>
  <c r="S59" i="10"/>
  <c r="S416" i="10"/>
  <c r="Y533" i="10"/>
  <c r="V73" i="10"/>
  <c r="AB236" i="10"/>
  <c r="S302" i="10"/>
  <c r="AE98" i="10"/>
  <c r="Y98" i="10"/>
  <c r="AB98" i="10"/>
  <c r="V98" i="10"/>
  <c r="S98" i="10"/>
  <c r="AE153" i="10"/>
  <c r="AB153" i="10"/>
  <c r="Y153" i="10"/>
  <c r="V153" i="10"/>
  <c r="S153" i="10"/>
  <c r="AE372" i="10"/>
  <c r="AB372" i="10"/>
  <c r="V372" i="10"/>
  <c r="Y372" i="10"/>
  <c r="S372" i="10"/>
  <c r="AE478" i="10"/>
  <c r="AB478" i="10"/>
  <c r="Y478" i="10"/>
  <c r="V478" i="10"/>
  <c r="S478" i="10"/>
  <c r="AE51" i="10"/>
  <c r="AB51" i="10"/>
  <c r="Y51" i="10"/>
  <c r="V51" i="10"/>
  <c r="S51" i="10"/>
  <c r="AE448" i="10"/>
  <c r="AE130" i="10"/>
  <c r="AB130" i="10"/>
  <c r="Y130" i="10"/>
  <c r="V130" i="10"/>
  <c r="S130" i="10"/>
  <c r="AE406" i="10"/>
  <c r="AB406" i="10"/>
  <c r="Y406" i="10"/>
  <c r="V406" i="10"/>
  <c r="S406" i="10"/>
  <c r="AE198" i="10"/>
  <c r="AB198" i="10"/>
  <c r="V198" i="10"/>
  <c r="Y198" i="10"/>
  <c r="S198" i="10"/>
  <c r="AE174" i="10"/>
  <c r="AB174" i="10"/>
  <c r="V174" i="10"/>
  <c r="Y174" i="10"/>
  <c r="S174" i="10"/>
  <c r="AE417" i="10"/>
  <c r="Y417" i="10"/>
  <c r="V417" i="10"/>
  <c r="AB417" i="10"/>
  <c r="S417" i="10"/>
  <c r="AE311" i="10"/>
  <c r="Y311" i="10"/>
  <c r="AB311" i="10"/>
  <c r="V311" i="10"/>
  <c r="S311" i="10"/>
  <c r="AE55" i="10"/>
  <c r="AB55" i="10"/>
  <c r="Y55" i="10"/>
  <c r="S55" i="10"/>
  <c r="V55" i="10"/>
  <c r="S484" i="10"/>
  <c r="S62" i="10"/>
  <c r="AE138" i="10"/>
  <c r="AB138" i="10"/>
  <c r="Y138" i="10"/>
  <c r="S138" i="10"/>
  <c r="V138" i="10"/>
  <c r="AE465" i="10"/>
  <c r="AB465" i="10"/>
  <c r="Y465" i="10"/>
  <c r="V465" i="10"/>
  <c r="S465" i="10"/>
  <c r="AE288" i="10"/>
  <c r="AB288" i="10"/>
  <c r="Y288" i="10"/>
  <c r="V288" i="10"/>
  <c r="S288" i="10"/>
  <c r="AE280" i="10"/>
  <c r="AB280" i="10"/>
  <c r="Y280" i="10"/>
  <c r="V280" i="10"/>
  <c r="S280" i="10"/>
  <c r="AB382" i="10"/>
  <c r="AB519" i="10"/>
  <c r="AE159" i="10"/>
  <c r="AB159" i="10"/>
  <c r="Y159" i="10"/>
  <c r="V159" i="10"/>
  <c r="S159" i="10"/>
  <c r="AE419" i="10"/>
  <c r="AB419" i="10"/>
  <c r="Y419" i="10"/>
  <c r="V419" i="10"/>
  <c r="S419" i="10"/>
  <c r="AE349" i="10"/>
  <c r="AB349" i="10"/>
  <c r="Y349" i="10"/>
  <c r="V349" i="10"/>
  <c r="S349" i="10"/>
  <c r="AE330" i="10"/>
  <c r="AB330" i="10"/>
  <c r="V330" i="10"/>
  <c r="Y330" i="10"/>
  <c r="S330" i="10"/>
  <c r="AE181" i="10"/>
  <c r="AB181" i="10"/>
  <c r="Y181" i="10"/>
  <c r="V181" i="10"/>
  <c r="S181" i="10"/>
  <c r="AE411" i="10"/>
  <c r="AB411" i="10"/>
  <c r="Y411" i="10"/>
  <c r="V411" i="10"/>
  <c r="S411" i="10"/>
  <c r="AE234" i="10"/>
  <c r="AB234" i="10"/>
  <c r="V234" i="10"/>
  <c r="Y234" i="10"/>
  <c r="S234" i="10"/>
  <c r="AE368" i="10"/>
  <c r="AB368" i="10"/>
  <c r="Y368" i="10"/>
  <c r="V368" i="10"/>
  <c r="S368" i="10"/>
  <c r="AE187" i="10"/>
  <c r="AB187" i="10"/>
  <c r="V187" i="10"/>
  <c r="Y187" i="10"/>
  <c r="S187" i="10"/>
  <c r="AE20" i="10"/>
  <c r="AB20" i="10"/>
  <c r="Y20" i="10"/>
  <c r="V20" i="10"/>
  <c r="S20" i="10"/>
  <c r="AE415" i="10"/>
  <c r="AB415" i="10"/>
  <c r="Y415" i="10"/>
  <c r="V415" i="10"/>
  <c r="S415" i="10"/>
  <c r="AE88" i="10"/>
  <c r="AB88" i="10"/>
  <c r="Y88" i="10"/>
  <c r="V88" i="10"/>
  <c r="S88" i="10"/>
  <c r="AE222" i="10"/>
  <c r="Y222" i="10"/>
  <c r="V222" i="10"/>
  <c r="AB222" i="10"/>
  <c r="S222" i="10"/>
  <c r="AE429" i="10"/>
  <c r="AB429" i="10"/>
  <c r="Y429" i="10"/>
  <c r="V429" i="10"/>
  <c r="S429" i="10"/>
  <c r="AE522" i="10"/>
  <c r="AB522" i="10"/>
  <c r="Y522" i="10"/>
  <c r="V522" i="10"/>
  <c r="S522" i="10"/>
  <c r="AE447" i="10"/>
  <c r="AB447" i="10"/>
  <c r="Y447" i="10"/>
  <c r="V447" i="10"/>
  <c r="S447" i="10"/>
  <c r="AB348" i="10"/>
  <c r="AE348" i="10"/>
  <c r="Y348" i="10"/>
  <c r="V348" i="10"/>
  <c r="S348" i="10"/>
  <c r="AB476" i="10"/>
  <c r="AE476" i="10"/>
  <c r="Y476" i="10"/>
  <c r="V476" i="10"/>
  <c r="S476" i="10"/>
  <c r="AE305" i="10"/>
  <c r="Y305" i="10"/>
  <c r="AB305" i="10"/>
  <c r="S305" i="10"/>
  <c r="V305" i="10"/>
  <c r="AE401" i="10"/>
  <c r="AB401" i="10"/>
  <c r="Y401" i="10"/>
  <c r="V401" i="10"/>
  <c r="S401" i="10"/>
  <c r="AE418" i="10"/>
  <c r="AB418" i="10"/>
  <c r="Y418" i="10"/>
  <c r="V418" i="10"/>
  <c r="S418" i="10"/>
  <c r="AE142" i="10"/>
  <c r="AB142" i="10"/>
  <c r="Y142" i="10"/>
  <c r="V142" i="10"/>
  <c r="S142" i="10"/>
  <c r="AE451" i="10"/>
  <c r="AB451" i="10"/>
  <c r="Y451" i="10"/>
  <c r="V451" i="10"/>
  <c r="S451" i="10"/>
  <c r="AE224" i="10"/>
  <c r="Y224" i="10"/>
  <c r="AB224" i="10"/>
  <c r="V224" i="10"/>
  <c r="S224" i="10"/>
  <c r="AE426" i="10"/>
  <c r="AB426" i="10"/>
  <c r="V426" i="10"/>
  <c r="Y426" i="10"/>
  <c r="S426" i="10"/>
  <c r="Y459" i="10"/>
  <c r="AB376" i="10"/>
  <c r="Y54" i="10"/>
  <c r="Y265" i="10"/>
  <c r="AB242" i="10"/>
  <c r="AE39" i="10"/>
  <c r="AB39" i="10"/>
  <c r="Y39" i="10"/>
  <c r="V39" i="10"/>
  <c r="S39" i="10"/>
  <c r="AE452" i="10"/>
  <c r="AB452" i="10"/>
  <c r="Y452" i="10"/>
  <c r="V452" i="10"/>
  <c r="S452" i="10"/>
  <c r="AE470" i="10"/>
  <c r="AB470" i="10"/>
  <c r="Y470" i="10"/>
  <c r="S470" i="10"/>
  <c r="V470" i="10"/>
  <c r="AB279" i="10"/>
  <c r="S487" i="10"/>
  <c r="V287" i="10"/>
  <c r="AB410" i="10"/>
  <c r="V94" i="10"/>
  <c r="Y5" i="10"/>
  <c r="V292" i="10"/>
  <c r="AB431" i="10"/>
  <c r="Y233" i="10"/>
  <c r="V30" i="10"/>
  <c r="V93" i="10"/>
  <c r="S197" i="10"/>
  <c r="V229" i="10"/>
  <c r="V59" i="10"/>
  <c r="V416" i="10"/>
  <c r="S405" i="10"/>
  <c r="AB302" i="10"/>
  <c r="Y238" i="10"/>
  <c r="S53" i="10"/>
  <c r="S464" i="10"/>
  <c r="AE49" i="10"/>
  <c r="AB49" i="10"/>
  <c r="Y49" i="10"/>
  <c r="V49" i="10"/>
  <c r="S49" i="10"/>
  <c r="AB420" i="10"/>
  <c r="AE420" i="10"/>
  <c r="V420" i="10"/>
  <c r="Y420" i="10"/>
  <c r="S420" i="10"/>
  <c r="AE329" i="10"/>
  <c r="AB329" i="10"/>
  <c r="V329" i="10"/>
  <c r="Y329" i="10"/>
  <c r="S329" i="10"/>
  <c r="AE133" i="10"/>
  <c r="AB133" i="10"/>
  <c r="Y133" i="10"/>
  <c r="V133" i="10"/>
  <c r="S133" i="10"/>
  <c r="AE72" i="10"/>
  <c r="Y72" i="10"/>
  <c r="AB72" i="10"/>
  <c r="V72" i="10"/>
  <c r="S72" i="10"/>
  <c r="AE18" i="10"/>
  <c r="AB18" i="10"/>
  <c r="Y18" i="10"/>
  <c r="V18" i="10"/>
  <c r="S18" i="10"/>
  <c r="AE324" i="10"/>
  <c r="AB324" i="10"/>
  <c r="Y324" i="10"/>
  <c r="V324" i="10"/>
  <c r="S324" i="10"/>
  <c r="Y129" i="10"/>
  <c r="AE367" i="10"/>
  <c r="AB367" i="10"/>
  <c r="Y367" i="10"/>
  <c r="V367" i="10"/>
  <c r="S367" i="10"/>
  <c r="AE529" i="10"/>
  <c r="AB529" i="10"/>
  <c r="Y529" i="10"/>
  <c r="V529" i="10"/>
  <c r="S529" i="10"/>
  <c r="AE309" i="10"/>
  <c r="AB309" i="10"/>
  <c r="Y309" i="10"/>
  <c r="V309" i="10"/>
  <c r="S309" i="10"/>
  <c r="AE84" i="10"/>
  <c r="AB84" i="10"/>
  <c r="Y84" i="10"/>
  <c r="V84" i="10"/>
  <c r="S84" i="10"/>
  <c r="AE112" i="10"/>
  <c r="AB112" i="10"/>
  <c r="V112" i="10"/>
  <c r="Y112" i="10"/>
  <c r="S112" i="10"/>
  <c r="AE319" i="10"/>
  <c r="Y319" i="10"/>
  <c r="AB319" i="10"/>
  <c r="V319" i="10"/>
  <c r="S319" i="10"/>
  <c r="AE77" i="10"/>
  <c r="AB77" i="10"/>
  <c r="Y77" i="10"/>
  <c r="V77" i="10"/>
  <c r="S77" i="10"/>
  <c r="AE82" i="10"/>
  <c r="AB82" i="10"/>
  <c r="Y82" i="10"/>
  <c r="S82" i="10"/>
  <c r="V82" i="10"/>
  <c r="AE107" i="10"/>
  <c r="Y107" i="10"/>
  <c r="AB107" i="10"/>
  <c r="V107" i="10"/>
  <c r="S107" i="10"/>
  <c r="AE363" i="10"/>
  <c r="AB363" i="10"/>
  <c r="Y363" i="10"/>
  <c r="V363" i="10"/>
  <c r="S363" i="10"/>
  <c r="AE149" i="10"/>
  <c r="AB149" i="10"/>
  <c r="Y149" i="10"/>
  <c r="V149" i="10"/>
  <c r="S149" i="10"/>
  <c r="AE519" i="10"/>
  <c r="AE40" i="10"/>
  <c r="AB40" i="10"/>
  <c r="Y40" i="10"/>
  <c r="V40" i="10"/>
  <c r="S40" i="10"/>
  <c r="AE244" i="10"/>
  <c r="AB244" i="10"/>
  <c r="Y244" i="10"/>
  <c r="V244" i="10"/>
  <c r="S244" i="10"/>
  <c r="AB264" i="10"/>
  <c r="AE264" i="10"/>
  <c r="V264" i="10"/>
  <c r="Y264" i="10"/>
  <c r="S264" i="10"/>
  <c r="AE176" i="10"/>
  <c r="AB176" i="10"/>
  <c r="Y176" i="10"/>
  <c r="V176" i="10"/>
  <c r="S176" i="10"/>
  <c r="AE432" i="10"/>
  <c r="AB432" i="10"/>
  <c r="Y432" i="10"/>
  <c r="V432" i="10"/>
  <c r="S432" i="10"/>
  <c r="AE74" i="10"/>
  <c r="Y74" i="10"/>
  <c r="AB74" i="10"/>
  <c r="V74" i="10"/>
  <c r="S74" i="10"/>
  <c r="AE57" i="10"/>
  <c r="AB57" i="10"/>
  <c r="Y57" i="10"/>
  <c r="V57" i="10"/>
  <c r="S57" i="10"/>
  <c r="AE216" i="10"/>
  <c r="AB216" i="10"/>
  <c r="Y216" i="10"/>
  <c r="V216" i="10"/>
  <c r="S216" i="10"/>
  <c r="AE115" i="10"/>
  <c r="AB115" i="10"/>
  <c r="Y115" i="10"/>
  <c r="V115" i="10"/>
  <c r="S115" i="10"/>
  <c r="AE490" i="10"/>
  <c r="AB490" i="10"/>
  <c r="Y490" i="10"/>
  <c r="V490" i="10"/>
  <c r="S490" i="10"/>
  <c r="AE268" i="10"/>
  <c r="AB268" i="10"/>
  <c r="Y268" i="10"/>
  <c r="V268" i="10"/>
  <c r="S268" i="10"/>
  <c r="AE255" i="10"/>
  <c r="AB255" i="10"/>
  <c r="Y255" i="10"/>
  <c r="V255" i="10"/>
  <c r="S255" i="10"/>
  <c r="AE172" i="10"/>
  <c r="AB172" i="10"/>
  <c r="Y172" i="10"/>
  <c r="V172" i="10"/>
  <c r="S172" i="10"/>
  <c r="AE283" i="10"/>
  <c r="AB283" i="10"/>
  <c r="Y283" i="10"/>
  <c r="V283" i="10"/>
  <c r="S283" i="10"/>
  <c r="AE318" i="10"/>
  <c r="AB318" i="10"/>
  <c r="V318" i="10"/>
  <c r="Y318" i="10"/>
  <c r="S318" i="10"/>
  <c r="AE9" i="10"/>
  <c r="AB9" i="10"/>
  <c r="Y9" i="10"/>
  <c r="V9" i="10"/>
  <c r="S9" i="10"/>
  <c r="AE194" i="10"/>
  <c r="AB194" i="10"/>
  <c r="Y194" i="10"/>
  <c r="V194" i="10"/>
  <c r="S194" i="10"/>
  <c r="AE332" i="10"/>
  <c r="AB332" i="10"/>
  <c r="Y332" i="10"/>
  <c r="V332" i="10"/>
  <c r="S332" i="10"/>
  <c r="AE146" i="10"/>
  <c r="AB146" i="10"/>
  <c r="Y146" i="10"/>
  <c r="V146" i="10"/>
  <c r="S146" i="10"/>
  <c r="AE390" i="10"/>
  <c r="AB390" i="10"/>
  <c r="V390" i="10"/>
  <c r="Y390" i="10"/>
  <c r="S390" i="10"/>
  <c r="AE56" i="10"/>
  <c r="Y56" i="10"/>
  <c r="S56" i="10"/>
  <c r="AB56" i="10"/>
  <c r="V56" i="10"/>
  <c r="AE409" i="10"/>
  <c r="AB409" i="10"/>
  <c r="Y409" i="10"/>
  <c r="V409" i="10"/>
  <c r="S409" i="10"/>
  <c r="AE136" i="10"/>
  <c r="AB136" i="10"/>
  <c r="Y136" i="10"/>
  <c r="V136" i="10"/>
  <c r="S136" i="10"/>
  <c r="AE494" i="10"/>
  <c r="AB494" i="10"/>
  <c r="Y494" i="10"/>
  <c r="V494" i="10"/>
  <c r="S494" i="10"/>
  <c r="AE83" i="10"/>
  <c r="AB83" i="10"/>
  <c r="Y83" i="10"/>
  <c r="V83" i="10"/>
  <c r="S83" i="10"/>
  <c r="AB459" i="10"/>
  <c r="V54" i="10"/>
  <c r="AB265" i="10"/>
  <c r="AE303" i="10"/>
  <c r="AB303" i="10"/>
  <c r="Y303" i="10"/>
  <c r="V303" i="10"/>
  <c r="S303" i="10"/>
  <c r="Y191" i="10"/>
  <c r="AB191" i="10"/>
  <c r="AE191" i="10"/>
  <c r="V191" i="10"/>
  <c r="S191" i="10"/>
  <c r="AE496" i="10"/>
  <c r="AB496" i="10"/>
  <c r="Y496" i="10"/>
  <c r="V496" i="10"/>
  <c r="S496" i="10"/>
  <c r="V487" i="10"/>
  <c r="S263" i="10"/>
  <c r="V312" i="10"/>
  <c r="S94" i="10"/>
  <c r="S3" i="10"/>
  <c r="V5" i="10"/>
  <c r="Y292" i="10"/>
  <c r="S544" i="10"/>
  <c r="AB233" i="10"/>
  <c r="S30" i="10"/>
  <c r="V197" i="10"/>
  <c r="Y229" i="10"/>
  <c r="S294" i="10"/>
  <c r="S407" i="10"/>
  <c r="AB416" i="10"/>
  <c r="V405" i="10"/>
  <c r="S424" i="10"/>
  <c r="V302" i="10"/>
  <c r="S238" i="10"/>
  <c r="Y53" i="10"/>
  <c r="V464" i="10"/>
  <c r="AE314" i="10"/>
  <c r="AB314" i="10"/>
  <c r="Y314" i="10"/>
  <c r="V314" i="10"/>
  <c r="S314" i="10"/>
  <c r="AE243" i="10"/>
  <c r="AB243" i="10"/>
  <c r="Y243" i="10"/>
  <c r="V243" i="10"/>
  <c r="S243" i="10"/>
  <c r="AE414" i="10"/>
  <c r="AB414" i="10"/>
  <c r="V414" i="10"/>
  <c r="Y414" i="10"/>
  <c r="S414" i="10"/>
  <c r="AE340" i="10"/>
  <c r="AB340" i="10"/>
  <c r="Y340" i="10"/>
  <c r="V340" i="10"/>
  <c r="S340" i="10"/>
  <c r="AE117" i="10"/>
  <c r="AB117" i="10"/>
  <c r="Y117" i="10"/>
  <c r="V117" i="10"/>
  <c r="S117" i="10"/>
  <c r="AE321" i="10"/>
  <c r="AB321" i="10"/>
  <c r="Y321" i="10"/>
  <c r="V321" i="10"/>
  <c r="S321" i="10"/>
  <c r="AE60" i="10"/>
  <c r="AB60" i="10"/>
  <c r="Y60" i="10"/>
  <c r="V60" i="10"/>
  <c r="S60" i="10"/>
  <c r="AE157" i="10"/>
  <c r="AB157" i="10"/>
  <c r="Y157" i="10"/>
  <c r="V157" i="10"/>
  <c r="S157" i="10"/>
  <c r="AE353" i="10"/>
  <c r="AB353" i="10"/>
  <c r="V353" i="10"/>
  <c r="Y353" i="10"/>
  <c r="S353" i="10"/>
  <c r="AE370" i="10"/>
  <c r="AB370" i="10"/>
  <c r="Y370" i="10"/>
  <c r="V370" i="10"/>
  <c r="S370" i="10"/>
  <c r="AE156" i="10"/>
  <c r="AB156" i="10"/>
  <c r="Y156" i="10"/>
  <c r="S156" i="10"/>
  <c r="V156" i="10"/>
  <c r="AE355" i="10"/>
  <c r="AB355" i="10"/>
  <c r="Y355" i="10"/>
  <c r="V355" i="10"/>
  <c r="S355" i="10"/>
  <c r="AE7" i="10"/>
  <c r="AB7" i="10"/>
  <c r="Y7" i="10"/>
  <c r="V7" i="10"/>
  <c r="S7" i="10"/>
  <c r="AE489" i="10"/>
  <c r="AB489" i="10"/>
  <c r="Y489" i="10"/>
  <c r="V489" i="10"/>
  <c r="S489" i="10"/>
  <c r="AE542" i="10"/>
  <c r="AB542" i="10"/>
  <c r="Y542" i="10"/>
  <c r="V542" i="10"/>
  <c r="S542" i="10"/>
  <c r="AE379" i="10"/>
  <c r="AB379" i="10"/>
  <c r="Y379" i="10"/>
  <c r="V379" i="10"/>
  <c r="S379" i="10"/>
  <c r="AE144" i="10"/>
  <c r="AB144" i="10"/>
  <c r="Y144" i="10"/>
  <c r="V144" i="10"/>
  <c r="S144" i="10"/>
  <c r="AE61" i="10"/>
  <c r="AB61" i="10"/>
  <c r="Y61" i="10"/>
  <c r="V61" i="10"/>
  <c r="S61" i="10"/>
  <c r="AE220" i="10"/>
  <c r="AB220" i="10"/>
  <c r="Y220" i="10"/>
  <c r="V220" i="10"/>
  <c r="S220" i="10"/>
  <c r="AE33" i="10"/>
  <c r="AB33" i="10"/>
  <c r="V33" i="10"/>
  <c r="Y33" i="10"/>
  <c r="S33" i="10"/>
  <c r="AE126" i="10"/>
  <c r="AB126" i="10"/>
  <c r="Y126" i="10"/>
  <c r="V126" i="10"/>
  <c r="S126" i="10"/>
  <c r="AE346" i="10"/>
  <c r="AB346" i="10"/>
  <c r="Y346" i="10"/>
  <c r="S346" i="10"/>
  <c r="V346" i="10"/>
  <c r="AE104" i="10"/>
  <c r="Y104" i="10"/>
  <c r="AB104" i="10"/>
  <c r="S104" i="10"/>
  <c r="V104" i="10"/>
  <c r="AE111" i="10"/>
  <c r="AB111" i="10"/>
  <c r="Y111" i="10"/>
  <c r="V111" i="10"/>
  <c r="S111" i="10"/>
  <c r="AE504" i="10"/>
  <c r="AB504" i="10"/>
  <c r="Y504" i="10"/>
  <c r="V504" i="10"/>
  <c r="S504" i="10"/>
  <c r="AE122" i="10"/>
  <c r="Y122" i="10"/>
  <c r="AB122" i="10"/>
  <c r="V122" i="10"/>
  <c r="S122" i="10"/>
  <c r="AE461" i="10"/>
  <c r="AB461" i="10"/>
  <c r="Y461" i="10"/>
  <c r="V461" i="10"/>
  <c r="S461" i="10"/>
  <c r="AE471" i="10"/>
  <c r="AB471" i="10"/>
  <c r="Y471" i="10"/>
  <c r="V471" i="10"/>
  <c r="S471" i="10"/>
  <c r="AE539" i="10"/>
  <c r="AB539" i="10"/>
  <c r="Y539" i="10"/>
  <c r="V539" i="10"/>
  <c r="S539" i="10"/>
  <c r="AE177" i="10"/>
  <c r="AB177" i="10"/>
  <c r="Y177" i="10"/>
  <c r="V177" i="10"/>
  <c r="S177" i="10"/>
  <c r="AE79" i="10"/>
  <c r="AB79" i="10"/>
  <c r="Y79" i="10"/>
  <c r="V79" i="10"/>
  <c r="S79" i="10"/>
  <c r="AE47" i="10"/>
  <c r="Y47" i="10"/>
  <c r="AB47" i="10"/>
  <c r="V47" i="10"/>
  <c r="S47" i="10"/>
  <c r="AE298" i="10"/>
  <c r="AB298" i="10"/>
  <c r="Y298" i="10"/>
  <c r="V298" i="10"/>
  <c r="S298" i="10"/>
  <c r="AE262" i="10"/>
  <c r="AB262" i="10"/>
  <c r="Y262" i="10"/>
  <c r="V262" i="10"/>
  <c r="S262" i="10"/>
  <c r="AE392" i="10"/>
  <c r="AB392" i="10"/>
  <c r="Y392" i="10"/>
  <c r="V392" i="10"/>
  <c r="S392" i="10"/>
  <c r="AE351" i="10"/>
  <c r="AB351" i="10"/>
  <c r="V351" i="10"/>
  <c r="Y351" i="10"/>
  <c r="S351" i="10"/>
  <c r="AE547" i="10"/>
  <c r="AB547" i="10"/>
  <c r="Y547" i="10"/>
  <c r="V547" i="10"/>
  <c r="S547" i="10"/>
  <c r="V201" i="10"/>
  <c r="S440" i="10"/>
  <c r="AE66" i="10"/>
  <c r="AB66" i="10"/>
  <c r="Y66" i="10"/>
  <c r="S66" i="10"/>
  <c r="V66" i="10"/>
  <c r="AE393" i="10"/>
  <c r="AB393" i="10"/>
  <c r="Y393" i="10"/>
  <c r="V393" i="10"/>
  <c r="S393" i="10"/>
  <c r="AE469" i="10"/>
  <c r="AB469" i="10"/>
  <c r="Y469" i="10"/>
  <c r="V469" i="10"/>
  <c r="S469" i="10"/>
  <c r="Y487" i="10"/>
  <c r="V263" i="10"/>
  <c r="Y287" i="10"/>
  <c r="S397" i="10"/>
  <c r="Y94" i="10"/>
  <c r="V3" i="10"/>
  <c r="AB292" i="10"/>
  <c r="S204" i="10"/>
  <c r="V544" i="10"/>
  <c r="Y30" i="10"/>
  <c r="S127" i="10"/>
  <c r="Y197" i="10"/>
  <c r="S497" i="10"/>
  <c r="AB229" i="10"/>
  <c r="V294" i="10"/>
  <c r="V407" i="10"/>
  <c r="S446" i="10"/>
  <c r="S15" i="10"/>
  <c r="V48" i="10"/>
  <c r="AB405" i="10"/>
  <c r="V424" i="10"/>
  <c r="S486" i="10"/>
  <c r="AE545" i="10"/>
  <c r="AB545" i="10"/>
  <c r="Y545" i="10"/>
  <c r="S545" i="10"/>
  <c r="V545" i="10"/>
  <c r="AB335" i="10"/>
  <c r="AE335" i="10"/>
  <c r="Y335" i="10"/>
  <c r="V335" i="10"/>
  <c r="S335" i="10"/>
  <c r="AE249" i="10"/>
  <c r="AB249" i="10"/>
  <c r="Y249" i="10"/>
  <c r="V249" i="10"/>
  <c r="S249" i="10"/>
  <c r="AE69" i="10"/>
  <c r="AB69" i="10"/>
  <c r="Y69" i="10"/>
  <c r="V69" i="10"/>
  <c r="S69" i="10"/>
  <c r="AE118" i="10"/>
  <c r="Y118" i="10"/>
  <c r="AB118" i="10"/>
  <c r="S118" i="10"/>
  <c r="V118" i="10"/>
  <c r="AE139" i="10"/>
  <c r="AB139" i="10"/>
  <c r="Y139" i="10"/>
  <c r="V139" i="10"/>
  <c r="S139" i="10"/>
  <c r="AE435" i="10"/>
  <c r="AB435" i="10"/>
  <c r="Y435" i="10"/>
  <c r="V435" i="10"/>
  <c r="S435" i="10"/>
  <c r="AE105" i="10"/>
  <c r="AB105" i="10"/>
  <c r="Y105" i="10"/>
  <c r="V105" i="10"/>
  <c r="S105" i="10"/>
  <c r="AE422" i="10"/>
  <c r="AB422" i="10"/>
  <c r="Y422" i="10"/>
  <c r="V422" i="10"/>
  <c r="S422" i="10"/>
  <c r="AE36" i="10"/>
  <c r="AB36" i="10"/>
  <c r="Y36" i="10"/>
  <c r="V36" i="10"/>
  <c r="S36" i="10"/>
  <c r="AE427" i="10"/>
  <c r="AB427" i="10"/>
  <c r="Y427" i="10"/>
  <c r="V427" i="10"/>
  <c r="S427" i="10"/>
  <c r="AE100" i="10"/>
  <c r="AB100" i="10"/>
  <c r="V100" i="10"/>
  <c r="Y100" i="10"/>
  <c r="S100" i="10"/>
  <c r="AB192" i="10"/>
  <c r="AE192" i="10"/>
  <c r="Y192" i="10"/>
  <c r="V192" i="10"/>
  <c r="S192" i="10"/>
  <c r="AE402" i="10"/>
  <c r="AB402" i="10"/>
  <c r="V402" i="10"/>
  <c r="Y402" i="10"/>
  <c r="S402" i="10"/>
  <c r="AE212" i="10"/>
  <c r="AB212" i="10"/>
  <c r="V212" i="10"/>
  <c r="Y212" i="10"/>
  <c r="S212" i="10"/>
  <c r="AE360" i="10"/>
  <c r="AB360" i="10"/>
  <c r="Y360" i="10"/>
  <c r="V360" i="10"/>
  <c r="S360" i="10"/>
  <c r="AE488" i="10"/>
  <c r="Y488" i="10"/>
  <c r="V488" i="10"/>
  <c r="AB488" i="10"/>
  <c r="S488" i="10"/>
  <c r="AE317" i="10"/>
  <c r="AB317" i="10"/>
  <c r="Y317" i="10"/>
  <c r="V317" i="10"/>
  <c r="S317" i="10"/>
  <c r="AE483" i="10"/>
  <c r="AB483" i="10"/>
  <c r="Y483" i="10"/>
  <c r="V483" i="10"/>
  <c r="S483" i="10"/>
  <c r="AE180" i="10"/>
  <c r="AB180" i="10"/>
  <c r="Y180" i="10"/>
  <c r="V180" i="10"/>
  <c r="S180" i="10"/>
  <c r="AE491" i="10"/>
  <c r="AB491" i="10"/>
  <c r="Y491" i="10"/>
  <c r="V491" i="10"/>
  <c r="S491" i="10"/>
  <c r="AE90" i="10"/>
  <c r="AB90" i="10"/>
  <c r="Y90" i="10"/>
  <c r="V90" i="10"/>
  <c r="S90" i="10"/>
  <c r="AB534" i="10"/>
  <c r="AE534" i="10"/>
  <c r="V534" i="10"/>
  <c r="Y534" i="10"/>
  <c r="S534" i="10"/>
  <c r="AE247" i="10"/>
  <c r="AB247" i="10"/>
  <c r="Y247" i="10"/>
  <c r="V247" i="10"/>
  <c r="S247" i="10"/>
  <c r="AE195" i="10"/>
  <c r="AB195" i="10"/>
  <c r="Y195" i="10"/>
  <c r="V195" i="10"/>
  <c r="S195" i="10"/>
  <c r="AE50" i="10"/>
  <c r="Y50" i="10"/>
  <c r="V50" i="10"/>
  <c r="AB50" i="10"/>
  <c r="S50" i="10"/>
  <c r="AE316" i="10"/>
  <c r="Y316" i="10"/>
  <c r="V316" i="10"/>
  <c r="AB316" i="10"/>
  <c r="S316" i="10"/>
  <c r="AE215" i="10"/>
  <c r="Y215" i="10"/>
  <c r="AB215" i="10"/>
  <c r="V215" i="10"/>
  <c r="S215" i="10"/>
  <c r="AB237" i="10"/>
  <c r="S352" i="10"/>
  <c r="AB54" i="10"/>
  <c r="S509" i="10"/>
  <c r="V440" i="10"/>
  <c r="AE46" i="10"/>
  <c r="AB46" i="10"/>
  <c r="Y46" i="10"/>
  <c r="V46" i="10"/>
  <c r="S46" i="10"/>
  <c r="AE71" i="10"/>
  <c r="Y71" i="10"/>
  <c r="AB71" i="10"/>
  <c r="V71" i="10"/>
  <c r="S71" i="10"/>
  <c r="AE289" i="10"/>
  <c r="AB289" i="10"/>
  <c r="Y289" i="10"/>
  <c r="V289" i="10"/>
  <c r="S289" i="10"/>
  <c r="AB219" i="10"/>
  <c r="AB487" i="10"/>
  <c r="AB263" i="10"/>
  <c r="Y3" i="10"/>
  <c r="S145" i="10"/>
  <c r="Y544" i="10"/>
  <c r="AB30" i="10"/>
  <c r="V164" i="10"/>
  <c r="V497" i="10"/>
  <c r="S228" i="10"/>
  <c r="S381" i="10"/>
  <c r="Y407" i="10"/>
  <c r="V446" i="10"/>
  <c r="V15" i="10"/>
  <c r="S48" i="10"/>
  <c r="Y405" i="10"/>
  <c r="S24" i="10"/>
  <c r="AB238" i="10"/>
  <c r="AB53" i="10"/>
  <c r="V486" i="10"/>
  <c r="AE163" i="10"/>
  <c r="AB163" i="10"/>
  <c r="Y163" i="10"/>
  <c r="V163" i="10"/>
  <c r="S163" i="10"/>
  <c r="AE500" i="10"/>
  <c r="AB500" i="10"/>
  <c r="Y500" i="10"/>
  <c r="V500" i="10"/>
  <c r="S500" i="10"/>
  <c r="AE362" i="10"/>
  <c r="Y362" i="10"/>
  <c r="AB362" i="10"/>
  <c r="V362" i="10"/>
  <c r="S362" i="10"/>
  <c r="AE277" i="10"/>
  <c r="AB277" i="10"/>
  <c r="Y277" i="10"/>
  <c r="V277" i="10"/>
  <c r="S277" i="10"/>
  <c r="AE32" i="10"/>
  <c r="AB32" i="10"/>
  <c r="Y32" i="10"/>
  <c r="V32" i="10"/>
  <c r="S32" i="10"/>
  <c r="AE113" i="10"/>
  <c r="AB113" i="10"/>
  <c r="Y113" i="10"/>
  <c r="V113" i="10"/>
  <c r="S113" i="10"/>
  <c r="AE356" i="10"/>
  <c r="AB356" i="10"/>
  <c r="Y356" i="10"/>
  <c r="V356" i="10"/>
  <c r="S356" i="10"/>
  <c r="AE169" i="10"/>
  <c r="AB169" i="10"/>
  <c r="Y169" i="10"/>
  <c r="V169" i="10"/>
  <c r="S169" i="10"/>
  <c r="AE65" i="10"/>
  <c r="AB65" i="10"/>
  <c r="Y65" i="10"/>
  <c r="V65" i="10"/>
  <c r="S65" i="10"/>
  <c r="AE433" i="10"/>
  <c r="AB433" i="10"/>
  <c r="Y433" i="10"/>
  <c r="V433" i="10"/>
  <c r="S433" i="10"/>
  <c r="AE371" i="10"/>
  <c r="AB371" i="10"/>
  <c r="Y371" i="10"/>
  <c r="V371" i="10"/>
  <c r="S371" i="10"/>
  <c r="AE246" i="10"/>
  <c r="AB246" i="10"/>
  <c r="Y246" i="10"/>
  <c r="V246" i="10"/>
  <c r="S246" i="10"/>
  <c r="AE457" i="10"/>
  <c r="AB457" i="10"/>
  <c r="V457" i="10"/>
  <c r="Y457" i="10"/>
  <c r="S457" i="10"/>
  <c r="AE295" i="10"/>
  <c r="AB295" i="10"/>
  <c r="Y295" i="10"/>
  <c r="V295" i="10"/>
  <c r="S295" i="10"/>
  <c r="V350" i="10"/>
  <c r="AE377" i="10"/>
  <c r="AB377" i="10"/>
  <c r="Y377" i="10"/>
  <c r="S377" i="10"/>
  <c r="V377" i="10"/>
  <c r="AE394" i="10"/>
  <c r="AB394" i="10"/>
  <c r="Y394" i="10"/>
  <c r="V394" i="10"/>
  <c r="S394" i="10"/>
  <c r="AE97" i="10"/>
  <c r="AB97" i="10"/>
  <c r="Y97" i="10"/>
  <c r="V97" i="10"/>
  <c r="S97" i="10"/>
  <c r="AE320" i="10"/>
  <c r="AB320" i="10"/>
  <c r="Y320" i="10"/>
  <c r="V320" i="10"/>
  <c r="S320" i="10"/>
  <c r="AE275" i="10"/>
  <c r="Y275" i="10"/>
  <c r="AB275" i="10"/>
  <c r="V275" i="10"/>
  <c r="S275" i="10"/>
  <c r="AE338" i="10"/>
  <c r="AB338" i="10"/>
  <c r="Y338" i="10"/>
  <c r="V338" i="10"/>
  <c r="S338" i="10"/>
  <c r="AE502" i="10"/>
  <c r="AB502" i="10"/>
  <c r="Y502" i="10"/>
  <c r="V502" i="10"/>
  <c r="S502" i="10"/>
  <c r="AE281" i="10"/>
  <c r="AB281" i="10"/>
  <c r="Y281" i="10"/>
  <c r="V281" i="10"/>
  <c r="S281" i="10"/>
  <c r="AE267" i="10"/>
  <c r="AB267" i="10"/>
  <c r="Y267" i="10"/>
  <c r="V267" i="10"/>
  <c r="S267" i="10"/>
  <c r="AE516" i="10"/>
  <c r="AB516" i="10"/>
  <c r="V516" i="10"/>
  <c r="S516" i="10"/>
  <c r="Y516" i="10"/>
  <c r="AE162" i="10"/>
  <c r="AB162" i="10"/>
  <c r="Y162" i="10"/>
  <c r="V162" i="10"/>
  <c r="S162" i="10"/>
  <c r="AE301" i="10"/>
  <c r="AB301" i="10"/>
  <c r="Y301" i="10"/>
  <c r="V301" i="10"/>
  <c r="S301" i="10"/>
  <c r="AE208" i="10"/>
  <c r="AB208" i="10"/>
  <c r="Y208" i="10"/>
  <c r="V208" i="10"/>
  <c r="S208" i="10"/>
  <c r="AE344" i="10"/>
  <c r="Y344" i="10"/>
  <c r="AB344" i="10"/>
  <c r="V344" i="10"/>
  <c r="S344" i="10"/>
  <c r="AE161" i="10"/>
  <c r="AB161" i="10"/>
  <c r="Y161" i="10"/>
  <c r="V161" i="10"/>
  <c r="S161" i="10"/>
  <c r="AE325" i="10"/>
  <c r="AB325" i="10"/>
  <c r="Y325" i="10"/>
  <c r="V325" i="10"/>
  <c r="S325" i="10"/>
  <c r="AE467" i="10"/>
  <c r="AB467" i="10"/>
  <c r="Y467" i="10"/>
  <c r="S467" i="10"/>
  <c r="V467" i="10"/>
  <c r="AE391" i="10"/>
  <c r="Y391" i="10"/>
  <c r="AB391" i="10"/>
  <c r="V391" i="10"/>
  <c r="S391" i="10"/>
  <c r="AE64" i="10"/>
  <c r="AB64" i="10"/>
  <c r="V64" i="10"/>
  <c r="Y64" i="10"/>
  <c r="S64" i="10"/>
  <c r="AE189" i="10"/>
  <c r="AB189" i="10"/>
  <c r="Y189" i="10"/>
  <c r="V189" i="10"/>
  <c r="S189" i="10"/>
  <c r="AE444" i="10"/>
  <c r="AB444" i="10"/>
  <c r="Y444" i="10"/>
  <c r="V444" i="10"/>
  <c r="S444" i="10"/>
  <c r="AE6" i="10"/>
  <c r="AB6" i="10"/>
  <c r="V6" i="10"/>
  <c r="S6" i="10"/>
  <c r="Y6" i="10"/>
  <c r="AE333" i="10"/>
  <c r="Y333" i="10"/>
  <c r="AB333" i="10"/>
  <c r="V333" i="10"/>
  <c r="S333" i="10"/>
  <c r="AE128" i="10"/>
  <c r="AB128" i="10"/>
  <c r="Y128" i="10"/>
  <c r="V128" i="10"/>
  <c r="S128" i="10"/>
  <c r="AE463" i="10"/>
  <c r="Y463" i="10"/>
  <c r="AB463" i="10"/>
  <c r="V463" i="10"/>
  <c r="S463" i="10"/>
  <c r="V92" i="10"/>
  <c r="V352" i="10"/>
  <c r="V509" i="10"/>
  <c r="Y201" i="10"/>
  <c r="S499" i="10"/>
  <c r="AE278" i="10"/>
  <c r="AB278" i="10"/>
  <c r="Y278" i="10"/>
  <c r="V278" i="10"/>
  <c r="S278" i="10"/>
  <c r="AE297" i="10"/>
  <c r="AB297" i="10"/>
  <c r="Y297" i="10"/>
  <c r="V297" i="10"/>
  <c r="S297" i="10"/>
  <c r="AE508" i="10"/>
  <c r="AB508" i="10"/>
  <c r="Y508" i="10"/>
  <c r="V508" i="10"/>
  <c r="S508" i="10"/>
  <c r="AB475" i="10"/>
  <c r="V250" i="10"/>
  <c r="V125" i="10"/>
  <c r="Y263" i="10"/>
  <c r="S276" i="10"/>
  <c r="S10" i="10"/>
  <c r="S450" i="10"/>
  <c r="S369" i="10"/>
  <c r="S388" i="10"/>
  <c r="S518" i="10"/>
  <c r="V78" i="10"/>
  <c r="AB424" i="10"/>
  <c r="S448" i="10"/>
  <c r="S75" i="10"/>
  <c r="AE274" i="10"/>
  <c r="AB274" i="10"/>
  <c r="Y274" i="10"/>
  <c r="V274" i="10"/>
  <c r="S274" i="10"/>
  <c r="Y132" i="10"/>
  <c r="AB132" i="10"/>
  <c r="AE132" i="10"/>
  <c r="V132" i="10"/>
  <c r="S132" i="10"/>
  <c r="AE535" i="10"/>
  <c r="Y535" i="10"/>
  <c r="V535" i="10"/>
  <c r="AB535" i="10"/>
  <c r="S535" i="10"/>
  <c r="AE184" i="10"/>
  <c r="AB184" i="10"/>
  <c r="Y184" i="10"/>
  <c r="V184" i="10"/>
  <c r="S184" i="10"/>
  <c r="AE455" i="10"/>
  <c r="AB455" i="10"/>
  <c r="V455" i="10"/>
  <c r="Y455" i="10"/>
  <c r="S455" i="10"/>
  <c r="AE445" i="10"/>
  <c r="AB445" i="10"/>
  <c r="Y445" i="10"/>
  <c r="V445" i="10"/>
  <c r="S445" i="10"/>
  <c r="AE365" i="10"/>
  <c r="AB365" i="10"/>
  <c r="Y365" i="10"/>
  <c r="V365" i="10"/>
  <c r="S365" i="10"/>
  <c r="AE389" i="10"/>
  <c r="AB389" i="10"/>
  <c r="Y389" i="10"/>
  <c r="V389" i="10"/>
  <c r="S389" i="10"/>
  <c r="AE366" i="10"/>
  <c r="AB366" i="10"/>
  <c r="V366" i="10"/>
  <c r="Y366" i="10"/>
  <c r="S366" i="10"/>
  <c r="AE334" i="10"/>
  <c r="AB334" i="10"/>
  <c r="Y334" i="10"/>
  <c r="V334" i="10"/>
  <c r="S334" i="10"/>
  <c r="AE510" i="10"/>
  <c r="AB510" i="10"/>
  <c r="Y510" i="10"/>
  <c r="V510" i="10"/>
  <c r="S510" i="10"/>
  <c r="AE304" i="10"/>
  <c r="AB304" i="10"/>
  <c r="Y304" i="10"/>
  <c r="V304" i="10"/>
  <c r="S304" i="10"/>
  <c r="AE537" i="10"/>
  <c r="AB537" i="10"/>
  <c r="Y537" i="10"/>
  <c r="V537" i="10"/>
  <c r="S537" i="10"/>
  <c r="AE253" i="10"/>
  <c r="AB253" i="10"/>
  <c r="Y253" i="10"/>
  <c r="V253" i="10"/>
  <c r="S253" i="10"/>
  <c r="AE141" i="10"/>
  <c r="Y141" i="10"/>
  <c r="AB141" i="10"/>
  <c r="V141" i="10"/>
  <c r="S141" i="10"/>
  <c r="AE147" i="10"/>
  <c r="AB147" i="10"/>
  <c r="V147" i="10"/>
  <c r="Y147" i="10"/>
  <c r="S147" i="10"/>
  <c r="AE536" i="10"/>
  <c r="AB536" i="10"/>
  <c r="Y536" i="10"/>
  <c r="V536" i="10"/>
  <c r="S536" i="10"/>
  <c r="AE227" i="10"/>
  <c r="AB227" i="10"/>
  <c r="Y227" i="10"/>
  <c r="V227" i="10"/>
  <c r="S227" i="10"/>
  <c r="AE395" i="10"/>
  <c r="AB395" i="10"/>
  <c r="Y395" i="10"/>
  <c r="V395" i="10"/>
  <c r="S395" i="10"/>
  <c r="AE337" i="10"/>
  <c r="AB337" i="10"/>
  <c r="V337" i="10"/>
  <c r="Y337" i="10"/>
  <c r="S337" i="10"/>
  <c r="AE171" i="10"/>
  <c r="AB171" i="10"/>
  <c r="Y171" i="10"/>
  <c r="V171" i="10"/>
  <c r="S171" i="10"/>
  <c r="AE14" i="10"/>
  <c r="AB14" i="10"/>
  <c r="Y14" i="10"/>
  <c r="V14" i="10"/>
  <c r="S14" i="10"/>
  <c r="AE173" i="10"/>
  <c r="AB173" i="10"/>
  <c r="Y173" i="10"/>
  <c r="V173" i="10"/>
  <c r="S173" i="10"/>
  <c r="AE225" i="10"/>
  <c r="AB225" i="10"/>
  <c r="V225" i="10"/>
  <c r="Y225" i="10"/>
  <c r="S225" i="10"/>
  <c r="AE358" i="10"/>
  <c r="Y358" i="10"/>
  <c r="AB358" i="10"/>
  <c r="V358" i="10"/>
  <c r="S358" i="10"/>
  <c r="AB120" i="10"/>
  <c r="Y120" i="10"/>
  <c r="AE120" i="10"/>
  <c r="V120" i="10"/>
  <c r="S120" i="10"/>
  <c r="AE123" i="10"/>
  <c r="AB123" i="10"/>
  <c r="Y123" i="10"/>
  <c r="V123" i="10"/>
  <c r="S123" i="10"/>
  <c r="AE441" i="10"/>
  <c r="AB441" i="10"/>
  <c r="Y441" i="10"/>
  <c r="V441" i="10"/>
  <c r="S441" i="10"/>
  <c r="AE546" i="10"/>
  <c r="Y546" i="10"/>
  <c r="AB546" i="10"/>
  <c r="V546" i="10"/>
  <c r="S546" i="10"/>
  <c r="AE507" i="10"/>
  <c r="AB507" i="10"/>
  <c r="Y507" i="10"/>
  <c r="V507" i="10"/>
  <c r="S507" i="10"/>
  <c r="AE21" i="10"/>
  <c r="AB21" i="10"/>
  <c r="Y21" i="10"/>
  <c r="V21" i="10"/>
  <c r="S21" i="10"/>
  <c r="AE190" i="10"/>
  <c r="AB190" i="10"/>
  <c r="Y190" i="10"/>
  <c r="S190" i="10"/>
  <c r="V190" i="10"/>
  <c r="AE91" i="10"/>
  <c r="AB91" i="10"/>
  <c r="Y91" i="10"/>
  <c r="S91" i="10"/>
  <c r="V91" i="10"/>
  <c r="AE505" i="10"/>
  <c r="AB505" i="10"/>
  <c r="Y505" i="10"/>
  <c r="V505" i="10"/>
  <c r="S505" i="10"/>
  <c r="AE466" i="10"/>
  <c r="AB466" i="10"/>
  <c r="Y466" i="10"/>
  <c r="V466" i="10"/>
  <c r="S466" i="10"/>
  <c r="AE241" i="10"/>
  <c r="AB241" i="10"/>
  <c r="Y241" i="10"/>
  <c r="V241" i="10"/>
  <c r="S241" i="10"/>
  <c r="AE231" i="10"/>
  <c r="AB231" i="10"/>
  <c r="Y231" i="10"/>
  <c r="V231" i="10"/>
  <c r="S231" i="10"/>
  <c r="AE439" i="10"/>
  <c r="AB439" i="10"/>
  <c r="Y439" i="10"/>
  <c r="V439" i="10"/>
  <c r="S439" i="10"/>
  <c r="AE211" i="10"/>
  <c r="AB211" i="10"/>
  <c r="V211" i="10"/>
  <c r="S211" i="10"/>
  <c r="Y211" i="10"/>
  <c r="AE43" i="10"/>
  <c r="AB43" i="10"/>
  <c r="Y43" i="10"/>
  <c r="S43" i="10"/>
  <c r="V43" i="10"/>
  <c r="AE525" i="10"/>
  <c r="AB525" i="10"/>
  <c r="Y525" i="10"/>
  <c r="V525" i="10"/>
  <c r="S525" i="10"/>
  <c r="AE22" i="10"/>
  <c r="AB22" i="10"/>
  <c r="Y22" i="10"/>
  <c r="S22" i="10"/>
  <c r="V22" i="10"/>
  <c r="AE151" i="10"/>
  <c r="AB151" i="10"/>
  <c r="Y151" i="10"/>
  <c r="V151" i="10"/>
  <c r="S151" i="10"/>
  <c r="AE521" i="10"/>
  <c r="AB521" i="10"/>
  <c r="V521" i="10"/>
  <c r="Y521" i="10"/>
  <c r="S521" i="10"/>
  <c r="AB538" i="10"/>
  <c r="AE538" i="10"/>
  <c r="Y538" i="10"/>
  <c r="V538" i="10"/>
  <c r="S538" i="10"/>
  <c r="AE143" i="10"/>
  <c r="Y143" i="10"/>
  <c r="AB143" i="10"/>
  <c r="V143" i="10"/>
  <c r="S143" i="10"/>
  <c r="AE2" i="10"/>
  <c r="Y2" i="10"/>
  <c r="V2" i="10"/>
  <c r="AB2" i="10"/>
  <c r="S2" i="10"/>
  <c r="AJ10" i="10" l="1"/>
  <c r="AJ13" i="10"/>
  <c r="AI15" i="10"/>
  <c r="AI16" i="10"/>
  <c r="AJ14" i="10"/>
  <c r="AI10" i="10"/>
  <c r="AJ16" i="10"/>
  <c r="AJ15" i="10"/>
  <c r="AI14" i="10"/>
  <c r="AI13" i="10"/>
  <c r="AK13" i="10" l="1"/>
  <c r="W299" i="10" s="1"/>
  <c r="AK14" i="10"/>
  <c r="Z311" i="10" s="1"/>
  <c r="AA311" i="10" s="1"/>
  <c r="AK10" i="10"/>
  <c r="T77" i="10" s="1"/>
  <c r="U77" i="10" s="1"/>
  <c r="AK16" i="10"/>
  <c r="AF455" i="10" s="1"/>
  <c r="AG455" i="10" s="1"/>
  <c r="AK15" i="10"/>
  <c r="AC120" i="10" s="1"/>
  <c r="AD120" i="10" s="1"/>
  <c r="AF221" i="10" l="1"/>
  <c r="AC311" i="10"/>
  <c r="AD311" i="10" s="1"/>
  <c r="AC416" i="10"/>
  <c r="AD416" i="10" s="1"/>
  <c r="AC545" i="10"/>
  <c r="AD545" i="10" s="1"/>
  <c r="AC116" i="10"/>
  <c r="AD116" i="10" s="1"/>
  <c r="AC385" i="10"/>
  <c r="AD385" i="10" s="1"/>
  <c r="AC350" i="10"/>
  <c r="AD350" i="10" s="1"/>
  <c r="AC428" i="10"/>
  <c r="AD428" i="10" s="1"/>
  <c r="AC80" i="10"/>
  <c r="AD80" i="10" s="1"/>
  <c r="AC482" i="10"/>
  <c r="AD482" i="10" s="1"/>
  <c r="AC108" i="10"/>
  <c r="AD108" i="10" s="1"/>
  <c r="AC90" i="10"/>
  <c r="AD90" i="10" s="1"/>
  <c r="AC280" i="10"/>
  <c r="AD280" i="10" s="1"/>
  <c r="AC171" i="10"/>
  <c r="AD171" i="10" s="1"/>
  <c r="AC512" i="10"/>
  <c r="AD512" i="10" s="1"/>
  <c r="W2" i="10"/>
  <c r="X2" i="10" s="1"/>
  <c r="AC373" i="10"/>
  <c r="AD373" i="10" s="1"/>
  <c r="AC152" i="10"/>
  <c r="AD152" i="10" s="1"/>
  <c r="AC454" i="10"/>
  <c r="AD454" i="10" s="1"/>
  <c r="AC457" i="10"/>
  <c r="AD457" i="10" s="1"/>
  <c r="AC318" i="10"/>
  <c r="AD318" i="10" s="1"/>
  <c r="T28" i="10"/>
  <c r="U28" i="10" s="1"/>
  <c r="AF515" i="10"/>
  <c r="AG515" i="10" s="1"/>
  <c r="T225" i="10"/>
  <c r="U225" i="10" s="1"/>
  <c r="AF453" i="10"/>
  <c r="AF186" i="10"/>
  <c r="AF472" i="10"/>
  <c r="AG472" i="10" s="1"/>
  <c r="AF267" i="10"/>
  <c r="AF137" i="10"/>
  <c r="T43" i="10"/>
  <c r="U43" i="10" s="1"/>
  <c r="AF55" i="10"/>
  <c r="T333" i="10"/>
  <c r="U333" i="10" s="1"/>
  <c r="AF538" i="10"/>
  <c r="AF210" i="10"/>
  <c r="AF293" i="10"/>
  <c r="AG293" i="10" s="1"/>
  <c r="AF133" i="10"/>
  <c r="AG133" i="10" s="1"/>
  <c r="AF14" i="10"/>
  <c r="AG14" i="10" s="1"/>
  <c r="AF208" i="10"/>
  <c r="T414" i="10"/>
  <c r="U414" i="10" s="1"/>
  <c r="AF163" i="10"/>
  <c r="AG163" i="10" s="1"/>
  <c r="AF492" i="10"/>
  <c r="AG492" i="10" s="1"/>
  <c r="AF182" i="10"/>
  <c r="AG182" i="10" s="1"/>
  <c r="AF189" i="10"/>
  <c r="AG189" i="10" s="1"/>
  <c r="AF219" i="10"/>
  <c r="AC456" i="10"/>
  <c r="AD456" i="10" s="1"/>
  <c r="AF109" i="10"/>
  <c r="AF518" i="10"/>
  <c r="AG518" i="10" s="1"/>
  <c r="AF215" i="10"/>
  <c r="AC264" i="10"/>
  <c r="AD264" i="10" s="1"/>
  <c r="AF399" i="10"/>
  <c r="AC352" i="10"/>
  <c r="AD352" i="10" s="1"/>
  <c r="AC490" i="10"/>
  <c r="AD490" i="10" s="1"/>
  <c r="AF260" i="10"/>
  <c r="AC356" i="10"/>
  <c r="AD356" i="10" s="1"/>
  <c r="AF108" i="10"/>
  <c r="W206" i="10"/>
  <c r="AF82" i="10"/>
  <c r="AG82" i="10" s="1"/>
  <c r="T33" i="10"/>
  <c r="U33" i="10" s="1"/>
  <c r="T196" i="10"/>
  <c r="U196" i="10" s="1"/>
  <c r="T158" i="10"/>
  <c r="U158" i="10" s="1"/>
  <c r="T250" i="10"/>
  <c r="U250" i="10" s="1"/>
  <c r="T508" i="10"/>
  <c r="U508" i="10" s="1"/>
  <c r="T447" i="10"/>
  <c r="U447" i="10" s="1"/>
  <c r="T114" i="10"/>
  <c r="U114" i="10" s="1"/>
  <c r="T190" i="10"/>
  <c r="U190" i="10" s="1"/>
  <c r="AF176" i="10"/>
  <c r="AG176" i="10" s="1"/>
  <c r="T478" i="10"/>
  <c r="U478" i="10" s="1"/>
  <c r="T484" i="10"/>
  <c r="U484" i="10" s="1"/>
  <c r="AC316" i="10"/>
  <c r="AD316" i="10" s="1"/>
  <c r="AF239" i="10"/>
  <c r="AC273" i="10"/>
  <c r="AD273" i="10" s="1"/>
  <c r="T544" i="10"/>
  <c r="U544" i="10" s="1"/>
  <c r="T539" i="10"/>
  <c r="U539" i="10" s="1"/>
  <c r="T515" i="10"/>
  <c r="U515" i="10" s="1"/>
  <c r="AC263" i="10"/>
  <c r="AD263" i="10" s="1"/>
  <c r="T49" i="10"/>
  <c r="U49" i="10" s="1"/>
  <c r="T169" i="10"/>
  <c r="U169" i="10" s="1"/>
  <c r="AF347" i="10"/>
  <c r="AC533" i="10"/>
  <c r="AD533" i="10" s="1"/>
  <c r="AF28" i="10"/>
  <c r="AG28" i="10" s="1"/>
  <c r="AC452" i="10"/>
  <c r="AD452" i="10" s="1"/>
  <c r="AC435" i="10"/>
  <c r="AD435" i="10" s="1"/>
  <c r="T115" i="10"/>
  <c r="U115" i="10" s="1"/>
  <c r="T66" i="10"/>
  <c r="U66" i="10" s="1"/>
  <c r="AF256" i="10"/>
  <c r="AC103" i="10"/>
  <c r="AD103" i="10" s="1"/>
  <c r="AC47" i="10"/>
  <c r="AD47" i="10" s="1"/>
  <c r="T338" i="10"/>
  <c r="U338" i="10" s="1"/>
  <c r="T2" i="10"/>
  <c r="U2" i="10" s="1"/>
  <c r="AC374" i="10"/>
  <c r="AD374" i="10" s="1"/>
  <c r="T471" i="10"/>
  <c r="U471" i="10" s="1"/>
  <c r="AF534" i="10"/>
  <c r="AF382" i="10"/>
  <c r="AF495" i="10"/>
  <c r="AG495" i="10" s="1"/>
  <c r="AC441" i="10"/>
  <c r="AD441" i="10" s="1"/>
  <c r="AF490" i="10"/>
  <c r="AC123" i="10"/>
  <c r="AD123" i="10" s="1"/>
  <c r="W4" i="10"/>
  <c r="X4" i="10" s="1"/>
  <c r="W517" i="10"/>
  <c r="W60" i="10"/>
  <c r="W159" i="10"/>
  <c r="W353" i="10"/>
  <c r="W524" i="10"/>
  <c r="W76" i="10"/>
  <c r="W115" i="10"/>
  <c r="X115" i="10" s="1"/>
  <c r="W454" i="10"/>
  <c r="W500" i="10"/>
  <c r="W157" i="10"/>
  <c r="W231" i="10"/>
  <c r="X231" i="10" s="1"/>
  <c r="W481" i="10"/>
  <c r="W82" i="10"/>
  <c r="W483" i="10"/>
  <c r="W264" i="10"/>
  <c r="W496" i="10"/>
  <c r="W19" i="10"/>
  <c r="X19" i="10" s="1"/>
  <c r="W165" i="10"/>
  <c r="W20" i="10"/>
  <c r="X20" i="10" s="1"/>
  <c r="W126" i="10"/>
  <c r="W408" i="10"/>
  <c r="W440" i="10"/>
  <c r="W168" i="10"/>
  <c r="W291" i="10"/>
  <c r="W367" i="10"/>
  <c r="W158" i="10"/>
  <c r="W457" i="10"/>
  <c r="W370" i="10"/>
  <c r="W52" i="10"/>
  <c r="W398" i="10"/>
  <c r="W435" i="10"/>
  <c r="W234" i="10"/>
  <c r="X234" i="10" s="1"/>
  <c r="W214" i="10"/>
  <c r="W27" i="10"/>
  <c r="W9" i="10"/>
  <c r="X9" i="10" s="1"/>
  <c r="W131" i="10"/>
  <c r="W508" i="10"/>
  <c r="W384" i="10"/>
  <c r="W88" i="10"/>
  <c r="W514" i="10"/>
  <c r="W456" i="10"/>
  <c r="W375" i="10"/>
  <c r="W450" i="10"/>
  <c r="W46" i="10"/>
  <c r="X46" i="10" s="1"/>
  <c r="W120" i="10"/>
  <c r="W463" i="10"/>
  <c r="W62" i="10"/>
  <c r="W520" i="10"/>
  <c r="W391" i="10"/>
  <c r="X391" i="10" s="1"/>
  <c r="W304" i="10"/>
  <c r="W202" i="10"/>
  <c r="W64" i="10"/>
  <c r="W438" i="10"/>
  <c r="W25" i="10"/>
  <c r="W85" i="10"/>
  <c r="W335" i="10"/>
  <c r="W209" i="10"/>
  <c r="W186" i="10"/>
  <c r="X186" i="10" s="1"/>
  <c r="W239" i="10"/>
  <c r="W490" i="10"/>
  <c r="W430" i="10"/>
  <c r="W278" i="10"/>
  <c r="W534" i="10"/>
  <c r="W215" i="10"/>
  <c r="Z39" i="10"/>
  <c r="AA39" i="10" s="1"/>
  <c r="Z58" i="10"/>
  <c r="AA58" i="10" s="1"/>
  <c r="Z86" i="10"/>
  <c r="AA86" i="10" s="1"/>
  <c r="Z108" i="10"/>
  <c r="AA108" i="10" s="1"/>
  <c r="Z101" i="10"/>
  <c r="AA101" i="10" s="1"/>
  <c r="Z7" i="10"/>
  <c r="AA7" i="10" s="1"/>
  <c r="W139" i="10"/>
  <c r="X139" i="10" s="1"/>
  <c r="Z520" i="10"/>
  <c r="AA520" i="10" s="1"/>
  <c r="Z407" i="10"/>
  <c r="AA407" i="10" s="1"/>
  <c r="W531" i="10"/>
  <c r="Z442" i="10"/>
  <c r="AA442" i="10" s="1"/>
  <c r="Z361" i="10"/>
  <c r="AA361" i="10" s="1"/>
  <c r="W241" i="10"/>
  <c r="Z418" i="10"/>
  <c r="AA418" i="10" s="1"/>
  <c r="Z468" i="10"/>
  <c r="AA468" i="10" s="1"/>
  <c r="W431" i="10"/>
  <c r="Z389" i="10"/>
  <c r="AA389" i="10" s="1"/>
  <c r="W132" i="10"/>
  <c r="Z397" i="10"/>
  <c r="AA397" i="10" s="1"/>
  <c r="Z479" i="10"/>
  <c r="AA479" i="10" s="1"/>
  <c r="Z541" i="10"/>
  <c r="AA541" i="10" s="1"/>
  <c r="T401" i="10"/>
  <c r="U401" i="10" s="1"/>
  <c r="T17" i="10"/>
  <c r="U17" i="10" s="1"/>
  <c r="Z209" i="10"/>
  <c r="AA209" i="10" s="1"/>
  <c r="Z403" i="10"/>
  <c r="AA403" i="10" s="1"/>
  <c r="T305" i="10"/>
  <c r="U305" i="10" s="1"/>
  <c r="Z270" i="10"/>
  <c r="AA270" i="10" s="1"/>
  <c r="T339" i="10"/>
  <c r="U339" i="10" s="1"/>
  <c r="W472" i="10"/>
  <c r="Z326" i="10"/>
  <c r="AA326" i="10" s="1"/>
  <c r="W292" i="10"/>
  <c r="X292" i="10" s="1"/>
  <c r="Z414" i="10"/>
  <c r="AA414" i="10" s="1"/>
  <c r="Z110" i="10"/>
  <c r="AA110" i="10" s="1"/>
  <c r="Z462" i="10"/>
  <c r="AA462" i="10" s="1"/>
  <c r="Z182" i="10"/>
  <c r="AA182" i="10" s="1"/>
  <c r="T396" i="10"/>
  <c r="U396" i="10" s="1"/>
  <c r="Z221" i="10"/>
  <c r="AA221" i="10" s="1"/>
  <c r="T492" i="10"/>
  <c r="U492" i="10" s="1"/>
  <c r="T222" i="10"/>
  <c r="U222" i="10" s="1"/>
  <c r="Z220" i="10"/>
  <c r="AA220" i="10" s="1"/>
  <c r="T264" i="10"/>
  <c r="U264" i="10" s="1"/>
  <c r="Z406" i="10"/>
  <c r="AA406" i="10" s="1"/>
  <c r="W519" i="10"/>
  <c r="T167" i="10"/>
  <c r="U167" i="10" s="1"/>
  <c r="W178" i="10"/>
  <c r="Z178" i="10"/>
  <c r="AA178" i="10" s="1"/>
  <c r="Z388" i="10"/>
  <c r="AA388" i="10" s="1"/>
  <c r="Z192" i="10"/>
  <c r="AA192" i="10" s="1"/>
  <c r="T226" i="10"/>
  <c r="U226" i="10" s="1"/>
  <c r="T267" i="10"/>
  <c r="U267" i="10" s="1"/>
  <c r="Z510" i="10"/>
  <c r="AA510" i="10" s="1"/>
  <c r="W125" i="10"/>
  <c r="X125" i="10" s="1"/>
  <c r="W12" i="10"/>
  <c r="X12" i="10" s="1"/>
  <c r="Z42" i="10"/>
  <c r="AA42" i="10" s="1"/>
  <c r="Z459" i="10"/>
  <c r="AA459" i="10" s="1"/>
  <c r="Z30" i="10"/>
  <c r="AA30" i="10" s="1"/>
  <c r="T85" i="10"/>
  <c r="U85" i="10" s="1"/>
  <c r="Z153" i="10"/>
  <c r="AA153" i="10" s="1"/>
  <c r="Z307" i="10"/>
  <c r="AA307" i="10" s="1"/>
  <c r="Z73" i="10"/>
  <c r="AA73" i="10" s="1"/>
  <c r="T272" i="10"/>
  <c r="U272" i="10" s="1"/>
  <c r="T98" i="10"/>
  <c r="U98" i="10" s="1"/>
  <c r="Z524" i="10"/>
  <c r="AA524" i="10" s="1"/>
  <c r="T534" i="10"/>
  <c r="U534" i="10" s="1"/>
  <c r="T439" i="10"/>
  <c r="U439" i="10" s="1"/>
  <c r="Z241" i="10"/>
  <c r="AA241" i="10" s="1"/>
  <c r="T207" i="10"/>
  <c r="U207" i="10" s="1"/>
  <c r="W177" i="10"/>
  <c r="W470" i="10"/>
  <c r="X470" i="10" s="1"/>
  <c r="Z93" i="10"/>
  <c r="AA93" i="10" s="1"/>
  <c r="Z469" i="10"/>
  <c r="AA469" i="10" s="1"/>
  <c r="Z206" i="10"/>
  <c r="AA206" i="10" s="1"/>
  <c r="Z531" i="10"/>
  <c r="AA531" i="10" s="1"/>
  <c r="Z379" i="10"/>
  <c r="AA379" i="10" s="1"/>
  <c r="Z536" i="10"/>
  <c r="AA536" i="10" s="1"/>
  <c r="Z9" i="10"/>
  <c r="AA9" i="10" s="1"/>
  <c r="T138" i="10"/>
  <c r="U138" i="10" s="1"/>
  <c r="Z70" i="10"/>
  <c r="AA70" i="10" s="1"/>
  <c r="Z423" i="10"/>
  <c r="AA423" i="10" s="1"/>
  <c r="Z259" i="10"/>
  <c r="AA259" i="10" s="1"/>
  <c r="Z204" i="10"/>
  <c r="AA204" i="10" s="1"/>
  <c r="Z46" i="10"/>
  <c r="AA46" i="10" s="1"/>
  <c r="Z466" i="10"/>
  <c r="AA466" i="10" s="1"/>
  <c r="T83" i="10"/>
  <c r="U83" i="10" s="1"/>
  <c r="W105" i="10"/>
  <c r="Z243" i="10"/>
  <c r="AA243" i="10" s="1"/>
  <c r="T416" i="10"/>
  <c r="U416" i="10" s="1"/>
  <c r="W334" i="10"/>
  <c r="W47" i="10"/>
  <c r="X47" i="10" s="1"/>
  <c r="T173" i="10"/>
  <c r="U173" i="10" s="1"/>
  <c r="Z337" i="10"/>
  <c r="AA337" i="10" s="1"/>
  <c r="Z128" i="10"/>
  <c r="AA128" i="10" s="1"/>
  <c r="Z163" i="10"/>
  <c r="AA163" i="10" s="1"/>
  <c r="Z99" i="10"/>
  <c r="AA99" i="10" s="1"/>
  <c r="Z335" i="10"/>
  <c r="AA335" i="10" s="1"/>
  <c r="Z207" i="10"/>
  <c r="AA207" i="10" s="1"/>
  <c r="Z404" i="10"/>
  <c r="AA404" i="10" s="1"/>
  <c r="Z375" i="10"/>
  <c r="AA375" i="10" s="1"/>
  <c r="Z436" i="10"/>
  <c r="AA436" i="10" s="1"/>
  <c r="Z48" i="10"/>
  <c r="AA48" i="10" s="1"/>
  <c r="Z237" i="10"/>
  <c r="AA237" i="10" s="1"/>
  <c r="Z438" i="10"/>
  <c r="AA438" i="10" s="1"/>
  <c r="Z35" i="10"/>
  <c r="AA35" i="10" s="1"/>
  <c r="Z170" i="10"/>
  <c r="AA170" i="10" s="1"/>
  <c r="Z219" i="10"/>
  <c r="AA219" i="10" s="1"/>
  <c r="Z145" i="10"/>
  <c r="AA145" i="10" s="1"/>
  <c r="Z26" i="10"/>
  <c r="AA26" i="10" s="1"/>
  <c r="Z429" i="10"/>
  <c r="AA429" i="10" s="1"/>
  <c r="Z315" i="10"/>
  <c r="AA315" i="10" s="1"/>
  <c r="Z342" i="10"/>
  <c r="AA342" i="10" s="1"/>
  <c r="Z122" i="10"/>
  <c r="AA122" i="10" s="1"/>
  <c r="Z103" i="10"/>
  <c r="AA103" i="10" s="1"/>
  <c r="Z317" i="10"/>
  <c r="AA317" i="10" s="1"/>
  <c r="Z431" i="10"/>
  <c r="AA431" i="10" s="1"/>
  <c r="Z372" i="10"/>
  <c r="AA372" i="10" s="1"/>
  <c r="Z98" i="10"/>
  <c r="AA98" i="10" s="1"/>
  <c r="Z38" i="10"/>
  <c r="AA38" i="10" s="1"/>
  <c r="Z109" i="10"/>
  <c r="AA109" i="10" s="1"/>
  <c r="Z154" i="10"/>
  <c r="AA154" i="10" s="1"/>
  <c r="Z137" i="10"/>
  <c r="AA137" i="10" s="1"/>
  <c r="Z124" i="10"/>
  <c r="AA124" i="10" s="1"/>
  <c r="Z545" i="10"/>
  <c r="AA545" i="10" s="1"/>
  <c r="Z338" i="10"/>
  <c r="AA338" i="10" s="1"/>
  <c r="Z344" i="10"/>
  <c r="AA344" i="10" s="1"/>
  <c r="Z494" i="10"/>
  <c r="AA494" i="10" s="1"/>
  <c r="Z327" i="10"/>
  <c r="AA327" i="10" s="1"/>
  <c r="Z273" i="10"/>
  <c r="AA273" i="10" s="1"/>
  <c r="Z514" i="10"/>
  <c r="AA514" i="10" s="1"/>
  <c r="Z328" i="10"/>
  <c r="AA328" i="10" s="1"/>
  <c r="Z12" i="10"/>
  <c r="AA12" i="10" s="1"/>
  <c r="Z382" i="10"/>
  <c r="AA382" i="10" s="1"/>
  <c r="Z440" i="10"/>
  <c r="AA440" i="10" s="1"/>
  <c r="Z167" i="10"/>
  <c r="AA167" i="10" s="1"/>
  <c r="Z27" i="10"/>
  <c r="AA27" i="10" s="1"/>
  <c r="Z367" i="10"/>
  <c r="AA367" i="10" s="1"/>
  <c r="Z85" i="10"/>
  <c r="AA85" i="10" s="1"/>
  <c r="Z306" i="10"/>
  <c r="AA306" i="10" s="1"/>
  <c r="Z484" i="10"/>
  <c r="AA484" i="10" s="1"/>
  <c r="Z493" i="10"/>
  <c r="AA493" i="10" s="1"/>
  <c r="Z538" i="10"/>
  <c r="AA538" i="10" s="1"/>
  <c r="Z200" i="10"/>
  <c r="AA200" i="10" s="1"/>
  <c r="Z332" i="10"/>
  <c r="AA332" i="10" s="1"/>
  <c r="Z476" i="10"/>
  <c r="AA476" i="10" s="1"/>
  <c r="Z390" i="10"/>
  <c r="AA390" i="10" s="1"/>
  <c r="Z147" i="10"/>
  <c r="AA147" i="10" s="1"/>
  <c r="Z355" i="10"/>
  <c r="AA355" i="10" s="1"/>
  <c r="Z215" i="10"/>
  <c r="AA215" i="10" s="1"/>
  <c r="Z385" i="10"/>
  <c r="AA385" i="10" s="1"/>
  <c r="Z67" i="10"/>
  <c r="AA67" i="10" s="1"/>
  <c r="Z164" i="10"/>
  <c r="AA164" i="10" s="1"/>
  <c r="Z286" i="10"/>
  <c r="AA286" i="10" s="1"/>
  <c r="Z434" i="10"/>
  <c r="AA434" i="10" s="1"/>
  <c r="Z271" i="10"/>
  <c r="AA271" i="10" s="1"/>
  <c r="Z497" i="10"/>
  <c r="AA497" i="10" s="1"/>
  <c r="Z364" i="10"/>
  <c r="AA364" i="10" s="1"/>
  <c r="Z56" i="10"/>
  <c r="AA56" i="10" s="1"/>
  <c r="Z417" i="10"/>
  <c r="AA417" i="10" s="1"/>
  <c r="Z324" i="10"/>
  <c r="AA324" i="10" s="1"/>
  <c r="Z503" i="10"/>
  <c r="AA503" i="10" s="1"/>
  <c r="Z285" i="10"/>
  <c r="AA285" i="10" s="1"/>
  <c r="Z278" i="10"/>
  <c r="AA278" i="10" s="1"/>
  <c r="Z130" i="10"/>
  <c r="AA130" i="10" s="1"/>
  <c r="Z169" i="10"/>
  <c r="AA169" i="10" s="1"/>
  <c r="Z532" i="10"/>
  <c r="AA532" i="10" s="1"/>
  <c r="Z399" i="10"/>
  <c r="AA399" i="10" s="1"/>
  <c r="Z416" i="10"/>
  <c r="AA416" i="10" s="1"/>
  <c r="Z309" i="10"/>
  <c r="AA309" i="10" s="1"/>
  <c r="Z251" i="10"/>
  <c r="AA251" i="10" s="1"/>
  <c r="Z445" i="10"/>
  <c r="AA445" i="10" s="1"/>
  <c r="Z511" i="10"/>
  <c r="AA511" i="10" s="1"/>
  <c r="Z275" i="10"/>
  <c r="AA275" i="10" s="1"/>
  <c r="Z533" i="10"/>
  <c r="AA533" i="10" s="1"/>
  <c r="Z81" i="10"/>
  <c r="AA81" i="10" s="1"/>
  <c r="Z320" i="10"/>
  <c r="AA320" i="10" s="1"/>
  <c r="Z331" i="10"/>
  <c r="AA331" i="10" s="1"/>
  <c r="Z376" i="10"/>
  <c r="AA376" i="10" s="1"/>
  <c r="Z509" i="10"/>
  <c r="AA509" i="10" s="1"/>
  <c r="Z80" i="10"/>
  <c r="AA80" i="10" s="1"/>
  <c r="Z472" i="10"/>
  <c r="AA472" i="10" s="1"/>
  <c r="Z412" i="10"/>
  <c r="AA412" i="10" s="1"/>
  <c r="Z312" i="10"/>
  <c r="AA312" i="10" s="1"/>
  <c r="Z235" i="10"/>
  <c r="AA235" i="10" s="1"/>
  <c r="Z456" i="10"/>
  <c r="AA456" i="10" s="1"/>
  <c r="Z444" i="10"/>
  <c r="AA444" i="10" s="1"/>
  <c r="Z62" i="10"/>
  <c r="AA62" i="10" s="1"/>
  <c r="Z336" i="10"/>
  <c r="AA336" i="10" s="1"/>
  <c r="Z446" i="10"/>
  <c r="AA446" i="10" s="1"/>
  <c r="Z359" i="10"/>
  <c r="AA359" i="10" s="1"/>
  <c r="Z240" i="10"/>
  <c r="AA240" i="10" s="1"/>
  <c r="Z365" i="10"/>
  <c r="AA365" i="10" s="1"/>
  <c r="Z66" i="10"/>
  <c r="AA66" i="10" s="1"/>
  <c r="Z82" i="10"/>
  <c r="AA82" i="10" s="1"/>
  <c r="Z87" i="10"/>
  <c r="AA87" i="10" s="1"/>
  <c r="Z57" i="10"/>
  <c r="AA57" i="10" s="1"/>
  <c r="Z547" i="10"/>
  <c r="AA547" i="10" s="1"/>
  <c r="Z489" i="10"/>
  <c r="AA489" i="10" s="1"/>
  <c r="Z227" i="10"/>
  <c r="AA227" i="10" s="1"/>
  <c r="Z427" i="10"/>
  <c r="AA427" i="10" s="1"/>
  <c r="Z129" i="10"/>
  <c r="AA129" i="10" s="1"/>
  <c r="Z292" i="10"/>
  <c r="AA292" i="10" s="1"/>
  <c r="Z197" i="10"/>
  <c r="AA197" i="10" s="1"/>
  <c r="Z253" i="10"/>
  <c r="AA253" i="10" s="1"/>
  <c r="Z360" i="10"/>
  <c r="AA360" i="10" s="1"/>
  <c r="Z133" i="10"/>
  <c r="AA133" i="10" s="1"/>
  <c r="Z3" i="10"/>
  <c r="AA3" i="10" s="1"/>
  <c r="Z477" i="10"/>
  <c r="AA477" i="10" s="1"/>
  <c r="Z61" i="10"/>
  <c r="AA61" i="10" s="1"/>
  <c r="Z294" i="10"/>
  <c r="AA294" i="10" s="1"/>
  <c r="Z299" i="10"/>
  <c r="AA299" i="10" s="1"/>
  <c r="Z486" i="10"/>
  <c r="AA486" i="10" s="1"/>
  <c r="Z188" i="10"/>
  <c r="AA188" i="10" s="1"/>
  <c r="Z323" i="10"/>
  <c r="AA323" i="10" s="1"/>
  <c r="Z300" i="10"/>
  <c r="AA300" i="10" s="1"/>
  <c r="Z239" i="10"/>
  <c r="AA239" i="10" s="1"/>
  <c r="Z480" i="10"/>
  <c r="AA480" i="10" s="1"/>
  <c r="Z196" i="10"/>
  <c r="AA196" i="10" s="1"/>
  <c r="Z83" i="10"/>
  <c r="AA83" i="10" s="1"/>
  <c r="Z301" i="10"/>
  <c r="AA301" i="10" s="1"/>
  <c r="Z297" i="10"/>
  <c r="AA297" i="10" s="1"/>
  <c r="Z69" i="10"/>
  <c r="AA69" i="10" s="1"/>
  <c r="Z229" i="10"/>
  <c r="AA229" i="10" s="1"/>
  <c r="Z527" i="10"/>
  <c r="AA527" i="10" s="1"/>
  <c r="Z291" i="10"/>
  <c r="AA291" i="10" s="1"/>
  <c r="Z339" i="10"/>
  <c r="AA339" i="10" s="1"/>
  <c r="Z105" i="10"/>
  <c r="AA105" i="10" s="1"/>
  <c r="Z216" i="10"/>
  <c r="AA216" i="10" s="1"/>
  <c r="Z257" i="10"/>
  <c r="AA257" i="10" s="1"/>
  <c r="Z313" i="10"/>
  <c r="AA313" i="10" s="1"/>
  <c r="Z34" i="10"/>
  <c r="AA34" i="10" s="1"/>
  <c r="Z37" i="10"/>
  <c r="AA37" i="10" s="1"/>
  <c r="Z481" i="10"/>
  <c r="AA481" i="10" s="1"/>
  <c r="Z10" i="10"/>
  <c r="AA10" i="10" s="1"/>
  <c r="Z460" i="10"/>
  <c r="AA460" i="10" s="1"/>
  <c r="Z59" i="10"/>
  <c r="AA59" i="10" s="1"/>
  <c r="Z410" i="10"/>
  <c r="AA410" i="10" s="1"/>
  <c r="Z437" i="10"/>
  <c r="AA437" i="10" s="1"/>
  <c r="Z428" i="10"/>
  <c r="AA428" i="10" s="1"/>
  <c r="Z450" i="10"/>
  <c r="AA450" i="10" s="1"/>
  <c r="Z269" i="10"/>
  <c r="AA269" i="10" s="1"/>
  <c r="Z369" i="10"/>
  <c r="AA369" i="10" s="1"/>
  <c r="Z149" i="10"/>
  <c r="AA149" i="10" s="1"/>
  <c r="Z222" i="10"/>
  <c r="AA222" i="10" s="1"/>
  <c r="Z249" i="10"/>
  <c r="AA249" i="10" s="1"/>
  <c r="Z519" i="10"/>
  <c r="AA519" i="10" s="1"/>
  <c r="Z132" i="10"/>
  <c r="AA132" i="10" s="1"/>
  <c r="Z346" i="10"/>
  <c r="AA346" i="10" s="1"/>
  <c r="Z71" i="10"/>
  <c r="AA71" i="10" s="1"/>
  <c r="Z463" i="10"/>
  <c r="AA463" i="10" s="1"/>
  <c r="Z187" i="10"/>
  <c r="AA187" i="10" s="1"/>
  <c r="Z443" i="10"/>
  <c r="AA443" i="10" s="1"/>
  <c r="Z218" i="10"/>
  <c r="AA218" i="10" s="1"/>
  <c r="Z368" i="10"/>
  <c r="AA368" i="10" s="1"/>
  <c r="Z252" i="10"/>
  <c r="AA252" i="10" s="1"/>
  <c r="Z4" i="10"/>
  <c r="AA4" i="10" s="1"/>
  <c r="Z281" i="10"/>
  <c r="AA281" i="10" s="1"/>
  <c r="Z515" i="10"/>
  <c r="AA515" i="10" s="1"/>
  <c r="Z179" i="10"/>
  <c r="AA179" i="10" s="1"/>
  <c r="Z370" i="10"/>
  <c r="AA370" i="10" s="1"/>
  <c r="Z318" i="10"/>
  <c r="AA318" i="10" s="1"/>
  <c r="Z118" i="10"/>
  <c r="AA118" i="10" s="1"/>
  <c r="Z126" i="10"/>
  <c r="AA126" i="10" s="1"/>
  <c r="Z165" i="10"/>
  <c r="AA165" i="10" s="1"/>
  <c r="Z310" i="10"/>
  <c r="AA310" i="10" s="1"/>
  <c r="Z24" i="10"/>
  <c r="AA24" i="10" s="1"/>
  <c r="Z421" i="10"/>
  <c r="AA421" i="10" s="1"/>
  <c r="Z89" i="10"/>
  <c r="AA89" i="10" s="1"/>
  <c r="Z464" i="10"/>
  <c r="AA464" i="10" s="1"/>
  <c r="Z23" i="10"/>
  <c r="AA23" i="10" s="1"/>
  <c r="Z228" i="10"/>
  <c r="AA228" i="10" s="1"/>
  <c r="Z284" i="10"/>
  <c r="AA284" i="10" s="1"/>
  <c r="Z29" i="10"/>
  <c r="AA29" i="10" s="1"/>
  <c r="Z393" i="10"/>
  <c r="AA393" i="10" s="1"/>
  <c r="Z409" i="10"/>
  <c r="AA409" i="10" s="1"/>
  <c r="Z458" i="10"/>
  <c r="AA458" i="10" s="1"/>
  <c r="Z247" i="10"/>
  <c r="AA247" i="10" s="1"/>
  <c r="Z426" i="10"/>
  <c r="AA426" i="10" s="1"/>
  <c r="Z424" i="10"/>
  <c r="AA424" i="10" s="1"/>
  <c r="Z238" i="10"/>
  <c r="AA238" i="10" s="1"/>
  <c r="Z2" i="10"/>
  <c r="AA2" i="10" s="1"/>
  <c r="Z135" i="10"/>
  <c r="AA135" i="10" s="1"/>
  <c r="Z352" i="10"/>
  <c r="AA352" i="10" s="1"/>
  <c r="Z258" i="10"/>
  <c r="AA258" i="10" s="1"/>
  <c r="Z439" i="10"/>
  <c r="AA439" i="10" s="1"/>
  <c r="T314" i="10"/>
  <c r="U314" i="10" s="1"/>
  <c r="Z186" i="10"/>
  <c r="AA186" i="10" s="1"/>
  <c r="Z383" i="10"/>
  <c r="AA383" i="10" s="1"/>
  <c r="Z518" i="10"/>
  <c r="AA518" i="10" s="1"/>
  <c r="T293" i="10"/>
  <c r="U293" i="10" s="1"/>
  <c r="Z506" i="10"/>
  <c r="AA506" i="10" s="1"/>
  <c r="T372" i="10"/>
  <c r="U372" i="10" s="1"/>
  <c r="W447" i="10"/>
  <c r="X447" i="10" s="1"/>
  <c r="W346" i="10"/>
  <c r="X346" i="10" s="1"/>
  <c r="T117" i="10"/>
  <c r="U117" i="10" s="1"/>
  <c r="Z106" i="10"/>
  <c r="AA106" i="10" s="1"/>
  <c r="Z248" i="10"/>
  <c r="AA248" i="10" s="1"/>
  <c r="Z501" i="10"/>
  <c r="AA501" i="10" s="1"/>
  <c r="Z454" i="10"/>
  <c r="AA454" i="10" s="1"/>
  <c r="Z75" i="10"/>
  <c r="AA75" i="10" s="1"/>
  <c r="Z513" i="10"/>
  <c r="AA513" i="10" s="1"/>
  <c r="Z152" i="10"/>
  <c r="AA152" i="10" s="1"/>
  <c r="W379" i="10"/>
  <c r="Z150" i="10"/>
  <c r="AA150" i="10" s="1"/>
  <c r="W270" i="10"/>
  <c r="X270" i="10" s="1"/>
  <c r="T524" i="10"/>
  <c r="U524" i="10" s="1"/>
  <c r="T384" i="10"/>
  <c r="U384" i="10" s="1"/>
  <c r="T469" i="10"/>
  <c r="U469" i="10" s="1"/>
  <c r="T89" i="10"/>
  <c r="U89" i="10" s="1"/>
  <c r="T501" i="10"/>
  <c r="U501" i="10" s="1"/>
  <c r="T153" i="10"/>
  <c r="U153" i="10" s="1"/>
  <c r="T60" i="10"/>
  <c r="U60" i="10" s="1"/>
  <c r="T415" i="10"/>
  <c r="U415" i="10" s="1"/>
  <c r="T3" i="10"/>
  <c r="U3" i="10" s="1"/>
  <c r="T413" i="10"/>
  <c r="U413" i="10" s="1"/>
  <c r="T306" i="10"/>
  <c r="U306" i="10" s="1"/>
  <c r="T536" i="10"/>
  <c r="U536" i="10" s="1"/>
  <c r="T362" i="10"/>
  <c r="U362" i="10" s="1"/>
  <c r="T476" i="10"/>
  <c r="U476" i="10" s="1"/>
  <c r="T404" i="10"/>
  <c r="U404" i="10" s="1"/>
  <c r="T379" i="10"/>
  <c r="U379" i="10" s="1"/>
  <c r="T538" i="10"/>
  <c r="U538" i="10" s="1"/>
  <c r="T79" i="10"/>
  <c r="U79" i="10" s="1"/>
  <c r="T406" i="10"/>
  <c r="U406" i="10" s="1"/>
  <c r="T304" i="10"/>
  <c r="U304" i="10" s="1"/>
  <c r="T213" i="10"/>
  <c r="U213" i="10" s="1"/>
  <c r="T40" i="10"/>
  <c r="U40" i="10" s="1"/>
  <c r="T511" i="10"/>
  <c r="U511" i="10" s="1"/>
  <c r="T212" i="10"/>
  <c r="U212" i="10" s="1"/>
  <c r="T356" i="10"/>
  <c r="U356" i="10" s="1"/>
  <c r="T18" i="10"/>
  <c r="U18" i="10" s="1"/>
  <c r="T430" i="10"/>
  <c r="U430" i="10" s="1"/>
  <c r="T92" i="10"/>
  <c r="U92" i="10" s="1"/>
  <c r="T160" i="10"/>
  <c r="U160" i="10" s="1"/>
  <c r="T39" i="10"/>
  <c r="U39" i="10" s="1"/>
  <c r="T265" i="10"/>
  <c r="U265" i="10" s="1"/>
  <c r="T208" i="10"/>
  <c r="U208" i="10" s="1"/>
  <c r="T238" i="10"/>
  <c r="U238" i="10" s="1"/>
  <c r="T148" i="10"/>
  <c r="U148" i="10" s="1"/>
  <c r="T14" i="10"/>
  <c r="U14" i="10" s="1"/>
  <c r="T498" i="10"/>
  <c r="U498" i="10" s="1"/>
  <c r="T168" i="10"/>
  <c r="U168" i="10" s="1"/>
  <c r="T61" i="10"/>
  <c r="U61" i="10" s="1"/>
  <c r="T457" i="10"/>
  <c r="U457" i="10" s="1"/>
  <c r="T295" i="10"/>
  <c r="U295" i="10" s="1"/>
  <c r="T291" i="10"/>
  <c r="U291" i="10" s="1"/>
  <c r="T142" i="10"/>
  <c r="U142" i="10" s="1"/>
  <c r="T228" i="10"/>
  <c r="U228" i="10" s="1"/>
  <c r="T510" i="10"/>
  <c r="U510" i="10" s="1"/>
  <c r="T389" i="10"/>
  <c r="U389" i="10" s="1"/>
  <c r="T370" i="10"/>
  <c r="U370" i="10" s="1"/>
  <c r="T402" i="10"/>
  <c r="U402" i="10" s="1"/>
  <c r="T99" i="10"/>
  <c r="U99" i="10" s="1"/>
  <c r="T331" i="10"/>
  <c r="U331" i="10" s="1"/>
  <c r="T34" i="10"/>
  <c r="U34" i="10" s="1"/>
  <c r="T360" i="10"/>
  <c r="U360" i="10" s="1"/>
  <c r="T398" i="10"/>
  <c r="U398" i="10" s="1"/>
  <c r="T176" i="10"/>
  <c r="U176" i="10" s="1"/>
  <c r="T296" i="10"/>
  <c r="U296" i="10" s="1"/>
  <c r="T346" i="10"/>
  <c r="U346" i="10" s="1"/>
  <c r="T20" i="10"/>
  <c r="U20" i="10" s="1"/>
  <c r="T499" i="10"/>
  <c r="U499" i="10" s="1"/>
  <c r="T269" i="10"/>
  <c r="U269" i="10" s="1"/>
  <c r="T456" i="10"/>
  <c r="U456" i="10" s="1"/>
  <c r="T198" i="10"/>
  <c r="U198" i="10" s="1"/>
  <c r="T351" i="10"/>
  <c r="U351" i="10" s="1"/>
  <c r="T253" i="10"/>
  <c r="U253" i="10" s="1"/>
  <c r="T131" i="10"/>
  <c r="U131" i="10" s="1"/>
  <c r="T236" i="10"/>
  <c r="U236" i="10" s="1"/>
  <c r="T133" i="10"/>
  <c r="U133" i="10" s="1"/>
  <c r="T470" i="10"/>
  <c r="U470" i="10" s="1"/>
  <c r="T461" i="10"/>
  <c r="U461" i="10" s="1"/>
  <c r="T241" i="10"/>
  <c r="U241" i="10" s="1"/>
  <c r="T353" i="10"/>
  <c r="U353" i="10" s="1"/>
  <c r="T88" i="10"/>
  <c r="U88" i="10" s="1"/>
  <c r="T513" i="10"/>
  <c r="U513" i="10" s="1"/>
  <c r="T11" i="10"/>
  <c r="U11" i="10" s="1"/>
  <c r="T516" i="10"/>
  <c r="U516" i="10" s="1"/>
  <c r="T21" i="10"/>
  <c r="U21" i="10" s="1"/>
  <c r="T302" i="10"/>
  <c r="U302" i="10" s="1"/>
  <c r="T69" i="10"/>
  <c r="U69" i="10" s="1"/>
  <c r="T535" i="10"/>
  <c r="U535" i="10" s="1"/>
  <c r="T58" i="10"/>
  <c r="U58" i="10" s="1"/>
  <c r="T151" i="10"/>
  <c r="U151" i="10" s="1"/>
  <c r="T37" i="10"/>
  <c r="U37" i="10" s="1"/>
  <c r="T82" i="10"/>
  <c r="U82" i="10" s="1"/>
  <c r="T467" i="10"/>
  <c r="U467" i="10" s="1"/>
  <c r="T130" i="10"/>
  <c r="U130" i="10" s="1"/>
  <c r="T209" i="10"/>
  <c r="U209" i="10" s="1"/>
  <c r="T268" i="10"/>
  <c r="U268" i="10" s="1"/>
  <c r="T289" i="10"/>
  <c r="U289" i="10" s="1"/>
  <c r="T388" i="10"/>
  <c r="U388" i="10" s="1"/>
  <c r="T481" i="10"/>
  <c r="U481" i="10" s="1"/>
  <c r="T385" i="10"/>
  <c r="U385" i="10" s="1"/>
  <c r="T125" i="10"/>
  <c r="U125" i="10" s="1"/>
  <c r="T520" i="10"/>
  <c r="U520" i="10" s="1"/>
  <c r="T514" i="10"/>
  <c r="U514" i="10" s="1"/>
  <c r="T70" i="10"/>
  <c r="U70" i="10" s="1"/>
  <c r="T358" i="10"/>
  <c r="U358" i="10" s="1"/>
  <c r="T390" i="10"/>
  <c r="U390" i="10" s="1"/>
  <c r="T420" i="10"/>
  <c r="U420" i="10" s="1"/>
  <c r="T174" i="10"/>
  <c r="U174" i="10" s="1"/>
  <c r="T144" i="10"/>
  <c r="U144" i="10" s="1"/>
  <c r="T251" i="10"/>
  <c r="U251" i="10" s="1"/>
  <c r="T231" i="10"/>
  <c r="U231" i="10" s="1"/>
  <c r="T433" i="10"/>
  <c r="U433" i="10" s="1"/>
  <c r="T381" i="10"/>
  <c r="U381" i="10" s="1"/>
  <c r="T166" i="10"/>
  <c r="U166" i="10" s="1"/>
  <c r="T310" i="10"/>
  <c r="U310" i="10" s="1"/>
  <c r="T277" i="10"/>
  <c r="U277" i="10" s="1"/>
  <c r="T247" i="10"/>
  <c r="U247" i="10" s="1"/>
  <c r="T383" i="10"/>
  <c r="U383" i="10" s="1"/>
  <c r="T26" i="10"/>
  <c r="U26" i="10" s="1"/>
  <c r="T509" i="10"/>
  <c r="U509" i="10" s="1"/>
  <c r="T371" i="10"/>
  <c r="U371" i="10" s="1"/>
  <c r="T256" i="10"/>
  <c r="U256" i="10" s="1"/>
  <c r="T90" i="10"/>
  <c r="U90" i="10" s="1"/>
  <c r="T91" i="10"/>
  <c r="U91" i="10" s="1"/>
  <c r="T10" i="10"/>
  <c r="U10" i="10" s="1"/>
  <c r="T332" i="10"/>
  <c r="U332" i="10" s="1"/>
  <c r="T32" i="10"/>
  <c r="U32" i="10" s="1"/>
  <c r="T281" i="10"/>
  <c r="U281" i="10" s="1"/>
  <c r="T155" i="10"/>
  <c r="U155" i="10" s="1"/>
  <c r="T442" i="10"/>
  <c r="U442" i="10" s="1"/>
  <c r="T186" i="10"/>
  <c r="U186" i="10" s="1"/>
  <c r="T31" i="10"/>
  <c r="U31" i="10" s="1"/>
  <c r="T318" i="10"/>
  <c r="U318" i="10" s="1"/>
  <c r="T546" i="10"/>
  <c r="U546" i="10" s="1"/>
  <c r="T185" i="10"/>
  <c r="U185" i="10" s="1"/>
  <c r="T100" i="10"/>
  <c r="U100" i="10" s="1"/>
  <c r="T325" i="10"/>
  <c r="U325" i="10" s="1"/>
  <c r="T126" i="10"/>
  <c r="U126" i="10" s="1"/>
  <c r="T227" i="10"/>
  <c r="U227" i="10" s="1"/>
  <c r="T119" i="10"/>
  <c r="U119" i="10" s="1"/>
  <c r="T378" i="10"/>
  <c r="U378" i="10" s="1"/>
  <c r="T157" i="10"/>
  <c r="U157" i="10" s="1"/>
  <c r="T102" i="10"/>
  <c r="U102" i="10" s="1"/>
  <c r="T409" i="10"/>
  <c r="U409" i="10" s="1"/>
  <c r="T486" i="10"/>
  <c r="U486" i="10" s="1"/>
  <c r="T258" i="10"/>
  <c r="U258" i="10" s="1"/>
  <c r="T287" i="10"/>
  <c r="U287" i="10" s="1"/>
  <c r="T221" i="10"/>
  <c r="U221" i="10" s="1"/>
  <c r="T132" i="10"/>
  <c r="U132" i="10" s="1"/>
  <c r="T254" i="10"/>
  <c r="U254" i="10" s="1"/>
  <c r="T87" i="10"/>
  <c r="U87" i="10" s="1"/>
  <c r="T488" i="10"/>
  <c r="U488" i="10" s="1"/>
  <c r="T192" i="10"/>
  <c r="U192" i="10" s="1"/>
  <c r="T67" i="10"/>
  <c r="U67" i="10" s="1"/>
  <c r="T171" i="10"/>
  <c r="U171" i="10" s="1"/>
  <c r="T448" i="10"/>
  <c r="U448" i="10" s="1"/>
  <c r="T245" i="10"/>
  <c r="U245" i="10" s="1"/>
  <c r="T477" i="10"/>
  <c r="U477" i="10" s="1"/>
  <c r="T315" i="10"/>
  <c r="U315" i="10" s="1"/>
  <c r="T518" i="10"/>
  <c r="U518" i="10" s="1"/>
  <c r="T223" i="10"/>
  <c r="U223" i="10" s="1"/>
  <c r="T234" i="10"/>
  <c r="U234" i="10" s="1"/>
  <c r="T68" i="10"/>
  <c r="U68" i="10" s="1"/>
  <c r="T341" i="10"/>
  <c r="U341" i="10" s="1"/>
  <c r="T483" i="10"/>
  <c r="U483" i="10" s="1"/>
  <c r="T317" i="10"/>
  <c r="U317" i="10" s="1"/>
  <c r="T249" i="10"/>
  <c r="U249" i="10" s="1"/>
  <c r="T309" i="10"/>
  <c r="U309" i="10" s="1"/>
  <c r="Z347" i="10"/>
  <c r="AA347" i="10" s="1"/>
  <c r="Z530" i="10"/>
  <c r="AA530" i="10" s="1"/>
  <c r="Z92" i="10"/>
  <c r="AA92" i="10" s="1"/>
  <c r="T147" i="10"/>
  <c r="U147" i="10" s="1"/>
  <c r="Z14" i="10"/>
  <c r="AA14" i="10" s="1"/>
  <c r="Z287" i="10"/>
  <c r="AA287" i="10" s="1"/>
  <c r="T210" i="10"/>
  <c r="U210" i="10" s="1"/>
  <c r="T342" i="10"/>
  <c r="U342" i="10" s="1"/>
  <c r="Z490" i="10"/>
  <c r="AA490" i="10" s="1"/>
  <c r="W118" i="10"/>
  <c r="X118" i="10" s="1"/>
  <c r="T36" i="10"/>
  <c r="U36" i="10" s="1"/>
  <c r="AF173" i="10"/>
  <c r="AG173" i="10" s="1"/>
  <c r="AC137" i="10"/>
  <c r="AD137" i="10" s="1"/>
  <c r="AC353" i="10"/>
  <c r="AD353" i="10" s="1"/>
  <c r="AC200" i="10"/>
  <c r="AD200" i="10" s="1"/>
  <c r="AF426" i="10"/>
  <c r="AF295" i="10"/>
  <c r="AF227" i="10"/>
  <c r="AG227" i="10" s="1"/>
  <c r="AC257" i="10"/>
  <c r="AD257" i="10" s="1"/>
  <c r="AF383" i="10"/>
  <c r="AG383" i="10" s="1"/>
  <c r="AF238" i="10"/>
  <c r="AC148" i="10"/>
  <c r="AD148" i="10" s="1"/>
  <c r="AC204" i="10"/>
  <c r="AD204" i="10" s="1"/>
  <c r="AC286" i="10"/>
  <c r="AD286" i="10" s="1"/>
  <c r="AF345" i="10"/>
  <c r="AG345" i="10" s="1"/>
  <c r="AC272" i="10"/>
  <c r="AD272" i="10" s="1"/>
  <c r="AC315" i="10"/>
  <c r="AD315" i="10" s="1"/>
  <c r="AC338" i="10"/>
  <c r="AD338" i="10" s="1"/>
  <c r="AC163" i="10"/>
  <c r="AD163" i="10" s="1"/>
  <c r="AF194" i="10"/>
  <c r="AG194" i="10" s="1"/>
  <c r="AC180" i="10"/>
  <c r="AD180" i="10" s="1"/>
  <c r="AF303" i="10"/>
  <c r="AF91" i="10"/>
  <c r="AF320" i="10"/>
  <c r="AF164" i="10"/>
  <c r="AG164" i="10" s="1"/>
  <c r="AF408" i="10"/>
  <c r="AC294" i="10"/>
  <c r="AD294" i="10" s="1"/>
  <c r="AC299" i="10"/>
  <c r="AD299" i="10" s="1"/>
  <c r="AC295" i="10"/>
  <c r="AD295" i="10" s="1"/>
  <c r="AF234" i="10"/>
  <c r="AF341" i="10"/>
  <c r="AG341" i="10" s="1"/>
  <c r="AF419" i="10"/>
  <c r="AC377" i="10"/>
  <c r="AD377" i="10" s="1"/>
  <c r="AF306" i="10"/>
  <c r="AG306" i="10" s="1"/>
  <c r="AF72" i="10"/>
  <c r="AF468" i="10"/>
  <c r="AG468" i="10" s="1"/>
  <c r="AF388" i="10"/>
  <c r="AC412" i="10"/>
  <c r="AD412" i="10" s="1"/>
  <c r="AC25" i="10"/>
  <c r="AD25" i="10" s="1"/>
  <c r="AC150" i="10"/>
  <c r="AD150" i="10" s="1"/>
  <c r="AF278" i="10"/>
  <c r="AG278" i="10" s="1"/>
  <c r="AC164" i="10"/>
  <c r="AD164" i="10" s="1"/>
  <c r="AF247" i="10"/>
  <c r="AF440" i="10"/>
  <c r="AG440" i="10" s="1"/>
  <c r="AF401" i="10"/>
  <c r="AF180" i="10"/>
  <c r="AG180" i="10" s="1"/>
  <c r="AF118" i="10"/>
  <c r="AG118" i="10" s="1"/>
  <c r="AF489" i="10"/>
  <c r="AG489" i="10" s="1"/>
  <c r="AF141" i="10"/>
  <c r="AG141" i="10" s="1"/>
  <c r="AF94" i="10"/>
  <c r="AF67" i="10"/>
  <c r="AF349" i="10"/>
  <c r="AC331" i="10"/>
  <c r="AD331" i="10" s="1"/>
  <c r="AC145" i="10"/>
  <c r="AD145" i="10" s="1"/>
  <c r="AC118" i="10"/>
  <c r="AD118" i="10" s="1"/>
  <c r="AF327" i="10"/>
  <c r="AG327" i="10" s="1"/>
  <c r="AF128" i="10"/>
  <c r="AG128" i="10" s="1"/>
  <c r="AC470" i="10"/>
  <c r="AD470" i="10" s="1"/>
  <c r="AC262" i="10"/>
  <c r="AD262" i="10" s="1"/>
  <c r="AC52" i="10"/>
  <c r="AD52" i="10" s="1"/>
  <c r="AF379" i="10"/>
  <c r="AF251" i="10"/>
  <c r="AF250" i="10"/>
  <c r="AF328" i="10"/>
  <c r="AC304" i="10"/>
  <c r="AD304" i="10" s="1"/>
  <c r="AC425" i="10"/>
  <c r="AD425" i="10" s="1"/>
  <c r="AC252" i="10"/>
  <c r="AD252" i="10" s="1"/>
  <c r="AC329" i="10"/>
  <c r="AD329" i="10" s="1"/>
  <c r="AF39" i="10"/>
  <c r="AG39" i="10" s="1"/>
  <c r="AC393" i="10"/>
  <c r="AD393" i="10" s="1"/>
  <c r="AC476" i="10"/>
  <c r="AD476" i="10" s="1"/>
  <c r="AC297" i="10"/>
  <c r="AD297" i="10" s="1"/>
  <c r="AC394" i="10"/>
  <c r="AD394" i="10" s="1"/>
  <c r="AF117" i="10"/>
  <c r="AF525" i="10"/>
  <c r="AC202" i="10"/>
  <c r="AD202" i="10" s="1"/>
  <c r="AC488" i="10"/>
  <c r="AD488" i="10" s="1"/>
  <c r="AC309" i="10"/>
  <c r="AD309" i="10" s="1"/>
  <c r="AC224" i="10"/>
  <c r="AD224" i="10" s="1"/>
  <c r="AC498" i="10"/>
  <c r="AD498" i="10" s="1"/>
  <c r="AF24" i="10"/>
  <c r="AG24" i="10" s="1"/>
  <c r="AF25" i="10"/>
  <c r="AC172" i="10"/>
  <c r="AD172" i="10" s="1"/>
  <c r="AC367" i="10"/>
  <c r="AD367" i="10" s="1"/>
  <c r="AC497" i="10"/>
  <c r="AD497" i="10" s="1"/>
  <c r="AF187" i="10"/>
  <c r="AG187" i="10" s="1"/>
  <c r="AF268" i="10"/>
  <c r="AF245" i="10"/>
  <c r="AF50" i="10"/>
  <c r="AG50" i="10" s="1"/>
  <c r="AF253" i="10"/>
  <c r="AC265" i="10"/>
  <c r="AD265" i="10" s="1"/>
  <c r="AF332" i="10"/>
  <c r="AG332" i="10" s="1"/>
  <c r="AC55" i="10"/>
  <c r="AD55" i="10" s="1"/>
  <c r="AF381" i="10"/>
  <c r="AF165" i="10"/>
  <c r="AG165" i="10" s="1"/>
  <c r="AC94" i="10"/>
  <c r="AD94" i="10" s="1"/>
  <c r="AC503" i="10"/>
  <c r="AD503" i="10" s="1"/>
  <c r="AF49" i="10"/>
  <c r="AG49" i="10" s="1"/>
  <c r="AF508" i="10"/>
  <c r="AG508" i="10" s="1"/>
  <c r="W262" i="10"/>
  <c r="W449" i="10"/>
  <c r="W297" i="10"/>
  <c r="W15" i="10"/>
  <c r="X15" i="10" s="1"/>
  <c r="W227" i="10"/>
  <c r="W266" i="10"/>
  <c r="W446" i="10"/>
  <c r="W377" i="10"/>
  <c r="W429" i="10"/>
  <c r="W355" i="10"/>
  <c r="W396" i="10"/>
  <c r="W29" i="10"/>
  <c r="X29" i="10" s="1"/>
  <c r="W236" i="10"/>
  <c r="X236" i="10" s="1"/>
  <c r="W63" i="10"/>
  <c r="W172" i="10"/>
  <c r="W163" i="10"/>
  <c r="W285" i="10"/>
  <c r="W443" i="10"/>
  <c r="W69" i="10"/>
  <c r="W171" i="10"/>
  <c r="W93" i="10"/>
  <c r="X93" i="10" s="1"/>
  <c r="W140" i="10"/>
  <c r="X140" i="10" s="1"/>
  <c r="W98" i="10"/>
  <c r="W329" i="10"/>
  <c r="W175" i="10"/>
  <c r="W32" i="10"/>
  <c r="X32" i="10" s="1"/>
  <c r="W144" i="10"/>
  <c r="X144" i="10" s="1"/>
  <c r="W96" i="10"/>
  <c r="W220" i="10"/>
  <c r="W277" i="10"/>
  <c r="W293" i="10"/>
  <c r="X293" i="10" s="1"/>
  <c r="W164" i="10"/>
  <c r="W404" i="10"/>
  <c r="W190" i="10"/>
  <c r="W459" i="10"/>
  <c r="W425" i="10"/>
  <c r="W281" i="10"/>
  <c r="W313" i="10"/>
  <c r="W545" i="10"/>
  <c r="W73" i="10"/>
  <c r="W464" i="10"/>
  <c r="W458" i="10"/>
  <c r="X458" i="10" s="1"/>
  <c r="W243" i="10"/>
  <c r="W405" i="10"/>
  <c r="W420" i="10"/>
  <c r="W113" i="10"/>
  <c r="X113" i="10" s="1"/>
  <c r="W57" i="10"/>
  <c r="W153" i="10"/>
  <c r="W465" i="10"/>
  <c r="W255" i="10"/>
  <c r="W18" i="10"/>
  <c r="X18" i="10" s="1"/>
  <c r="W95" i="10"/>
  <c r="W134" i="10"/>
  <c r="X134" i="10" s="1"/>
  <c r="W94" i="10"/>
  <c r="W321" i="10"/>
  <c r="X321" i="10" s="1"/>
  <c r="W256" i="10"/>
  <c r="W218" i="10"/>
  <c r="W452" i="10"/>
  <c r="W437" i="10"/>
  <c r="W340" i="10"/>
  <c r="W330" i="10"/>
  <c r="W68" i="10"/>
  <c r="W191" i="10"/>
  <c r="W141" i="10"/>
  <c r="X141" i="10" s="1"/>
  <c r="W305" i="10"/>
  <c r="W97" i="10"/>
  <c r="W99" i="10"/>
  <c r="W128" i="10"/>
  <c r="W254" i="10"/>
  <c r="W406" i="10"/>
  <c r="W87" i="10"/>
  <c r="W253" i="10"/>
  <c r="W312" i="10"/>
  <c r="W311" i="10"/>
  <c r="W378" i="10"/>
  <c r="W78" i="10"/>
  <c r="W358" i="10"/>
  <c r="W288" i="10"/>
  <c r="W77" i="10"/>
  <c r="W201" i="10"/>
  <c r="W136" i="10"/>
  <c r="AC28" i="10"/>
  <c r="AD28" i="10" s="1"/>
  <c r="W395" i="10"/>
  <c r="AF37" i="10"/>
  <c r="W40" i="10"/>
  <c r="X40" i="10" s="1"/>
  <c r="W476" i="10"/>
  <c r="X476" i="10" s="1"/>
  <c r="AF390" i="10"/>
  <c r="W70" i="10"/>
  <c r="AC227" i="10"/>
  <c r="AD227" i="10" s="1"/>
  <c r="AC158" i="10"/>
  <c r="AD158" i="10" s="1"/>
  <c r="AC483" i="10"/>
  <c r="AD483" i="10" s="1"/>
  <c r="W45" i="10"/>
  <c r="X45" i="10" s="1"/>
  <c r="W250" i="10"/>
  <c r="AF232" i="10"/>
  <c r="AG232" i="10" s="1"/>
  <c r="AC293" i="10"/>
  <c r="AD293" i="10" s="1"/>
  <c r="W51" i="10"/>
  <c r="AC255" i="10"/>
  <c r="AD255" i="10" s="1"/>
  <c r="AC314" i="10"/>
  <c r="AD314" i="10" s="1"/>
  <c r="W226" i="10"/>
  <c r="X226" i="10" s="1"/>
  <c r="AF502" i="10"/>
  <c r="AG502" i="10" s="1"/>
  <c r="AC334" i="10"/>
  <c r="AD334" i="10" s="1"/>
  <c r="AF220" i="10"/>
  <c r="AC332" i="10"/>
  <c r="AD332" i="10" s="1"/>
  <c r="AF66" i="10"/>
  <c r="AC325" i="10"/>
  <c r="AD325" i="10" s="1"/>
  <c r="W498" i="10"/>
  <c r="AC462" i="10"/>
  <c r="AD462" i="10" s="1"/>
  <c r="W492" i="10"/>
  <c r="W152" i="10"/>
  <c r="AC429" i="10"/>
  <c r="AD429" i="10" s="1"/>
  <c r="AF307" i="10"/>
  <c r="AG307" i="10" s="1"/>
  <c r="AF323" i="10"/>
  <c r="AF201" i="10"/>
  <c r="AF236" i="10"/>
  <c r="AF407" i="10"/>
  <c r="AG407" i="10" s="1"/>
  <c r="AF291" i="10"/>
  <c r="AF237" i="10"/>
  <c r="AF287" i="10"/>
  <c r="AF140" i="10"/>
  <c r="AF331" i="10"/>
  <c r="AF514" i="10"/>
  <c r="AF188" i="10"/>
  <c r="AG188" i="10" s="1"/>
  <c r="AC22" i="10"/>
  <c r="AD22" i="10" s="1"/>
  <c r="AF123" i="10"/>
  <c r="AG123" i="10" s="1"/>
  <c r="W103" i="10"/>
  <c r="W402" i="10"/>
  <c r="W92" i="10"/>
  <c r="AC68" i="10"/>
  <c r="AD68" i="10" s="1"/>
  <c r="AC179" i="10"/>
  <c r="AD179" i="10" s="1"/>
  <c r="AF98" i="10"/>
  <c r="AC244" i="10"/>
  <c r="AD244" i="10" s="1"/>
  <c r="AC234" i="10"/>
  <c r="AD234" i="10" s="1"/>
  <c r="AC336" i="10"/>
  <c r="AD336" i="10" s="1"/>
  <c r="AC261" i="10"/>
  <c r="AD261" i="10" s="1"/>
  <c r="AC327" i="10"/>
  <c r="AD327" i="10" s="1"/>
  <c r="AC446" i="10"/>
  <c r="AD446" i="10" s="1"/>
  <c r="AC399" i="10"/>
  <c r="AD399" i="10" s="1"/>
  <c r="AC197" i="10"/>
  <c r="AD197" i="10" s="1"/>
  <c r="AC101" i="10"/>
  <c r="AD101" i="10" s="1"/>
  <c r="AC408" i="10"/>
  <c r="AD408" i="10" s="1"/>
  <c r="AC541" i="10"/>
  <c r="AD541" i="10" s="1"/>
  <c r="T127" i="10"/>
  <c r="U127" i="10" s="1"/>
  <c r="Z502" i="10"/>
  <c r="AA502" i="10" s="1"/>
  <c r="T424" i="10"/>
  <c r="U424" i="10" s="1"/>
  <c r="Z392" i="10"/>
  <c r="AA392" i="10" s="1"/>
  <c r="W100" i="10"/>
  <c r="T497" i="10"/>
  <c r="U497" i="10" s="1"/>
  <c r="AF157" i="10"/>
  <c r="AG157" i="10" s="1"/>
  <c r="AF360" i="10"/>
  <c r="T366" i="10"/>
  <c r="U366" i="10" s="1"/>
  <c r="AF343" i="10"/>
  <c r="AG343" i="10" s="1"/>
  <c r="T203" i="10"/>
  <c r="U203" i="10" s="1"/>
  <c r="AC288" i="10"/>
  <c r="AD288" i="10" s="1"/>
  <c r="AF348" i="10"/>
  <c r="Z174" i="10"/>
  <c r="AA174" i="10" s="1"/>
  <c r="T233" i="10"/>
  <c r="U233" i="10" s="1"/>
  <c r="AF18" i="10"/>
  <c r="AG18" i="10" s="1"/>
  <c r="W14" i="10"/>
  <c r="X14" i="10" s="1"/>
  <c r="AF275" i="10"/>
  <c r="AG275" i="10" s="1"/>
  <c r="AC392" i="10"/>
  <c r="AD392" i="10" s="1"/>
  <c r="W455" i="10"/>
  <c r="W275" i="10"/>
  <c r="AF354" i="10"/>
  <c r="AC298" i="10"/>
  <c r="AD298" i="10" s="1"/>
  <c r="AF356" i="10"/>
  <c r="AC231" i="10"/>
  <c r="AD231" i="10" s="1"/>
  <c r="W290" i="10"/>
  <c r="X290" i="10" s="1"/>
  <c r="W527" i="10"/>
  <c r="AC376" i="10"/>
  <c r="AD376" i="10" s="1"/>
  <c r="Z319" i="10"/>
  <c r="AA319" i="10" s="1"/>
  <c r="T418" i="10"/>
  <c r="U418" i="10" s="1"/>
  <c r="T449" i="10"/>
  <c r="U449" i="10" s="1"/>
  <c r="AC9" i="10"/>
  <c r="AD9" i="10" s="1"/>
  <c r="T392" i="10"/>
  <c r="U392" i="10" s="1"/>
  <c r="T56" i="10"/>
  <c r="U56" i="10" s="1"/>
  <c r="AC502" i="10"/>
  <c r="AD502" i="10" s="1"/>
  <c r="T368" i="10"/>
  <c r="U368" i="10" s="1"/>
  <c r="W525" i="10"/>
  <c r="AC53" i="10"/>
  <c r="AD53" i="10" s="1"/>
  <c r="AC187" i="10"/>
  <c r="AD187" i="10" s="1"/>
  <c r="AF456" i="10"/>
  <c r="AC426" i="10"/>
  <c r="AD426" i="10" s="1"/>
  <c r="AC7" i="10"/>
  <c r="AD7" i="10" s="1"/>
  <c r="AF317" i="10"/>
  <c r="AG317" i="10" s="1"/>
  <c r="AC365" i="10"/>
  <c r="AD365" i="10" s="1"/>
  <c r="AC361" i="10"/>
  <c r="AD361" i="10" s="1"/>
  <c r="T438" i="10"/>
  <c r="U438" i="10" s="1"/>
  <c r="W501" i="10"/>
  <c r="Z11" i="10"/>
  <c r="AA11" i="10" s="1"/>
  <c r="T135" i="10"/>
  <c r="U135" i="10" s="1"/>
  <c r="T189" i="10"/>
  <c r="U189" i="10" s="1"/>
  <c r="T350" i="10"/>
  <c r="U350" i="10" s="1"/>
  <c r="T279" i="10"/>
  <c r="U279" i="10" s="1"/>
  <c r="T41" i="10"/>
  <c r="U41" i="10" s="1"/>
  <c r="T101" i="10"/>
  <c r="U101" i="10" s="1"/>
  <c r="T336" i="10"/>
  <c r="U336" i="10" s="1"/>
  <c r="T252" i="10"/>
  <c r="U252" i="10" s="1"/>
  <c r="T42" i="10"/>
  <c r="U42" i="10" s="1"/>
  <c r="T408" i="10"/>
  <c r="U408" i="10" s="1"/>
  <c r="Z19" i="10"/>
  <c r="AA19" i="10" s="1"/>
  <c r="T120" i="10"/>
  <c r="U120" i="10" s="1"/>
  <c r="Z158" i="10"/>
  <c r="AA158" i="10" s="1"/>
  <c r="T521" i="10"/>
  <c r="U521" i="10" s="1"/>
  <c r="T216" i="10"/>
  <c r="U216" i="10" s="1"/>
  <c r="T426" i="10"/>
  <c r="U426" i="10" s="1"/>
  <c r="W54" i="10"/>
  <c r="W180" i="10"/>
  <c r="AF325" i="10"/>
  <c r="AC121" i="10"/>
  <c r="AD121" i="10" s="1"/>
  <c r="AC75" i="10"/>
  <c r="AD75" i="10" s="1"/>
  <c r="W407" i="10"/>
  <c r="W473" i="10"/>
  <c r="W359" i="10"/>
  <c r="W252" i="10"/>
  <c r="W331" i="10"/>
  <c r="W357" i="10"/>
  <c r="W460" i="10"/>
  <c r="W412" i="10"/>
  <c r="W199" i="10"/>
  <c r="W376" i="10"/>
  <c r="W24" i="10"/>
  <c r="X24" i="10" s="1"/>
  <c r="AC72" i="10"/>
  <c r="AD72" i="10" s="1"/>
  <c r="AC190" i="10"/>
  <c r="AD190" i="10" s="1"/>
  <c r="Z457" i="10"/>
  <c r="AA457" i="10" s="1"/>
  <c r="T417" i="10"/>
  <c r="U417" i="10" s="1"/>
  <c r="Z53" i="10"/>
  <c r="AA53" i="10" s="1"/>
  <c r="AF149" i="10"/>
  <c r="AG149" i="10" s="1"/>
  <c r="Z33" i="10"/>
  <c r="AA33" i="10" s="1"/>
  <c r="AF246" i="10"/>
  <c r="AG246" i="10" s="1"/>
  <c r="Z366" i="10"/>
  <c r="AA366" i="10" s="1"/>
  <c r="T403" i="10"/>
  <c r="U403" i="10" s="1"/>
  <c r="Z512" i="10"/>
  <c r="AA512" i="10" s="1"/>
  <c r="T187" i="10"/>
  <c r="U187" i="10" s="1"/>
  <c r="W401" i="10"/>
  <c r="W495" i="10"/>
  <c r="W169" i="10"/>
  <c r="W119" i="10"/>
  <c r="X119" i="10" s="1"/>
  <c r="W444" i="10"/>
  <c r="AC451" i="10"/>
  <c r="AD451" i="10" s="1"/>
  <c r="W320" i="10"/>
  <c r="X320" i="10" s="1"/>
  <c r="W451" i="10"/>
  <c r="W529" i="10"/>
  <c r="W461" i="10"/>
  <c r="W89" i="10"/>
  <c r="W344" i="10"/>
  <c r="X344" i="10" s="1"/>
  <c r="AC277" i="10"/>
  <c r="AD277" i="10" s="1"/>
  <c r="W343" i="10"/>
  <c r="AC161" i="10"/>
  <c r="AD161" i="10" s="1"/>
  <c r="AF394" i="10"/>
  <c r="AG394" i="10" s="1"/>
  <c r="W143" i="10"/>
  <c r="X143" i="10" s="1"/>
  <c r="AC453" i="10"/>
  <c r="AD453" i="10" s="1"/>
  <c r="AF13" i="10"/>
  <c r="AG13" i="10" s="1"/>
  <c r="AC420" i="10"/>
  <c r="AD420" i="10" s="1"/>
  <c r="W387" i="10"/>
  <c r="AC380" i="10"/>
  <c r="AD380" i="10" s="1"/>
  <c r="W151" i="10"/>
  <c r="AC44" i="10"/>
  <c r="AD44" i="10" s="1"/>
  <c r="W83" i="10"/>
  <c r="W324" i="10"/>
  <c r="AC355" i="10"/>
  <c r="AD355" i="10" s="1"/>
  <c r="AC81" i="10"/>
  <c r="AD81" i="10" s="1"/>
  <c r="AF217" i="10"/>
  <c r="W148" i="10"/>
  <c r="AC511" i="10"/>
  <c r="AD511" i="10" s="1"/>
  <c r="AF509" i="10"/>
  <c r="AG509" i="10" s="1"/>
  <c r="AC153" i="10"/>
  <c r="AD153" i="10" s="1"/>
  <c r="AF530" i="10"/>
  <c r="AF421" i="10"/>
  <c r="AG421" i="10" s="1"/>
  <c r="AF199" i="10"/>
  <c r="AG199" i="10" s="1"/>
  <c r="AF434" i="10"/>
  <c r="AG434" i="10" s="1"/>
  <c r="AF30" i="10"/>
  <c r="AF302" i="10"/>
  <c r="AG302" i="10" s="1"/>
  <c r="AF487" i="10"/>
  <c r="AG487" i="10" s="1"/>
  <c r="AF127" i="10"/>
  <c r="AG127" i="10" s="1"/>
  <c r="AF438" i="10"/>
  <c r="AF533" i="10"/>
  <c r="AG533" i="10" s="1"/>
  <c r="AF26" i="10"/>
  <c r="AG26" i="10" s="1"/>
  <c r="AF23" i="10"/>
  <c r="AC366" i="10"/>
  <c r="AD366" i="10" s="1"/>
  <c r="AF289" i="10"/>
  <c r="W516" i="10"/>
  <c r="AC246" i="10"/>
  <c r="AD246" i="10" s="1"/>
  <c r="AF22" i="10"/>
  <c r="AG22" i="10" s="1"/>
  <c r="AC431" i="10"/>
  <c r="AD431" i="10" s="1"/>
  <c r="W107" i="10"/>
  <c r="AF56" i="10"/>
  <c r="AC178" i="10"/>
  <c r="AD178" i="10" s="1"/>
  <c r="AC484" i="10"/>
  <c r="AD484" i="10" s="1"/>
  <c r="AC388" i="10"/>
  <c r="AD388" i="10" s="1"/>
  <c r="AC199" i="10"/>
  <c r="AD199" i="10" s="1"/>
  <c r="AC125" i="10"/>
  <c r="AD125" i="10" s="1"/>
  <c r="AC183" i="10"/>
  <c r="AD183" i="10" s="1"/>
  <c r="AC531" i="10"/>
  <c r="AD531" i="10" s="1"/>
  <c r="AC3" i="10"/>
  <c r="AD3" i="10" s="1"/>
  <c r="AC182" i="10"/>
  <c r="AD182" i="10" s="1"/>
  <c r="T159" i="10"/>
  <c r="U159" i="10" s="1"/>
  <c r="Z491" i="10"/>
  <c r="AA491" i="10" s="1"/>
  <c r="AF422" i="10"/>
  <c r="AC278" i="10"/>
  <c r="AD278" i="10" s="1"/>
  <c r="T490" i="10"/>
  <c r="U490" i="10" s="1"/>
  <c r="AC489" i="10"/>
  <c r="AD489" i="10" s="1"/>
  <c r="Z172" i="10"/>
  <c r="AA172" i="10" s="1"/>
  <c r="AF392" i="10"/>
  <c r="Z162" i="10"/>
  <c r="AA162" i="10" s="1"/>
  <c r="Z52" i="10"/>
  <c r="AA52" i="10" s="1"/>
  <c r="AF214" i="10"/>
  <c r="W196" i="10"/>
  <c r="AC51" i="10"/>
  <c r="AD51" i="10" s="1"/>
  <c r="W114" i="10"/>
  <c r="T266" i="10"/>
  <c r="U266" i="10" s="1"/>
  <c r="W187" i="10"/>
  <c r="T72" i="10"/>
  <c r="U72" i="10" s="1"/>
  <c r="AF483" i="10"/>
  <c r="AG483" i="10" s="1"/>
  <c r="T191" i="10"/>
  <c r="U191" i="10" s="1"/>
  <c r="T504" i="10"/>
  <c r="U504" i="10" s="1"/>
  <c r="AF36" i="10"/>
  <c r="AG36" i="10" s="1"/>
  <c r="Z94" i="10"/>
  <c r="AA94" i="10" s="1"/>
  <c r="Z321" i="10"/>
  <c r="AA321" i="10" s="1"/>
  <c r="W192" i="10"/>
  <c r="W365" i="10"/>
  <c r="AF446" i="10"/>
  <c r="Z485" i="10"/>
  <c r="AA485" i="10" s="1"/>
  <c r="T62" i="10"/>
  <c r="U62" i="10" s="1"/>
  <c r="T429" i="10"/>
  <c r="U429" i="10" s="1"/>
  <c r="AC406" i="10"/>
  <c r="AD406" i="10" s="1"/>
  <c r="AF129" i="10"/>
  <c r="AG129" i="10" s="1"/>
  <c r="Z329" i="10"/>
  <c r="AA329" i="10" s="1"/>
  <c r="T411" i="10"/>
  <c r="U411" i="10" s="1"/>
  <c r="T427" i="10"/>
  <c r="U427" i="10" s="1"/>
  <c r="W289" i="10"/>
  <c r="X289" i="10" s="1"/>
  <c r="W211" i="10"/>
  <c r="AF21" i="10"/>
  <c r="T194" i="10"/>
  <c r="U194" i="10" s="1"/>
  <c r="Z279" i="10"/>
  <c r="AA279" i="10" s="1"/>
  <c r="T260" i="10"/>
  <c r="U260" i="10" s="1"/>
  <c r="Z138" i="10"/>
  <c r="AA138" i="10" s="1"/>
  <c r="Z194" i="10"/>
  <c r="AA194" i="10" s="1"/>
  <c r="AF547" i="10"/>
  <c r="AG547" i="10" s="1"/>
  <c r="Z208" i="10"/>
  <c r="AA208" i="10" s="1"/>
  <c r="W322" i="10"/>
  <c r="Z540" i="10"/>
  <c r="AA540" i="10" s="1"/>
  <c r="W205" i="10"/>
  <c r="AF225" i="10"/>
  <c r="T474" i="10"/>
  <c r="U474" i="10" s="1"/>
  <c r="T73" i="10"/>
  <c r="U73" i="10" s="1"/>
  <c r="T261" i="10"/>
  <c r="U261" i="10" s="1"/>
  <c r="T517" i="10"/>
  <c r="U517" i="10" s="1"/>
  <c r="T271" i="10"/>
  <c r="U271" i="10" s="1"/>
  <c r="T23" i="10"/>
  <c r="U23" i="10" s="1"/>
  <c r="T421" i="10"/>
  <c r="U421" i="10" s="1"/>
  <c r="T300" i="10"/>
  <c r="U300" i="10" s="1"/>
  <c r="T235" i="10"/>
  <c r="U235" i="10" s="1"/>
  <c r="T399" i="10"/>
  <c r="U399" i="10" s="1"/>
  <c r="Z263" i="10"/>
  <c r="AA263" i="10" s="1"/>
  <c r="T363" i="10"/>
  <c r="U363" i="10" s="1"/>
  <c r="Z123" i="10"/>
  <c r="AA123" i="10" s="1"/>
  <c r="W147" i="10"/>
  <c r="X147" i="10" s="1"/>
  <c r="AC49" i="10"/>
  <c r="AD49" i="10" s="1"/>
  <c r="AF465" i="10"/>
  <c r="AG465" i="10" s="1"/>
  <c r="Z363" i="10"/>
  <c r="AA363" i="10" s="1"/>
  <c r="T262" i="10"/>
  <c r="U262" i="10" s="1"/>
  <c r="W362" i="10"/>
  <c r="W546" i="10"/>
  <c r="Z296" i="10"/>
  <c r="AA296" i="10" s="1"/>
  <c r="T489" i="10"/>
  <c r="U489" i="10" s="1"/>
  <c r="T458" i="10"/>
  <c r="U458" i="10" s="1"/>
  <c r="W42" i="10"/>
  <c r="X42" i="10" s="1"/>
  <c r="W532" i="10"/>
  <c r="W23" i="10"/>
  <c r="X23" i="10" s="1"/>
  <c r="W399" i="10"/>
  <c r="W499" i="10"/>
  <c r="W261" i="10"/>
  <c r="W155" i="10"/>
  <c r="W410" i="10"/>
  <c r="W127" i="10"/>
  <c r="AF523" i="10"/>
  <c r="AG523" i="10" s="1"/>
  <c r="AF298" i="10"/>
  <c r="T179" i="10"/>
  <c r="U179" i="10" s="1"/>
  <c r="T22" i="10"/>
  <c r="U22" i="10" s="1"/>
  <c r="AC74" i="10"/>
  <c r="AD74" i="10" s="1"/>
  <c r="Z451" i="10"/>
  <c r="AA451" i="10" s="1"/>
  <c r="T494" i="10"/>
  <c r="U494" i="10" s="1"/>
  <c r="AC317" i="10"/>
  <c r="AD317" i="10" s="1"/>
  <c r="W208" i="10"/>
  <c r="T322" i="10"/>
  <c r="U322" i="10" s="1"/>
  <c r="AC450" i="10"/>
  <c r="AD450" i="10" s="1"/>
  <c r="Z16" i="10"/>
  <c r="AA16" i="10" s="1"/>
  <c r="W61" i="10"/>
  <c r="W280" i="10"/>
  <c r="W503" i="10"/>
  <c r="W522" i="10"/>
  <c r="W117" i="10"/>
  <c r="X117" i="10" s="1"/>
  <c r="W482" i="10"/>
  <c r="W245" i="10"/>
  <c r="W413" i="10"/>
  <c r="AC132" i="10"/>
  <c r="AD132" i="10" s="1"/>
  <c r="W478" i="10"/>
  <c r="X478" i="10" s="1"/>
  <c r="W487" i="10"/>
  <c r="W130" i="10"/>
  <c r="AF411" i="10"/>
  <c r="AF191" i="10"/>
  <c r="AG191" i="10" s="1"/>
  <c r="W48" i="10"/>
  <c r="AF333" i="10"/>
  <c r="AG333" i="10" s="1"/>
  <c r="AC509" i="10"/>
  <c r="AD509" i="10" s="1"/>
  <c r="AC63" i="10"/>
  <c r="AD63" i="10" s="1"/>
  <c r="AC322" i="10"/>
  <c r="AD322" i="10" s="1"/>
  <c r="AF75" i="10"/>
  <c r="AG75" i="10" s="1"/>
  <c r="AF42" i="10"/>
  <c r="AF80" i="10"/>
  <c r="AG80" i="10" s="1"/>
  <c r="AF428" i="10"/>
  <c r="AF400" i="10"/>
  <c r="AF183" i="10"/>
  <c r="AG183" i="10" s="1"/>
  <c r="AF92" i="10"/>
  <c r="AF110" i="10"/>
  <c r="AG110" i="10" s="1"/>
  <c r="AF78" i="10"/>
  <c r="AG78" i="10" s="1"/>
  <c r="AF385" i="10"/>
  <c r="AF517" i="10"/>
  <c r="AF459" i="10"/>
  <c r="AG459" i="10" s="1"/>
  <c r="W166" i="10"/>
  <c r="AC525" i="10"/>
  <c r="AD525" i="10" s="1"/>
  <c r="AC321" i="10"/>
  <c r="AD321" i="10" s="1"/>
  <c r="AF398" i="10"/>
  <c r="AC136" i="10"/>
  <c r="AD136" i="10" s="1"/>
  <c r="W72" i="10"/>
  <c r="AC475" i="10"/>
  <c r="AD475" i="10" s="1"/>
  <c r="AF506" i="10"/>
  <c r="AG506" i="10" s="1"/>
  <c r="AF70" i="10"/>
  <c r="AC131" i="10"/>
  <c r="AD131" i="10" s="1"/>
  <c r="AC235" i="10"/>
  <c r="AD235" i="10" s="1"/>
  <c r="AC369" i="10"/>
  <c r="AD369" i="10" s="1"/>
  <c r="AC86" i="10"/>
  <c r="AD86" i="10" s="1"/>
  <c r="AC287" i="10"/>
  <c r="AD287" i="10" s="1"/>
  <c r="AC357" i="10"/>
  <c r="AD357" i="10" s="1"/>
  <c r="AC526" i="10"/>
  <c r="AD526" i="10" s="1"/>
  <c r="AC383" i="10"/>
  <c r="AD383" i="10" s="1"/>
  <c r="AC486" i="10"/>
  <c r="AD486" i="10" s="1"/>
  <c r="AC222" i="10"/>
  <c r="AD222" i="10" s="1"/>
  <c r="AF352" i="10"/>
  <c r="W433" i="10"/>
  <c r="AF429" i="10"/>
  <c r="AF364" i="10"/>
  <c r="AF61" i="10"/>
  <c r="AF166" i="10"/>
  <c r="AF34" i="10"/>
  <c r="W540" i="10"/>
  <c r="AF493" i="10"/>
  <c r="AG493" i="10" s="1"/>
  <c r="AC85" i="10"/>
  <c r="AD85" i="10" s="1"/>
  <c r="AF366" i="10"/>
  <c r="AC389" i="10"/>
  <c r="AD389" i="10" s="1"/>
  <c r="W453" i="10"/>
  <c r="AF367" i="10"/>
  <c r="W411" i="10"/>
  <c r="AF216" i="10"/>
  <c r="AC405" i="10"/>
  <c r="AD405" i="10" s="1"/>
  <c r="AF272" i="10"/>
  <c r="AF58" i="10"/>
  <c r="AC210" i="10"/>
  <c r="AD210" i="10" s="1"/>
  <c r="W543" i="10"/>
  <c r="AC228" i="10"/>
  <c r="AD228" i="10" s="1"/>
  <c r="W523" i="10"/>
  <c r="AF311" i="10"/>
  <c r="AG311" i="10" s="1"/>
  <c r="W232" i="10"/>
  <c r="AC279" i="10"/>
  <c r="AD279" i="10" s="1"/>
  <c r="AF346" i="10"/>
  <c r="AG346" i="10" s="1"/>
  <c r="T74" i="10"/>
  <c r="U74" i="10" s="1"/>
  <c r="AF488" i="10"/>
  <c r="AG488" i="10" s="1"/>
  <c r="W505" i="10"/>
  <c r="T137" i="10"/>
  <c r="U137" i="10" s="1"/>
  <c r="T5" i="10"/>
  <c r="U5" i="10" s="1"/>
  <c r="T201" i="10"/>
  <c r="U201" i="10" s="1"/>
  <c r="T326" i="10"/>
  <c r="U326" i="10" s="1"/>
  <c r="T462" i="10"/>
  <c r="U462" i="10" s="1"/>
  <c r="T307" i="10"/>
  <c r="U307" i="10" s="1"/>
  <c r="T199" i="10"/>
  <c r="U199" i="10" s="1"/>
  <c r="T259" i="10"/>
  <c r="U259" i="10" s="1"/>
  <c r="T219" i="10"/>
  <c r="U219" i="10" s="1"/>
  <c r="T202" i="10"/>
  <c r="U202" i="10" s="1"/>
  <c r="AF496" i="10"/>
  <c r="AG496" i="10" s="1"/>
  <c r="AC189" i="10"/>
  <c r="AD189" i="10" s="1"/>
  <c r="T229" i="10"/>
  <c r="U229" i="10" s="1"/>
  <c r="Z523" i="10"/>
  <c r="AA523" i="10" s="1"/>
  <c r="T124" i="10"/>
  <c r="U124" i="10" s="1"/>
  <c r="W217" i="10"/>
  <c r="T487" i="10"/>
  <c r="U487" i="10" s="1"/>
  <c r="W314" i="10"/>
  <c r="X314" i="10" s="1"/>
  <c r="W316" i="10"/>
  <c r="W393" i="10"/>
  <c r="W233" i="10"/>
  <c r="T422" i="10"/>
  <c r="U422" i="10" s="1"/>
  <c r="W328" i="10"/>
  <c r="W273" i="10"/>
  <c r="X273" i="10" s="1"/>
  <c r="W530" i="10"/>
  <c r="W448" i="10"/>
  <c r="W382" i="10"/>
  <c r="W434" i="10"/>
  <c r="W383" i="10"/>
  <c r="W400" i="10"/>
  <c r="W468" i="10"/>
  <c r="X468" i="10" s="1"/>
  <c r="Z246" i="10"/>
  <c r="AA246" i="10" s="1"/>
  <c r="T162" i="10"/>
  <c r="U162" i="10" s="1"/>
  <c r="Z171" i="10"/>
  <c r="AA171" i="10" s="1"/>
  <c r="AC216" i="10"/>
  <c r="AD216" i="10" s="1"/>
  <c r="T218" i="10"/>
  <c r="U218" i="10" s="1"/>
  <c r="AC378" i="10"/>
  <c r="AD378" i="10" s="1"/>
  <c r="AC98" i="10"/>
  <c r="AD98" i="10" s="1"/>
  <c r="T57" i="10"/>
  <c r="U57" i="10" s="1"/>
  <c r="Z461" i="10"/>
  <c r="AA461" i="10" s="1"/>
  <c r="T97" i="10"/>
  <c r="U97" i="10" s="1"/>
  <c r="Z90" i="10"/>
  <c r="AA90" i="10" s="1"/>
  <c r="T64" i="10"/>
  <c r="U64" i="10" s="1"/>
  <c r="AF329" i="10"/>
  <c r="AC510" i="10"/>
  <c r="AD510" i="10" s="1"/>
  <c r="AC333" i="10"/>
  <c r="AD333" i="10" s="1"/>
  <c r="AF372" i="10"/>
  <c r="AF288" i="10"/>
  <c r="AG288" i="10" s="1"/>
  <c r="AC291" i="10"/>
  <c r="AD291" i="10" s="1"/>
  <c r="AC500" i="10"/>
  <c r="AD500" i="10" s="1"/>
  <c r="AC173" i="10"/>
  <c r="AD173" i="10" s="1"/>
  <c r="AF99" i="10"/>
  <c r="W58" i="10"/>
  <c r="AC138" i="10"/>
  <c r="AD138" i="10" s="1"/>
  <c r="W319" i="10"/>
  <c r="AC60" i="10"/>
  <c r="AD60" i="10" s="1"/>
  <c r="AC57" i="10"/>
  <c r="AD57" i="10" s="1"/>
  <c r="W8" i="10"/>
  <c r="X8" i="10" s="1"/>
  <c r="AC149" i="10"/>
  <c r="AD149" i="10" s="1"/>
  <c r="AC447" i="10"/>
  <c r="AD447" i="10" s="1"/>
  <c r="W194" i="10"/>
  <c r="AF427" i="10"/>
  <c r="W296" i="10"/>
  <c r="AF402" i="10"/>
  <c r="W445" i="10"/>
  <c r="X445" i="10" s="1"/>
  <c r="W112" i="10"/>
  <c r="X112" i="10" s="1"/>
  <c r="AC114" i="10"/>
  <c r="AD114" i="10" s="1"/>
  <c r="W373" i="10"/>
  <c r="W106" i="10"/>
  <c r="W230" i="10"/>
  <c r="X230" i="10" s="1"/>
  <c r="AF69" i="10"/>
  <c r="AG69" i="10" s="1"/>
  <c r="AF445" i="10"/>
  <c r="AF10" i="10"/>
  <c r="AF339" i="10"/>
  <c r="AF258" i="10"/>
  <c r="AG258" i="10" s="1"/>
  <c r="AF145" i="10"/>
  <c r="AF532" i="10"/>
  <c r="AG532" i="10" s="1"/>
  <c r="AF541" i="10"/>
  <c r="AG541" i="10" s="1"/>
  <c r="AF41" i="10"/>
  <c r="AF350" i="10"/>
  <c r="AG350" i="10" s="1"/>
  <c r="AF235" i="10"/>
  <c r="AF544" i="10"/>
  <c r="AF125" i="10"/>
  <c r="AF131" i="10"/>
  <c r="AG131" i="10" s="1"/>
  <c r="T537" i="10"/>
  <c r="U537" i="10" s="1"/>
  <c r="AF537" i="10"/>
  <c r="T386" i="10"/>
  <c r="U386" i="10" s="1"/>
  <c r="W507" i="10"/>
  <c r="T112" i="10"/>
  <c r="U112" i="10" s="1"/>
  <c r="Z415" i="10"/>
  <c r="AA415" i="10" s="1"/>
  <c r="T255" i="10"/>
  <c r="U255" i="10" s="1"/>
  <c r="AC139" i="10"/>
  <c r="AD139" i="10" s="1"/>
  <c r="T377" i="10"/>
  <c r="U377" i="10" s="1"/>
  <c r="T493" i="10"/>
  <c r="U493" i="10" s="1"/>
  <c r="AF386" i="10"/>
  <c r="AF513" i="10"/>
  <c r="AG513" i="10" s="1"/>
  <c r="Z282" i="10"/>
  <c r="AA282" i="10" s="1"/>
  <c r="AC96" i="10"/>
  <c r="AD96" i="10" s="1"/>
  <c r="AC16" i="10"/>
  <c r="AD16" i="10" s="1"/>
  <c r="AC15" i="10"/>
  <c r="AD15" i="10" s="1"/>
  <c r="AC339" i="10"/>
  <c r="AD339" i="10" s="1"/>
  <c r="AC442" i="10"/>
  <c r="AD442" i="10" s="1"/>
  <c r="AC186" i="10"/>
  <c r="AD186" i="10" s="1"/>
  <c r="AC530" i="10"/>
  <c r="AD530" i="10" s="1"/>
  <c r="AC269" i="10"/>
  <c r="AD269" i="10" s="1"/>
  <c r="AC276" i="10"/>
  <c r="AD276" i="10" s="1"/>
  <c r="AC437" i="10"/>
  <c r="AD437" i="10" s="1"/>
  <c r="AC27" i="10"/>
  <c r="AD27" i="10" s="1"/>
  <c r="T500" i="10"/>
  <c r="U500" i="10" s="1"/>
  <c r="AF301" i="10"/>
  <c r="Z78" i="10"/>
  <c r="AA78" i="10" s="1"/>
  <c r="T466" i="10"/>
  <c r="U466" i="10" s="1"/>
  <c r="W409" i="10"/>
  <c r="AF153" i="10"/>
  <c r="AG153" i="10" s="1"/>
  <c r="W279" i="10"/>
  <c r="AC159" i="10"/>
  <c r="AD159" i="10" s="1"/>
  <c r="AC409" i="10"/>
  <c r="AD409" i="10" s="1"/>
  <c r="Z487" i="10"/>
  <c r="AA487" i="10" s="1"/>
  <c r="Z391" i="10"/>
  <c r="AA391" i="10" s="1"/>
  <c r="W213" i="10"/>
  <c r="AC403" i="10"/>
  <c r="AD403" i="10" s="1"/>
  <c r="W160" i="10"/>
  <c r="T441" i="10"/>
  <c r="U441" i="10" s="1"/>
  <c r="W207" i="10"/>
  <c r="T482" i="10"/>
  <c r="U482" i="10" s="1"/>
  <c r="W267" i="10"/>
  <c r="AC415" i="10"/>
  <c r="AD415" i="10" s="1"/>
  <c r="T193" i="10"/>
  <c r="U193" i="10" s="1"/>
  <c r="AF362" i="10"/>
  <c r="AG362" i="10" s="1"/>
  <c r="W415" i="10"/>
  <c r="Z256" i="10"/>
  <c r="AA256" i="10" s="1"/>
  <c r="AF470" i="10"/>
  <c r="W542" i="10"/>
  <c r="Z180" i="10"/>
  <c r="AA180" i="10" s="1"/>
  <c r="W366" i="10"/>
  <c r="W403" i="10"/>
  <c r="Z543" i="10"/>
  <c r="AA543" i="10" s="1"/>
  <c r="AF17" i="10"/>
  <c r="T95" i="10"/>
  <c r="U95" i="10" s="1"/>
  <c r="AF119" i="10"/>
  <c r="AG119" i="10" s="1"/>
  <c r="T485" i="10"/>
  <c r="U485" i="10" s="1"/>
  <c r="AF466" i="10"/>
  <c r="Z495" i="10"/>
  <c r="AA495" i="10" s="1"/>
  <c r="T349" i="10"/>
  <c r="U349" i="10" s="1"/>
  <c r="AC91" i="10"/>
  <c r="AD91" i="10" s="1"/>
  <c r="Z433" i="10"/>
  <c r="AA433" i="10" s="1"/>
  <c r="AF96" i="10"/>
  <c r="AF147" i="10"/>
  <c r="AG147" i="10" s="1"/>
  <c r="W150" i="10"/>
  <c r="T527" i="10"/>
  <c r="U527" i="10" s="1"/>
  <c r="AC349" i="10"/>
  <c r="AD349" i="10" s="1"/>
  <c r="Z191" i="10"/>
  <c r="AA191" i="10" s="1"/>
  <c r="Z144" i="10"/>
  <c r="AA144" i="10" s="1"/>
  <c r="T136" i="10"/>
  <c r="U136" i="10" s="1"/>
  <c r="Z5" i="10"/>
  <c r="AA5" i="10" s="1"/>
  <c r="W298" i="10"/>
  <c r="W21" i="10"/>
  <c r="X21" i="10" s="1"/>
  <c r="T183" i="10"/>
  <c r="U183" i="10" s="1"/>
  <c r="T541" i="10"/>
  <c r="U541" i="10" s="1"/>
  <c r="T400" i="10"/>
  <c r="U400" i="10" s="1"/>
  <c r="T434" i="10"/>
  <c r="U434" i="10" s="1"/>
  <c r="T44" i="10"/>
  <c r="U44" i="10" s="1"/>
  <c r="T532" i="10"/>
  <c r="U532" i="10" s="1"/>
  <c r="T382" i="10"/>
  <c r="U382" i="10" s="1"/>
  <c r="T327" i="10"/>
  <c r="U327" i="10" s="1"/>
  <c r="T479" i="10"/>
  <c r="U479" i="10" s="1"/>
  <c r="AF535" i="10"/>
  <c r="Z395" i="10"/>
  <c r="AA395" i="10" s="1"/>
  <c r="AF316" i="10"/>
  <c r="AG316" i="10" s="1"/>
  <c r="Z507" i="10"/>
  <c r="AA507" i="10" s="1"/>
  <c r="AF85" i="10"/>
  <c r="AG85" i="10" s="1"/>
  <c r="AC209" i="10"/>
  <c r="AD209" i="10" s="1"/>
  <c r="AF373" i="10"/>
  <c r="Z349" i="10"/>
  <c r="AA349" i="10" s="1"/>
  <c r="T244" i="10"/>
  <c r="U244" i="10" s="1"/>
  <c r="T15" i="10"/>
  <c r="U15" i="10" s="1"/>
  <c r="Z283" i="10"/>
  <c r="AA283" i="10" s="1"/>
  <c r="Z448" i="10"/>
  <c r="AA448" i="10" s="1"/>
  <c r="T30" i="10"/>
  <c r="U30" i="10" s="1"/>
  <c r="W385" i="10"/>
  <c r="W269" i="10"/>
  <c r="W238" i="10"/>
  <c r="W204" i="10"/>
  <c r="W101" i="10"/>
  <c r="W35" i="10"/>
  <c r="X35" i="10" s="1"/>
  <c r="W326" i="10"/>
  <c r="W75" i="10"/>
  <c r="W237" i="10"/>
  <c r="Z534" i="10"/>
  <c r="AA534" i="10" s="1"/>
  <c r="W538" i="10"/>
  <c r="X538" i="10" s="1"/>
  <c r="W467" i="10"/>
  <c r="X467" i="10" s="1"/>
  <c r="AC170" i="10"/>
  <c r="AD170" i="10" s="1"/>
  <c r="T459" i="10"/>
  <c r="U459" i="10" s="1"/>
  <c r="AC518" i="10"/>
  <c r="AD518" i="10" s="1"/>
  <c r="AC438" i="10"/>
  <c r="AD438" i="10" s="1"/>
  <c r="T452" i="10"/>
  <c r="U452" i="10" s="1"/>
  <c r="T407" i="10"/>
  <c r="U407" i="10" s="1"/>
  <c r="AF195" i="10"/>
  <c r="AG195" i="10" s="1"/>
  <c r="Z351" i="10"/>
  <c r="AA351" i="10" s="1"/>
  <c r="T451" i="10"/>
  <c r="U451" i="10" s="1"/>
  <c r="AF126" i="10"/>
  <c r="AG126" i="10" s="1"/>
  <c r="AC371" i="10"/>
  <c r="AD371" i="10" s="1"/>
  <c r="W198" i="10"/>
  <c r="AC233" i="10"/>
  <c r="AD233" i="10" s="1"/>
  <c r="AC61" i="10"/>
  <c r="AD61" i="10" s="1"/>
  <c r="AC65" i="10"/>
  <c r="AD65" i="10" s="1"/>
  <c r="AF285" i="10"/>
  <c r="W484" i="10"/>
  <c r="AC543" i="10"/>
  <c r="AD543" i="10" s="1"/>
  <c r="AC174" i="10"/>
  <c r="AD174" i="10" s="1"/>
  <c r="AF280" i="10"/>
  <c r="AF476" i="10"/>
  <c r="W272" i="10"/>
  <c r="X272" i="10" s="1"/>
  <c r="AF516" i="10"/>
  <c r="AC473" i="10"/>
  <c r="AD473" i="10" s="1"/>
  <c r="AC185" i="10"/>
  <c r="AD185" i="10" s="1"/>
  <c r="AC76" i="10"/>
  <c r="AD76" i="10" s="1"/>
  <c r="AF481" i="10"/>
  <c r="W348" i="10"/>
  <c r="X348" i="10" s="1"/>
  <c r="W283" i="10"/>
  <c r="AC64" i="10"/>
  <c r="AD64" i="10" s="1"/>
  <c r="AF491" i="10"/>
  <c r="AG491" i="10" s="1"/>
  <c r="W274" i="10"/>
  <c r="AC418" i="10"/>
  <c r="AD418" i="10" s="1"/>
  <c r="AC478" i="10"/>
  <c r="AD478" i="10" s="1"/>
  <c r="AF324" i="10"/>
  <c r="AC504" i="10"/>
  <c r="AD504" i="10" s="1"/>
  <c r="AF71" i="10"/>
  <c r="AG71" i="10" s="1"/>
  <c r="AF337" i="10"/>
  <c r="AG337" i="10" s="1"/>
  <c r="AC290" i="10"/>
  <c r="AD290" i="10" s="1"/>
  <c r="W67" i="10"/>
  <c r="W13" i="10"/>
  <c r="X13" i="10" s="1"/>
  <c r="AC241" i="10"/>
  <c r="AD241" i="10" s="1"/>
  <c r="AC281" i="10"/>
  <c r="AD281" i="10" s="1"/>
  <c r="AC143" i="10"/>
  <c r="AD143" i="10" s="1"/>
  <c r="AF430" i="10"/>
  <c r="AG430" i="10" s="1"/>
  <c r="AC401" i="10"/>
  <c r="AD401" i="10" s="1"/>
  <c r="W146" i="10"/>
  <c r="X146" i="10" s="1"/>
  <c r="W212" i="10"/>
  <c r="AC32" i="10"/>
  <c r="AD32" i="10" s="1"/>
  <c r="W11" i="10"/>
  <c r="X11" i="10" s="1"/>
  <c r="AC516" i="10"/>
  <c r="AD516" i="10" s="1"/>
  <c r="AC205" i="10"/>
  <c r="AD205" i="10" s="1"/>
  <c r="AF240" i="10"/>
  <c r="AF460" i="10"/>
  <c r="AG460" i="10" s="1"/>
  <c r="AF101" i="10"/>
  <c r="AF273" i="10"/>
  <c r="AF436" i="10"/>
  <c r="AG436" i="10" s="1"/>
  <c r="AF5" i="10"/>
  <c r="AG5" i="10" s="1"/>
  <c r="AF450" i="10"/>
  <c r="AF252" i="10"/>
  <c r="AF405" i="10"/>
  <c r="AG405" i="10" s="1"/>
  <c r="AF376" i="10"/>
  <c r="AF464" i="10"/>
  <c r="AF27" i="10"/>
  <c r="AC344" i="10"/>
  <c r="AD344" i="10" s="1"/>
  <c r="AF447" i="10"/>
  <c r="W138" i="10"/>
  <c r="X138" i="10" s="1"/>
  <c r="AF457" i="10"/>
  <c r="Z447" i="10"/>
  <c r="AA447" i="10" s="1"/>
  <c r="T292" i="10"/>
  <c r="U292" i="10" s="1"/>
  <c r="Z420" i="10"/>
  <c r="AA420" i="10" s="1"/>
  <c r="W33" i="10"/>
  <c r="X33" i="10" s="1"/>
  <c r="AC195" i="10"/>
  <c r="AD195" i="10" s="1"/>
  <c r="AC141" i="10"/>
  <c r="AD141" i="10" s="1"/>
  <c r="Z63" i="10"/>
  <c r="AA63" i="10" s="1"/>
  <c r="W282" i="10"/>
  <c r="T473" i="10"/>
  <c r="U473" i="10" s="1"/>
  <c r="Z205" i="10"/>
  <c r="AA205" i="10" s="1"/>
  <c r="Z266" i="10"/>
  <c r="AA266" i="10" s="1"/>
  <c r="AC328" i="10"/>
  <c r="AD328" i="10" s="1"/>
  <c r="AC4" i="10"/>
  <c r="AD4" i="10" s="1"/>
  <c r="AC140" i="10"/>
  <c r="AD140" i="10" s="1"/>
  <c r="AC460" i="10"/>
  <c r="AD460" i="10" s="1"/>
  <c r="AC307" i="10"/>
  <c r="AD307" i="10" s="1"/>
  <c r="AC436" i="10"/>
  <c r="AD436" i="10" s="1"/>
  <c r="AC472" i="10"/>
  <c r="AD472" i="10" s="1"/>
  <c r="AC35" i="10"/>
  <c r="AD35" i="10" s="1"/>
  <c r="AC440" i="10"/>
  <c r="AD440" i="10" s="1"/>
  <c r="T380" i="10"/>
  <c r="U380" i="10" s="1"/>
  <c r="Z405" i="10"/>
  <c r="AA405" i="10" s="1"/>
  <c r="AF185" i="10"/>
  <c r="AG185" i="10" s="1"/>
  <c r="T369" i="10"/>
  <c r="U369" i="10" s="1"/>
  <c r="Z233" i="10"/>
  <c r="AA233" i="10" s="1"/>
  <c r="Z384" i="10"/>
  <c r="AA384" i="10" s="1"/>
  <c r="T374" i="10"/>
  <c r="U374" i="10" s="1"/>
  <c r="T506" i="10"/>
  <c r="U506" i="10" s="1"/>
  <c r="T84" i="10"/>
  <c r="U84" i="10" s="1"/>
  <c r="AF7" i="10"/>
  <c r="Z32" i="10"/>
  <c r="AA32" i="10" s="1"/>
  <c r="AC208" i="10"/>
  <c r="AD208" i="10" s="1"/>
  <c r="W248" i="10"/>
  <c r="W294" i="10"/>
  <c r="Z274" i="10"/>
  <c r="AA274" i="10" s="1"/>
  <c r="Z96" i="10"/>
  <c r="AA96" i="10" s="1"/>
  <c r="T547" i="10"/>
  <c r="U547" i="10" s="1"/>
  <c r="T145" i="10"/>
  <c r="U145" i="10" s="1"/>
  <c r="Z400" i="10"/>
  <c r="AA400" i="10" s="1"/>
  <c r="Z91" i="10"/>
  <c r="AA91" i="10" s="1"/>
  <c r="AC390" i="10"/>
  <c r="AD390" i="10" s="1"/>
  <c r="T59" i="10"/>
  <c r="U59" i="10" s="1"/>
  <c r="AC523" i="10"/>
  <c r="AD523" i="10" s="1"/>
  <c r="T288" i="10"/>
  <c r="U288" i="10" s="1"/>
  <c r="T146" i="10"/>
  <c r="U146" i="10" s="1"/>
  <c r="AF469" i="10"/>
  <c r="AG469" i="10" s="1"/>
  <c r="T161" i="10"/>
  <c r="U161" i="10" s="1"/>
  <c r="AF121" i="10"/>
  <c r="AF361" i="10"/>
  <c r="AF296" i="10"/>
  <c r="AF120" i="10"/>
  <c r="AC430" i="10"/>
  <c r="AD430" i="10" s="1"/>
  <c r="T440" i="10"/>
  <c r="U440" i="10" s="1"/>
  <c r="W535" i="10"/>
  <c r="T395" i="10"/>
  <c r="U395" i="10" s="1"/>
  <c r="Z373" i="10"/>
  <c r="AA373" i="10" s="1"/>
  <c r="T450" i="10"/>
  <c r="U450" i="10" s="1"/>
  <c r="W469" i="10"/>
  <c r="T257" i="10"/>
  <c r="U257" i="10" s="1"/>
  <c r="T391" i="10"/>
  <c r="U391" i="10" s="1"/>
  <c r="AF342" i="10"/>
  <c r="Z8" i="10"/>
  <c r="AA8" i="10" s="1"/>
  <c r="T313" i="10"/>
  <c r="U313" i="10" s="1"/>
  <c r="T107" i="10"/>
  <c r="U107" i="10" s="1"/>
  <c r="AC56" i="10"/>
  <c r="AD56" i="10" s="1"/>
  <c r="AF77" i="10"/>
  <c r="AG77" i="10" s="1"/>
  <c r="AC382" i="10"/>
  <c r="AD382" i="10" s="1"/>
  <c r="Z340" i="10"/>
  <c r="AA340" i="10" s="1"/>
  <c r="T507" i="10"/>
  <c r="U507" i="10" s="1"/>
  <c r="T181" i="10"/>
  <c r="U181" i="10" s="1"/>
  <c r="T412" i="10"/>
  <c r="U412" i="10" s="1"/>
  <c r="T357" i="10"/>
  <c r="U357" i="10" s="1"/>
  <c r="T110" i="10"/>
  <c r="U110" i="10" s="1"/>
  <c r="T116" i="10"/>
  <c r="U116" i="10" s="1"/>
  <c r="T12" i="10"/>
  <c r="U12" i="10" s="1"/>
  <c r="T436" i="10"/>
  <c r="U436" i="10" s="1"/>
  <c r="T165" i="10"/>
  <c r="U165" i="10" s="1"/>
  <c r="T164" i="10"/>
  <c r="U164" i="10" s="1"/>
  <c r="AC471" i="10"/>
  <c r="AD471" i="10" s="1"/>
  <c r="W426" i="10"/>
  <c r="AC310" i="10"/>
  <c r="AD310" i="10" s="1"/>
  <c r="AC467" i="10"/>
  <c r="AD467" i="10" s="1"/>
  <c r="W354" i="10"/>
  <c r="Z45" i="10"/>
  <c r="AA45" i="10" s="1"/>
  <c r="Z413" i="10"/>
  <c r="AA413" i="10" s="1"/>
  <c r="Z202" i="10"/>
  <c r="AA202" i="10" s="1"/>
  <c r="T224" i="10"/>
  <c r="U224" i="10" s="1"/>
  <c r="AC542" i="10"/>
  <c r="AD542" i="10" s="1"/>
  <c r="AC133" i="10"/>
  <c r="AD133" i="10" s="1"/>
  <c r="Z79" i="10"/>
  <c r="AA79" i="10" s="1"/>
  <c r="W74" i="10"/>
  <c r="W462" i="10"/>
  <c r="W116" i="10"/>
  <c r="W369" i="10"/>
  <c r="W235" i="10"/>
  <c r="W41" i="10"/>
  <c r="X41" i="10" s="1"/>
  <c r="W44" i="10"/>
  <c r="W518" i="10"/>
  <c r="W228" i="10"/>
  <c r="W364" i="10"/>
  <c r="AC218" i="10"/>
  <c r="AD218" i="10" s="1"/>
  <c r="AC536" i="10"/>
  <c r="AD536" i="10" s="1"/>
  <c r="W247" i="10"/>
  <c r="AF441" i="10"/>
  <c r="AG441" i="10" s="1"/>
  <c r="Z119" i="10"/>
  <c r="AA119" i="10" s="1"/>
  <c r="T19" i="10"/>
  <c r="U19" i="10" s="1"/>
  <c r="W386" i="10"/>
  <c r="AF159" i="10"/>
  <c r="AF363" i="10"/>
  <c r="T393" i="10"/>
  <c r="U393" i="10" s="1"/>
  <c r="W59" i="10"/>
  <c r="T81" i="10"/>
  <c r="U81" i="10" s="1"/>
  <c r="AC43" i="10"/>
  <c r="AD43" i="10" s="1"/>
  <c r="AF418" i="10"/>
  <c r="AG418" i="10" s="1"/>
  <c r="AC162" i="10"/>
  <c r="AD162" i="10" s="1"/>
  <c r="W102" i="10"/>
  <c r="W203" i="10"/>
  <c r="AC38" i="10"/>
  <c r="AD38" i="10" s="1"/>
  <c r="AF206" i="10"/>
  <c r="W428" i="10"/>
  <c r="AC505" i="10"/>
  <c r="AD505" i="10" s="1"/>
  <c r="W491" i="10"/>
  <c r="AF87" i="10"/>
  <c r="AC424" i="10"/>
  <c r="AD424" i="10" s="1"/>
  <c r="W513" i="10"/>
  <c r="AF113" i="10"/>
  <c r="AF151" i="10"/>
  <c r="AG151" i="10" s="1"/>
  <c r="AF370" i="10"/>
  <c r="AG370" i="10" s="1"/>
  <c r="AF174" i="10"/>
  <c r="AG174" i="10" s="1"/>
  <c r="AC384" i="10"/>
  <c r="AD384" i="10" s="1"/>
  <c r="AC463" i="10"/>
  <c r="AD463" i="10" s="1"/>
  <c r="W154" i="10"/>
  <c r="W315" i="10"/>
  <c r="X315" i="10" s="1"/>
  <c r="W185" i="10"/>
  <c r="AF389" i="10"/>
  <c r="AF212" i="10"/>
  <c r="AG212" i="10" s="1"/>
  <c r="AC254" i="10"/>
  <c r="AD254" i="10" s="1"/>
  <c r="AF48" i="10"/>
  <c r="AG48" i="10" s="1"/>
  <c r="W417" i="10"/>
  <c r="AC529" i="10"/>
  <c r="AD529" i="10" s="1"/>
  <c r="AF47" i="10"/>
  <c r="W79" i="10"/>
  <c r="AC50" i="10"/>
  <c r="AD50" i="10" s="1"/>
  <c r="AF499" i="10"/>
  <c r="AG499" i="10" s="1"/>
  <c r="AF299" i="10"/>
  <c r="AF155" i="10"/>
  <c r="AG155" i="10" s="1"/>
  <c r="AF357" i="10"/>
  <c r="AF73" i="10"/>
  <c r="AF178" i="10"/>
  <c r="AF286" i="10"/>
  <c r="AF276" i="10"/>
  <c r="AG276" i="10" s="1"/>
  <c r="AF54" i="10"/>
  <c r="AG54" i="10" s="1"/>
  <c r="AF259" i="10"/>
  <c r="AG259" i="10" s="1"/>
  <c r="AF292" i="10"/>
  <c r="AG292" i="10" s="1"/>
  <c r="AF454" i="10"/>
  <c r="AF167" i="10"/>
  <c r="AG167" i="10" s="1"/>
  <c r="Z500" i="10"/>
  <c r="AA500" i="10" s="1"/>
  <c r="T214" i="10"/>
  <c r="U214" i="10" s="1"/>
  <c r="AC439" i="10"/>
  <c r="AD439" i="10" s="1"/>
  <c r="AF83" i="10"/>
  <c r="Z478" i="10"/>
  <c r="AA478" i="10" s="1"/>
  <c r="AC398" i="10"/>
  <c r="AD398" i="10" s="1"/>
  <c r="W349" i="10"/>
  <c r="W494" i="10"/>
  <c r="W544" i="10"/>
  <c r="X544" i="10" s="1"/>
  <c r="W189" i="10"/>
  <c r="T248" i="10"/>
  <c r="U248" i="10" s="1"/>
  <c r="T387" i="10"/>
  <c r="U387" i="10" s="1"/>
  <c r="T528" i="10"/>
  <c r="U528" i="10" s="1"/>
  <c r="AC21" i="10"/>
  <c r="AD21" i="10" s="1"/>
  <c r="AC26" i="10"/>
  <c r="AD26" i="10" s="1"/>
  <c r="AC201" i="10"/>
  <c r="AD201" i="10" s="1"/>
  <c r="AC323" i="10"/>
  <c r="AD323" i="10" s="1"/>
  <c r="AC468" i="10"/>
  <c r="AD468" i="10" s="1"/>
  <c r="AC67" i="10"/>
  <c r="AD67" i="10" s="1"/>
  <c r="AC532" i="10"/>
  <c r="AD532" i="10" s="1"/>
  <c r="AC188" i="10"/>
  <c r="AD188" i="10" s="1"/>
  <c r="AC41" i="10"/>
  <c r="AD41" i="10" s="1"/>
  <c r="AC5" i="10"/>
  <c r="AD5" i="10" s="1"/>
  <c r="AC464" i="10"/>
  <c r="AD464" i="10" s="1"/>
  <c r="T290" i="10"/>
  <c r="U290" i="10" s="1"/>
  <c r="T285" i="10"/>
  <c r="U285" i="10" s="1"/>
  <c r="Z21" i="10"/>
  <c r="AA21" i="10" s="1"/>
  <c r="Z97" i="10"/>
  <c r="AA97" i="10" s="1"/>
  <c r="Z22" i="10"/>
  <c r="AA22" i="10" s="1"/>
  <c r="AF423" i="10"/>
  <c r="AG423" i="10" s="1"/>
  <c r="AC354" i="10"/>
  <c r="AD354" i="10" s="1"/>
  <c r="AF158" i="10"/>
  <c r="AG158" i="10" s="1"/>
  <c r="Z522" i="10"/>
  <c r="AA522" i="10" s="1"/>
  <c r="T283" i="10"/>
  <c r="U283" i="10" s="1"/>
  <c r="W36" i="10"/>
  <c r="X36" i="10" s="1"/>
  <c r="W497" i="10"/>
  <c r="AF396" i="10"/>
  <c r="AG396" i="10" s="1"/>
  <c r="W489" i="10"/>
  <c r="AC275" i="10"/>
  <c r="AD275" i="10" s="1"/>
  <c r="AC95" i="10"/>
  <c r="AD95" i="10" s="1"/>
  <c r="T6" i="10"/>
  <c r="U6" i="10" s="1"/>
  <c r="T139" i="10"/>
  <c r="U139" i="10" s="1"/>
  <c r="Z143" i="10"/>
  <c r="AA143" i="10" s="1"/>
  <c r="Z508" i="10"/>
  <c r="AA508" i="10" s="1"/>
  <c r="Z470" i="10"/>
  <c r="AA470" i="10" s="1"/>
  <c r="AF29" i="10"/>
  <c r="AG29" i="10" s="1"/>
  <c r="W135" i="10"/>
  <c r="X135" i="10" s="1"/>
  <c r="Z13" i="10"/>
  <c r="AA13" i="10" s="1"/>
  <c r="Z529" i="10"/>
  <c r="AA529" i="10" s="1"/>
  <c r="W156" i="10"/>
  <c r="AC362" i="10"/>
  <c r="AD362" i="10" s="1"/>
  <c r="Z516" i="10"/>
  <c r="AA516" i="10" s="1"/>
  <c r="AC213" i="10"/>
  <c r="AD213" i="10" s="1"/>
  <c r="AC292" i="10"/>
  <c r="AD292" i="10" s="1"/>
  <c r="T276" i="10"/>
  <c r="U276" i="10" s="1"/>
  <c r="AC24" i="10"/>
  <c r="AD24" i="10" s="1"/>
  <c r="T443" i="10"/>
  <c r="U443" i="10" s="1"/>
  <c r="W394" i="10"/>
  <c r="T47" i="10"/>
  <c r="U47" i="10" s="1"/>
  <c r="W352" i="10"/>
  <c r="AC97" i="10"/>
  <c r="AD97" i="10" s="1"/>
  <c r="Z76" i="10"/>
  <c r="AA76" i="10" s="1"/>
  <c r="T177" i="10"/>
  <c r="U177" i="10" s="1"/>
  <c r="AF277" i="10"/>
  <c r="T505" i="10"/>
  <c r="U505" i="10" s="1"/>
  <c r="AC413" i="10"/>
  <c r="AD413" i="10" s="1"/>
  <c r="AC217" i="10"/>
  <c r="AD217" i="10" s="1"/>
  <c r="W224" i="10"/>
  <c r="AC84" i="10"/>
  <c r="AD84" i="10" s="1"/>
  <c r="AC305" i="10"/>
  <c r="AD305" i="10" s="1"/>
  <c r="Z492" i="10"/>
  <c r="AA492" i="10" s="1"/>
  <c r="T172" i="10"/>
  <c r="U172" i="10" s="1"/>
  <c r="W486" i="10"/>
  <c r="T46" i="10"/>
  <c r="U46" i="10" s="1"/>
  <c r="T410" i="10"/>
  <c r="U410" i="10" s="1"/>
  <c r="T286" i="10"/>
  <c r="U286" i="10" s="1"/>
  <c r="T460" i="10"/>
  <c r="U460" i="10" s="1"/>
  <c r="T468" i="10"/>
  <c r="U468" i="10" s="1"/>
  <c r="T428" i="10"/>
  <c r="U428" i="10" s="1"/>
  <c r="T178" i="10"/>
  <c r="U178" i="10" s="1"/>
  <c r="T237" i="10"/>
  <c r="U237" i="10" s="1"/>
  <c r="T526" i="10"/>
  <c r="U526" i="10" s="1"/>
  <c r="Z525" i="10"/>
  <c r="AA525" i="10" s="1"/>
  <c r="Z44" i="10"/>
  <c r="AA44" i="10" s="1"/>
  <c r="T215" i="10"/>
  <c r="U215" i="10" s="1"/>
  <c r="W474" i="10"/>
  <c r="T365" i="10"/>
  <c r="U365" i="10" s="1"/>
  <c r="T129" i="10"/>
  <c r="U129" i="10" s="1"/>
  <c r="T38" i="10"/>
  <c r="U38" i="10" s="1"/>
  <c r="AF138" i="10"/>
  <c r="W56" i="10"/>
  <c r="W265" i="10"/>
  <c r="T496" i="10"/>
  <c r="U496" i="10" s="1"/>
  <c r="W39" i="10"/>
  <c r="X39" i="10" s="1"/>
  <c r="W480" i="10"/>
  <c r="W336" i="10"/>
  <c r="W10" i="10"/>
  <c r="X10" i="10" s="1"/>
  <c r="W167" i="10"/>
  <c r="W533" i="10"/>
  <c r="W188" i="10"/>
  <c r="W475" i="10"/>
  <c r="W276" i="10"/>
  <c r="W129" i="10"/>
  <c r="AF64" i="10"/>
  <c r="AF451" i="10"/>
  <c r="AG451" i="10" s="1"/>
  <c r="T48" i="10"/>
  <c r="U48" i="10" s="1"/>
  <c r="T344" i="10"/>
  <c r="U344" i="10" s="1"/>
  <c r="AF387" i="10"/>
  <c r="AF528" i="10"/>
  <c r="AG528" i="10" s="1"/>
  <c r="AF380" i="10"/>
  <c r="T200" i="10"/>
  <c r="U200" i="10" s="1"/>
  <c r="Z142" i="10"/>
  <c r="AA142" i="10" s="1"/>
  <c r="T156" i="10"/>
  <c r="U156" i="10" s="1"/>
  <c r="T419" i="10"/>
  <c r="U419" i="10" s="1"/>
  <c r="T123" i="10"/>
  <c r="U123" i="10" s="1"/>
  <c r="AC220" i="10"/>
  <c r="AD220" i="10" s="1"/>
  <c r="AC303" i="10"/>
  <c r="AD303" i="10" s="1"/>
  <c r="AC203" i="10"/>
  <c r="AD203" i="10" s="1"/>
  <c r="AC243" i="10"/>
  <c r="AD243" i="10" s="1"/>
  <c r="AC256" i="10"/>
  <c r="AD256" i="10" s="1"/>
  <c r="AC268" i="10"/>
  <c r="AD268" i="10" s="1"/>
  <c r="AC8" i="10"/>
  <c r="AD8" i="10" s="1"/>
  <c r="AC302" i="10"/>
  <c r="AD302" i="10" s="1"/>
  <c r="AC506" i="10"/>
  <c r="AD506" i="10" s="1"/>
  <c r="AC387" i="10"/>
  <c r="AD387" i="10" s="1"/>
  <c r="AC111" i="10"/>
  <c r="AD111" i="10" s="1"/>
  <c r="AC175" i="10"/>
  <c r="AD175" i="10" s="1"/>
  <c r="AC146" i="10"/>
  <c r="AD146" i="10" s="1"/>
  <c r="AC215" i="10"/>
  <c r="AD215" i="10" s="1"/>
  <c r="AC524" i="10"/>
  <c r="AD524" i="10" s="1"/>
  <c r="AC160" i="10"/>
  <c r="AD160" i="10" s="1"/>
  <c r="AC29" i="10"/>
  <c r="AD29" i="10" s="1"/>
  <c r="AC501" i="10"/>
  <c r="AD501" i="10" s="1"/>
  <c r="AC414" i="10"/>
  <c r="AD414" i="10" s="1"/>
  <c r="AC112" i="10"/>
  <c r="AD112" i="10" s="1"/>
  <c r="AC223" i="10"/>
  <c r="AD223" i="10" s="1"/>
  <c r="AC395" i="10"/>
  <c r="AD395" i="10" s="1"/>
  <c r="AC492" i="10"/>
  <c r="AD492" i="10" s="1"/>
  <c r="AC402" i="10"/>
  <c r="AD402" i="10" s="1"/>
  <c r="AC320" i="10"/>
  <c r="AD320" i="10" s="1"/>
  <c r="AC335" i="10"/>
  <c r="AD335" i="10" s="1"/>
  <c r="AC493" i="10"/>
  <c r="AD493" i="10" s="1"/>
  <c r="AC134" i="10"/>
  <c r="AD134" i="10" s="1"/>
  <c r="AC337" i="10"/>
  <c r="AD337" i="10" s="1"/>
  <c r="AC40" i="10"/>
  <c r="AD40" i="10" s="1"/>
  <c r="AC39" i="10"/>
  <c r="AD39" i="10" s="1"/>
  <c r="AC527" i="10"/>
  <c r="AD527" i="10" s="1"/>
  <c r="AC144" i="10"/>
  <c r="AD144" i="10" s="1"/>
  <c r="AC46" i="10"/>
  <c r="AD46" i="10" s="1"/>
  <c r="AC289" i="10"/>
  <c r="AD289" i="10" s="1"/>
  <c r="AC225" i="10"/>
  <c r="AD225" i="10" s="1"/>
  <c r="AC324" i="10"/>
  <c r="AD324" i="10" s="1"/>
  <c r="AC343" i="10"/>
  <c r="AD343" i="10" s="1"/>
  <c r="AC519" i="10"/>
  <c r="AD519" i="10" s="1"/>
  <c r="AC34" i="10"/>
  <c r="AD34" i="10" s="1"/>
  <c r="AC168" i="10"/>
  <c r="AD168" i="10" s="1"/>
  <c r="AC79" i="10"/>
  <c r="AD79" i="10" s="1"/>
  <c r="AC507" i="10"/>
  <c r="AD507" i="10" s="1"/>
  <c r="AC82" i="10"/>
  <c r="AD82" i="10" s="1"/>
  <c r="AC340" i="10"/>
  <c r="AD340" i="10" s="1"/>
  <c r="AC449" i="10"/>
  <c r="AD449" i="10" s="1"/>
  <c r="AC198" i="10"/>
  <c r="AD198" i="10" s="1"/>
  <c r="AC495" i="10"/>
  <c r="AD495" i="10" s="1"/>
  <c r="AC547" i="10"/>
  <c r="AD547" i="10" s="1"/>
  <c r="AC391" i="10"/>
  <c r="AD391" i="10" s="1"/>
  <c r="AC432" i="10"/>
  <c r="AD432" i="10" s="1"/>
  <c r="AC386" i="10"/>
  <c r="AD386" i="10" s="1"/>
  <c r="AC494" i="10"/>
  <c r="AD494" i="10" s="1"/>
  <c r="AC248" i="10"/>
  <c r="AD248" i="10" s="1"/>
  <c r="AC274" i="10"/>
  <c r="AD274" i="10" s="1"/>
  <c r="AC508" i="10"/>
  <c r="AD508" i="10" s="1"/>
  <c r="AC30" i="10"/>
  <c r="AD30" i="10" s="1"/>
  <c r="AC66" i="10"/>
  <c r="AD66" i="10" s="1"/>
  <c r="AC345" i="10"/>
  <c r="AD345" i="10" s="1"/>
  <c r="AC404" i="10"/>
  <c r="AD404" i="10" s="1"/>
  <c r="AC17" i="10"/>
  <c r="AD17" i="10" s="1"/>
  <c r="AC351" i="10"/>
  <c r="AD351" i="10" s="1"/>
  <c r="AC99" i="10"/>
  <c r="AD99" i="10" s="1"/>
  <c r="AC104" i="10"/>
  <c r="AD104" i="10" s="1"/>
  <c r="AC130" i="10"/>
  <c r="AD130" i="10" s="1"/>
  <c r="AC319" i="10"/>
  <c r="AD319" i="10" s="1"/>
  <c r="AC100" i="10"/>
  <c r="AD100" i="10" s="1"/>
  <c r="AC455" i="10"/>
  <c r="AD455" i="10" s="1"/>
  <c r="AC466" i="10"/>
  <c r="AD466" i="10" s="1"/>
  <c r="AC515" i="10"/>
  <c r="AD515" i="10" s="1"/>
  <c r="AC458" i="10"/>
  <c r="AD458" i="10" s="1"/>
  <c r="AC417" i="10"/>
  <c r="AD417" i="10" s="1"/>
  <c r="AC459" i="10"/>
  <c r="AD459" i="10" s="1"/>
  <c r="AC142" i="10"/>
  <c r="AD142" i="10" s="1"/>
  <c r="AC513" i="10"/>
  <c r="AD513" i="10" s="1"/>
  <c r="AC102" i="10"/>
  <c r="AD102" i="10" s="1"/>
  <c r="AC69" i="10"/>
  <c r="AD69" i="10" s="1"/>
  <c r="AC348" i="10"/>
  <c r="AD348" i="10" s="1"/>
  <c r="AC400" i="10"/>
  <c r="AD400" i="10" s="1"/>
  <c r="AC226" i="10"/>
  <c r="AD226" i="10" s="1"/>
  <c r="AC433" i="10"/>
  <c r="AD433" i="10" s="1"/>
  <c r="AC487" i="10"/>
  <c r="AD487" i="10" s="1"/>
  <c r="AC127" i="10"/>
  <c r="AD127" i="10" s="1"/>
  <c r="AC534" i="10"/>
  <c r="AD534" i="10" s="1"/>
  <c r="AC181" i="10"/>
  <c r="AD181" i="10" s="1"/>
  <c r="AC88" i="10"/>
  <c r="AD88" i="10" s="1"/>
  <c r="AC251" i="10"/>
  <c r="AD251" i="10" s="1"/>
  <c r="AC70" i="10"/>
  <c r="AD70" i="10" s="1"/>
  <c r="AC11" i="10"/>
  <c r="AD11" i="10" s="1"/>
  <c r="AC206" i="10"/>
  <c r="AD206" i="10" s="1"/>
  <c r="AC282" i="10"/>
  <c r="AD282" i="10" s="1"/>
  <c r="AC6" i="10"/>
  <c r="AD6" i="10" s="1"/>
  <c r="AC122" i="10"/>
  <c r="AD122" i="10" s="1"/>
  <c r="AC87" i="10"/>
  <c r="AD87" i="10" s="1"/>
  <c r="AC176" i="10"/>
  <c r="AD176" i="10" s="1"/>
  <c r="AC368" i="10"/>
  <c r="AD368" i="10" s="1"/>
  <c r="AC419" i="10"/>
  <c r="AD419" i="10" s="1"/>
  <c r="AC443" i="10"/>
  <c r="AD443" i="10" s="1"/>
  <c r="AC499" i="10"/>
  <c r="AD499" i="10" s="1"/>
  <c r="AC296" i="10"/>
  <c r="AD296" i="10" s="1"/>
  <c r="AC156" i="10"/>
  <c r="AD156" i="10" s="1"/>
  <c r="AC283" i="10"/>
  <c r="AD283" i="10" s="1"/>
  <c r="AC313" i="10"/>
  <c r="AD313" i="10" s="1"/>
  <c r="AC154" i="10"/>
  <c r="AD154" i="10" s="1"/>
  <c r="AC230" i="10"/>
  <c r="AD230" i="10" s="1"/>
  <c r="AC270" i="10"/>
  <c r="AD270" i="10" s="1"/>
  <c r="AC540" i="10"/>
  <c r="AD540" i="10" s="1"/>
  <c r="AC151" i="10"/>
  <c r="AD151" i="10" s="1"/>
  <c r="AC238" i="10"/>
  <c r="AD238" i="10" s="1"/>
  <c r="AC308" i="10"/>
  <c r="AD308" i="10" s="1"/>
  <c r="W325" i="10"/>
  <c r="AC445" i="10"/>
  <c r="AD445" i="10" s="1"/>
  <c r="AF112" i="10"/>
  <c r="AF177" i="10"/>
  <c r="AG177" i="10" s="1"/>
  <c r="AC520" i="10"/>
  <c r="AD520" i="10" s="1"/>
  <c r="AF322" i="10"/>
  <c r="AC423" i="10"/>
  <c r="AD423" i="10" s="1"/>
  <c r="AF467" i="10"/>
  <c r="AF477" i="10"/>
  <c r="AC242" i="10"/>
  <c r="AD242" i="10" s="1"/>
  <c r="AF545" i="10"/>
  <c r="AC20" i="10"/>
  <c r="AD20" i="10" s="1"/>
  <c r="AF40" i="10"/>
  <c r="AG40" i="10" s="1"/>
  <c r="AF152" i="10"/>
  <c r="AG152" i="10" s="1"/>
  <c r="AF218" i="10"/>
  <c r="AC363" i="10"/>
  <c r="AD363" i="10" s="1"/>
  <c r="AC33" i="10"/>
  <c r="AD33" i="10" s="1"/>
  <c r="W371" i="10"/>
  <c r="AC381" i="10"/>
  <c r="AD381" i="10" s="1"/>
  <c r="W521" i="10"/>
  <c r="AC232" i="10"/>
  <c r="AD232" i="10" s="1"/>
  <c r="W222" i="10"/>
  <c r="W22" i="10"/>
  <c r="X22" i="10" s="1"/>
  <c r="AC13" i="10"/>
  <c r="AD13" i="10" s="1"/>
  <c r="AF461" i="10"/>
  <c r="AG461" i="10" s="1"/>
  <c r="AF314" i="10"/>
  <c r="AG314" i="10" s="1"/>
  <c r="AC18" i="10"/>
  <c r="AD18" i="10" s="1"/>
  <c r="AC229" i="10"/>
  <c r="AD229" i="10" s="1"/>
  <c r="AF424" i="10"/>
  <c r="AF59" i="10"/>
  <c r="AF284" i="10"/>
  <c r="AF480" i="10"/>
  <c r="AF170" i="10"/>
  <c r="AG170" i="10" s="1"/>
  <c r="AF479" i="10"/>
  <c r="AF531" i="10"/>
  <c r="AF369" i="10"/>
  <c r="AF229" i="10"/>
  <c r="AF279" i="10"/>
  <c r="AF86" i="10"/>
  <c r="AG86" i="10" s="1"/>
  <c r="AF431" i="10"/>
  <c r="AG431" i="10" s="1"/>
  <c r="AF242" i="10"/>
  <c r="W427" i="10"/>
  <c r="AC45" i="10"/>
  <c r="AD45" i="10" s="1"/>
  <c r="AC184" i="10"/>
  <c r="AD184" i="10" s="1"/>
  <c r="AF309" i="10"/>
  <c r="W341" i="10"/>
  <c r="X341" i="10" s="1"/>
  <c r="AC266" i="10"/>
  <c r="AD266" i="10" s="1"/>
  <c r="AC481" i="10"/>
  <c r="AD481" i="10" s="1"/>
  <c r="T319" i="10"/>
  <c r="U319" i="10" s="1"/>
  <c r="Z542" i="10"/>
  <c r="AA542" i="10" s="1"/>
  <c r="Z113" i="10"/>
  <c r="AA113" i="10" s="1"/>
  <c r="AC396" i="10"/>
  <c r="AD396" i="10" s="1"/>
  <c r="W26" i="10"/>
  <c r="T545" i="10"/>
  <c r="U545" i="10" s="1"/>
  <c r="AC535" i="10"/>
  <c r="AD535" i="10" s="1"/>
  <c r="AC477" i="10"/>
  <c r="AD477" i="10" s="1"/>
  <c r="AC250" i="10"/>
  <c r="AD250" i="10" s="1"/>
  <c r="AC359" i="10"/>
  <c r="AD359" i="10" s="1"/>
  <c r="AC12" i="10"/>
  <c r="AD12" i="10" s="1"/>
  <c r="AC48" i="10"/>
  <c r="AD48" i="10" s="1"/>
  <c r="AC23" i="10"/>
  <c r="AD23" i="10" s="1"/>
  <c r="AC544" i="10"/>
  <c r="AD544" i="10" s="1"/>
  <c r="AC480" i="10"/>
  <c r="AD480" i="10" s="1"/>
  <c r="AC59" i="10"/>
  <c r="AD59" i="10" s="1"/>
  <c r="AC364" i="10"/>
  <c r="AD364" i="10" s="1"/>
  <c r="T543" i="10"/>
  <c r="U543" i="10" s="1"/>
  <c r="AF458" i="10"/>
  <c r="Z356" i="10"/>
  <c r="AA356" i="10" s="1"/>
  <c r="AC36" i="10"/>
  <c r="AD36" i="10" s="1"/>
  <c r="T297" i="10"/>
  <c r="U297" i="10" s="1"/>
  <c r="T188" i="10"/>
  <c r="U188" i="10" s="1"/>
  <c r="T375" i="10"/>
  <c r="U375" i="10" s="1"/>
  <c r="AC124" i="10"/>
  <c r="AD124" i="10" s="1"/>
  <c r="T51" i="10"/>
  <c r="U51" i="10" s="1"/>
  <c r="AF420" i="10"/>
  <c r="AC461" i="10"/>
  <c r="AD461" i="10" s="1"/>
  <c r="AF105" i="10"/>
  <c r="AG105" i="10" s="1"/>
  <c r="T122" i="10"/>
  <c r="U122" i="10" s="1"/>
  <c r="W268" i="10"/>
  <c r="T491" i="10"/>
  <c r="U491" i="10" s="1"/>
  <c r="W246" i="10"/>
  <c r="T270" i="10"/>
  <c r="U270" i="10" s="1"/>
  <c r="W223" i="10"/>
  <c r="AF546" i="10"/>
  <c r="AG546" i="10" s="1"/>
  <c r="AF377" i="10"/>
  <c r="AG377" i="10" s="1"/>
  <c r="AF43" i="10"/>
  <c r="AG43" i="10" s="1"/>
  <c r="W37" i="10"/>
  <c r="X37" i="10" s="1"/>
  <c r="T76" i="10"/>
  <c r="U76" i="10" s="1"/>
  <c r="W179" i="10"/>
  <c r="AF222" i="10"/>
  <c r="AG222" i="10" s="1"/>
  <c r="Z255" i="10"/>
  <c r="AA255" i="10" s="1"/>
  <c r="AC105" i="10"/>
  <c r="AD105" i="10" s="1"/>
  <c r="AC219" i="10"/>
  <c r="AD219" i="10" s="1"/>
  <c r="T435" i="10"/>
  <c r="U435" i="10" s="1"/>
  <c r="AF156" i="10"/>
  <c r="AG156" i="10" s="1"/>
  <c r="AF97" i="10"/>
  <c r="AG97" i="10" s="1"/>
  <c r="W536" i="10"/>
  <c r="T445" i="10"/>
  <c r="U445" i="10" s="1"/>
  <c r="W360" i="10"/>
  <c r="W287" i="10"/>
  <c r="T7" i="10"/>
  <c r="U7" i="10" s="1"/>
  <c r="AC249" i="10"/>
  <c r="AD249" i="10" s="1"/>
  <c r="W66" i="10"/>
  <c r="AF340" i="10"/>
  <c r="AC427" i="10"/>
  <c r="AD427" i="10" s="1"/>
  <c r="T184" i="10"/>
  <c r="U184" i="10" s="1"/>
  <c r="AF375" i="10"/>
  <c r="AG375" i="10" s="1"/>
  <c r="AF8" i="10"/>
  <c r="Z55" i="10"/>
  <c r="AA55" i="10" s="1"/>
  <c r="Z88" i="10"/>
  <c r="AA88" i="10" s="1"/>
  <c r="AF51" i="10"/>
  <c r="T523" i="10"/>
  <c r="U523" i="10" s="1"/>
  <c r="Z49" i="10"/>
  <c r="AA49" i="10" s="1"/>
  <c r="W318" i="10"/>
  <c r="T9" i="10"/>
  <c r="U9" i="10" s="1"/>
  <c r="T454" i="10"/>
  <c r="U454" i="10" s="1"/>
  <c r="T273" i="10"/>
  <c r="U273" i="10" s="1"/>
  <c r="T86" i="10"/>
  <c r="U86" i="10" s="1"/>
  <c r="T25" i="10"/>
  <c r="U25" i="10" s="1"/>
  <c r="T78" i="10"/>
  <c r="U78" i="10" s="1"/>
  <c r="T480" i="10"/>
  <c r="U480" i="10" s="1"/>
  <c r="T472" i="10"/>
  <c r="U472" i="10" s="1"/>
  <c r="AC128" i="10"/>
  <c r="AD128" i="10" s="1"/>
  <c r="AC537" i="10"/>
  <c r="AD537" i="10" s="1"/>
  <c r="T453" i="10"/>
  <c r="U453" i="10" s="1"/>
  <c r="T128" i="10"/>
  <c r="U128" i="10" s="1"/>
  <c r="T529" i="10"/>
  <c r="U529" i="10" s="1"/>
  <c r="Z134" i="10"/>
  <c r="AA134" i="10" s="1"/>
  <c r="W162" i="10"/>
  <c r="T52" i="10"/>
  <c r="U52" i="10" s="1"/>
  <c r="AF374" i="10"/>
  <c r="AG374" i="10" s="1"/>
  <c r="W200" i="10"/>
  <c r="Z84" i="10"/>
  <c r="AA84" i="10" s="1"/>
  <c r="T16" i="10"/>
  <c r="U16" i="10" s="1"/>
  <c r="W149" i="10"/>
  <c r="Z465" i="10"/>
  <c r="AA465" i="10" s="1"/>
  <c r="W284" i="10"/>
  <c r="W442" i="10"/>
  <c r="W381" i="10"/>
  <c r="W307" i="10"/>
  <c r="W310" i="10"/>
  <c r="W53" i="10"/>
  <c r="W339" i="10"/>
  <c r="W421" i="10"/>
  <c r="T45" i="10"/>
  <c r="U45" i="10" s="1"/>
  <c r="AC379" i="10"/>
  <c r="AD379" i="10" s="1"/>
  <c r="Z260" i="10"/>
  <c r="AA260" i="10" s="1"/>
  <c r="W173" i="10"/>
  <c r="W50" i="10"/>
  <c r="X50" i="10" s="1"/>
  <c r="T232" i="10"/>
  <c r="U232" i="10" s="1"/>
  <c r="AC375" i="10"/>
  <c r="AD375" i="10" s="1"/>
  <c r="Z245" i="10"/>
  <c r="AA245" i="10" s="1"/>
  <c r="T55" i="10"/>
  <c r="U55" i="10" s="1"/>
  <c r="Z146" i="10"/>
  <c r="AA146" i="10" s="1"/>
  <c r="T533" i="10"/>
  <c r="U533" i="10" s="1"/>
  <c r="AC422" i="10"/>
  <c r="AD422" i="10" s="1"/>
  <c r="AF181" i="10"/>
  <c r="AG181" i="10" s="1"/>
  <c r="AF38" i="10"/>
  <c r="AG38" i="10" s="1"/>
  <c r="AF63" i="10"/>
  <c r="AF213" i="10"/>
  <c r="AG213" i="10" s="1"/>
  <c r="AF308" i="10"/>
  <c r="AG308" i="10" s="1"/>
  <c r="AF510" i="10"/>
  <c r="AG510" i="10" s="1"/>
  <c r="AF161" i="10"/>
  <c r="AG161" i="10" s="1"/>
  <c r="AF305" i="10"/>
  <c r="AG305" i="10" s="1"/>
  <c r="AF160" i="10"/>
  <c r="AG160" i="10" s="1"/>
  <c r="AF473" i="10"/>
  <c r="AF338" i="10"/>
  <c r="AF524" i="10"/>
  <c r="AF391" i="10"/>
  <c r="AF254" i="10"/>
  <c r="AF519" i="10"/>
  <c r="AG519" i="10" s="1"/>
  <c r="AF202" i="10"/>
  <c r="AG202" i="10" s="1"/>
  <c r="AF190" i="10"/>
  <c r="AG190" i="10" s="1"/>
  <c r="AF335" i="10"/>
  <c r="AF102" i="10"/>
  <c r="AG102" i="10" s="1"/>
  <c r="AF244" i="10"/>
  <c r="AF403" i="10"/>
  <c r="AF290" i="10"/>
  <c r="AG290" i="10" s="1"/>
  <c r="AF52" i="10"/>
  <c r="AF262" i="10"/>
  <c r="AF57" i="10"/>
  <c r="AF200" i="10"/>
  <c r="AG200" i="10" s="1"/>
  <c r="AF88" i="10"/>
  <c r="AG88" i="10" s="1"/>
  <c r="AF203" i="10"/>
  <c r="AF168" i="10"/>
  <c r="AG168" i="10" s="1"/>
  <c r="AF241" i="10"/>
  <c r="AF46" i="10"/>
  <c r="AF107" i="10"/>
  <c r="AG107" i="10" s="1"/>
  <c r="AF274" i="10"/>
  <c r="AF6" i="10"/>
  <c r="AG6" i="10" s="1"/>
  <c r="AF319" i="10"/>
  <c r="AG319" i="10" s="1"/>
  <c r="AF148" i="10"/>
  <c r="AG148" i="10" s="1"/>
  <c r="AF384" i="10"/>
  <c r="AG384" i="10" s="1"/>
  <c r="AF471" i="10"/>
  <c r="AF330" i="10"/>
  <c r="AF135" i="10"/>
  <c r="AG135" i="10" s="1"/>
  <c r="AF231" i="10"/>
  <c r="AF511" i="10"/>
  <c r="AG511" i="10" s="1"/>
  <c r="AF169" i="10"/>
  <c r="AF143" i="10"/>
  <c r="AF463" i="10"/>
  <c r="AF32" i="10"/>
  <c r="AG32" i="10" s="1"/>
  <c r="AF318" i="10"/>
  <c r="AF20" i="10"/>
  <c r="AG20" i="10" s="1"/>
  <c r="AF334" i="10"/>
  <c r="AG334" i="10" s="1"/>
  <c r="AF224" i="10"/>
  <c r="AF11" i="10"/>
  <c r="AG11" i="10" s="1"/>
  <c r="AF358" i="10"/>
  <c r="AF478" i="10"/>
  <c r="AG478" i="10" s="1"/>
  <c r="AF132" i="10"/>
  <c r="AG132" i="10" s="1"/>
  <c r="AF413" i="10"/>
  <c r="AF33" i="10"/>
  <c r="AG33" i="10" s="1"/>
  <c r="AF417" i="10"/>
  <c r="AG417" i="10" s="1"/>
  <c r="AF154" i="10"/>
  <c r="AG154" i="10" s="1"/>
  <c r="AF172" i="10"/>
  <c r="AG172" i="10" s="1"/>
  <c r="AF16" i="10"/>
  <c r="AG16" i="10" s="1"/>
  <c r="AF122" i="10"/>
  <c r="AG122" i="10" s="1"/>
  <c r="AF31" i="10"/>
  <c r="AF344" i="10"/>
  <c r="AG344" i="10" s="1"/>
  <c r="AF507" i="10"/>
  <c r="AF192" i="10"/>
  <c r="AG192" i="10" s="1"/>
  <c r="AF84" i="10"/>
  <c r="AG84" i="10" s="1"/>
  <c r="AF282" i="10"/>
  <c r="AF315" i="10"/>
  <c r="AG315" i="10" s="1"/>
  <c r="AF266" i="10"/>
  <c r="AG266" i="10" s="1"/>
  <c r="AF482" i="10"/>
  <c r="AG482" i="10" s="1"/>
  <c r="AF371" i="10"/>
  <c r="AF171" i="10"/>
  <c r="AG171" i="10" s="1"/>
  <c r="AF264" i="10"/>
  <c r="AF355" i="10"/>
  <c r="AF404" i="10"/>
  <c r="AF162" i="10"/>
  <c r="AG162" i="10" s="1"/>
  <c r="AF542" i="10"/>
  <c r="AF230" i="10"/>
  <c r="AG230" i="10" s="1"/>
  <c r="AF414" i="10"/>
  <c r="AF248" i="10"/>
  <c r="AF249" i="10"/>
  <c r="AF526" i="10"/>
  <c r="AF485" i="10"/>
  <c r="AG485" i="10" s="1"/>
  <c r="AF146" i="10"/>
  <c r="AG146" i="10" s="1"/>
  <c r="AF115" i="10"/>
  <c r="AF448" i="10"/>
  <c r="AG448" i="10" s="1"/>
  <c r="AF81" i="10"/>
  <c r="AG81" i="10" s="1"/>
  <c r="AF353" i="10"/>
  <c r="AF520" i="10"/>
  <c r="AF527" i="10"/>
  <c r="AG527" i="10" s="1"/>
  <c r="AF536" i="10"/>
  <c r="AF270" i="10"/>
  <c r="AG270" i="10" s="1"/>
  <c r="AF179" i="10"/>
  <c r="AG179" i="10" s="1"/>
  <c r="AF498" i="10"/>
  <c r="AF60" i="10"/>
  <c r="AF255" i="10"/>
  <c r="AF425" i="10"/>
  <c r="AG425" i="10" s="1"/>
  <c r="AF443" i="10"/>
  <c r="AF539" i="10"/>
  <c r="AG539" i="10" s="1"/>
  <c r="AF406" i="10"/>
  <c r="AF111" i="10"/>
  <c r="AG111" i="10" s="1"/>
  <c r="AC465" i="10"/>
  <c r="AD465" i="10" s="1"/>
  <c r="AF114" i="10"/>
  <c r="AG114" i="10" s="1"/>
  <c r="AF139" i="10"/>
  <c r="AF150" i="10"/>
  <c r="AG150" i="10" s="1"/>
  <c r="W43" i="10"/>
  <c r="X43" i="10" s="1"/>
  <c r="AF543" i="10"/>
  <c r="W351" i="10"/>
  <c r="X351" i="10" s="1"/>
  <c r="AC135" i="10"/>
  <c r="AD135" i="10" s="1"/>
  <c r="AF90" i="10"/>
  <c r="AC306" i="10"/>
  <c r="AD306" i="10" s="1"/>
  <c r="W195" i="10"/>
  <c r="W17" i="10"/>
  <c r="X17" i="10" s="1"/>
  <c r="AF503" i="10"/>
  <c r="W439" i="10"/>
  <c r="AF474" i="10"/>
  <c r="AG474" i="10" s="1"/>
  <c r="AC31" i="10"/>
  <c r="AD31" i="10" s="1"/>
  <c r="AC260" i="10"/>
  <c r="AD260" i="10" s="1"/>
  <c r="W142" i="10"/>
  <c r="X142" i="10" s="1"/>
  <c r="AF409" i="10"/>
  <c r="AC113" i="10"/>
  <c r="AD113" i="10" s="1"/>
  <c r="W414" i="10"/>
  <c r="W109" i="10"/>
  <c r="W510" i="10"/>
  <c r="AC546" i="10"/>
  <c r="AD546" i="10" s="1"/>
  <c r="AF378" i="10"/>
  <c r="AG378" i="10" s="1"/>
  <c r="AC253" i="10"/>
  <c r="AD253" i="10" s="1"/>
  <c r="AC528" i="10"/>
  <c r="AD528" i="10" s="1"/>
  <c r="AF297" i="10"/>
  <c r="W121" i="10"/>
  <c r="AC372" i="10"/>
  <c r="AD372" i="10" s="1"/>
  <c r="W176" i="10"/>
  <c r="AF294" i="10"/>
  <c r="AF261" i="10"/>
  <c r="AG261" i="10" s="1"/>
  <c r="AF89" i="10"/>
  <c r="AF397" i="10"/>
  <c r="AG397" i="10" s="1"/>
  <c r="AF44" i="10"/>
  <c r="AG44" i="10" s="1"/>
  <c r="AF4" i="10"/>
  <c r="AG4" i="10" s="1"/>
  <c r="AF12" i="10"/>
  <c r="AF462" i="10"/>
  <c r="AF475" i="10"/>
  <c r="AG475" i="10" s="1"/>
  <c r="AF197" i="10"/>
  <c r="AG197" i="10" s="1"/>
  <c r="AF3" i="10"/>
  <c r="AG3" i="10" s="1"/>
  <c r="AF263" i="10"/>
  <c r="AC341" i="10"/>
  <c r="AD341" i="10" s="1"/>
  <c r="W91" i="10"/>
  <c r="X91" i="10" s="1"/>
  <c r="T275" i="10"/>
  <c r="U275" i="10" s="1"/>
  <c r="Z521" i="10"/>
  <c r="AA521" i="10" s="1"/>
  <c r="Z378" i="10"/>
  <c r="AA378" i="10" s="1"/>
  <c r="W380" i="10"/>
  <c r="Z293" i="10"/>
  <c r="AA293" i="10" s="1"/>
  <c r="T348" i="10"/>
  <c r="U348" i="10" s="1"/>
  <c r="AC194" i="10"/>
  <c r="AD194" i="10" s="1"/>
  <c r="AC192" i="10"/>
  <c r="AD192" i="10" s="1"/>
  <c r="Z362" i="10"/>
  <c r="AA362" i="10" s="1"/>
  <c r="Z230" i="10"/>
  <c r="AA230" i="10" s="1"/>
  <c r="AF144" i="10"/>
  <c r="T502" i="10"/>
  <c r="U502" i="10" s="1"/>
  <c r="W257" i="10"/>
  <c r="AC165" i="10"/>
  <c r="AD165" i="10" s="1"/>
  <c r="AC300" i="10"/>
  <c r="AD300" i="10" s="1"/>
  <c r="AC514" i="10"/>
  <c r="AD514" i="10" s="1"/>
  <c r="AC258" i="10"/>
  <c r="AD258" i="10" s="1"/>
  <c r="AC10" i="10"/>
  <c r="AD10" i="10" s="1"/>
  <c r="AC479" i="10"/>
  <c r="AD479" i="10" s="1"/>
  <c r="AC240" i="10"/>
  <c r="AD240" i="10" s="1"/>
  <c r="AC407" i="10"/>
  <c r="AD407" i="10" s="1"/>
  <c r="AC42" i="10"/>
  <c r="AD42" i="10" s="1"/>
  <c r="T280" i="10"/>
  <c r="U280" i="10" s="1"/>
  <c r="AF45" i="10"/>
  <c r="AG45" i="10" s="1"/>
  <c r="W368" i="10"/>
  <c r="AF439" i="10"/>
  <c r="AG439" i="10" s="1"/>
  <c r="W350" i="10"/>
  <c r="W306" i="10"/>
  <c r="W28" i="10"/>
  <c r="W81" i="10"/>
  <c r="AC285" i="10"/>
  <c r="AD285" i="10" s="1"/>
  <c r="AF368" i="10"/>
  <c r="T294" i="10"/>
  <c r="U294" i="10" s="1"/>
  <c r="AC346" i="10"/>
  <c r="AD346" i="10" s="1"/>
  <c r="T94" i="10"/>
  <c r="U94" i="10" s="1"/>
  <c r="W49" i="10"/>
  <c r="X49" i="10" s="1"/>
  <c r="AF393" i="10"/>
  <c r="AG393" i="10" s="1"/>
  <c r="T320" i="10"/>
  <c r="U320" i="10" s="1"/>
  <c r="T446" i="10"/>
  <c r="U446" i="10" s="1"/>
  <c r="AC211" i="10"/>
  <c r="AD211" i="10" s="1"/>
  <c r="W71" i="10"/>
  <c r="AF321" i="10"/>
  <c r="AG321" i="10" s="1"/>
  <c r="W509" i="10"/>
  <c r="AC109" i="10"/>
  <c r="AD109" i="10" s="1"/>
  <c r="Z474" i="10"/>
  <c r="AA474" i="10" s="1"/>
  <c r="AF228" i="10"/>
  <c r="AG228" i="10" s="1"/>
  <c r="W372" i="10"/>
  <c r="T405" i="10"/>
  <c r="U405" i="10" s="1"/>
  <c r="T111" i="10"/>
  <c r="U111" i="10" s="1"/>
  <c r="T118" i="10"/>
  <c r="U118" i="10" s="1"/>
  <c r="Z111" i="10"/>
  <c r="AA111" i="10" s="1"/>
  <c r="AC115" i="10"/>
  <c r="AD115" i="10" s="1"/>
  <c r="Z483" i="10"/>
  <c r="AA483" i="10" s="1"/>
  <c r="W342" i="10"/>
  <c r="T540" i="10"/>
  <c r="U540" i="10" s="1"/>
  <c r="T13" i="10"/>
  <c r="U13" i="10" s="1"/>
  <c r="Z232" i="10"/>
  <c r="AA232" i="10" s="1"/>
  <c r="Z6" i="10"/>
  <c r="AA6" i="10" s="1"/>
  <c r="AF74" i="10"/>
  <c r="AG74" i="10" s="1"/>
  <c r="AC157" i="10"/>
  <c r="AD157" i="10" s="1"/>
  <c r="W216" i="10"/>
  <c r="AC177" i="10"/>
  <c r="AD177" i="10" s="1"/>
  <c r="W338" i="10"/>
  <c r="AF359" i="10"/>
  <c r="Z290" i="10"/>
  <c r="AA290" i="10" s="1"/>
  <c r="AF106" i="10"/>
  <c r="AG106" i="10" s="1"/>
  <c r="AC236" i="10"/>
  <c r="AD236" i="10" s="1"/>
  <c r="AF512" i="10"/>
  <c r="AC119" i="10"/>
  <c r="AD119" i="10" s="1"/>
  <c r="Z330" i="10"/>
  <c r="AA330" i="10" s="1"/>
  <c r="T373" i="10"/>
  <c r="U373" i="10" s="1"/>
  <c r="T109" i="10"/>
  <c r="U109" i="10" s="1"/>
  <c r="T431" i="10"/>
  <c r="U431" i="10" s="1"/>
  <c r="T359" i="10"/>
  <c r="U359" i="10" s="1"/>
  <c r="T531" i="10"/>
  <c r="U531" i="10" s="1"/>
  <c r="T437" i="10"/>
  <c r="U437" i="10" s="1"/>
  <c r="T242" i="10"/>
  <c r="U242" i="10" s="1"/>
  <c r="T54" i="10"/>
  <c r="U54" i="10" s="1"/>
  <c r="T4" i="10"/>
  <c r="U4" i="10" s="1"/>
  <c r="T24" i="10"/>
  <c r="U24" i="10" s="1"/>
  <c r="W504" i="10"/>
  <c r="T195" i="10"/>
  <c r="U195" i="10" s="1"/>
  <c r="AC237" i="10"/>
  <c r="AD237" i="10" s="1"/>
  <c r="Z175" i="10"/>
  <c r="AA175" i="10" s="1"/>
  <c r="T104" i="10"/>
  <c r="U104" i="10" s="1"/>
  <c r="AC71" i="10"/>
  <c r="AD71" i="10" s="1"/>
  <c r="W123" i="10"/>
  <c r="AF76" i="10"/>
  <c r="AG76" i="10" s="1"/>
  <c r="W38" i="10"/>
  <c r="X38" i="10" s="1"/>
  <c r="Z348" i="10"/>
  <c r="AA348" i="10" s="1"/>
  <c r="W251" i="10"/>
  <c r="W418" i="10"/>
  <c r="T503" i="10"/>
  <c r="U503" i="10" s="1"/>
  <c r="W80" i="10"/>
  <c r="W110" i="10"/>
  <c r="W108" i="10"/>
  <c r="W182" i="10"/>
  <c r="W388" i="10"/>
  <c r="W327" i="10"/>
  <c r="W219" i="10"/>
  <c r="W347" i="10"/>
  <c r="AC358" i="10"/>
  <c r="AD358" i="10" s="1"/>
  <c r="AF211" i="10"/>
  <c r="W124" i="10"/>
  <c r="W6" i="10"/>
  <c r="X6" i="10" s="1"/>
  <c r="T464" i="10"/>
  <c r="U464" i="10" s="1"/>
  <c r="AF435" i="10"/>
  <c r="AC267" i="10"/>
  <c r="AD267" i="10" s="1"/>
  <c r="Z272" i="10"/>
  <c r="AA272" i="10" s="1"/>
  <c r="AC58" i="10"/>
  <c r="AD58" i="10" s="1"/>
  <c r="AC106" i="10"/>
  <c r="AD106" i="10" s="1"/>
  <c r="AF529" i="10"/>
  <c r="AG529" i="10" s="1"/>
  <c r="Z408" i="10"/>
  <c r="AA408" i="10" s="1"/>
  <c r="W225" i="10"/>
  <c r="AF2" i="10"/>
  <c r="AG2" i="10" s="1"/>
  <c r="AC491" i="10"/>
  <c r="AD491" i="10" s="1"/>
  <c r="AC169" i="10"/>
  <c r="AD169" i="10" s="1"/>
  <c r="AF395" i="10"/>
  <c r="T432" i="10"/>
  <c r="U432" i="10" s="1"/>
  <c r="Z449" i="10"/>
  <c r="AA449" i="10" s="1"/>
  <c r="T103" i="10"/>
  <c r="U103" i="10" s="1"/>
  <c r="T425" i="10"/>
  <c r="U425" i="10" s="1"/>
  <c r="Z432" i="10"/>
  <c r="AA432" i="10" s="1"/>
  <c r="AF504" i="10"/>
  <c r="AG504" i="10" s="1"/>
  <c r="Z377" i="10"/>
  <c r="AA377" i="10" s="1"/>
  <c r="W493" i="10"/>
  <c r="T96" i="10"/>
  <c r="U96" i="10" s="1"/>
  <c r="T134" i="10"/>
  <c r="U134" i="10" s="1"/>
  <c r="Z537" i="10"/>
  <c r="AA537" i="10" s="1"/>
  <c r="AF540" i="10"/>
  <c r="T340" i="10"/>
  <c r="U340" i="10" s="1"/>
  <c r="W528" i="10"/>
  <c r="Z183" i="10"/>
  <c r="AA183" i="10" s="1"/>
  <c r="Z261" i="10"/>
  <c r="AA261" i="10" s="1"/>
  <c r="Z526" i="10"/>
  <c r="AA526" i="10" s="1"/>
  <c r="Z155" i="10"/>
  <c r="AA155" i="10" s="1"/>
  <c r="Z140" i="10"/>
  <c r="AA140" i="10" s="1"/>
  <c r="Z499" i="10"/>
  <c r="AA499" i="10" s="1"/>
  <c r="Z125" i="10"/>
  <c r="AA125" i="10" s="1"/>
  <c r="Z116" i="10"/>
  <c r="AA116" i="10" s="1"/>
  <c r="Z250" i="10"/>
  <c r="AA250" i="10" s="1"/>
  <c r="Z302" i="10"/>
  <c r="AA302" i="10" s="1"/>
  <c r="Z475" i="10"/>
  <c r="AA475" i="10" s="1"/>
  <c r="T53" i="10"/>
  <c r="U53" i="10" s="1"/>
  <c r="T75" i="10"/>
  <c r="U75" i="10" s="1"/>
  <c r="AF257" i="10"/>
  <c r="W390" i="10"/>
  <c r="W104" i="10"/>
  <c r="AF136" i="10"/>
  <c r="AG136" i="10" s="1"/>
  <c r="W263" i="10"/>
  <c r="AF444" i="10"/>
  <c r="AG444" i="10" s="1"/>
  <c r="AC193" i="10"/>
  <c r="AD193" i="10" s="1"/>
  <c r="W34" i="10"/>
  <c r="X34" i="10" s="1"/>
  <c r="W308" i="10"/>
  <c r="T152" i="10"/>
  <c r="U152" i="10" s="1"/>
  <c r="W317" i="10"/>
  <c r="Z334" i="10"/>
  <c r="AA334" i="10" s="1"/>
  <c r="W488" i="10"/>
  <c r="T337" i="10"/>
  <c r="U337" i="10" s="1"/>
  <c r="W345" i="10"/>
  <c r="T343" i="10"/>
  <c r="U343" i="10" s="1"/>
  <c r="AC221" i="10"/>
  <c r="AD221" i="10" s="1"/>
  <c r="W55" i="10"/>
  <c r="W84" i="10"/>
  <c r="X84" i="10" s="1"/>
  <c r="Z262" i="10"/>
  <c r="AA262" i="10" s="1"/>
  <c r="AC212" i="10"/>
  <c r="AD212" i="10" s="1"/>
  <c r="W229" i="10"/>
  <c r="X229" i="10" s="1"/>
  <c r="W389" i="10"/>
  <c r="AC301" i="10"/>
  <c r="AD301" i="10" s="1"/>
  <c r="T163" i="10"/>
  <c r="U163" i="10" s="1"/>
  <c r="AF521" i="10"/>
  <c r="T301" i="10"/>
  <c r="U301" i="10" s="1"/>
  <c r="AC207" i="10"/>
  <c r="AD207" i="10" s="1"/>
  <c r="T397" i="10"/>
  <c r="U397" i="10" s="1"/>
  <c r="W295" i="10"/>
  <c r="X295" i="10" s="1"/>
  <c r="AC521" i="10"/>
  <c r="AD521" i="10" s="1"/>
  <c r="AF124" i="10"/>
  <c r="AG124" i="10" s="1"/>
  <c r="W512" i="10"/>
  <c r="W416" i="10"/>
  <c r="Z244" i="10"/>
  <c r="AA244" i="10" s="1"/>
  <c r="AF452" i="10"/>
  <c r="AF313" i="10"/>
  <c r="AG313" i="10" s="1"/>
  <c r="Z136" i="10"/>
  <c r="AA136" i="10" s="1"/>
  <c r="AF62" i="10"/>
  <c r="AG62" i="10" s="1"/>
  <c r="AF15" i="10"/>
  <c r="AF271" i="10"/>
  <c r="AG271" i="10" s="1"/>
  <c r="AF300" i="10"/>
  <c r="AF53" i="10"/>
  <c r="AG53" i="10" s="1"/>
  <c r="AF484" i="10"/>
  <c r="AF204" i="10"/>
  <c r="AG204" i="10" s="1"/>
  <c r="AF35" i="10"/>
  <c r="AG35" i="10" s="1"/>
  <c r="AF437" i="10"/>
  <c r="AG437" i="10" s="1"/>
  <c r="AF233" i="10"/>
  <c r="AG233" i="10" s="1"/>
  <c r="AF116" i="10"/>
  <c r="AF442" i="10"/>
  <c r="AG442" i="10" s="1"/>
  <c r="T140" i="10"/>
  <c r="U140" i="10" s="1"/>
  <c r="W374" i="10"/>
  <c r="T65" i="10"/>
  <c r="U65" i="10" s="1"/>
  <c r="Z100" i="10"/>
  <c r="AA100" i="10" s="1"/>
  <c r="AC147" i="10"/>
  <c r="AD147" i="10" s="1"/>
  <c r="T80" i="10"/>
  <c r="U80" i="10" s="1"/>
  <c r="Z276" i="10"/>
  <c r="AA276" i="10" s="1"/>
  <c r="Z453" i="10"/>
  <c r="AA453" i="10" s="1"/>
  <c r="AF198" i="10"/>
  <c r="AG198" i="10" s="1"/>
  <c r="W133" i="10"/>
  <c r="W539" i="10"/>
  <c r="Z36" i="10"/>
  <c r="AA36" i="10" s="1"/>
  <c r="AC539" i="10"/>
  <c r="AD539" i="10" s="1"/>
  <c r="AF283" i="10"/>
  <c r="AG283" i="10" s="1"/>
  <c r="AC247" i="10"/>
  <c r="AD247" i="10" s="1"/>
  <c r="AC284" i="10"/>
  <c r="AD284" i="10" s="1"/>
  <c r="AC239" i="10"/>
  <c r="AD239" i="10" s="1"/>
  <c r="AC326" i="10"/>
  <c r="AD326" i="10" s="1"/>
  <c r="AC517" i="10"/>
  <c r="AD517" i="10" s="1"/>
  <c r="AC271" i="10"/>
  <c r="AD271" i="10" s="1"/>
  <c r="AC93" i="10"/>
  <c r="AD93" i="10" s="1"/>
  <c r="AC167" i="10"/>
  <c r="AD167" i="10" s="1"/>
  <c r="AC92" i="10"/>
  <c r="AD92" i="10" s="1"/>
  <c r="AC155" i="10"/>
  <c r="AD155" i="10" s="1"/>
  <c r="AC397" i="10"/>
  <c r="AD397" i="10" s="1"/>
  <c r="Z211" i="10"/>
  <c r="AA211" i="10" s="1"/>
  <c r="Z225" i="10"/>
  <c r="AA225" i="10" s="1"/>
  <c r="AC37" i="10"/>
  <c r="AD37" i="10" s="1"/>
  <c r="AF184" i="10"/>
  <c r="AG184" i="10" s="1"/>
  <c r="AF100" i="10"/>
  <c r="Z185" i="10"/>
  <c r="AA185" i="10" s="1"/>
  <c r="W333" i="10"/>
  <c r="Z102" i="10"/>
  <c r="AA102" i="10" s="1"/>
  <c r="AF103" i="10"/>
  <c r="T93" i="10"/>
  <c r="U93" i="10" s="1"/>
  <c r="AF432" i="10"/>
  <c r="AG432" i="10" s="1"/>
  <c r="T303" i="10"/>
  <c r="U303" i="10" s="1"/>
  <c r="T149" i="10"/>
  <c r="U149" i="10" s="1"/>
  <c r="T330" i="10"/>
  <c r="U330" i="10" s="1"/>
  <c r="Z157" i="10"/>
  <c r="AA157" i="10" s="1"/>
  <c r="W221" i="10"/>
  <c r="Z231" i="10"/>
  <c r="AA231" i="10" s="1"/>
  <c r="AC342" i="10"/>
  <c r="AD342" i="10" s="1"/>
  <c r="AC411" i="10"/>
  <c r="AD411" i="10" s="1"/>
  <c r="W466" i="10"/>
  <c r="X466" i="10" s="1"/>
  <c r="T246" i="10"/>
  <c r="U246" i="10" s="1"/>
  <c r="W477" i="10"/>
  <c r="X477" i="10" s="1"/>
  <c r="AF134" i="10"/>
  <c r="AC19" i="10"/>
  <c r="AD19" i="10" s="1"/>
  <c r="AF223" i="10"/>
  <c r="AG223" i="10" s="1"/>
  <c r="W181" i="10"/>
  <c r="W5" i="10"/>
  <c r="X5" i="10" s="1"/>
  <c r="T220" i="10"/>
  <c r="U220" i="10" s="1"/>
  <c r="W303" i="10"/>
  <c r="T197" i="10"/>
  <c r="U197" i="10" s="1"/>
  <c r="AF351" i="10"/>
  <c r="AG351" i="10" s="1"/>
  <c r="W363" i="10"/>
  <c r="T352" i="10"/>
  <c r="U352" i="10" s="1"/>
  <c r="W137" i="10"/>
  <c r="X137" i="10" s="1"/>
  <c r="AF505" i="10"/>
  <c r="AG505" i="10" s="1"/>
  <c r="W260" i="10"/>
  <c r="AC474" i="10"/>
  <c r="AD474" i="10" s="1"/>
  <c r="AF9" i="10"/>
  <c r="AC410" i="10"/>
  <c r="AD410" i="10" s="1"/>
  <c r="AF243" i="10"/>
  <c r="AG243" i="10" s="1"/>
  <c r="T316" i="10"/>
  <c r="U316" i="10" s="1"/>
  <c r="Z333" i="10"/>
  <c r="AA333" i="10" s="1"/>
  <c r="T154" i="10"/>
  <c r="U154" i="10" s="1"/>
  <c r="W511" i="10"/>
  <c r="T29" i="10"/>
  <c r="U29" i="10" s="1"/>
  <c r="W423" i="10"/>
  <c r="T354" i="10"/>
  <c r="U354" i="10" s="1"/>
  <c r="AF196" i="10"/>
  <c r="AG196" i="10" s="1"/>
  <c r="T105" i="10"/>
  <c r="U105" i="10" s="1"/>
  <c r="T311" i="10"/>
  <c r="U311" i="10" s="1"/>
  <c r="T299" i="10"/>
  <c r="U299" i="10" s="1"/>
  <c r="T284" i="10"/>
  <c r="U284" i="10" s="1"/>
  <c r="T323" i="10"/>
  <c r="U323" i="10" s="1"/>
  <c r="T530" i="10"/>
  <c r="U530" i="10" s="1"/>
  <c r="T240" i="10"/>
  <c r="U240" i="10" s="1"/>
  <c r="T170" i="10"/>
  <c r="U170" i="10" s="1"/>
  <c r="T328" i="10"/>
  <c r="U328" i="10" s="1"/>
  <c r="Z422" i="10"/>
  <c r="AA422" i="10" s="1"/>
  <c r="T525" i="10"/>
  <c r="U525" i="10" s="1"/>
  <c r="T121" i="10"/>
  <c r="U121" i="10" s="1"/>
  <c r="AC370" i="10"/>
  <c r="AD370" i="10" s="1"/>
  <c r="AF79" i="10"/>
  <c r="T263" i="10"/>
  <c r="U263" i="10" s="1"/>
  <c r="T335" i="10"/>
  <c r="U335" i="10" s="1"/>
  <c r="T278" i="10"/>
  <c r="U278" i="10" s="1"/>
  <c r="Z121" i="10"/>
  <c r="AA121" i="10" s="1"/>
  <c r="AC259" i="10"/>
  <c r="AD259" i="10" s="1"/>
  <c r="T206" i="10"/>
  <c r="U206" i="10" s="1"/>
  <c r="Z168" i="10"/>
  <c r="AA168" i="10" s="1"/>
  <c r="W174" i="10"/>
  <c r="T345" i="10"/>
  <c r="U345" i="10" s="1"/>
  <c r="W479" i="10"/>
  <c r="X479" i="10" s="1"/>
  <c r="W541" i="10"/>
  <c r="W183" i="10"/>
  <c r="W170" i="10"/>
  <c r="W526" i="10"/>
  <c r="W145" i="10"/>
  <c r="X145" i="10" s="1"/>
  <c r="W436" i="10"/>
  <c r="W259" i="10"/>
  <c r="T444" i="10"/>
  <c r="U444" i="10" s="1"/>
  <c r="T334" i="10"/>
  <c r="U334" i="10" s="1"/>
  <c r="AC360" i="10"/>
  <c r="AD360" i="10" s="1"/>
  <c r="T50" i="10"/>
  <c r="U50" i="10" s="1"/>
  <c r="AF209" i="10"/>
  <c r="AC126" i="10"/>
  <c r="AD126" i="10" s="1"/>
  <c r="AC54" i="10"/>
  <c r="AD54" i="10" s="1"/>
  <c r="Z358" i="10"/>
  <c r="AA358" i="10" s="1"/>
  <c r="W361" i="10"/>
  <c r="AC245" i="10"/>
  <c r="AD245" i="10" s="1"/>
  <c r="AF522" i="10"/>
  <c r="T204" i="10"/>
  <c r="U204" i="10" s="1"/>
  <c r="AF433" i="10"/>
  <c r="AG433" i="10" s="1"/>
  <c r="W337" i="10"/>
  <c r="Z535" i="10"/>
  <c r="AA535" i="10" s="1"/>
  <c r="Z322" i="10"/>
  <c r="AA322" i="10" s="1"/>
  <c r="Z176" i="10"/>
  <c r="AA176" i="10" s="1"/>
  <c r="Z64" i="10"/>
  <c r="AA64" i="10" s="1"/>
  <c r="Z47" i="10"/>
  <c r="AA47" i="10" s="1"/>
  <c r="Z316" i="10"/>
  <c r="AA316" i="10" s="1"/>
  <c r="Z234" i="10"/>
  <c r="AA234" i="10" s="1"/>
  <c r="Z411" i="10"/>
  <c r="AA411" i="10" s="1"/>
  <c r="Z268" i="10"/>
  <c r="AA268" i="10" s="1"/>
  <c r="Z341" i="10"/>
  <c r="AA341" i="10" s="1"/>
  <c r="Z304" i="10"/>
  <c r="AA304" i="10" s="1"/>
  <c r="Z354" i="10"/>
  <c r="AA354" i="10" s="1"/>
  <c r="Z120" i="10"/>
  <c r="AA120" i="10" s="1"/>
  <c r="Z17" i="10"/>
  <c r="AA17" i="10" s="1"/>
  <c r="Z189" i="10"/>
  <c r="AA189" i="10" s="1"/>
  <c r="Z430" i="10"/>
  <c r="AA430" i="10" s="1"/>
  <c r="Z217" i="10"/>
  <c r="AA217" i="10" s="1"/>
  <c r="Z212" i="10"/>
  <c r="AA212" i="10" s="1"/>
  <c r="Z148" i="10"/>
  <c r="AA148" i="10" s="1"/>
  <c r="Z203" i="10"/>
  <c r="AA203" i="10" s="1"/>
  <c r="Z141" i="10"/>
  <c r="AA141" i="10" s="1"/>
  <c r="Z345" i="10"/>
  <c r="AA345" i="10" s="1"/>
  <c r="Z441" i="10"/>
  <c r="AA441" i="10" s="1"/>
  <c r="Z504" i="10"/>
  <c r="AA504" i="10" s="1"/>
  <c r="Z353" i="10"/>
  <c r="AA353" i="10" s="1"/>
  <c r="Z386" i="10"/>
  <c r="AA386" i="10" s="1"/>
  <c r="Z54" i="10"/>
  <c r="AA54" i="10" s="1"/>
  <c r="Z213" i="10"/>
  <c r="AA213" i="10" s="1"/>
  <c r="Z156" i="10"/>
  <c r="AA156" i="10" s="1"/>
  <c r="Z95" i="10"/>
  <c r="AA95" i="10" s="1"/>
  <c r="Z482" i="10"/>
  <c r="AA482" i="10" s="1"/>
  <c r="Z396" i="10"/>
  <c r="AA396" i="10" s="1"/>
  <c r="Z387" i="10"/>
  <c r="AA387" i="10" s="1"/>
  <c r="Z546" i="10"/>
  <c r="AA546" i="10" s="1"/>
  <c r="Z28" i="10"/>
  <c r="AA28" i="10" s="1"/>
  <c r="Z139" i="10"/>
  <c r="AA139" i="10" s="1"/>
  <c r="Z72" i="10"/>
  <c r="AA72" i="10" s="1"/>
  <c r="Z267" i="10"/>
  <c r="AA267" i="10" s="1"/>
  <c r="Z343" i="10"/>
  <c r="AA343" i="10" s="1"/>
  <c r="Z198" i="10"/>
  <c r="AA198" i="10" s="1"/>
  <c r="Z264" i="10"/>
  <c r="AA264" i="10" s="1"/>
  <c r="Z398" i="10"/>
  <c r="AA398" i="10" s="1"/>
  <c r="Z325" i="10"/>
  <c r="AA325" i="10" s="1"/>
  <c r="Z498" i="10"/>
  <c r="AA498" i="10" s="1"/>
  <c r="Z425" i="10"/>
  <c r="AA425" i="10" s="1"/>
  <c r="Z77" i="10"/>
  <c r="AA77" i="10" s="1"/>
  <c r="Z308" i="10"/>
  <c r="AA308" i="10" s="1"/>
  <c r="Z402" i="10"/>
  <c r="AA402" i="10" s="1"/>
  <c r="Z298" i="10"/>
  <c r="AA298" i="10" s="1"/>
  <c r="Z401" i="10"/>
  <c r="AA401" i="10" s="1"/>
  <c r="Z166" i="10"/>
  <c r="AA166" i="10" s="1"/>
  <c r="Z288" i="10"/>
  <c r="AA288" i="10" s="1"/>
  <c r="Z184" i="10"/>
  <c r="AA184" i="10" s="1"/>
  <c r="Z177" i="10"/>
  <c r="AA177" i="10" s="1"/>
  <c r="Z277" i="10"/>
  <c r="AA277" i="10" s="1"/>
  <c r="Z159" i="10"/>
  <c r="AA159" i="10" s="1"/>
  <c r="Z471" i="10"/>
  <c r="AA471" i="10" s="1"/>
  <c r="Z74" i="10"/>
  <c r="AA74" i="10" s="1"/>
  <c r="Z214" i="10"/>
  <c r="AA214" i="10" s="1"/>
  <c r="Z190" i="10"/>
  <c r="AA190" i="10" s="1"/>
  <c r="Z195" i="10"/>
  <c r="AA195" i="10" s="1"/>
  <c r="Z242" i="10"/>
  <c r="AA242" i="10" s="1"/>
  <c r="Z60" i="10"/>
  <c r="AA60" i="10" s="1"/>
  <c r="Z280" i="10"/>
  <c r="AA280" i="10" s="1"/>
  <c r="Z117" i="10"/>
  <c r="AA117" i="10" s="1"/>
  <c r="Z31" i="10"/>
  <c r="AA31" i="10" s="1"/>
  <c r="Z114" i="10"/>
  <c r="AA114" i="10" s="1"/>
  <c r="Z254" i="10"/>
  <c r="AA254" i="10" s="1"/>
  <c r="Z394" i="10"/>
  <c r="AA394" i="10" s="1"/>
  <c r="Z303" i="10"/>
  <c r="AA303" i="10" s="1"/>
  <c r="Z107" i="10"/>
  <c r="AA107" i="10" s="1"/>
  <c r="Z305" i="10"/>
  <c r="AA305" i="10" s="1"/>
  <c r="Z435" i="10"/>
  <c r="AA435" i="10" s="1"/>
  <c r="Z473" i="10"/>
  <c r="AA473" i="10" s="1"/>
  <c r="Z201" i="10"/>
  <c r="AA201" i="10" s="1"/>
  <c r="T106" i="10"/>
  <c r="U106" i="10" s="1"/>
  <c r="Z151" i="10"/>
  <c r="AA151" i="10" s="1"/>
  <c r="Z161" i="10"/>
  <c r="AA161" i="10" s="1"/>
  <c r="T217" i="10"/>
  <c r="U217" i="10" s="1"/>
  <c r="AF226" i="10"/>
  <c r="T364" i="10"/>
  <c r="U364" i="10" s="1"/>
  <c r="W242" i="10"/>
  <c r="Z265" i="10"/>
  <c r="AA265" i="10" s="1"/>
  <c r="AC191" i="10"/>
  <c r="AD191" i="10" s="1"/>
  <c r="W90" i="10"/>
  <c r="Z371" i="10"/>
  <c r="AA371" i="10" s="1"/>
  <c r="T205" i="10"/>
  <c r="U205" i="10" s="1"/>
  <c r="W122" i="10"/>
  <c r="Z467" i="10"/>
  <c r="AA467" i="10" s="1"/>
  <c r="Z528" i="10"/>
  <c r="AA528" i="10" s="1"/>
  <c r="Z115" i="10"/>
  <c r="AA115" i="10" s="1"/>
  <c r="Z289" i="10"/>
  <c r="AA289" i="10" s="1"/>
  <c r="Z41" i="10"/>
  <c r="AA41" i="10" s="1"/>
  <c r="Z25" i="10"/>
  <c r="AA25" i="10" s="1"/>
  <c r="Z350" i="10"/>
  <c r="AA350" i="10" s="1"/>
  <c r="Z199" i="10"/>
  <c r="AA199" i="10" s="1"/>
  <c r="Z236" i="10"/>
  <c r="AA236" i="10" s="1"/>
  <c r="Z15" i="10"/>
  <c r="AA15" i="10" s="1"/>
  <c r="Z131" i="10"/>
  <c r="AA131" i="10" s="1"/>
  <c r="Z357" i="10"/>
  <c r="AA357" i="10" s="1"/>
  <c r="Z517" i="10"/>
  <c r="AA517" i="10" s="1"/>
  <c r="Z381" i="10"/>
  <c r="AA381" i="10" s="1"/>
  <c r="Z127" i="10"/>
  <c r="AA127" i="10" s="1"/>
  <c r="AF207" i="10"/>
  <c r="AG207" i="10" s="1"/>
  <c r="W302" i="10"/>
  <c r="W65" i="10"/>
  <c r="AF130" i="10"/>
  <c r="AG130" i="10" s="1"/>
  <c r="Z496" i="10"/>
  <c r="AA496" i="10" s="1"/>
  <c r="Z112" i="10"/>
  <c r="AA112" i="10" s="1"/>
  <c r="T542" i="10"/>
  <c r="U542" i="10" s="1"/>
  <c r="T113" i="10"/>
  <c r="U113" i="10" s="1"/>
  <c r="W184" i="10"/>
  <c r="AF193" i="10"/>
  <c r="AG193" i="10" s="1"/>
  <c r="AC485" i="10"/>
  <c r="AD485" i="10" s="1"/>
  <c r="T143" i="10"/>
  <c r="U143" i="10" s="1"/>
  <c r="Z374" i="10"/>
  <c r="AA374" i="10" s="1"/>
  <c r="T522" i="10"/>
  <c r="U522" i="10" s="1"/>
  <c r="AC538" i="10"/>
  <c r="AD538" i="10" s="1"/>
  <c r="W502" i="10"/>
  <c r="T175" i="10"/>
  <c r="U175" i="10" s="1"/>
  <c r="T495" i="10"/>
  <c r="U495" i="10" s="1"/>
  <c r="T361" i="10"/>
  <c r="U361" i="10" s="1"/>
  <c r="W506" i="10"/>
  <c r="AC522" i="10"/>
  <c r="AD522" i="10" s="1"/>
  <c r="AC117" i="10"/>
  <c r="AD117" i="10" s="1"/>
  <c r="Z539" i="10"/>
  <c r="AA539" i="10" s="1"/>
  <c r="W419" i="10"/>
  <c r="W301" i="10"/>
  <c r="Z50" i="10"/>
  <c r="AA50" i="10" s="1"/>
  <c r="W7" i="10"/>
  <c r="X7" i="10" s="1"/>
  <c r="Z505" i="10"/>
  <c r="AA505" i="10" s="1"/>
  <c r="Z488" i="10"/>
  <c r="AA488" i="10" s="1"/>
  <c r="W249" i="10"/>
  <c r="T355" i="10"/>
  <c r="U355" i="10" s="1"/>
  <c r="T180" i="10"/>
  <c r="U180" i="10" s="1"/>
  <c r="T141" i="10"/>
  <c r="U141" i="10" s="1"/>
  <c r="AF19" i="10"/>
  <c r="AG19" i="10" s="1"/>
  <c r="Z210" i="10"/>
  <c r="AA210" i="10" s="1"/>
  <c r="Z181" i="10"/>
  <c r="AA181" i="10" s="1"/>
  <c r="AF142" i="10"/>
  <c r="AG142" i="10" s="1"/>
  <c r="T465" i="10"/>
  <c r="U465" i="10" s="1"/>
  <c r="W16" i="10"/>
  <c r="X16" i="10" s="1"/>
  <c r="W309" i="10"/>
  <c r="AF312" i="10"/>
  <c r="AF412" i="10"/>
  <c r="AF265" i="10"/>
  <c r="AG265" i="10" s="1"/>
  <c r="AF93" i="10"/>
  <c r="AG93" i="10" s="1"/>
  <c r="AF269" i="10"/>
  <c r="AF486" i="10"/>
  <c r="AG486" i="10" s="1"/>
  <c r="AF497" i="10"/>
  <c r="AF416" i="10"/>
  <c r="AG416" i="10" s="1"/>
  <c r="AF310" i="10"/>
  <c r="AG310" i="10" s="1"/>
  <c r="AF410" i="10"/>
  <c r="AG410" i="10" s="1"/>
  <c r="AF326" i="10"/>
  <c r="AG326" i="10" s="1"/>
  <c r="AF336" i="10"/>
  <c r="T298" i="10"/>
  <c r="U298" i="10" s="1"/>
  <c r="Z68" i="10"/>
  <c r="AA68" i="10" s="1"/>
  <c r="AF415" i="10"/>
  <c r="Z43" i="10"/>
  <c r="AA43" i="10" s="1"/>
  <c r="T394" i="10"/>
  <c r="U394" i="10" s="1"/>
  <c r="AF501" i="10"/>
  <c r="AF95" i="10"/>
  <c r="AG95" i="10" s="1"/>
  <c r="AF175" i="10"/>
  <c r="AG175" i="10" s="1"/>
  <c r="T512" i="10"/>
  <c r="U512" i="10" s="1"/>
  <c r="Z20" i="10"/>
  <c r="AA20" i="10" s="1"/>
  <c r="Z314" i="10"/>
  <c r="AA314" i="10" s="1"/>
  <c r="W111" i="10"/>
  <c r="X111" i="10" s="1"/>
  <c r="W197" i="10"/>
  <c r="T329" i="10"/>
  <c r="U329" i="10" s="1"/>
  <c r="W3" i="10"/>
  <c r="X3" i="10" s="1"/>
  <c r="AC89" i="10"/>
  <c r="AD89" i="10" s="1"/>
  <c r="AC78" i="10"/>
  <c r="AD78" i="10" s="1"/>
  <c r="AC62" i="10"/>
  <c r="AD62" i="10" s="1"/>
  <c r="AC312" i="10"/>
  <c r="AD312" i="10" s="1"/>
  <c r="AC110" i="10"/>
  <c r="AD110" i="10" s="1"/>
  <c r="AC421" i="10"/>
  <c r="AD421" i="10" s="1"/>
  <c r="AC434" i="10"/>
  <c r="AD434" i="10" s="1"/>
  <c r="AC73" i="10"/>
  <c r="AD73" i="10" s="1"/>
  <c r="AC347" i="10"/>
  <c r="AD347" i="10" s="1"/>
  <c r="AC129" i="10"/>
  <c r="AD129" i="10" s="1"/>
  <c r="AF365" i="10"/>
  <c r="W547" i="10"/>
  <c r="W537" i="10"/>
  <c r="AF281" i="10"/>
  <c r="Z380" i="10"/>
  <c r="AA380" i="10" s="1"/>
  <c r="W392" i="10"/>
  <c r="Z65" i="10"/>
  <c r="AA65" i="10" s="1"/>
  <c r="T211" i="10"/>
  <c r="U211" i="10" s="1"/>
  <c r="AC214" i="10"/>
  <c r="AD214" i="10" s="1"/>
  <c r="T308" i="10"/>
  <c r="U308" i="10" s="1"/>
  <c r="Z452" i="10"/>
  <c r="AA452" i="10" s="1"/>
  <c r="AC77" i="10"/>
  <c r="AD77" i="10" s="1"/>
  <c r="Z224" i="10"/>
  <c r="AA224" i="10" s="1"/>
  <c r="AC196" i="10"/>
  <c r="AD196" i="10" s="1"/>
  <c r="W332" i="10"/>
  <c r="T71" i="10"/>
  <c r="U71" i="10" s="1"/>
  <c r="T455" i="10"/>
  <c r="U455" i="10" s="1"/>
  <c r="AC14" i="10"/>
  <c r="AD14" i="10" s="1"/>
  <c r="T8" i="10"/>
  <c r="U8" i="10" s="1"/>
  <c r="T274" i="10"/>
  <c r="U274" i="10" s="1"/>
  <c r="W422" i="10"/>
  <c r="AF205" i="10"/>
  <c r="AC444" i="10"/>
  <c r="AD444" i="10" s="1"/>
  <c r="Z193" i="10"/>
  <c r="AA193" i="10" s="1"/>
  <c r="W485" i="10"/>
  <c r="T312" i="10"/>
  <c r="U312" i="10" s="1"/>
  <c r="W244" i="10"/>
  <c r="AF494" i="10"/>
  <c r="AG494" i="10" s="1"/>
  <c r="AC107" i="10"/>
  <c r="AD107" i="10" s="1"/>
  <c r="Z419" i="10"/>
  <c r="AA419" i="10" s="1"/>
  <c r="T321" i="10"/>
  <c r="U321" i="10" s="1"/>
  <c r="W441" i="10"/>
  <c r="T367" i="10"/>
  <c r="U367" i="10" s="1"/>
  <c r="Z455" i="10"/>
  <c r="AA455" i="10" s="1"/>
  <c r="W356" i="10"/>
  <c r="T150" i="10"/>
  <c r="U150" i="10" s="1"/>
  <c r="Z173" i="10"/>
  <c r="AA173" i="10" s="1"/>
  <c r="T324" i="10"/>
  <c r="U324" i="10" s="1"/>
  <c r="AC330" i="10"/>
  <c r="AD330" i="10" s="1"/>
  <c r="W432" i="10"/>
  <c r="AC469" i="10"/>
  <c r="AD469" i="10" s="1"/>
  <c r="AF65" i="10"/>
  <c r="T230" i="10"/>
  <c r="U230" i="10" s="1"/>
  <c r="T282" i="10"/>
  <c r="U282" i="10" s="1"/>
  <c r="T423" i="10"/>
  <c r="U423" i="10" s="1"/>
  <c r="AC448" i="10"/>
  <c r="AD448" i="10" s="1"/>
  <c r="T108" i="10"/>
  <c r="U108" i="10" s="1"/>
  <c r="Z226" i="10"/>
  <c r="AA226" i="10" s="1"/>
  <c r="T63" i="10"/>
  <c r="U63" i="10" s="1"/>
  <c r="T376" i="10"/>
  <c r="U376" i="10" s="1"/>
  <c r="T347" i="10"/>
  <c r="U347" i="10" s="1"/>
  <c r="T35" i="10"/>
  <c r="U35" i="10" s="1"/>
  <c r="T182" i="10"/>
  <c r="U182" i="10" s="1"/>
  <c r="T519" i="10"/>
  <c r="U519" i="10" s="1"/>
  <c r="T475" i="10"/>
  <c r="U475" i="10" s="1"/>
  <c r="T27" i="10"/>
  <c r="U27" i="10" s="1"/>
  <c r="T239" i="10"/>
  <c r="U239" i="10" s="1"/>
  <c r="Z223" i="10"/>
  <c r="AA223" i="10" s="1"/>
  <c r="AF500" i="10"/>
  <c r="W161" i="10"/>
  <c r="W30" i="10"/>
  <c r="X30" i="10" s="1"/>
  <c r="T243" i="10"/>
  <c r="U243" i="10" s="1"/>
  <c r="Z40" i="10"/>
  <c r="AA40" i="10" s="1"/>
  <c r="AF104" i="10"/>
  <c r="AG104" i="10" s="1"/>
  <c r="Z295" i="10"/>
  <c r="AA295" i="10" s="1"/>
  <c r="AF304" i="10"/>
  <c r="AC166" i="10"/>
  <c r="AD166" i="10" s="1"/>
  <c r="W210" i="10"/>
  <c r="Z160" i="10"/>
  <c r="AA160" i="10" s="1"/>
  <c r="W31" i="10"/>
  <c r="X31" i="10" s="1"/>
  <c r="W515" i="10"/>
  <c r="W300" i="10"/>
  <c r="W86" i="10"/>
  <c r="W323" i="10"/>
  <c r="W240" i="10"/>
  <c r="W258" i="10"/>
  <c r="W397" i="10"/>
  <c r="W286" i="10"/>
  <c r="W271" i="10"/>
  <c r="Z544" i="10"/>
  <c r="AA544" i="10" s="1"/>
  <c r="Z104" i="10"/>
  <c r="AA104" i="10" s="1"/>
  <c r="W193" i="10"/>
  <c r="AC83" i="10"/>
  <c r="AD83" i="10" s="1"/>
  <c r="W471" i="10"/>
  <c r="X471" i="10" s="1"/>
  <c r="AC496" i="10"/>
  <c r="AD496" i="10" s="1"/>
  <c r="W424" i="10"/>
  <c r="T463" i="10"/>
  <c r="U463" i="10" s="1"/>
  <c r="AF68" i="10"/>
  <c r="Z51" i="10"/>
  <c r="AA51" i="10" s="1"/>
  <c r="Z18" i="10"/>
  <c r="AA18" i="10" s="1"/>
  <c r="AF449" i="10"/>
  <c r="AG449" i="10" s="1"/>
  <c r="AC2" i="10"/>
  <c r="AD2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Raisa Ahmed</author>
  </authors>
  <commentList>
    <comment ref="F2" authorId="0" shapeId="0" xr:uid="{2F77B8B4-C526-4892-BF8A-87989422344C}">
      <text>
        <r>
          <rPr>
            <b/>
            <sz val="9"/>
            <color indexed="81"/>
            <rFont val="Tahoma"/>
            <family val="2"/>
          </rPr>
          <t>Raisa Ahmed:</t>
        </r>
        <r>
          <rPr>
            <sz val="9"/>
            <color indexed="81"/>
            <rFont val="Tahoma"/>
            <family val="2"/>
          </rPr>
          <t xml:space="preserve">
blue is from field </t>
        </r>
      </text>
    </comment>
  </commentList>
</comments>
</file>

<file path=xl/sharedStrings.xml><?xml version="1.0" encoding="utf-8"?>
<sst xmlns="http://schemas.openxmlformats.org/spreadsheetml/2006/main" count="2408" uniqueCount="1177">
  <si>
    <t>BD404104</t>
  </si>
  <si>
    <t>BD302602</t>
  </si>
  <si>
    <t>BD501006</t>
  </si>
  <si>
    <t>BD555202</t>
  </si>
  <si>
    <t>BD100602</t>
  </si>
  <si>
    <t>BD603602</t>
  </si>
  <si>
    <t>BD201202</t>
  </si>
  <si>
    <t>BD503813</t>
  </si>
  <si>
    <t>BD401807</t>
  </si>
  <si>
    <t>BD302903</t>
  </si>
  <si>
    <t>BD200304</t>
  </si>
  <si>
    <t>BD201504</t>
  </si>
  <si>
    <t>BD306702</t>
  </si>
  <si>
    <t>BD201233</t>
  </si>
  <si>
    <t>BD408704</t>
  </si>
  <si>
    <t>BD507605</t>
  </si>
  <si>
    <t>BD457204</t>
  </si>
  <si>
    <t>BD506403</t>
  </si>
  <si>
    <t>BD557704</t>
  </si>
  <si>
    <t>BD304802</t>
  </si>
  <si>
    <t>BD100603</t>
  </si>
  <si>
    <t>BD506406</t>
  </si>
  <si>
    <t>BD558503</t>
  </si>
  <si>
    <t>BD302604</t>
  </si>
  <si>
    <t>BD506909</t>
  </si>
  <si>
    <t>BD400108</t>
  </si>
  <si>
    <t>BD508110</t>
  </si>
  <si>
    <t>BD208407</t>
  </si>
  <si>
    <t>BD404109</t>
  </si>
  <si>
    <t>BD508112</t>
  </si>
  <si>
    <t>BD603605</t>
  </si>
  <si>
    <t>BD304806</t>
  </si>
  <si>
    <t>BD201510</t>
  </si>
  <si>
    <t>BD100607</t>
  </si>
  <si>
    <t>BD453907</t>
  </si>
  <si>
    <t>BD609108</t>
  </si>
  <si>
    <t>BD308207</t>
  </si>
  <si>
    <t>BD559408</t>
  </si>
  <si>
    <t>BD100419</t>
  </si>
  <si>
    <t>BD100610</t>
  </si>
  <si>
    <t>BD201204</t>
  </si>
  <si>
    <t>BD306706</t>
  </si>
  <si>
    <t>BD200314</t>
  </si>
  <si>
    <t>BD302605</t>
  </si>
  <si>
    <t>BD603611</t>
  </si>
  <si>
    <t>BD201508</t>
  </si>
  <si>
    <t>BD506915</t>
  </si>
  <si>
    <t>BD100428</t>
  </si>
  <si>
    <t>BD457209</t>
  </si>
  <si>
    <t>BD100651</t>
  </si>
  <si>
    <t>BD208421</t>
  </si>
  <si>
    <t>BD605814</t>
  </si>
  <si>
    <t>BD201909</t>
  </si>
  <si>
    <t>BD309309</t>
  </si>
  <si>
    <t>BD404712</t>
  </si>
  <si>
    <t>BD107838</t>
  </si>
  <si>
    <t>BD201506</t>
  </si>
  <si>
    <t>BD609117</t>
  </si>
  <si>
    <t>BD207507</t>
  </si>
  <si>
    <t>BD306807</t>
  </si>
  <si>
    <t>BD208429</t>
  </si>
  <si>
    <t>BD508811</t>
  </si>
  <si>
    <t>BD507616</t>
  </si>
  <si>
    <t>BD100447</t>
  </si>
  <si>
    <t>BD304811</t>
  </si>
  <si>
    <t>BD456113</t>
  </si>
  <si>
    <t>BD107914</t>
  </si>
  <si>
    <t>BD302910</t>
  </si>
  <si>
    <t>BD507619</t>
  </si>
  <si>
    <t>BD308614</t>
  </si>
  <si>
    <t>BD405015</t>
  </si>
  <si>
    <t>BD100918</t>
  </si>
  <si>
    <t>BD507018</t>
  </si>
  <si>
    <t>BD309319</t>
  </si>
  <si>
    <t>BD554906</t>
  </si>
  <si>
    <t>BD201207</t>
  </si>
  <si>
    <t>BD302606</t>
  </si>
  <si>
    <t>BD552717</t>
  </si>
  <si>
    <t>BD552710</t>
  </si>
  <si>
    <t>BD552712</t>
  </si>
  <si>
    <t>BD609018</t>
  </si>
  <si>
    <t>BD609120</t>
  </si>
  <si>
    <t>BD508122</t>
  </si>
  <si>
    <t>BD201512</t>
  </si>
  <si>
    <t>BD302918</t>
  </si>
  <si>
    <t>BD552721</t>
  </si>
  <si>
    <t>BD557725</t>
  </si>
  <si>
    <t>BD501020</t>
  </si>
  <si>
    <t>BD201915</t>
  </si>
  <si>
    <t>BD201213</t>
  </si>
  <si>
    <t>BD100921</t>
  </si>
  <si>
    <t>BD201918</t>
  </si>
  <si>
    <t>BD302608</t>
  </si>
  <si>
    <t>BD302609</t>
  </si>
  <si>
    <t>BD202216</t>
  </si>
  <si>
    <t>BD201518</t>
  </si>
  <si>
    <t>BD201519</t>
  </si>
  <si>
    <t>BD201927</t>
  </si>
  <si>
    <t>BD201322</t>
  </si>
  <si>
    <t>BD302921</t>
  </si>
  <si>
    <t>BD100925</t>
  </si>
  <si>
    <t>BD554908</t>
  </si>
  <si>
    <t>BD508125</t>
  </si>
  <si>
    <t>BD207510</t>
  </si>
  <si>
    <t>BD507622</t>
  </si>
  <si>
    <t>BD201931</t>
  </si>
  <si>
    <t>BD404111</t>
  </si>
  <si>
    <t>BD508827</t>
  </si>
  <si>
    <t>BD203014</t>
  </si>
  <si>
    <t>BD609023</t>
  </si>
  <si>
    <t>BD554909</t>
  </si>
  <si>
    <t>BD552730</t>
  </si>
  <si>
    <t>BD400114</t>
  </si>
  <si>
    <t>BD201520</t>
  </si>
  <si>
    <t>BD401823</t>
  </si>
  <si>
    <t>BD603626</t>
  </si>
  <si>
    <t>BD201967</t>
  </si>
  <si>
    <t>BD201933</t>
  </si>
  <si>
    <t>BD207521</t>
  </si>
  <si>
    <t>BD609127</t>
  </si>
  <si>
    <t>BD202224</t>
  </si>
  <si>
    <t>BD404717</t>
  </si>
  <si>
    <t>BD203025</t>
  </si>
  <si>
    <t>BD609027</t>
  </si>
  <si>
    <t>BD609131</t>
  </si>
  <si>
    <t>BD302610</t>
  </si>
  <si>
    <t>BD308625</t>
  </si>
  <si>
    <t>BD401831</t>
  </si>
  <si>
    <t>BD302611</t>
  </si>
  <si>
    <t>BD107852</t>
  </si>
  <si>
    <t>BD201936</t>
  </si>
  <si>
    <t>BD100929</t>
  </si>
  <si>
    <t>BD305610</t>
  </si>
  <si>
    <t>BD405039</t>
  </si>
  <si>
    <t>BD408725</t>
  </si>
  <si>
    <t>BD201940</t>
  </si>
  <si>
    <t>BD557734</t>
  </si>
  <si>
    <t>BD309323</t>
  </si>
  <si>
    <t>BD302612</t>
  </si>
  <si>
    <t>BD609029</t>
  </si>
  <si>
    <t>BD453915</t>
  </si>
  <si>
    <t>BD506428</t>
  </si>
  <si>
    <t>BD302614</t>
  </si>
  <si>
    <t>BD309325</t>
  </si>
  <si>
    <t>BD302616</t>
  </si>
  <si>
    <t>BD609032</t>
  </si>
  <si>
    <t>BD456116</t>
  </si>
  <si>
    <t>BD501027</t>
  </si>
  <si>
    <t>BD501033</t>
  </si>
  <si>
    <t>BD404740</t>
  </si>
  <si>
    <t>BD204643</t>
  </si>
  <si>
    <t>BD557312</t>
  </si>
  <si>
    <t>BD552764</t>
  </si>
  <si>
    <t>BD302618</t>
  </si>
  <si>
    <t>BD557315</t>
  </si>
  <si>
    <t>BD201528</t>
  </si>
  <si>
    <t>BD609033</t>
  </si>
  <si>
    <t>BD107855</t>
  </si>
  <si>
    <t>BD404730</t>
  </si>
  <si>
    <t>BD457218</t>
  </si>
  <si>
    <t>BD508131</t>
  </si>
  <si>
    <t>BD400134</t>
  </si>
  <si>
    <t>BD201345</t>
  </si>
  <si>
    <t>BD507633</t>
  </si>
  <si>
    <t>BD302947</t>
  </si>
  <si>
    <t>BD201533</t>
  </si>
  <si>
    <t>BD609135</t>
  </si>
  <si>
    <t>BD203029</t>
  </si>
  <si>
    <t>BD552738</t>
  </si>
  <si>
    <t>BD456120</t>
  </si>
  <si>
    <t>BD553221</t>
  </si>
  <si>
    <t>BD203041</t>
  </si>
  <si>
    <t>BD501040</t>
  </si>
  <si>
    <t>BD456122</t>
  </si>
  <si>
    <t>BD553224</t>
  </si>
  <si>
    <t>BD558527</t>
  </si>
  <si>
    <t>BD405747</t>
  </si>
  <si>
    <t>BD456123</t>
  </si>
  <si>
    <t>BD100632</t>
  </si>
  <si>
    <t>BD305924</t>
  </si>
  <si>
    <t>BD303330</t>
  </si>
  <si>
    <t>BD302624</t>
  </si>
  <si>
    <t>BD309328</t>
  </si>
  <si>
    <t>BD305622</t>
  </si>
  <si>
    <t>BD552743</t>
  </si>
  <si>
    <t>BD308229</t>
  </si>
  <si>
    <t>BD553230</t>
  </si>
  <si>
    <t>BD508134</t>
  </si>
  <si>
    <t>BD609138</t>
  </si>
  <si>
    <t>BD507037</t>
  </si>
  <si>
    <t>BD303532</t>
  </si>
  <si>
    <t>BD309338</t>
  </si>
  <si>
    <t>BD308636</t>
  </si>
  <si>
    <t>BD609141</t>
  </si>
  <si>
    <t>BD302626</t>
  </si>
  <si>
    <t>BD506941</t>
  </si>
  <si>
    <t>BD603644</t>
  </si>
  <si>
    <t>BD201347</t>
  </si>
  <si>
    <t>BD201349</t>
  </si>
  <si>
    <t>BD552747</t>
  </si>
  <si>
    <t>BD201535</t>
  </si>
  <si>
    <t>BD456124</t>
  </si>
  <si>
    <t>BD404414</t>
  </si>
  <si>
    <t>BD559451</t>
  </si>
  <si>
    <t>BD305628</t>
  </si>
  <si>
    <t>BD201537</t>
  </si>
  <si>
    <t>BD555233</t>
  </si>
  <si>
    <t>BD207536</t>
  </si>
  <si>
    <t>BD302628</t>
  </si>
  <si>
    <t>BD100636</t>
  </si>
  <si>
    <t>BD201954</t>
  </si>
  <si>
    <t>BD304827</t>
  </si>
  <si>
    <t>BD507639</t>
  </si>
  <si>
    <t>BD456131</t>
  </si>
  <si>
    <t>BD453929</t>
  </si>
  <si>
    <t>BD304833</t>
  </si>
  <si>
    <t>BD609047</t>
  </si>
  <si>
    <t>BD609153</t>
  </si>
  <si>
    <t>BD557336</t>
  </si>
  <si>
    <t>BD609050</t>
  </si>
  <si>
    <t>BD453936</t>
  </si>
  <si>
    <t>BD302629</t>
  </si>
  <si>
    <t>BD104240</t>
  </si>
  <si>
    <t>BD404419</t>
  </si>
  <si>
    <t>BD458937</t>
  </si>
  <si>
    <t>BD404123</t>
  </si>
  <si>
    <t>BD401855</t>
  </si>
  <si>
    <t>BD503847</t>
  </si>
  <si>
    <t>BD208447</t>
  </si>
  <si>
    <t>BD605835</t>
  </si>
  <si>
    <t>BD207547</t>
  </si>
  <si>
    <t>BD201358</t>
  </si>
  <si>
    <t>BD400138</t>
  </si>
  <si>
    <t>BD302632</t>
  </si>
  <si>
    <t>BD302630</t>
  </si>
  <si>
    <t>BD501054</t>
  </si>
  <si>
    <t>BD552756</t>
  </si>
  <si>
    <t>BD107866</t>
  </si>
  <si>
    <t>BD302633</t>
  </si>
  <si>
    <t>BD503858</t>
  </si>
  <si>
    <t>BD408743</t>
  </si>
  <si>
    <t>BD406528</t>
  </si>
  <si>
    <t>BD303332</t>
  </si>
  <si>
    <t>BD303334</t>
  </si>
  <si>
    <t>BD404433</t>
  </si>
  <si>
    <t>BD408747</t>
  </si>
  <si>
    <t>BD555239</t>
  </si>
  <si>
    <t>BD309347</t>
  </si>
  <si>
    <t>BD305440</t>
  </si>
  <si>
    <t>BD457240</t>
  </si>
  <si>
    <t>BD308247</t>
  </si>
  <si>
    <t>BD605856</t>
  </si>
  <si>
    <t>BD205133</t>
  </si>
  <si>
    <t>BD508844</t>
  </si>
  <si>
    <t>BD302634</t>
  </si>
  <si>
    <t>BD609159</t>
  </si>
  <si>
    <t>BD104243</t>
  </si>
  <si>
    <t>BD303336</t>
  </si>
  <si>
    <t>BD208436</t>
  </si>
  <si>
    <t>BD304842</t>
  </si>
  <si>
    <t>BD201263</t>
  </si>
  <si>
    <t>BD303543</t>
  </si>
  <si>
    <t>BD304845</t>
  </si>
  <si>
    <t>BD558542</t>
  </si>
  <si>
    <t>BD107947</t>
  </si>
  <si>
    <t>BD208425</t>
  </si>
  <si>
    <t>BD508850</t>
  </si>
  <si>
    <t>BD457247</t>
  </si>
  <si>
    <t>BD302638</t>
  </si>
  <si>
    <t>BD404138</t>
  </si>
  <si>
    <t>BD204649</t>
  </si>
  <si>
    <t>BD457238</t>
  </si>
  <si>
    <t>BD404748</t>
  </si>
  <si>
    <t>BD552760</t>
  </si>
  <si>
    <t>BD503861</t>
  </si>
  <si>
    <t>BD302636</t>
  </si>
  <si>
    <t>BD302637</t>
  </si>
  <si>
    <t>BD405063</t>
  </si>
  <si>
    <t>BD201543</t>
  </si>
  <si>
    <t>BD557345</t>
  </si>
  <si>
    <t>BD304849</t>
  </si>
  <si>
    <t>BD303551</t>
  </si>
  <si>
    <t>BD404442</t>
  </si>
  <si>
    <t>BD201541</t>
  </si>
  <si>
    <t>BD302640</t>
  </si>
  <si>
    <t>BD404147</t>
  </si>
  <si>
    <t>BD404753</t>
  </si>
  <si>
    <t>BD605865</t>
  </si>
  <si>
    <t>BD304854</t>
  </si>
  <si>
    <t>BD405071</t>
  </si>
  <si>
    <t>BD554952</t>
  </si>
  <si>
    <t>BD405079</t>
  </si>
  <si>
    <t>BD202245</t>
  </si>
  <si>
    <t>BD603668</t>
  </si>
  <si>
    <t>BD201972</t>
  </si>
  <si>
    <t>BD204661</t>
  </si>
  <si>
    <t>BD205143</t>
  </si>
  <si>
    <t>BD302642</t>
  </si>
  <si>
    <t>BD100954</t>
  </si>
  <si>
    <t>BD555255</t>
  </si>
  <si>
    <t>BD506944</t>
  </si>
  <si>
    <t>BD200351</t>
  </si>
  <si>
    <t>BD208458</t>
  </si>
  <si>
    <t>BD201547</t>
  </si>
  <si>
    <t>BD406552</t>
  </si>
  <si>
    <t>BD305944</t>
  </si>
  <si>
    <t>BD457256</t>
  </si>
  <si>
    <t>BD453958</t>
  </si>
  <si>
    <t>BD305454</t>
  </si>
  <si>
    <t>BD603671</t>
  </si>
  <si>
    <t>BD302956</t>
  </si>
  <si>
    <t>BD309357</t>
  </si>
  <si>
    <t>BD405557</t>
  </si>
  <si>
    <t>BD506450</t>
  </si>
  <si>
    <t>BD204665</t>
  </si>
  <si>
    <t>BD202249</t>
  </si>
  <si>
    <t>BD404471</t>
  </si>
  <si>
    <t>BD506447</t>
  </si>
  <si>
    <t>BD204667</t>
  </si>
  <si>
    <t>BD305646</t>
  </si>
  <si>
    <t>BD404161</t>
  </si>
  <si>
    <t>BD306852</t>
  </si>
  <si>
    <t>BD201974</t>
  </si>
  <si>
    <t>BD100965</t>
  </si>
  <si>
    <t>BD107958</t>
  </si>
  <si>
    <t>BD508140</t>
  </si>
  <si>
    <t>BD204670</t>
  </si>
  <si>
    <t>BD201376</t>
  </si>
  <si>
    <t>BD201379</t>
  </si>
  <si>
    <t>BD605874</t>
  </si>
  <si>
    <t>BD201975</t>
  </si>
  <si>
    <t>BD100662</t>
  </si>
  <si>
    <t>BD405787</t>
  </si>
  <si>
    <t>BD453961</t>
  </si>
  <si>
    <t>BD302648</t>
  </si>
  <si>
    <t>BD405094</t>
  </si>
  <si>
    <t>BD201553</t>
  </si>
  <si>
    <t>BD107876</t>
  </si>
  <si>
    <t>BD309366</t>
  </si>
  <si>
    <t>BD558558</t>
  </si>
  <si>
    <t>BD304859</t>
  </si>
  <si>
    <t>BD302650</t>
  </si>
  <si>
    <t>BD405566</t>
  </si>
  <si>
    <t>BD457263</t>
  </si>
  <si>
    <t>BD508153</t>
  </si>
  <si>
    <t>BD400156</t>
  </si>
  <si>
    <t>BD400158</t>
  </si>
  <si>
    <t>BD400160</t>
  </si>
  <si>
    <t>BD302654</t>
  </si>
  <si>
    <t>BD405760</t>
  </si>
  <si>
    <t>BD303558</t>
  </si>
  <si>
    <t>BD456165</t>
  </si>
  <si>
    <t>BD100669</t>
  </si>
  <si>
    <t>BD305956</t>
  </si>
  <si>
    <t>BD201981</t>
  </si>
  <si>
    <t>BD456152</t>
  </si>
  <si>
    <t>BD603677</t>
  </si>
  <si>
    <t>BD201285</t>
  </si>
  <si>
    <t>BD507056</t>
  </si>
  <si>
    <t>BD302962</t>
  </si>
  <si>
    <t>BD309376</t>
  </si>
  <si>
    <t>BD554961</t>
  </si>
  <si>
    <t>BD200373</t>
  </si>
  <si>
    <t>BD458967</t>
  </si>
  <si>
    <t>BD104273</t>
  </si>
  <si>
    <t>BD458970</t>
  </si>
  <si>
    <t>BD456172</t>
  </si>
  <si>
    <t>BD501067</t>
  </si>
  <si>
    <t>BD201987</t>
  </si>
  <si>
    <t>BD208475</t>
  </si>
  <si>
    <t>BD506460</t>
  </si>
  <si>
    <t>BD406576</t>
  </si>
  <si>
    <t>BD306758</t>
  </si>
  <si>
    <t>BD308665</t>
  </si>
  <si>
    <t>BD306860</t>
  </si>
  <si>
    <t>BD201290</t>
  </si>
  <si>
    <t>BD506963</t>
  </si>
  <si>
    <t>BD302662</t>
  </si>
  <si>
    <t>BD552769</t>
  </si>
  <si>
    <t>BD507066</t>
  </si>
  <si>
    <t>BD107976</t>
  </si>
  <si>
    <t>BD107987</t>
  </si>
  <si>
    <t>BD457274</t>
  </si>
  <si>
    <t>BD302663</t>
  </si>
  <si>
    <t>BD506469</t>
  </si>
  <si>
    <t>BD304876</t>
  </si>
  <si>
    <t>BD557364</t>
  </si>
  <si>
    <t>BD207587</t>
  </si>
  <si>
    <t>BD508172</t>
  </si>
  <si>
    <t>BD507655</t>
  </si>
  <si>
    <t>BD201555</t>
  </si>
  <si>
    <t>BD404764</t>
  </si>
  <si>
    <t>BD304879</t>
  </si>
  <si>
    <t>BD306863</t>
  </si>
  <si>
    <t>BD553267</t>
  </si>
  <si>
    <t>BD302664</t>
  </si>
  <si>
    <t>BD302665</t>
  </si>
  <si>
    <t>BD557773</t>
  </si>
  <si>
    <t>BD503874</t>
  </si>
  <si>
    <t>BD204677</t>
  </si>
  <si>
    <t>BD201557</t>
  </si>
  <si>
    <t>BD308273</t>
  </si>
  <si>
    <t>BD552777</t>
  </si>
  <si>
    <t>BD203051</t>
  </si>
  <si>
    <t>BD201565</t>
  </si>
  <si>
    <t>BD555270</t>
  </si>
  <si>
    <t>BD100485</t>
  </si>
  <si>
    <t>BD201561</t>
  </si>
  <si>
    <t>BD506475</t>
  </si>
  <si>
    <t>BD107895</t>
  </si>
  <si>
    <t>BD202256</t>
  </si>
  <si>
    <t>BD554918</t>
  </si>
  <si>
    <t>BD456181</t>
  </si>
  <si>
    <t>BD404769</t>
  </si>
  <si>
    <t>BD558573</t>
  </si>
  <si>
    <t>BD558576</t>
  </si>
  <si>
    <t>BD559482</t>
  </si>
  <si>
    <t>BD107980</t>
  </si>
  <si>
    <t>BD506479</t>
  </si>
  <si>
    <t>BD457283</t>
  </si>
  <si>
    <t>BD508182</t>
  </si>
  <si>
    <t>BD104284</t>
  </si>
  <si>
    <t>BD554977</t>
  </si>
  <si>
    <t>BD208478</t>
  </si>
  <si>
    <t>BD308276</t>
  </si>
  <si>
    <t>BD605880</t>
  </si>
  <si>
    <t>BD305480</t>
  </si>
  <si>
    <t>BD508185</t>
  </si>
  <si>
    <t>BD205165</t>
  </si>
  <si>
    <t>BD204680</t>
  </si>
  <si>
    <t>BD205173</t>
  </si>
  <si>
    <t>BD302666</t>
  </si>
  <si>
    <t>BD400173</t>
  </si>
  <si>
    <t>BD302667</t>
  </si>
  <si>
    <t>BD202266</t>
  </si>
  <si>
    <t>BD208487</t>
  </si>
  <si>
    <t>BD558549</t>
  </si>
  <si>
    <t>BD201570</t>
  </si>
  <si>
    <t>BD506485</t>
  </si>
  <si>
    <t>BD559486</t>
  </si>
  <si>
    <t>BD201574</t>
  </si>
  <si>
    <t>BD554979</t>
  </si>
  <si>
    <t>BD200389</t>
  </si>
  <si>
    <t>BD508861</t>
  </si>
  <si>
    <t>BD205158</t>
  </si>
  <si>
    <t>BD306864</t>
  </si>
  <si>
    <t>BD200391</t>
  </si>
  <si>
    <t>BD306768</t>
  </si>
  <si>
    <t>BD404775</t>
  </si>
  <si>
    <t>BD302668</t>
  </si>
  <si>
    <t>BD302984</t>
  </si>
  <si>
    <t>BD553282</t>
  </si>
  <si>
    <t>BD553288</t>
  </si>
  <si>
    <t>BD557385</t>
  </si>
  <si>
    <t>BD309385</t>
  </si>
  <si>
    <t>BD302990</t>
  </si>
  <si>
    <t>BD201578</t>
  </si>
  <si>
    <t>BD507672</t>
  </si>
  <si>
    <t>BD506486</t>
  </si>
  <si>
    <t>BD201294</t>
  </si>
  <si>
    <t>BD400177</t>
  </si>
  <si>
    <t>BD501081</t>
  </si>
  <si>
    <t>BD453985</t>
  </si>
  <si>
    <t>BD201582</t>
  </si>
  <si>
    <t>BD408782</t>
  </si>
  <si>
    <t>BD305670</t>
  </si>
  <si>
    <t>BD302672</t>
  </si>
  <si>
    <t>BD207580</t>
  </si>
  <si>
    <t>BD305974</t>
  </si>
  <si>
    <t>BD302674</t>
  </si>
  <si>
    <t>BD508190</t>
  </si>
  <si>
    <t>BD302675</t>
  </si>
  <si>
    <t>BD508867</t>
  </si>
  <si>
    <t>BD201395</t>
  </si>
  <si>
    <t>BD404480</t>
  </si>
  <si>
    <t>BD501085</t>
  </si>
  <si>
    <t>BD405585</t>
  </si>
  <si>
    <t>BD308669</t>
  </si>
  <si>
    <t>BD404190</t>
  </si>
  <si>
    <t>BD302680</t>
  </si>
  <si>
    <t>BD501088</t>
  </si>
  <si>
    <t>BD458988</t>
  </si>
  <si>
    <t>BD305487</t>
  </si>
  <si>
    <t>BD305678</t>
  </si>
  <si>
    <t>BD501094</t>
  </si>
  <si>
    <t>BD507088</t>
  </si>
  <si>
    <t>BD306876</t>
  </si>
  <si>
    <t>BD302676</t>
  </si>
  <si>
    <t>BD305682</t>
  </si>
  <si>
    <t>BD506991</t>
  </si>
  <si>
    <t>BD508878</t>
  </si>
  <si>
    <t>BD201586</t>
  </si>
  <si>
    <t>BD203094</t>
  </si>
  <si>
    <t>BD207583</t>
  </si>
  <si>
    <t>BD306704</t>
  </si>
  <si>
    <t>BD501095</t>
  </si>
  <si>
    <t>BD458990</t>
  </si>
  <si>
    <t>BD605883</t>
  </si>
  <si>
    <t>BD305984</t>
  </si>
  <si>
    <t>BD303386</t>
  </si>
  <si>
    <t>BD405595</t>
  </si>
  <si>
    <t>BD207585</t>
  </si>
  <si>
    <t>BD507683</t>
  </si>
  <si>
    <t>BD609086</t>
  </si>
  <si>
    <t>BD609089</t>
  </si>
  <si>
    <t>BD553291</t>
  </si>
  <si>
    <t>BD302688</t>
  </si>
  <si>
    <t>BD609162</t>
  </si>
  <si>
    <t>BD609092</t>
  </si>
  <si>
    <t>BD408790</t>
  </si>
  <si>
    <t>BD309395</t>
  </si>
  <si>
    <t>BD508194</t>
  </si>
  <si>
    <t>BD558592</t>
  </si>
  <si>
    <t>BD304892</t>
  </si>
  <si>
    <t>BD508889</t>
  </si>
  <si>
    <t>BD100991</t>
  </si>
  <si>
    <t>BD302690</t>
  </si>
  <si>
    <t>BD302692</t>
  </si>
  <si>
    <t>BD202290</t>
  </si>
  <si>
    <t>BD557790</t>
  </si>
  <si>
    <t>BD404794</t>
  </si>
  <si>
    <t>BD559494</t>
  </si>
  <si>
    <t>BD200395</t>
  </si>
  <si>
    <t>BD201994</t>
  </si>
  <si>
    <t>BD305994</t>
  </si>
  <si>
    <t>BD456194</t>
  </si>
  <si>
    <t>BD303591</t>
  </si>
  <si>
    <t>BD302693</t>
  </si>
  <si>
    <t>BD202294</t>
  </si>
  <si>
    <t>BD554994</t>
  </si>
  <si>
    <t>BD508894</t>
  </si>
  <si>
    <t>BD302696</t>
  </si>
  <si>
    <t>BD302695</t>
  </si>
  <si>
    <t>BD100694</t>
  </si>
  <si>
    <t>BD609194</t>
  </si>
  <si>
    <t>BD308694</t>
  </si>
  <si>
    <t>BD107990</t>
  </si>
  <si>
    <t>BD100409</t>
  </si>
  <si>
    <t>BD408786</t>
  </si>
  <si>
    <t>BD107857</t>
  </si>
  <si>
    <t>ADM3_PCODE</t>
  </si>
  <si>
    <t>District</t>
  </si>
  <si>
    <t>P Code</t>
  </si>
  <si>
    <t>Wind Gust</t>
  </si>
  <si>
    <t>Rainfall</t>
  </si>
  <si>
    <t>Storm Surge</t>
  </si>
  <si>
    <t>Amtali</t>
  </si>
  <si>
    <t>Barguna</t>
  </si>
  <si>
    <t>Bamna</t>
  </si>
  <si>
    <t>Barguna Sadar</t>
  </si>
  <si>
    <t>Betagi</t>
  </si>
  <si>
    <t>Patharghata</t>
  </si>
  <si>
    <t>Agailjhara</t>
  </si>
  <si>
    <t>Barisal</t>
  </si>
  <si>
    <t>Babuganj</t>
  </si>
  <si>
    <t>Bakerganj</t>
  </si>
  <si>
    <t>Banari Para</t>
  </si>
  <si>
    <t>Gaurnadi</t>
  </si>
  <si>
    <t>Hizla</t>
  </si>
  <si>
    <t>Mehendiganj</t>
  </si>
  <si>
    <t>Muladi</t>
  </si>
  <si>
    <t>Wazirpur</t>
  </si>
  <si>
    <t>Bhola Sadar</t>
  </si>
  <si>
    <t>Bhola</t>
  </si>
  <si>
    <t>Burhanuddin</t>
  </si>
  <si>
    <t>Char Fasson</t>
  </si>
  <si>
    <t>Lalmohan</t>
  </si>
  <si>
    <t>Manpura</t>
  </si>
  <si>
    <t>Tazumuddin</t>
  </si>
  <si>
    <t>Jhalokati Sadar</t>
  </si>
  <si>
    <t>Jhalokati</t>
  </si>
  <si>
    <t>Kanthalia</t>
  </si>
  <si>
    <t>Nalchity</t>
  </si>
  <si>
    <t>Rajapur</t>
  </si>
  <si>
    <t>Bauphal</t>
  </si>
  <si>
    <t>Patuakhali</t>
  </si>
  <si>
    <t>Dashmina</t>
  </si>
  <si>
    <t>Dumki</t>
  </si>
  <si>
    <t>Galachipa</t>
  </si>
  <si>
    <t>Kala Para</t>
  </si>
  <si>
    <t>Mirzaganj</t>
  </si>
  <si>
    <t>Patuakhali Sadar</t>
  </si>
  <si>
    <t>Bhandaria</t>
  </si>
  <si>
    <t>Pirojpur</t>
  </si>
  <si>
    <t>Kawkhali</t>
  </si>
  <si>
    <t>Mathbaria</t>
  </si>
  <si>
    <t>Nazirpur</t>
  </si>
  <si>
    <t>Pirojpur Sadar</t>
  </si>
  <si>
    <t>Alikadam</t>
  </si>
  <si>
    <t>Bandarban</t>
  </si>
  <si>
    <t>Bandarban Sadar</t>
  </si>
  <si>
    <t>Lama</t>
  </si>
  <si>
    <t>Naikhongchhari</t>
  </si>
  <si>
    <t>Rowangchhari</t>
  </si>
  <si>
    <t>Ruma</t>
  </si>
  <si>
    <t>Thanchi</t>
  </si>
  <si>
    <t>Akhaura</t>
  </si>
  <si>
    <t>Brahmanbaria</t>
  </si>
  <si>
    <t>Banchharampur</t>
  </si>
  <si>
    <t>Brahmanbaria Sadar</t>
  </si>
  <si>
    <t>Ashuganj</t>
  </si>
  <si>
    <t>Kasba</t>
  </si>
  <si>
    <t>Nabinagar</t>
  </si>
  <si>
    <t>Nasirnagar</t>
  </si>
  <si>
    <t>Sarail</t>
  </si>
  <si>
    <t>Chandpur Sadar</t>
  </si>
  <si>
    <t>Chandpur</t>
  </si>
  <si>
    <t>Faridganj</t>
  </si>
  <si>
    <t>Haim Char</t>
  </si>
  <si>
    <t>Hajiganj</t>
  </si>
  <si>
    <t>Matlab Dakshin</t>
  </si>
  <si>
    <t>Shahrasti</t>
  </si>
  <si>
    <t>Anowara</t>
  </si>
  <si>
    <t>Bayejid Bostami</t>
  </si>
  <si>
    <t>Banshkhali</t>
  </si>
  <si>
    <t>Bakalia</t>
  </si>
  <si>
    <t>Boalkhali</t>
  </si>
  <si>
    <t>Chandanaish</t>
  </si>
  <si>
    <t>Chandgaon</t>
  </si>
  <si>
    <t>Chittagong Port</t>
  </si>
  <si>
    <t>Double Mooring</t>
  </si>
  <si>
    <t>Fatikchhari</t>
  </si>
  <si>
    <t>Halishahar</t>
  </si>
  <si>
    <t>Hathazari</t>
  </si>
  <si>
    <t>Khulshi</t>
  </si>
  <si>
    <t>Mirsharai</t>
  </si>
  <si>
    <t>Pahartali</t>
  </si>
  <si>
    <t>Panchlaish</t>
  </si>
  <si>
    <t>Patiya</t>
  </si>
  <si>
    <t>Patenga</t>
  </si>
  <si>
    <t>Rangunia</t>
  </si>
  <si>
    <t>Raozan</t>
  </si>
  <si>
    <t>Sandwip</t>
  </si>
  <si>
    <t>Satkania</t>
  </si>
  <si>
    <t>Sitakunda</t>
  </si>
  <si>
    <t>Barura</t>
  </si>
  <si>
    <t>Brahman Para</t>
  </si>
  <si>
    <t>Burichang</t>
  </si>
  <si>
    <t>Chandina</t>
  </si>
  <si>
    <t>Chauddagram</t>
  </si>
  <si>
    <t>Comilla Sadar Dakshin</t>
  </si>
  <si>
    <t>Daudkandi</t>
  </si>
  <si>
    <t>Debidwar</t>
  </si>
  <si>
    <t>Homna</t>
  </si>
  <si>
    <t>Comilla Adarsha Sadar</t>
  </si>
  <si>
    <t>Laksam</t>
  </si>
  <si>
    <t>Manoharganj</t>
  </si>
  <si>
    <t>Meghna</t>
  </si>
  <si>
    <t>Muradnagar</t>
  </si>
  <si>
    <t>Nangalkot</t>
  </si>
  <si>
    <t>Titas</t>
  </si>
  <si>
    <t>Chakaria</t>
  </si>
  <si>
    <t>Cox's Bazar</t>
  </si>
  <si>
    <t>Cox's Bazar Sadar</t>
  </si>
  <si>
    <t>Kutubdia</t>
  </si>
  <si>
    <t>Maheshkhali</t>
  </si>
  <si>
    <t>Pekua</t>
  </si>
  <si>
    <t>Ramu</t>
  </si>
  <si>
    <t>Teknaf</t>
  </si>
  <si>
    <t>Ukhia</t>
  </si>
  <si>
    <t>Chhagalnaiya</t>
  </si>
  <si>
    <t>Feni</t>
  </si>
  <si>
    <t>Daganbhuiyan</t>
  </si>
  <si>
    <t>Feni Sadar</t>
  </si>
  <si>
    <t>Fulgazi</t>
  </si>
  <si>
    <t>Parshuram</t>
  </si>
  <si>
    <t>Sonagazi</t>
  </si>
  <si>
    <t>Dighinala</t>
  </si>
  <si>
    <t>Khagrachhari</t>
  </si>
  <si>
    <t>Khagrachhari Sadar</t>
  </si>
  <si>
    <t>Lakshmichhari</t>
  </si>
  <si>
    <t>Mahalchhari</t>
  </si>
  <si>
    <t>Manikchhari</t>
  </si>
  <si>
    <t>Matiranga</t>
  </si>
  <si>
    <t>Panchhari</t>
  </si>
  <si>
    <t>Ramgarh</t>
  </si>
  <si>
    <t>Kamalnagar</t>
  </si>
  <si>
    <t>Lakshmipur</t>
  </si>
  <si>
    <t>Lakshmipur Sadar</t>
  </si>
  <si>
    <t>Roypur</t>
  </si>
  <si>
    <t>Ramganj</t>
  </si>
  <si>
    <t>Ramgati</t>
  </si>
  <si>
    <t>Begumganj</t>
  </si>
  <si>
    <t>Noakhali</t>
  </si>
  <si>
    <t>Chatkhil</t>
  </si>
  <si>
    <t>Hatiya</t>
  </si>
  <si>
    <t>Kabirhat</t>
  </si>
  <si>
    <t>Senbagh</t>
  </si>
  <si>
    <t>Sonaimuri</t>
  </si>
  <si>
    <t>Subarnachar</t>
  </si>
  <si>
    <t>Baghai Chhari</t>
  </si>
  <si>
    <t>Rangamati</t>
  </si>
  <si>
    <t>Barkal</t>
  </si>
  <si>
    <t>Belai Chhari</t>
  </si>
  <si>
    <t>Kaptai</t>
  </si>
  <si>
    <t>Jurai Chhari</t>
  </si>
  <si>
    <t>Langadu</t>
  </si>
  <si>
    <t>Naniarchar</t>
  </si>
  <si>
    <t>Rajasthali</t>
  </si>
  <si>
    <t>Rangamati Sadar</t>
  </si>
  <si>
    <t>Adabor</t>
  </si>
  <si>
    <t>Dhaka</t>
  </si>
  <si>
    <t>Badda</t>
  </si>
  <si>
    <t>Bangshal</t>
  </si>
  <si>
    <t>Cantonment</t>
  </si>
  <si>
    <t>Dakshinkhan</t>
  </si>
  <si>
    <t>Darus Salam</t>
  </si>
  <si>
    <t>Demra</t>
  </si>
  <si>
    <t>Dhamrai</t>
  </si>
  <si>
    <t>Dhanmondi</t>
  </si>
  <si>
    <t>Dohar</t>
  </si>
  <si>
    <t>Gendaria</t>
  </si>
  <si>
    <t>Gulshan</t>
  </si>
  <si>
    <t>Hazaribagh</t>
  </si>
  <si>
    <t>Jatrabari</t>
  </si>
  <si>
    <t>Kafrul</t>
  </si>
  <si>
    <t>Kadamtali</t>
  </si>
  <si>
    <t>Kalabagan</t>
  </si>
  <si>
    <t>Kamrangir Char</t>
  </si>
  <si>
    <t>Khilgaon</t>
  </si>
  <si>
    <t>Khilkhet</t>
  </si>
  <si>
    <t>Keraniganj</t>
  </si>
  <si>
    <t>Lalbagh</t>
  </si>
  <si>
    <t>Motijheel</t>
  </si>
  <si>
    <t>Nawabganj</t>
  </si>
  <si>
    <t>New Market</t>
  </si>
  <si>
    <t>Pallabi</t>
  </si>
  <si>
    <t>Paltan</t>
  </si>
  <si>
    <t>Ramna</t>
  </si>
  <si>
    <t>Rampura</t>
  </si>
  <si>
    <t>Sabujbagh</t>
  </si>
  <si>
    <t>Savar</t>
  </si>
  <si>
    <t>Shah Ali</t>
  </si>
  <si>
    <t>Shahbagh</t>
  </si>
  <si>
    <t>Shyampur</t>
  </si>
  <si>
    <t>Sutrapur</t>
  </si>
  <si>
    <t>Tejgaon</t>
  </si>
  <si>
    <t>Tejgaon Ind. Area</t>
  </si>
  <si>
    <t>Turag</t>
  </si>
  <si>
    <t>Uttara</t>
  </si>
  <si>
    <t>Uttar Khan</t>
  </si>
  <si>
    <t>Alfadanga</t>
  </si>
  <si>
    <t>Faridpur</t>
  </si>
  <si>
    <t>Bhanga</t>
  </si>
  <si>
    <t>Boalmari</t>
  </si>
  <si>
    <t>Char Bhadrasan</t>
  </si>
  <si>
    <t>Faridpur Sadar</t>
  </si>
  <si>
    <t>Madhukhali</t>
  </si>
  <si>
    <t>Nagarkanda</t>
  </si>
  <si>
    <t>Sadarpur</t>
  </si>
  <si>
    <t>Saltha</t>
  </si>
  <si>
    <t>Gazipur Sadar</t>
  </si>
  <si>
    <t>Gazipur</t>
  </si>
  <si>
    <t>Kaliakair</t>
  </si>
  <si>
    <t>Kapasia</t>
  </si>
  <si>
    <t>Gopalganj Sadar</t>
  </si>
  <si>
    <t>Gopalganj</t>
  </si>
  <si>
    <t>Kashiani</t>
  </si>
  <si>
    <t>Muksudpur</t>
  </si>
  <si>
    <t>Austagram</t>
  </si>
  <si>
    <t>Kishoreganj</t>
  </si>
  <si>
    <t>Bajitpur</t>
  </si>
  <si>
    <t>Bhairab</t>
  </si>
  <si>
    <t>Hossainpur</t>
  </si>
  <si>
    <t>Itna</t>
  </si>
  <si>
    <t>Karimganj</t>
  </si>
  <si>
    <t>Katiadi</t>
  </si>
  <si>
    <t>Kishoreganj Sadar</t>
  </si>
  <si>
    <t>Kuliar Char</t>
  </si>
  <si>
    <t>Mithamain</t>
  </si>
  <si>
    <t>Nikli</t>
  </si>
  <si>
    <t>Pakundia</t>
  </si>
  <si>
    <t>Tarail</t>
  </si>
  <si>
    <t>Kalkini</t>
  </si>
  <si>
    <t>Madaripur</t>
  </si>
  <si>
    <t>Madaripur Sadar</t>
  </si>
  <si>
    <t>Rajoir</t>
  </si>
  <si>
    <t>Shib Char</t>
  </si>
  <si>
    <t>Manikganj</t>
  </si>
  <si>
    <t>Ghior</t>
  </si>
  <si>
    <t>Harirampur</t>
  </si>
  <si>
    <t>Manikganj Sadar</t>
  </si>
  <si>
    <t>Saturia</t>
  </si>
  <si>
    <t>Shibalaya</t>
  </si>
  <si>
    <t>Singair</t>
  </si>
  <si>
    <t>Gazaria</t>
  </si>
  <si>
    <t>Munshiganj</t>
  </si>
  <si>
    <t>Lohajang</t>
  </si>
  <si>
    <t>Munshiganj Sadar</t>
  </si>
  <si>
    <t>Serajdikhan</t>
  </si>
  <si>
    <t>Sreenagar</t>
  </si>
  <si>
    <t>Tongibari</t>
  </si>
  <si>
    <t>Araihazar</t>
  </si>
  <si>
    <t>Narayanganj</t>
  </si>
  <si>
    <t>Sonargaon</t>
  </si>
  <si>
    <t>Bandar</t>
  </si>
  <si>
    <t>Narayanganj Sadar</t>
  </si>
  <si>
    <t>Rupganj</t>
  </si>
  <si>
    <t>Belabo</t>
  </si>
  <si>
    <t>Narsingdi</t>
  </si>
  <si>
    <t>Manohardi</t>
  </si>
  <si>
    <t>Narsingdi Sadar</t>
  </si>
  <si>
    <t>Palash</t>
  </si>
  <si>
    <t>Roypura</t>
  </si>
  <si>
    <t>Shibpur</t>
  </si>
  <si>
    <t>Rajbari</t>
  </si>
  <si>
    <t>Kalukhali</t>
  </si>
  <si>
    <t>Pangsha</t>
  </si>
  <si>
    <t>Rajbari Sadar</t>
  </si>
  <si>
    <t>Bhedarganj</t>
  </si>
  <si>
    <t>Shariatpur</t>
  </si>
  <si>
    <t>Damudya</t>
  </si>
  <si>
    <t>Gosairhat</t>
  </si>
  <si>
    <t>Naria</t>
  </si>
  <si>
    <t>Shariatpur Sadar</t>
  </si>
  <si>
    <t>Zanjira</t>
  </si>
  <si>
    <t>Basail</t>
  </si>
  <si>
    <t>Tangail</t>
  </si>
  <si>
    <t>Bhuapur</t>
  </si>
  <si>
    <t>Delduar</t>
  </si>
  <si>
    <t>Dhanbari</t>
  </si>
  <si>
    <t>Ghatail</t>
  </si>
  <si>
    <t>Gopalpur</t>
  </si>
  <si>
    <t>Kalihati</t>
  </si>
  <si>
    <t>Madhupur</t>
  </si>
  <si>
    <t>Mirzapur</t>
  </si>
  <si>
    <t>Nagarpur</t>
  </si>
  <si>
    <t>Tangail Sadar</t>
  </si>
  <si>
    <t>Bagerhat Sadar</t>
  </si>
  <si>
    <t>Bagerhat</t>
  </si>
  <si>
    <t>Chitalmari</t>
  </si>
  <si>
    <t>Fakirhat</t>
  </si>
  <si>
    <t>Mollahat</t>
  </si>
  <si>
    <t>Mongla</t>
  </si>
  <si>
    <t>Morrelganj</t>
  </si>
  <si>
    <t>Rampal</t>
  </si>
  <si>
    <t>Sarankhola</t>
  </si>
  <si>
    <t>Alamdanga</t>
  </si>
  <si>
    <t>Chuadanga</t>
  </si>
  <si>
    <t>Chuadanga Sadar</t>
  </si>
  <si>
    <t>Damurhuda</t>
  </si>
  <si>
    <t>Jiban Nagar</t>
  </si>
  <si>
    <t>Abhaynagar</t>
  </si>
  <si>
    <t>Jashore</t>
  </si>
  <si>
    <t>Bagher Para</t>
  </si>
  <si>
    <t>Chaugachha</t>
  </si>
  <si>
    <t>Jhikargachha</t>
  </si>
  <si>
    <t>Keshabpur</t>
  </si>
  <si>
    <t>Manirampur</t>
  </si>
  <si>
    <t>Sharsha</t>
  </si>
  <si>
    <t>Harinakunda</t>
  </si>
  <si>
    <t>Jhenaidah</t>
  </si>
  <si>
    <t>Kotchandpur</t>
  </si>
  <si>
    <t>Maheshpur</t>
  </si>
  <si>
    <t>Shailkupa</t>
  </si>
  <si>
    <t>Batiaghata</t>
  </si>
  <si>
    <t>Khulna</t>
  </si>
  <si>
    <t>Dacope</t>
  </si>
  <si>
    <t>Dumuria</t>
  </si>
  <si>
    <t>Dighalia</t>
  </si>
  <si>
    <t>Khan Jahan Ali</t>
  </si>
  <si>
    <t>Koyra</t>
  </si>
  <si>
    <t>Paikgachha</t>
  </si>
  <si>
    <t>Phultala</t>
  </si>
  <si>
    <t>Rupsa</t>
  </si>
  <si>
    <t>Terokhada</t>
  </si>
  <si>
    <t>Bheramara</t>
  </si>
  <si>
    <t>Kushtia</t>
  </si>
  <si>
    <t>Khoksa</t>
  </si>
  <si>
    <t>Kumarkhali</t>
  </si>
  <si>
    <t>Kushtia Sadar</t>
  </si>
  <si>
    <t>Magura Sadar</t>
  </si>
  <si>
    <t>Magura</t>
  </si>
  <si>
    <t>Shalikha</t>
  </si>
  <si>
    <t>Gangni</t>
  </si>
  <si>
    <t>Meherpur</t>
  </si>
  <si>
    <t>Mujib Nagar</t>
  </si>
  <si>
    <t>Meherpur Sadar</t>
  </si>
  <si>
    <t>Kalia</t>
  </si>
  <si>
    <t>Narail</t>
  </si>
  <si>
    <t>Narail Sadar</t>
  </si>
  <si>
    <t>Assasuni</t>
  </si>
  <si>
    <t>Satkhira</t>
  </si>
  <si>
    <t>Debhata</t>
  </si>
  <si>
    <t>Kalaroa</t>
  </si>
  <si>
    <t>Satkhira Sadar</t>
  </si>
  <si>
    <t>Shyamnagar</t>
  </si>
  <si>
    <t>Tala</t>
  </si>
  <si>
    <t>Bakshiganj</t>
  </si>
  <si>
    <t>Jamalpur</t>
  </si>
  <si>
    <t>Dewanganj</t>
  </si>
  <si>
    <t>Islampur</t>
  </si>
  <si>
    <t>Jamalpur Sadar</t>
  </si>
  <si>
    <t>Madarganj</t>
  </si>
  <si>
    <t>Melandaha</t>
  </si>
  <si>
    <t>Sarishabari</t>
  </si>
  <si>
    <t>Bhaluka</t>
  </si>
  <si>
    <t>Mymensingh</t>
  </si>
  <si>
    <t>Dhobaura</t>
  </si>
  <si>
    <t>Fulbaria</t>
  </si>
  <si>
    <t>Gaffargaon</t>
  </si>
  <si>
    <t>Gauripur</t>
  </si>
  <si>
    <t>Haluaghat</t>
  </si>
  <si>
    <t>Ishwarganj</t>
  </si>
  <si>
    <t>Mymensingh Sadar</t>
  </si>
  <si>
    <t>Muktagachha</t>
  </si>
  <si>
    <t>Nandail</t>
  </si>
  <si>
    <t>Phulpur</t>
  </si>
  <si>
    <t>Trishal</t>
  </si>
  <si>
    <t>Atpara</t>
  </si>
  <si>
    <t>Netrakona</t>
  </si>
  <si>
    <t>Barhatta</t>
  </si>
  <si>
    <t>Khaliajuri</t>
  </si>
  <si>
    <t>Kalmakanda</t>
  </si>
  <si>
    <t>Kendua</t>
  </si>
  <si>
    <t>Madan</t>
  </si>
  <si>
    <t>Netrokona Sadar</t>
  </si>
  <si>
    <t>Purbadhala</t>
  </si>
  <si>
    <t>Jhenaigati</t>
  </si>
  <si>
    <t>Sherpur</t>
  </si>
  <si>
    <t>Nakla</t>
  </si>
  <si>
    <t>Nalitabari</t>
  </si>
  <si>
    <t>Sherpur Sadar</t>
  </si>
  <si>
    <t>Sreebardi</t>
  </si>
  <si>
    <t>Adamdighi</t>
  </si>
  <si>
    <t>Bogura</t>
  </si>
  <si>
    <t>Bogra Sadar</t>
  </si>
  <si>
    <t>Dhunat</t>
  </si>
  <si>
    <t>Dhupchanchia</t>
  </si>
  <si>
    <t>Gabtali</t>
  </si>
  <si>
    <t>Kahaloo</t>
  </si>
  <si>
    <t>Nandigram</t>
  </si>
  <si>
    <t>Sariakandi</t>
  </si>
  <si>
    <t>Shajahanpur</t>
  </si>
  <si>
    <t>Sonatola</t>
  </si>
  <si>
    <t>Akkelpur</t>
  </si>
  <si>
    <t>Joypurhat</t>
  </si>
  <si>
    <t>Joypurhat Sadar</t>
  </si>
  <si>
    <t>Kalai</t>
  </si>
  <si>
    <t>Khetlal</t>
  </si>
  <si>
    <t>Panchbibi</t>
  </si>
  <si>
    <t>Atrai</t>
  </si>
  <si>
    <t>Naogaon</t>
  </si>
  <si>
    <t>Badalgachhi</t>
  </si>
  <si>
    <t>Dhamoirhat</t>
  </si>
  <si>
    <t>Manda</t>
  </si>
  <si>
    <t>Mahadebpur</t>
  </si>
  <si>
    <t>Naogaon Sadar</t>
  </si>
  <si>
    <t>Niamatpur</t>
  </si>
  <si>
    <t>Patnitala</t>
  </si>
  <si>
    <t>Porsha</t>
  </si>
  <si>
    <t>Raninagar</t>
  </si>
  <si>
    <t>Sapahar</t>
  </si>
  <si>
    <t>Bagati Para</t>
  </si>
  <si>
    <t>Natore</t>
  </si>
  <si>
    <t>Baraigram</t>
  </si>
  <si>
    <t>Gurudaspur</t>
  </si>
  <si>
    <t>Lalpur</t>
  </si>
  <si>
    <t>Natore Sadar</t>
  </si>
  <si>
    <t>Singra</t>
  </si>
  <si>
    <t>Bholahat</t>
  </si>
  <si>
    <t>Gomastapur</t>
  </si>
  <si>
    <t>Nachole</t>
  </si>
  <si>
    <t>Atgharia</t>
  </si>
  <si>
    <t>Pabna</t>
  </si>
  <si>
    <t>Bera</t>
  </si>
  <si>
    <t>Bhangura</t>
  </si>
  <si>
    <t>Chatmohar</t>
  </si>
  <si>
    <t>Ishwardi</t>
  </si>
  <si>
    <t>Pabna Sadar</t>
  </si>
  <si>
    <t>Santhia</t>
  </si>
  <si>
    <t>Sujanagar</t>
  </si>
  <si>
    <t>Bagha</t>
  </si>
  <si>
    <t>Rajshahi</t>
  </si>
  <si>
    <t>Baghmara</t>
  </si>
  <si>
    <t>Boalia</t>
  </si>
  <si>
    <t>Charghat</t>
  </si>
  <si>
    <t>Godagari</t>
  </si>
  <si>
    <t>Matihar</t>
  </si>
  <si>
    <t>Mohanpur</t>
  </si>
  <si>
    <t>Paba</t>
  </si>
  <si>
    <t>Puthia</t>
  </si>
  <si>
    <t>Rajpara</t>
  </si>
  <si>
    <t>Shah Makhdum</t>
  </si>
  <si>
    <t>Tanore</t>
  </si>
  <si>
    <t>Belkuchi</t>
  </si>
  <si>
    <t>Sirajganj</t>
  </si>
  <si>
    <t>Chauhali</t>
  </si>
  <si>
    <t>Kamarkhanda</t>
  </si>
  <si>
    <t>Kazipur</t>
  </si>
  <si>
    <t>Royganj</t>
  </si>
  <si>
    <t>Shahjadpur</t>
  </si>
  <si>
    <t>Sirajganj Sadar</t>
  </si>
  <si>
    <t>Tarash</t>
  </si>
  <si>
    <t>Ullah Para</t>
  </si>
  <si>
    <t>Birampur</t>
  </si>
  <si>
    <t>Dinajpur</t>
  </si>
  <si>
    <t>Birganj</t>
  </si>
  <si>
    <t>Biral</t>
  </si>
  <si>
    <t>Bochaganj</t>
  </si>
  <si>
    <t>Chirirbandar</t>
  </si>
  <si>
    <t>Fulbari</t>
  </si>
  <si>
    <t>Ghoraghat</t>
  </si>
  <si>
    <t>Hakimpur</t>
  </si>
  <si>
    <t>Kaharole</t>
  </si>
  <si>
    <t>Khansama</t>
  </si>
  <si>
    <t>Dinajpur Sadar</t>
  </si>
  <si>
    <t>Parbatipur</t>
  </si>
  <si>
    <t>Fulchhari</t>
  </si>
  <si>
    <t>Gaibandha</t>
  </si>
  <si>
    <t>Gaibandha Sadar</t>
  </si>
  <si>
    <t>Gobindaganj</t>
  </si>
  <si>
    <t>Palashbari</t>
  </si>
  <si>
    <t>Sadullapur</t>
  </si>
  <si>
    <t>Saghatta</t>
  </si>
  <si>
    <t>Sundarganj</t>
  </si>
  <si>
    <t>Bhurungamari</t>
  </si>
  <si>
    <t>Kurigram</t>
  </si>
  <si>
    <t>Char Rajibpur</t>
  </si>
  <si>
    <t>Chilmari</t>
  </si>
  <si>
    <t>Phulbari</t>
  </si>
  <si>
    <t>Kurigram Sadar</t>
  </si>
  <si>
    <t>Nageshwari</t>
  </si>
  <si>
    <t>Rajarhat</t>
  </si>
  <si>
    <t>Raumari</t>
  </si>
  <si>
    <t>Ulipur</t>
  </si>
  <si>
    <t>Aditmari</t>
  </si>
  <si>
    <t>Lalmonirhat</t>
  </si>
  <si>
    <t>Hatibandha</t>
  </si>
  <si>
    <t>Lalmonirhat Sadar</t>
  </si>
  <si>
    <t>Patgram</t>
  </si>
  <si>
    <t>Dimla</t>
  </si>
  <si>
    <t>Nilphamari</t>
  </si>
  <si>
    <t>Domar</t>
  </si>
  <si>
    <t>Jaldhaka</t>
  </si>
  <si>
    <t>Nilphamari Sadar</t>
  </si>
  <si>
    <t>Saidpur</t>
  </si>
  <si>
    <t>Atwari</t>
  </si>
  <si>
    <t>Panchagarh</t>
  </si>
  <si>
    <t>Boda</t>
  </si>
  <si>
    <t>Debiganj</t>
  </si>
  <si>
    <t>Panchagarh Sadar</t>
  </si>
  <si>
    <t>Tentulia</t>
  </si>
  <si>
    <t>Badarganj</t>
  </si>
  <si>
    <t>Rangpur</t>
  </si>
  <si>
    <t>Gangachara</t>
  </si>
  <si>
    <t>Kaunia</t>
  </si>
  <si>
    <t>Rangpur Sadar</t>
  </si>
  <si>
    <t>Mitha Pukur</t>
  </si>
  <si>
    <t>Pirgachha</t>
  </si>
  <si>
    <t>Taraganj</t>
  </si>
  <si>
    <t>Baliadangi</t>
  </si>
  <si>
    <t>Thakurgaon</t>
  </si>
  <si>
    <t>Haripur</t>
  </si>
  <si>
    <t>Ranisankail</t>
  </si>
  <si>
    <t>Thakurgaon Sadar</t>
  </si>
  <si>
    <t>Ajmiriganj</t>
  </si>
  <si>
    <t>Habiganj</t>
  </si>
  <si>
    <t>Bahubal</t>
  </si>
  <si>
    <t>Baniachong</t>
  </si>
  <si>
    <t>Chunarughat</t>
  </si>
  <si>
    <t>Habiganj Sadar</t>
  </si>
  <si>
    <t>Lakhai</t>
  </si>
  <si>
    <t>Madhabpur</t>
  </si>
  <si>
    <t>Nabiganj</t>
  </si>
  <si>
    <t>Barlekha</t>
  </si>
  <si>
    <t>Maulvibazar</t>
  </si>
  <si>
    <t>Juri</t>
  </si>
  <si>
    <t>Kamalganj</t>
  </si>
  <si>
    <t>Kulaura</t>
  </si>
  <si>
    <t>Maulvi Bazar Sadar</t>
  </si>
  <si>
    <t>Rajnagar</t>
  </si>
  <si>
    <t>Sreemangal</t>
  </si>
  <si>
    <t>Bishwambarpur</t>
  </si>
  <si>
    <t>Sunamganj</t>
  </si>
  <si>
    <t>Chhatak</t>
  </si>
  <si>
    <t>Dakshin Sunamganj</t>
  </si>
  <si>
    <t>Derai</t>
  </si>
  <si>
    <t>Dharampasha</t>
  </si>
  <si>
    <t>Dowarabazar</t>
  </si>
  <si>
    <t>Jagannathpur</t>
  </si>
  <si>
    <t>Jamalganj</t>
  </si>
  <si>
    <t>Sulla</t>
  </si>
  <si>
    <t>Sunamganj Sadar</t>
  </si>
  <si>
    <t>Tahirpur</t>
  </si>
  <si>
    <t>Balaganj</t>
  </si>
  <si>
    <t>Sylhet</t>
  </si>
  <si>
    <t>Beani Bazar</t>
  </si>
  <si>
    <t>Bishwanath</t>
  </si>
  <si>
    <t>Dakshin Surma</t>
  </si>
  <si>
    <t>Fenchuganj</t>
  </si>
  <si>
    <t>Golabganj</t>
  </si>
  <si>
    <t>Gowainghat</t>
  </si>
  <si>
    <t>Jaintiapur</t>
  </si>
  <si>
    <t>Kanaighat</t>
  </si>
  <si>
    <t>Sylhet Sadar</t>
  </si>
  <si>
    <t>Zakiganj</t>
  </si>
  <si>
    <t>Vul_INFORM</t>
  </si>
  <si>
    <t>Norm_Vul</t>
  </si>
  <si>
    <t>Max</t>
  </si>
  <si>
    <t>Min</t>
  </si>
  <si>
    <t>Change</t>
  </si>
  <si>
    <t>Norm_Wind Gust</t>
  </si>
  <si>
    <t>Norm_Rainfall</t>
  </si>
  <si>
    <t>Norm_Storm Surge</t>
  </si>
  <si>
    <t>VCI</t>
  </si>
  <si>
    <t>fAPAR</t>
  </si>
  <si>
    <t>Norm_VCI</t>
  </si>
  <si>
    <t>Norm_fAPAR</t>
  </si>
  <si>
    <t>Classification</t>
  </si>
  <si>
    <t>Impact_fAPAR</t>
  </si>
  <si>
    <t>Impact(VCI+fAPAR)</t>
  </si>
  <si>
    <t>Norm_Impact_VCI</t>
  </si>
  <si>
    <t>Norm_Impact_VCI+F</t>
  </si>
  <si>
    <t>Impact_VCI+F</t>
  </si>
  <si>
    <t>Norm_Impact_fAPAR</t>
  </si>
  <si>
    <t>Impact_VCI</t>
  </si>
  <si>
    <t>Impact(VCI)</t>
  </si>
  <si>
    <t>Nawabganj Sadar</t>
  </si>
  <si>
    <t>Upazila</t>
  </si>
  <si>
    <t>Barisal Sadar (Kotwali)</t>
  </si>
  <si>
    <t>Daulatkhan</t>
  </si>
  <si>
    <t>Nesarabad (Swarupkati)</t>
  </si>
  <si>
    <t>Bijoynagar</t>
  </si>
  <si>
    <t>Kachua</t>
  </si>
  <si>
    <t>Matlab Uttar</t>
  </si>
  <si>
    <t>Kotwali</t>
  </si>
  <si>
    <t>Lohagara</t>
  </si>
  <si>
    <t>Companiganj</t>
  </si>
  <si>
    <t>Noakhali Sadar (Sudharam)</t>
  </si>
  <si>
    <t>Kawkhali (Betbunia)</t>
  </si>
  <si>
    <t>Biman Bandar</t>
  </si>
  <si>
    <t>Chak Bazar</t>
  </si>
  <si>
    <t>Mirpur</t>
  </si>
  <si>
    <t>Mohammadpur</t>
  </si>
  <si>
    <t>Sher-e-bangla Nagar</t>
  </si>
  <si>
    <t>Kaliganj</t>
  </si>
  <si>
    <t>Sreepur</t>
  </si>
  <si>
    <t>Kotali Para</t>
  </si>
  <si>
    <t>Tungi Para</t>
  </si>
  <si>
    <t>Daulatpur</t>
  </si>
  <si>
    <t>Goalandaghat</t>
  </si>
  <si>
    <t>Sakhipur</t>
  </si>
  <si>
    <t>Jhenaidah Sadar</t>
  </si>
  <si>
    <t>Durgapur</t>
  </si>
  <si>
    <t>Mohanganj</t>
  </si>
  <si>
    <t>Shibganj</t>
  </si>
  <si>
    <t>Pirganj</t>
  </si>
  <si>
    <t>Balia Kandi</t>
  </si>
  <si>
    <t>Total Number of House</t>
  </si>
  <si>
    <t>Norm_House</t>
  </si>
  <si>
    <t>Impact_VCI_fAPAR_house</t>
  </si>
  <si>
    <t>Norm_VCI_fAPAR_house</t>
  </si>
  <si>
    <t>Impact_House</t>
  </si>
  <si>
    <t>Norm_Impact_House</t>
  </si>
  <si>
    <t>Vulnerability</t>
  </si>
  <si>
    <t>House</t>
  </si>
  <si>
    <t>Impact_vci+fapar+house</t>
  </si>
  <si>
    <t>Impact_house</t>
  </si>
  <si>
    <t>BD100490</t>
  </si>
  <si>
    <t>Taltoli</t>
  </si>
  <si>
    <t>BD107897</t>
  </si>
  <si>
    <t>Rangabali</t>
  </si>
  <si>
    <t>Indurkani</t>
  </si>
  <si>
    <t>BD201539</t>
  </si>
  <si>
    <t>Chittagong</t>
  </si>
  <si>
    <t>Karnaphuli</t>
  </si>
  <si>
    <t>BD201973</t>
  </si>
  <si>
    <t>Lalmai</t>
  </si>
  <si>
    <t>BD202232</t>
  </si>
  <si>
    <t>Eidgaon</t>
  </si>
  <si>
    <t>Sadar</t>
  </si>
  <si>
    <t>BD404733</t>
  </si>
  <si>
    <t>City Corporation</t>
  </si>
  <si>
    <t>Comilla</t>
  </si>
  <si>
    <t>Low</t>
  </si>
  <si>
    <t>No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</si>
</sst>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2" borderId="0" xfId="0" applyFill="1"/>
    <xf numFmtId="0" fontId="1" fillId="3" borderId="0" xfId="0" applyFont="1" applyFill="1"/>
    <xf numFmtId="165" fontId="1" fillId="3" borderId="0" xfId="0" applyNumberFormat="1" applyFont="1" applyFill="1"/>
    <xf numFmtId="164" fontId="1" fillId="0" borderId="0" xfId="0" applyNumberFormat="1" applyFont="1" applyAlignment="1">
      <alignment wrapText="1"/>
    </xf>
    <xf numFmtId="166" fontId="1" fillId="0" borderId="0" xfId="0" applyNumberFormat="1" applyFont="1"/>
    <xf numFmtId="0" fontId="1" fillId="4" borderId="0" xfId="0" applyFont="1" applyFill="1"/>
    <xf numFmtId="0" fontId="1" fillId="5" borderId="0" xfId="0" applyFont="1" applyFill="1"/>
    <xf numFmtId="166" fontId="1" fillId="5" borderId="0" xfId="0" applyNumberFormat="1" applyFont="1" applyFill="1"/>
    <xf numFmtId="166" fontId="4" fillId="0" borderId="0" xfId="0" applyNumberFormat="1" applyFont="1" applyAlignment="1">
      <alignment horizontal="center"/>
    </xf>
    <xf numFmtId="0" fontId="0" fillId="5" borderId="0" xfId="0" applyFill="1"/>
    <xf numFmtId="11" fontId="0" fillId="5" borderId="0" xfId="0" applyNumberFormat="1" applyFill="1"/>
    <xf numFmtId="0" fontId="0" fillId="0" borderId="0" xfId="0" applyFill="1"/>
    <xf numFmtId="0" fontId="0" fillId="0" borderId="0" xfId="0" applyFill="1" applyAlignment="1">
      <alignment wrapText="1"/>
    </xf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BFFD-5619-46D0-BCEC-8CFA629056F9}">
  <dimension ref="A1:AK1002"/>
  <sheetViews>
    <sheetView tabSelected="1" topLeftCell="M1" zoomScale="80" zoomScaleNormal="80" workbookViewId="0">
      <pane ySplit="1" topLeftCell="A312" activePane="bottomLeft" state="frozen"/>
      <selection pane="bottomLeft" activeCell="A326" sqref="A326:XFD326"/>
    </sheetView>
  </sheetViews>
  <sheetFormatPr defaultRowHeight="14.4" x14ac:dyDescent="0.3"/>
  <cols>
    <col min="1" max="1" width="7.6640625" customWidth="1"/>
    <col min="2" max="2" width="13.44140625" customWidth="1"/>
    <col min="3" max="3" width="12.88671875" customWidth="1"/>
    <col min="4" max="4" width="23.109375" customWidth="1"/>
    <col min="5" max="5" width="11.44140625" customWidth="1"/>
    <col min="6" max="6" width="9.6640625" style="3" customWidth="1"/>
    <col min="7" max="7" width="8.77734375" customWidth="1"/>
    <col min="8" max="8" width="15.44140625" customWidth="1"/>
    <col min="9" max="9" width="8.77734375" customWidth="1"/>
    <col min="10" max="10" width="12.77734375" style="3" customWidth="1"/>
    <col min="11" max="11" width="11" customWidth="1"/>
    <col min="12" max="12" width="16.77734375" style="3" customWidth="1"/>
    <col min="13" max="13" width="20.21875" customWidth="1"/>
    <col min="14" max="14" width="17.77734375" style="4" customWidth="1"/>
    <col min="15" max="15" width="16.21875" style="15" customWidth="1"/>
    <col min="16" max="16" width="9.33203125" customWidth="1"/>
    <col min="17" max="17" width="8.88671875" customWidth="1"/>
    <col min="18" max="18" width="11.77734375" customWidth="1"/>
    <col min="19" max="19" width="17.109375" bestFit="1" customWidth="1"/>
    <col min="20" max="20" width="18.21875" bestFit="1" customWidth="1"/>
    <col min="21" max="21" width="11.77734375" bestFit="1" customWidth="1"/>
    <col min="22" max="22" width="12.88671875" bestFit="1" customWidth="1"/>
    <col min="23" max="23" width="18.77734375" bestFit="1" customWidth="1"/>
    <col min="24" max="24" width="11.77734375" bestFit="1" customWidth="1"/>
    <col min="25" max="25" width="10.77734375" bestFit="1" customWidth="1"/>
    <col min="26" max="26" width="16.21875" bestFit="1" customWidth="1"/>
    <col min="27" max="27" width="11.77734375" bestFit="1" customWidth="1"/>
    <col min="28" max="28" width="21.77734375" bestFit="1" customWidth="1"/>
    <col min="29" max="29" width="25.88671875" customWidth="1"/>
    <col min="30" max="30" width="11.77734375" bestFit="1" customWidth="1"/>
    <col min="31" max="31" width="11.88671875" bestFit="1" customWidth="1"/>
    <col min="32" max="32" width="19.77734375" bestFit="1" customWidth="1"/>
    <col min="33" max="33" width="11.77734375" bestFit="1" customWidth="1"/>
    <col min="34" max="34" width="22.109375" bestFit="1" customWidth="1"/>
  </cols>
  <sheetData>
    <row r="1" spans="1:37" ht="15" customHeight="1" x14ac:dyDescent="0.3">
      <c r="A1" s="2" t="s">
        <v>542</v>
      </c>
      <c r="B1" s="2" t="s">
        <v>540</v>
      </c>
      <c r="C1" s="2" t="s">
        <v>541</v>
      </c>
      <c r="D1" s="7" t="s">
        <v>1119</v>
      </c>
      <c r="E1" s="8" t="s">
        <v>1097</v>
      </c>
      <c r="F1" s="9" t="s">
        <v>1098</v>
      </c>
      <c r="G1" s="2" t="s">
        <v>543</v>
      </c>
      <c r="H1" s="2" t="s">
        <v>1102</v>
      </c>
      <c r="I1" s="2" t="s">
        <v>544</v>
      </c>
      <c r="J1" s="10" t="s">
        <v>1103</v>
      </c>
      <c r="K1" s="2" t="s">
        <v>545</v>
      </c>
      <c r="L1" s="2" t="s">
        <v>1104</v>
      </c>
      <c r="M1" s="11" t="s">
        <v>1149</v>
      </c>
      <c r="N1" s="11" t="s">
        <v>1150</v>
      </c>
      <c r="O1" s="12" t="s">
        <v>1105</v>
      </c>
      <c r="P1" s="12" t="s">
        <v>1107</v>
      </c>
      <c r="Q1" s="11" t="s">
        <v>1106</v>
      </c>
      <c r="R1" s="11" t="s">
        <v>1108</v>
      </c>
      <c r="S1" s="12" t="s">
        <v>1111</v>
      </c>
      <c r="T1" s="13" t="s">
        <v>1113</v>
      </c>
      <c r="U1" s="12" t="s">
        <v>1109</v>
      </c>
      <c r="V1" s="12" t="s">
        <v>1110</v>
      </c>
      <c r="W1" s="12" t="s">
        <v>1115</v>
      </c>
      <c r="X1" s="12" t="s">
        <v>1109</v>
      </c>
      <c r="Y1" s="12" t="s">
        <v>1117</v>
      </c>
      <c r="Z1" s="12" t="s">
        <v>1112</v>
      </c>
      <c r="AA1" s="12" t="s">
        <v>1109</v>
      </c>
      <c r="AB1" s="12" t="s">
        <v>1151</v>
      </c>
      <c r="AC1" s="12" t="s">
        <v>1152</v>
      </c>
      <c r="AD1" s="12" t="s">
        <v>1109</v>
      </c>
      <c r="AE1" s="12" t="s">
        <v>1153</v>
      </c>
      <c r="AF1" s="12" t="s">
        <v>1154</v>
      </c>
      <c r="AG1" s="12" t="s">
        <v>1109</v>
      </c>
    </row>
    <row r="2" spans="1:37" x14ac:dyDescent="0.3">
      <c r="A2">
        <v>100409</v>
      </c>
      <c r="B2" t="s">
        <v>537</v>
      </c>
      <c r="C2" s="1" t="s">
        <v>547</v>
      </c>
      <c r="D2" t="s">
        <v>546</v>
      </c>
      <c r="E2" s="4">
        <v>7.5</v>
      </c>
      <c r="F2" s="3">
        <f>(E2-$AJ$5)/$AK$5</f>
        <v>0.95555555555555549</v>
      </c>
      <c r="G2">
        <v>78.483599999999996</v>
      </c>
      <c r="H2">
        <f>(G2-$AJ$6)/$AK$6</f>
        <v>0.75937594699938338</v>
      </c>
      <c r="I2">
        <v>106.80000000000001</v>
      </c>
      <c r="J2" s="3">
        <f>(I2-$AJ$7)/$AK$7</f>
        <v>0.49148642429820533</v>
      </c>
      <c r="K2">
        <v>0.5</v>
      </c>
      <c r="L2" s="3">
        <f>(K2-$AJ$8)/$AK$8</f>
        <v>0.25</v>
      </c>
      <c r="M2">
        <v>27600</v>
      </c>
      <c r="N2">
        <f>(M2-$AJ$9)/$AK$9</f>
        <v>0.12945640705360226</v>
      </c>
      <c r="O2" s="15">
        <v>0.51786541399999997</v>
      </c>
      <c r="P2">
        <f>(O2-$AJ$11)/$AK$11</f>
        <v>0.52794021162139704</v>
      </c>
      <c r="Q2">
        <v>0.3967</v>
      </c>
      <c r="R2">
        <f>(Q2-$AJ$12)/$AK$12</f>
        <v>0.87940589669696301</v>
      </c>
      <c r="S2">
        <f>F2*(R2*0.5+P2*0.5)*(H2*0.4+J2*0.2+L2*0.4)</f>
        <v>0.33757619447310078</v>
      </c>
      <c r="T2" s="14">
        <f>(S2-$AJ$10)/$AK$10</f>
        <v>0.57649088491622902</v>
      </c>
      <c r="U2" t="str">
        <f>IF(T2&gt;0.7,"High",IF(T2&gt;0.3,"Moderate",IF(T2&gt;0.15,"Low","No Impact")))</f>
        <v>Moderate</v>
      </c>
      <c r="V2">
        <f>F2*(R2*1)*(H2*0.4+J2*0.2+L2*0.4)</f>
        <v>0.42188129025189369</v>
      </c>
      <c r="W2">
        <f>(V2-$AJ$13)/$AK$13</f>
        <v>0.62076674374458307</v>
      </c>
      <c r="X2" t="str">
        <f>IF(W2&gt;0.7,"High",IF(W2&gt;0.3,"Moderate",IF(W2&gt;0.15,"Low","No Impact")))</f>
        <v>Moderate</v>
      </c>
      <c r="Y2">
        <f>F2*(P2*1)*(H2*0.4+J2*0.2+L2*0.4)</f>
        <v>0.25327109869430781</v>
      </c>
      <c r="Z2">
        <f>(Y2-$AJ$14)/$AK$14</f>
        <v>0.49850090219044718</v>
      </c>
      <c r="AA2" t="str">
        <f>IF(Z2&gt;0.7,"High",IF(Z2&gt;0.3,"Moderate",IF(Z2&gt;0.15,"Low","No Impact")))</f>
        <v>Moderate</v>
      </c>
      <c r="AB2">
        <f>F2*(R2*0.35+P2*0.3+N2*0.35)*(H2*0.4+J2*0.2+L2*0.4)</f>
        <v>0.24537642486179639</v>
      </c>
      <c r="AC2">
        <f>(AB2-$AJ$15)/$AK$15</f>
        <v>0.56591185612354433</v>
      </c>
      <c r="AD2" t="str">
        <f>IF(AC2&gt;0.7,"High",IF(AC2&gt;0.3,"Moderate",IF(AC2&gt;0.15,"Low","No Impact")))</f>
        <v>Moderate</v>
      </c>
      <c r="AE2">
        <f>F2*(N2*1)*(H2*0.4+J2*0.2+L2*0.4)</f>
        <v>6.2104696186689429E-2</v>
      </c>
      <c r="AF2">
        <f>(AE2-$AJ$16)/$AK$16</f>
        <v>0.31862391644968679</v>
      </c>
      <c r="AG2" t="str">
        <f>IF(AF2&gt;0.7,"High",IF(AF2&gt;0.3,"Moderate",IF(AF2&gt;0.15,"Low","No Impact")))</f>
        <v>Moderate</v>
      </c>
    </row>
    <row r="3" spans="1:37" x14ac:dyDescent="0.3">
      <c r="A3">
        <v>100419</v>
      </c>
      <c r="B3" t="s">
        <v>38</v>
      </c>
      <c r="C3" s="1" t="s">
        <v>547</v>
      </c>
      <c r="D3" t="s">
        <v>548</v>
      </c>
      <c r="E3" s="4">
        <v>5.6</v>
      </c>
      <c r="F3" s="3">
        <f t="shared" ref="F3:F66" si="0">(E3-$AJ$5)/$AK$5</f>
        <v>0.53333333333333321</v>
      </c>
      <c r="G3">
        <v>72.468360000000004</v>
      </c>
      <c r="H3">
        <f t="shared" ref="H3:H66" si="1">(G3-$AJ$6)/$AK$6</f>
        <v>0.70117488879832524</v>
      </c>
      <c r="I3">
        <v>177.8</v>
      </c>
      <c r="J3" s="3">
        <f t="shared" ref="J3:J66" si="2">(I3-$AJ$7)/$AK$7</f>
        <v>0.81822365393465268</v>
      </c>
      <c r="K3">
        <v>0.1</v>
      </c>
      <c r="L3" s="3">
        <f t="shared" ref="L3:L66" si="3">(K3-$AJ$8)/$AK$8</f>
        <v>0.05</v>
      </c>
      <c r="M3">
        <v>10180</v>
      </c>
      <c r="N3">
        <f t="shared" ref="N3:N66" si="4">(M3-$AJ$9)/$AK$9</f>
        <v>4.7035055097396299E-2</v>
      </c>
      <c r="O3" s="15">
        <v>0.58660378899999999</v>
      </c>
      <c r="P3">
        <f t="shared" ref="P3:P66" si="5">(O3-$AJ$11)/$AK$11</f>
        <v>0.59801585533683344</v>
      </c>
      <c r="Q3">
        <v>0.39629999999999999</v>
      </c>
      <c r="R3">
        <f t="shared" ref="R3:R66" si="6">(Q3-$AJ$12)/$AK$12</f>
        <v>0.87851917534914648</v>
      </c>
      <c r="S3">
        <f t="shared" ref="S3:S66" si="7">F3*(R3*0.5+P3*0.5)*(H3*0.4+J3*0.2+L3*0.4)</f>
        <v>0.18274175802320758</v>
      </c>
      <c r="T3" s="14">
        <f t="shared" ref="T3:T66" si="8">(S3-$AJ$10)/$AK$10</f>
        <v>0.31207460572976181</v>
      </c>
      <c r="U3" t="str">
        <f t="shared" ref="U3:U66" si="9">IF(T3&gt;0.7,"High",IF(T3&gt;0.3,"Moderate",IF(T3&gt;0.15,"Low","No Impact")))</f>
        <v>Moderate</v>
      </c>
      <c r="V3">
        <f t="shared" ref="V3:V66" si="10">F3*(R3*1)*(H3*0.4+J3*0.2+L3*0.4)</f>
        <v>0.21745794745664204</v>
      </c>
      <c r="W3">
        <f t="shared" ref="W3:W66" si="11">(V3-$AJ$13)/$AK$13</f>
        <v>0.31997309447745625</v>
      </c>
      <c r="X3" t="str">
        <f t="shared" ref="X3:X50" si="12">IF(W3&gt;0.7,"High",IF(W3&gt;0.3,"Moderate",IF(W3&gt;0.15,"Low","No Impact")))</f>
        <v>Moderate</v>
      </c>
      <c r="Y3">
        <f t="shared" ref="Y3:Y66" si="13">F3*(P3*1)*(H3*0.4+J3*0.2+L3*0.4)</f>
        <v>0.14802556858977309</v>
      </c>
      <c r="Z3">
        <f t="shared" ref="Z3:Z66" si="14">(Y3-$AJ$14)/$AK$14</f>
        <v>0.29135136172137682</v>
      </c>
      <c r="AA3" t="str">
        <f t="shared" ref="AA3:AA66" si="15">IF(Z3&gt;0.7,"High",IF(Z3&gt;0.3,"Moderate",IF(Z3&gt;0.15,"Low","No Impact")))</f>
        <v>Low</v>
      </c>
      <c r="AB3">
        <f t="shared" ref="AB3:AB66" si="16">F3*(R3*0.35+P3*0.3+N3*0.35)*(H3*0.4+J3*0.2+L3*0.4)</f>
        <v>0.12459282202391611</v>
      </c>
      <c r="AC3">
        <f t="shared" ref="AC3:AC66" si="17">(AB3-$AJ$15)/$AK$15</f>
        <v>0.28734853077648914</v>
      </c>
      <c r="AD3" t="str">
        <f t="shared" ref="AD3:AD66" si="18">IF(AC3&gt;0.7,"High",IF(AC3&gt;0.3,"Moderate",IF(AC3&gt;0.15,"Low","No Impact")))</f>
        <v>Low</v>
      </c>
      <c r="AE3">
        <f t="shared" ref="AE3:AE66" si="19">F3*(N3*1)*(H3*0.4+J3*0.2+L3*0.4)</f>
        <v>1.1642485249027076E-2</v>
      </c>
      <c r="AF3">
        <f t="shared" ref="AF3:AF66" si="20">(AE3-$AJ$16)/$AK$16</f>
        <v>5.9730978090635399E-2</v>
      </c>
      <c r="AG3" t="str">
        <f>IF(AF3&gt;0.7,"High",IF(AF3&gt;0.3,"Moderate",IF(AF3&gt;0.15,"Low","No Impact")))</f>
        <v>No Impact</v>
      </c>
    </row>
    <row r="4" spans="1:37" x14ac:dyDescent="0.3">
      <c r="A4">
        <v>100428</v>
      </c>
      <c r="B4" t="s">
        <v>47</v>
      </c>
      <c r="C4" s="1" t="s">
        <v>547</v>
      </c>
      <c r="D4" t="s">
        <v>549</v>
      </c>
      <c r="E4" s="4">
        <v>7.5</v>
      </c>
      <c r="F4" s="3">
        <f t="shared" si="0"/>
        <v>0.95555555555555549</v>
      </c>
      <c r="G4">
        <v>76.63427999999999</v>
      </c>
      <c r="H4">
        <f t="shared" si="1"/>
        <v>0.74148266577496325</v>
      </c>
      <c r="I4">
        <v>157.70000000000002</v>
      </c>
      <c r="J4" s="3">
        <f t="shared" si="2"/>
        <v>0.72572480441785558</v>
      </c>
      <c r="K4">
        <v>0.5</v>
      </c>
      <c r="L4" s="3">
        <f t="shared" si="3"/>
        <v>0.25</v>
      </c>
      <c r="M4">
        <v>41704</v>
      </c>
      <c r="N4">
        <f t="shared" si="4"/>
        <v>0.19618836732859246</v>
      </c>
      <c r="O4" s="15">
        <v>0.60910734200000005</v>
      </c>
      <c r="P4">
        <f t="shared" si="5"/>
        <v>0.62095720305358471</v>
      </c>
      <c r="Q4">
        <v>0.37840000000000001</v>
      </c>
      <c r="R4">
        <f t="shared" si="6"/>
        <v>0.83883839503436053</v>
      </c>
      <c r="S4">
        <f t="shared" si="7"/>
        <v>0.37783946509780059</v>
      </c>
      <c r="T4" s="14">
        <f t="shared" si="8"/>
        <v>0.6452499055227735</v>
      </c>
      <c r="U4" t="str">
        <f t="shared" si="9"/>
        <v>Moderate</v>
      </c>
      <c r="V4">
        <f t="shared" si="10"/>
        <v>0.43423373915967367</v>
      </c>
      <c r="W4">
        <f t="shared" si="11"/>
        <v>0.63894244781805731</v>
      </c>
      <c r="X4" t="str">
        <f t="shared" si="12"/>
        <v>Moderate</v>
      </c>
      <c r="Y4">
        <f t="shared" si="13"/>
        <v>0.3214451910359275</v>
      </c>
      <c r="Z4">
        <f t="shared" si="14"/>
        <v>0.63268457618055052</v>
      </c>
      <c r="AA4" t="str">
        <f t="shared" si="15"/>
        <v>Moderate</v>
      </c>
      <c r="AB4">
        <f t="shared" si="16"/>
        <v>0.28396102426283054</v>
      </c>
      <c r="AC4">
        <f t="shared" si="17"/>
        <v>0.65489955034527347</v>
      </c>
      <c r="AD4" t="str">
        <f t="shared" si="18"/>
        <v>Moderate</v>
      </c>
      <c r="AE4">
        <f t="shared" si="19"/>
        <v>0.10155902356047573</v>
      </c>
      <c r="AF4">
        <f t="shared" si="20"/>
        <v>0.52104165746776743</v>
      </c>
      <c r="AG4" t="str">
        <f t="shared" ref="AG4:AG54" si="21">IF(AF4&gt;0.7,"High",IF(AF4&gt;0.3,"Moderate",IF(AF4&gt;0.15,"Low","No Impact")))</f>
        <v>Moderate</v>
      </c>
      <c r="AI4" s="2" t="s">
        <v>1099</v>
      </c>
      <c r="AJ4" s="2" t="s">
        <v>1100</v>
      </c>
      <c r="AK4" s="2" t="s">
        <v>1101</v>
      </c>
    </row>
    <row r="5" spans="1:37" x14ac:dyDescent="0.3">
      <c r="A5">
        <v>100447</v>
      </c>
      <c r="B5" t="s">
        <v>63</v>
      </c>
      <c r="C5" s="1" t="s">
        <v>547</v>
      </c>
      <c r="D5" t="s">
        <v>550</v>
      </c>
      <c r="E5" s="4">
        <v>5.6</v>
      </c>
      <c r="F5" s="3">
        <f t="shared" si="0"/>
        <v>0.53333333333333321</v>
      </c>
      <c r="G5">
        <v>72.824759999999998</v>
      </c>
      <c r="H5">
        <f t="shared" si="1"/>
        <v>0.70462327276020487</v>
      </c>
      <c r="I5">
        <v>133.20000000000002</v>
      </c>
      <c r="J5" s="3">
        <f t="shared" si="2"/>
        <v>0.61297745052922237</v>
      </c>
      <c r="K5">
        <v>0.3</v>
      </c>
      <c r="L5" s="3">
        <f t="shared" si="3"/>
        <v>0.15</v>
      </c>
      <c r="M5">
        <v>7682</v>
      </c>
      <c r="N5">
        <f t="shared" si="4"/>
        <v>3.521596570666137E-2</v>
      </c>
      <c r="O5" s="15">
        <v>0.51402019200000004</v>
      </c>
      <c r="P5">
        <f t="shared" si="5"/>
        <v>0.52402018286193408</v>
      </c>
      <c r="Q5">
        <v>0.38119999999999998</v>
      </c>
      <c r="R5">
        <f t="shared" si="6"/>
        <v>0.84504544446907559</v>
      </c>
      <c r="S5">
        <f t="shared" si="7"/>
        <v>0.16956144277092339</v>
      </c>
      <c r="T5" s="14">
        <f t="shared" si="8"/>
        <v>0.28956611215803979</v>
      </c>
      <c r="U5" t="str">
        <f t="shared" si="9"/>
        <v>Low</v>
      </c>
      <c r="V5">
        <f t="shared" si="10"/>
        <v>0.20932104628250814</v>
      </c>
      <c r="W5">
        <f t="shared" si="11"/>
        <v>0.30800025338980647</v>
      </c>
      <c r="X5" t="str">
        <f t="shared" si="12"/>
        <v>Moderate</v>
      </c>
      <c r="Y5">
        <f t="shared" si="13"/>
        <v>0.12980183925933858</v>
      </c>
      <c r="Z5">
        <f t="shared" si="14"/>
        <v>0.25548250199229677</v>
      </c>
      <c r="AA5" t="str">
        <f t="shared" si="15"/>
        <v>Low</v>
      </c>
      <c r="AB5">
        <f t="shared" si="16"/>
        <v>0.11525601410604737</v>
      </c>
      <c r="AC5">
        <f t="shared" si="17"/>
        <v>0.26581504278127482</v>
      </c>
      <c r="AD5" t="str">
        <f t="shared" si="18"/>
        <v>Low</v>
      </c>
      <c r="AE5">
        <f t="shared" si="19"/>
        <v>8.7231317981941291E-3</v>
      </c>
      <c r="AF5">
        <f t="shared" si="20"/>
        <v>4.4753433925389788E-2</v>
      </c>
      <c r="AG5" t="str">
        <f>IF(AF5&gt;0.7,"High",IF(AF5&gt;0.3,"Moderate",IF(AF5&gt;0.15,"Low","No Impact")))</f>
        <v>No Impact</v>
      </c>
      <c r="AH5" s="2" t="s">
        <v>1155</v>
      </c>
      <c r="AI5" s="4">
        <f>MAX(E2:E557)</f>
        <v>7.7</v>
      </c>
      <c r="AJ5">
        <f>MIN((E2:E557))</f>
        <v>3.2</v>
      </c>
      <c r="AK5" s="4">
        <f t="shared" ref="AK5:AK16" si="22">AI5-AJ5</f>
        <v>4.5</v>
      </c>
    </row>
    <row r="6" spans="1:37" x14ac:dyDescent="0.3">
      <c r="A6">
        <v>100485</v>
      </c>
      <c r="B6" t="s">
        <v>406</v>
      </c>
      <c r="C6" s="1" t="s">
        <v>547</v>
      </c>
      <c r="D6" t="s">
        <v>551</v>
      </c>
      <c r="E6" s="4">
        <v>7.5</v>
      </c>
      <c r="F6" s="3">
        <f t="shared" si="0"/>
        <v>0.95555555555555549</v>
      </c>
      <c r="G6">
        <v>72.468360000000004</v>
      </c>
      <c r="H6">
        <f t="shared" si="1"/>
        <v>0.70117488879832524</v>
      </c>
      <c r="I6">
        <v>177.8</v>
      </c>
      <c r="J6" s="3">
        <f t="shared" si="2"/>
        <v>0.81822365393465268</v>
      </c>
      <c r="K6">
        <v>0.3</v>
      </c>
      <c r="L6" s="3">
        <f t="shared" si="3"/>
        <v>0.15</v>
      </c>
      <c r="M6">
        <v>28660</v>
      </c>
      <c r="N6">
        <f t="shared" si="4"/>
        <v>0.13447171320019116</v>
      </c>
      <c r="O6" s="15">
        <v>0.71562857000000002</v>
      </c>
      <c r="P6">
        <f t="shared" si="5"/>
        <v>0.7295507451828358</v>
      </c>
      <c r="Q6">
        <v>0.40360000000000001</v>
      </c>
      <c r="R6">
        <f t="shared" si="6"/>
        <v>0.89470183994679675</v>
      </c>
      <c r="S6">
        <f t="shared" si="7"/>
        <v>0.39120902271882863</v>
      </c>
      <c r="T6" s="14">
        <f t="shared" si="8"/>
        <v>0.66808157502457277</v>
      </c>
      <c r="U6" t="str">
        <f t="shared" si="9"/>
        <v>Moderate</v>
      </c>
      <c r="V6">
        <f t="shared" si="10"/>
        <v>0.43098645572097305</v>
      </c>
      <c r="W6">
        <f t="shared" si="11"/>
        <v>0.63416431327444123</v>
      </c>
      <c r="X6" t="str">
        <f t="shared" si="12"/>
        <v>Moderate</v>
      </c>
      <c r="Y6">
        <f t="shared" si="13"/>
        <v>0.35143158971668426</v>
      </c>
      <c r="Z6">
        <f t="shared" si="14"/>
        <v>0.69170531274647762</v>
      </c>
      <c r="AA6" t="str">
        <f t="shared" si="15"/>
        <v>Moderate</v>
      </c>
      <c r="AB6">
        <f t="shared" si="16"/>
        <v>0.27894644621802467</v>
      </c>
      <c r="AC6">
        <f t="shared" si="17"/>
        <v>0.6433344247607321</v>
      </c>
      <c r="AD6" t="str">
        <f t="shared" si="18"/>
        <v>Moderate</v>
      </c>
      <c r="AE6">
        <f t="shared" si="19"/>
        <v>6.4776313716225165E-2</v>
      </c>
      <c r="AF6">
        <f t="shared" si="20"/>
        <v>0.33233046833358049</v>
      </c>
      <c r="AG6" t="str">
        <f t="shared" si="21"/>
        <v>Moderate</v>
      </c>
      <c r="AH6" s="2" t="s">
        <v>543</v>
      </c>
      <c r="AI6">
        <f>MAX(G1:G557)</f>
        <v>103.35276</v>
      </c>
      <c r="AJ6">
        <f>MIN(G1:G557)</f>
        <v>0</v>
      </c>
      <c r="AK6">
        <f t="shared" si="22"/>
        <v>103.35276</v>
      </c>
    </row>
    <row r="7" spans="1:37" x14ac:dyDescent="0.3">
      <c r="A7" s="15">
        <v>100490</v>
      </c>
      <c r="B7" s="15" t="s">
        <v>1159</v>
      </c>
      <c r="C7" s="15" t="s">
        <v>547</v>
      </c>
      <c r="D7" s="15" t="s">
        <v>1160</v>
      </c>
      <c r="E7" s="4">
        <v>7.5</v>
      </c>
      <c r="F7" s="3">
        <f t="shared" si="0"/>
        <v>0.95555555555555549</v>
      </c>
      <c r="G7">
        <v>72.468360000000004</v>
      </c>
      <c r="H7">
        <f t="shared" si="1"/>
        <v>0.70117488879832524</v>
      </c>
      <c r="I7">
        <v>177.8</v>
      </c>
      <c r="J7" s="3">
        <f t="shared" si="2"/>
        <v>0.81822365393465268</v>
      </c>
      <c r="K7">
        <v>0.3</v>
      </c>
      <c r="L7" s="3">
        <f t="shared" si="3"/>
        <v>0.15</v>
      </c>
      <c r="M7">
        <v>15422</v>
      </c>
      <c r="N7">
        <f t="shared" si="4"/>
        <v>7.1837163418546221E-2</v>
      </c>
      <c r="O7" s="15">
        <v>0.51786541399999997</v>
      </c>
      <c r="P7">
        <f t="shared" si="5"/>
        <v>0.52794021162139704</v>
      </c>
      <c r="Q7">
        <v>0.3967</v>
      </c>
      <c r="R7">
        <f t="shared" si="6"/>
        <v>0.87940589669696301</v>
      </c>
      <c r="S7">
        <f t="shared" si="7"/>
        <v>0.33896605780586236</v>
      </c>
      <c r="T7" s="14">
        <f t="shared" si="8"/>
        <v>0.57886440400831707</v>
      </c>
      <c r="U7" t="str">
        <f t="shared" si="9"/>
        <v>Moderate</v>
      </c>
      <c r="V7">
        <f t="shared" si="10"/>
        <v>0.42361825318263135</v>
      </c>
      <c r="W7">
        <f t="shared" si="11"/>
        <v>0.6233225546976483</v>
      </c>
      <c r="X7" t="str">
        <f t="shared" si="12"/>
        <v>Moderate</v>
      </c>
      <c r="Y7">
        <f t="shared" si="13"/>
        <v>0.25431386242909332</v>
      </c>
      <c r="Z7">
        <f t="shared" si="14"/>
        <v>0.5005533221674674</v>
      </c>
      <c r="AA7" t="str">
        <f t="shared" si="15"/>
        <v>Moderate</v>
      </c>
      <c r="AB7">
        <f t="shared" si="16"/>
        <v>0.23667217500894167</v>
      </c>
      <c r="AC7">
        <f t="shared" si="17"/>
        <v>0.54583723732849709</v>
      </c>
      <c r="AD7" t="str">
        <f t="shared" si="18"/>
        <v>Moderate</v>
      </c>
      <c r="AE7">
        <f t="shared" si="19"/>
        <v>3.4604650475122144E-2</v>
      </c>
      <c r="AF7">
        <f t="shared" si="20"/>
        <v>0.17753680379679643</v>
      </c>
      <c r="AG7" t="s">
        <v>1175</v>
      </c>
      <c r="AH7" s="2" t="s">
        <v>544</v>
      </c>
      <c r="AI7">
        <f>MAX(I1:I557)</f>
        <v>217.29999999999998</v>
      </c>
      <c r="AJ7">
        <f>MIN(K1:K557)</f>
        <v>0</v>
      </c>
      <c r="AK7">
        <f t="shared" si="22"/>
        <v>217.29999999999998</v>
      </c>
    </row>
    <row r="8" spans="1:37" x14ac:dyDescent="0.3">
      <c r="A8">
        <v>100602</v>
      </c>
      <c r="B8" t="s">
        <v>4</v>
      </c>
      <c r="C8" s="1" t="s">
        <v>553</v>
      </c>
      <c r="D8" t="s">
        <v>552</v>
      </c>
      <c r="E8" s="4">
        <v>6.7</v>
      </c>
      <c r="F8" s="3">
        <f t="shared" si="0"/>
        <v>0.77777777777777779</v>
      </c>
      <c r="G8">
        <v>69.65964000000001</v>
      </c>
      <c r="H8">
        <f t="shared" si="1"/>
        <v>0.67399883660581494</v>
      </c>
      <c r="I8">
        <v>109.39999999999999</v>
      </c>
      <c r="J8" s="3">
        <f t="shared" si="2"/>
        <v>0.5034514496088357</v>
      </c>
      <c r="K8">
        <v>0</v>
      </c>
      <c r="L8" s="3">
        <f t="shared" si="3"/>
        <v>0</v>
      </c>
      <c r="M8">
        <v>14078</v>
      </c>
      <c r="N8">
        <f t="shared" si="4"/>
        <v>6.5478133738342964E-2</v>
      </c>
      <c r="O8" s="15">
        <v>0.41828090899999998</v>
      </c>
      <c r="P8">
        <f t="shared" si="5"/>
        <v>0.42641834276781865</v>
      </c>
      <c r="Q8">
        <v>0.33679999999999999</v>
      </c>
      <c r="R8">
        <f t="shared" si="6"/>
        <v>0.7466193748614498</v>
      </c>
      <c r="S8">
        <f t="shared" si="7"/>
        <v>0.16891930637089123</v>
      </c>
      <c r="T8" s="14">
        <f t="shared" si="8"/>
        <v>0.28846951296783546</v>
      </c>
      <c r="U8" t="str">
        <f t="shared" si="9"/>
        <v>Low</v>
      </c>
      <c r="V8">
        <f t="shared" si="10"/>
        <v>0.21502876681502156</v>
      </c>
      <c r="W8">
        <f t="shared" si="11"/>
        <v>0.3163987369704766</v>
      </c>
      <c r="X8" t="str">
        <f t="shared" si="12"/>
        <v>Moderate</v>
      </c>
      <c r="Y8">
        <f t="shared" si="13"/>
        <v>0.12280984592676093</v>
      </c>
      <c r="Z8">
        <f t="shared" si="14"/>
        <v>0.24172050939871434</v>
      </c>
      <c r="AA8" t="str">
        <f t="shared" si="15"/>
        <v>Low</v>
      </c>
      <c r="AB8">
        <f t="shared" si="16"/>
        <v>0.11870329130819142</v>
      </c>
      <c r="AC8">
        <f t="shared" si="17"/>
        <v>0.27376550110723868</v>
      </c>
      <c r="AD8" t="str">
        <f t="shared" si="18"/>
        <v>Low</v>
      </c>
      <c r="AE8">
        <f t="shared" si="19"/>
        <v>1.8857911842587415E-2</v>
      </c>
      <c r="AF8">
        <f t="shared" si="20"/>
        <v>9.6749233089975559E-2</v>
      </c>
      <c r="AG8" t="s">
        <v>1175</v>
      </c>
      <c r="AH8" s="2" t="s">
        <v>545</v>
      </c>
      <c r="AI8">
        <f>MAX(K1:K547)</f>
        <v>2</v>
      </c>
      <c r="AJ8">
        <f>MIN(K1:K557)</f>
        <v>0</v>
      </c>
      <c r="AK8">
        <f t="shared" si="22"/>
        <v>2</v>
      </c>
    </row>
    <row r="9" spans="1:37" x14ac:dyDescent="0.3">
      <c r="A9">
        <v>100603</v>
      </c>
      <c r="B9" t="s">
        <v>20</v>
      </c>
      <c r="C9" s="1" t="s">
        <v>553</v>
      </c>
      <c r="D9" t="s">
        <v>554</v>
      </c>
      <c r="E9" s="4">
        <v>6.7</v>
      </c>
      <c r="F9" s="3">
        <f t="shared" si="0"/>
        <v>0.77777777777777779</v>
      </c>
      <c r="G9">
        <v>72.852119999999999</v>
      </c>
      <c r="H9">
        <f t="shared" si="1"/>
        <v>0.70488799718556139</v>
      </c>
      <c r="I9">
        <v>90.6</v>
      </c>
      <c r="J9" s="3">
        <f t="shared" si="2"/>
        <v>0.4169351127473539</v>
      </c>
      <c r="K9">
        <v>0</v>
      </c>
      <c r="L9" s="3">
        <f t="shared" si="3"/>
        <v>0</v>
      </c>
      <c r="M9">
        <v>12897</v>
      </c>
      <c r="N9">
        <f t="shared" si="4"/>
        <v>5.9890325663700068E-2</v>
      </c>
      <c r="O9" s="15">
        <v>0.80766764999999996</v>
      </c>
      <c r="P9">
        <f t="shared" si="5"/>
        <v>0.82338039678540187</v>
      </c>
      <c r="Q9">
        <v>0.38179999999999997</v>
      </c>
      <c r="R9">
        <f t="shared" si="6"/>
        <v>0.84637552649080017</v>
      </c>
      <c r="S9">
        <f t="shared" si="7"/>
        <v>0.23723479820642818</v>
      </c>
      <c r="T9" s="14">
        <f t="shared" si="8"/>
        <v>0.40513431038705722</v>
      </c>
      <c r="U9" t="str">
        <f t="shared" si="9"/>
        <v>Moderate</v>
      </c>
      <c r="V9">
        <f t="shared" si="10"/>
        <v>0.24050188944973225</v>
      </c>
      <c r="W9">
        <f t="shared" si="11"/>
        <v>0.3538805304425558</v>
      </c>
      <c r="X9" t="str">
        <f t="shared" si="12"/>
        <v>Moderate</v>
      </c>
      <c r="Y9">
        <f t="shared" si="13"/>
        <v>0.23396770696312408</v>
      </c>
      <c r="Z9">
        <f t="shared" si="14"/>
        <v>0.46050699667600414</v>
      </c>
      <c r="AA9" t="str">
        <f t="shared" si="15"/>
        <v>Moderate</v>
      </c>
      <c r="AB9">
        <f t="shared" si="16"/>
        <v>0.16032232209839056</v>
      </c>
      <c r="AC9">
        <f t="shared" si="17"/>
        <v>0.36975150700739862</v>
      </c>
      <c r="AD9" t="str">
        <f t="shared" si="18"/>
        <v>Moderate</v>
      </c>
      <c r="AE9">
        <f t="shared" si="19"/>
        <v>1.7018139148705903E-2</v>
      </c>
      <c r="AF9">
        <f t="shared" si="20"/>
        <v>8.7310404513476464E-2</v>
      </c>
      <c r="AG9" t="s">
        <v>1175</v>
      </c>
      <c r="AH9" s="2" t="s">
        <v>1156</v>
      </c>
      <c r="AI9" s="5">
        <f>MAX(M1:M557)</f>
        <v>211592</v>
      </c>
      <c r="AJ9" s="5">
        <f>MIN(M1:M557)</f>
        <v>239</v>
      </c>
      <c r="AK9" s="5">
        <f t="shared" si="22"/>
        <v>211353</v>
      </c>
    </row>
    <row r="10" spans="1:37" x14ac:dyDescent="0.3">
      <c r="A10">
        <v>100607</v>
      </c>
      <c r="B10" t="s">
        <v>33</v>
      </c>
      <c r="C10" s="1" t="s">
        <v>553</v>
      </c>
      <c r="D10" t="s">
        <v>555</v>
      </c>
      <c r="E10" s="4">
        <v>6.7</v>
      </c>
      <c r="F10" s="3">
        <f t="shared" si="0"/>
        <v>0.77777777777777779</v>
      </c>
      <c r="G10">
        <v>71.85924</v>
      </c>
      <c r="H10">
        <f t="shared" si="1"/>
        <v>0.69528128711802184</v>
      </c>
      <c r="I10">
        <v>106.1</v>
      </c>
      <c r="J10" s="3">
        <f t="shared" si="2"/>
        <v>0.48826507132995861</v>
      </c>
      <c r="K10">
        <v>0.1</v>
      </c>
      <c r="L10" s="3">
        <f t="shared" si="3"/>
        <v>0.05</v>
      </c>
      <c r="M10">
        <v>24771</v>
      </c>
      <c r="N10">
        <f t="shared" si="4"/>
        <v>0.11607121734728157</v>
      </c>
      <c r="O10" s="15">
        <v>0.66533903800000005</v>
      </c>
      <c r="P10">
        <f t="shared" si="5"/>
        <v>0.67828285694648993</v>
      </c>
      <c r="Q10">
        <v>0.38030000000000003</v>
      </c>
      <c r="R10">
        <f t="shared" si="6"/>
        <v>0.84305032143648861</v>
      </c>
      <c r="S10">
        <f t="shared" si="7"/>
        <v>0.23414658956119139</v>
      </c>
      <c r="T10" s="14">
        <f t="shared" si="8"/>
        <v>0.39986046654425517</v>
      </c>
      <c r="U10" t="str">
        <f t="shared" si="9"/>
        <v>Moderate</v>
      </c>
      <c r="V10">
        <f t="shared" si="10"/>
        <v>0.25950575508072887</v>
      </c>
      <c r="W10">
        <f t="shared" si="11"/>
        <v>0.38184329641226666</v>
      </c>
      <c r="X10" t="str">
        <f t="shared" si="12"/>
        <v>Moderate</v>
      </c>
      <c r="Y10">
        <f t="shared" si="13"/>
        <v>0.20878742404165399</v>
      </c>
      <c r="Z10">
        <f t="shared" si="14"/>
        <v>0.41094589863333331</v>
      </c>
      <c r="AA10" t="str">
        <f t="shared" si="15"/>
        <v>Moderate</v>
      </c>
      <c r="AB10">
        <f t="shared" si="16"/>
        <v>0.16596831010555543</v>
      </c>
      <c r="AC10">
        <f t="shared" si="17"/>
        <v>0.38277285392198318</v>
      </c>
      <c r="AD10" t="str">
        <f t="shared" si="18"/>
        <v>Moderate</v>
      </c>
      <c r="AE10">
        <f t="shared" si="19"/>
        <v>3.5728767470869033E-2</v>
      </c>
      <c r="AF10">
        <f t="shared" si="20"/>
        <v>0.18330400952719486</v>
      </c>
      <c r="AG10" t="s">
        <v>1175</v>
      </c>
      <c r="AH10" s="2" t="s">
        <v>1114</v>
      </c>
      <c r="AI10" s="3">
        <f>MAX(S2:S547)</f>
        <v>0.58557074067555226</v>
      </c>
      <c r="AJ10" s="3">
        <f>MIN(S2:S547)</f>
        <v>0</v>
      </c>
      <c r="AK10" s="3">
        <f t="shared" si="22"/>
        <v>0.58557074067555226</v>
      </c>
    </row>
    <row r="11" spans="1:37" x14ac:dyDescent="0.3">
      <c r="A11">
        <v>100610</v>
      </c>
      <c r="B11" t="s">
        <v>39</v>
      </c>
      <c r="C11" s="1" t="s">
        <v>553</v>
      </c>
      <c r="D11" t="s">
        <v>556</v>
      </c>
      <c r="E11" s="4">
        <v>6.7</v>
      </c>
      <c r="F11" s="3">
        <f t="shared" si="0"/>
        <v>0.77777777777777779</v>
      </c>
      <c r="G11">
        <v>72.852119999999999</v>
      </c>
      <c r="H11">
        <f t="shared" si="1"/>
        <v>0.70488799718556139</v>
      </c>
      <c r="I11">
        <v>105.80000000000001</v>
      </c>
      <c r="J11" s="3">
        <f t="shared" si="2"/>
        <v>0.48688449148642438</v>
      </c>
      <c r="K11">
        <v>0</v>
      </c>
      <c r="L11" s="3">
        <f t="shared" si="3"/>
        <v>0</v>
      </c>
      <c r="M11">
        <v>9050</v>
      </c>
      <c r="N11">
        <f t="shared" si="4"/>
        <v>4.1688549488296832E-2</v>
      </c>
      <c r="O11" s="15">
        <v>0.63042109800000001</v>
      </c>
      <c r="P11">
        <f t="shared" si="5"/>
        <v>0.64268560689923482</v>
      </c>
      <c r="Q11">
        <v>0.34560000000000002</v>
      </c>
      <c r="R11">
        <f t="shared" si="6"/>
        <v>0.76612724451341174</v>
      </c>
      <c r="S11">
        <f t="shared" si="7"/>
        <v>0.20782530745220737</v>
      </c>
      <c r="T11" s="14">
        <f t="shared" si="8"/>
        <v>0.35491067605674192</v>
      </c>
      <c r="U11" t="str">
        <f t="shared" si="9"/>
        <v>Moderate</v>
      </c>
      <c r="V11">
        <f t="shared" si="10"/>
        <v>0.22603517561450176</v>
      </c>
      <c r="W11">
        <f t="shared" si="11"/>
        <v>0.33259384376626644</v>
      </c>
      <c r="X11" t="str">
        <f t="shared" si="12"/>
        <v>Moderate</v>
      </c>
      <c r="Y11">
        <f t="shared" si="13"/>
        <v>0.18961543928991303</v>
      </c>
      <c r="Z11">
        <f t="shared" si="14"/>
        <v>0.37321063493844275</v>
      </c>
      <c r="AA11" t="str">
        <f t="shared" si="15"/>
        <v>Moderate</v>
      </c>
      <c r="AB11">
        <f t="shared" si="16"/>
        <v>0.1403018123651954</v>
      </c>
      <c r="AC11">
        <f t="shared" si="17"/>
        <v>0.32357818848246994</v>
      </c>
      <c r="AD11" t="str">
        <f t="shared" si="18"/>
        <v>Moderate</v>
      </c>
      <c r="AE11">
        <f t="shared" si="19"/>
        <v>1.2299626037559692E-2</v>
      </c>
      <c r="AF11">
        <f t="shared" si="20"/>
        <v>6.3102394176009838E-2</v>
      </c>
      <c r="AG11" t="str">
        <f>IF(AF11&gt;0.7,"High",IF(AF11&gt;0.3,"Moderate",IF(AF11&gt;0.15,"Low","No Impact")))</f>
        <v>No Impact</v>
      </c>
      <c r="AH11" s="2" t="s">
        <v>1105</v>
      </c>
      <c r="AI11">
        <f>MAX(O1:O557)</f>
        <v>0.98091678299999996</v>
      </c>
      <c r="AJ11">
        <f>MIN(O1:O557)</f>
        <v>0</v>
      </c>
      <c r="AK11">
        <f t="shared" si="22"/>
        <v>0.98091678299999996</v>
      </c>
    </row>
    <row r="12" spans="1:37" x14ac:dyDescent="0.3">
      <c r="A12">
        <v>100632</v>
      </c>
      <c r="B12" t="s">
        <v>178</v>
      </c>
      <c r="C12" s="1" t="s">
        <v>553</v>
      </c>
      <c r="D12" t="s">
        <v>557</v>
      </c>
      <c r="E12" s="4">
        <v>6.7</v>
      </c>
      <c r="F12" s="3">
        <f t="shared" si="0"/>
        <v>0.77777777777777779</v>
      </c>
      <c r="G12">
        <v>69.032879999999992</v>
      </c>
      <c r="H12">
        <f t="shared" si="1"/>
        <v>0.66793455733547891</v>
      </c>
      <c r="I12">
        <v>109.39999999999999</v>
      </c>
      <c r="J12" s="3">
        <f t="shared" si="2"/>
        <v>0.5034514496088357</v>
      </c>
      <c r="K12">
        <v>0</v>
      </c>
      <c r="L12" s="3">
        <f t="shared" si="3"/>
        <v>0</v>
      </c>
      <c r="M12">
        <v>26617</v>
      </c>
      <c r="N12">
        <f t="shared" si="4"/>
        <v>0.12480542031577503</v>
      </c>
      <c r="O12" s="15">
        <v>0.73323406199999996</v>
      </c>
      <c r="P12">
        <f t="shared" si="5"/>
        <v>0.74749874271444694</v>
      </c>
      <c r="Q12">
        <v>0.35970000000000002</v>
      </c>
      <c r="R12">
        <f t="shared" si="6"/>
        <v>0.79738417202394152</v>
      </c>
      <c r="S12">
        <f t="shared" si="7"/>
        <v>0.22100827112644192</v>
      </c>
      <c r="T12" s="14">
        <f t="shared" si="8"/>
        <v>0.37742369243291168</v>
      </c>
      <c r="U12" t="str">
        <f t="shared" si="9"/>
        <v>Moderate</v>
      </c>
      <c r="V12">
        <f t="shared" si="10"/>
        <v>0.22814479414764369</v>
      </c>
      <c r="W12">
        <f t="shared" si="11"/>
        <v>0.3356979895476066</v>
      </c>
      <c r="X12" t="str">
        <f t="shared" si="12"/>
        <v>Moderate</v>
      </c>
      <c r="Y12">
        <f t="shared" si="13"/>
        <v>0.21387174810524023</v>
      </c>
      <c r="Z12">
        <f t="shared" si="14"/>
        <v>0.42095312071983548</v>
      </c>
      <c r="AA12" t="str">
        <f t="shared" si="15"/>
        <v>Moderate</v>
      </c>
      <c r="AB12">
        <f t="shared" si="16"/>
        <v>0.15651031530535736</v>
      </c>
      <c r="AC12">
        <f t="shared" si="17"/>
        <v>0.36095987251758971</v>
      </c>
      <c r="AD12" t="str">
        <f t="shared" si="18"/>
        <v>Moderate</v>
      </c>
      <c r="AE12">
        <f t="shared" si="19"/>
        <v>3.5708894063171487E-2</v>
      </c>
      <c r="AF12">
        <f t="shared" si="20"/>
        <v>0.1832020503617437</v>
      </c>
      <c r="AG12" t="s">
        <v>1175</v>
      </c>
      <c r="AH12" s="2" t="s">
        <v>1106</v>
      </c>
      <c r="AI12">
        <f>MAX(Q1:Q557)</f>
        <v>0.4511</v>
      </c>
      <c r="AJ12">
        <f>MIN(Q1:Q557)</f>
        <v>0</v>
      </c>
      <c r="AK12">
        <f t="shared" si="22"/>
        <v>0.4511</v>
      </c>
    </row>
    <row r="13" spans="1:37" x14ac:dyDescent="0.3">
      <c r="A13">
        <v>100636</v>
      </c>
      <c r="B13" t="s">
        <v>209</v>
      </c>
      <c r="C13" s="1" t="s">
        <v>553</v>
      </c>
      <c r="D13" t="s">
        <v>558</v>
      </c>
      <c r="E13" s="4">
        <v>6.7</v>
      </c>
      <c r="F13" s="3">
        <f t="shared" si="0"/>
        <v>0.77777777777777779</v>
      </c>
      <c r="G13">
        <v>84.698999999999998</v>
      </c>
      <c r="H13">
        <f t="shared" si="1"/>
        <v>0.81951367336489123</v>
      </c>
      <c r="I13">
        <v>91.300000000000011</v>
      </c>
      <c r="J13" s="3">
        <f t="shared" si="2"/>
        <v>0.42015646571560061</v>
      </c>
      <c r="K13">
        <v>1.5</v>
      </c>
      <c r="L13" s="3">
        <f t="shared" si="3"/>
        <v>0.75</v>
      </c>
      <c r="M13">
        <v>4786</v>
      </c>
      <c r="N13">
        <f t="shared" si="4"/>
        <v>2.1513770800509101E-2</v>
      </c>
      <c r="O13" s="15">
        <v>0.63615287099999995</v>
      </c>
      <c r="P13">
        <f t="shared" si="5"/>
        <v>0.64852888851020907</v>
      </c>
      <c r="Q13">
        <v>0.35220000000000001</v>
      </c>
      <c r="R13">
        <f t="shared" si="6"/>
        <v>0.78075814675238309</v>
      </c>
      <c r="S13">
        <f t="shared" si="7"/>
        <v>0.39566296616347446</v>
      </c>
      <c r="T13" s="14">
        <f t="shared" si="8"/>
        <v>0.675687732804088</v>
      </c>
      <c r="U13" t="str">
        <f t="shared" si="9"/>
        <v>Moderate</v>
      </c>
      <c r="V13">
        <f t="shared" si="10"/>
        <v>0.4322673844775905</v>
      </c>
      <c r="W13">
        <f t="shared" si="11"/>
        <v>0.63604910407125381</v>
      </c>
      <c r="X13" t="str">
        <f t="shared" si="12"/>
        <v>Moderate</v>
      </c>
      <c r="Y13">
        <f t="shared" si="13"/>
        <v>0.35905854784935848</v>
      </c>
      <c r="Z13">
        <f t="shared" si="14"/>
        <v>0.70671707496375236</v>
      </c>
      <c r="AA13" t="str">
        <f t="shared" si="15"/>
        <v>High</v>
      </c>
      <c r="AB13">
        <f t="shared" si="16"/>
        <v>0.26318003978209065</v>
      </c>
      <c r="AC13">
        <f t="shared" si="17"/>
        <v>0.606972348267104</v>
      </c>
      <c r="AD13" t="str">
        <f t="shared" si="18"/>
        <v>Moderate</v>
      </c>
      <c r="AE13">
        <f t="shared" si="19"/>
        <v>1.1911116743218335E-2</v>
      </c>
      <c r="AF13">
        <f t="shared" si="20"/>
        <v>6.1109173686402514E-2</v>
      </c>
      <c r="AG13" t="str">
        <f>IF(AF13&gt;0.7,"High",IF(AF13&gt;0.3,"Moderate",IF(AF13&gt;0.15,"Low","No Impact")))</f>
        <v>No Impact</v>
      </c>
      <c r="AH13" s="2" t="s">
        <v>1110</v>
      </c>
      <c r="AI13">
        <f>MAX(V1:V547)</f>
        <v>0.67961322751767517</v>
      </c>
      <c r="AJ13">
        <f>MIN(V1:V557)</f>
        <v>0</v>
      </c>
      <c r="AK13">
        <f t="shared" si="22"/>
        <v>0.67961322751767517</v>
      </c>
    </row>
    <row r="14" spans="1:37" x14ac:dyDescent="0.3">
      <c r="A14">
        <v>100651</v>
      </c>
      <c r="B14" t="s">
        <v>49</v>
      </c>
      <c r="C14" s="1" t="s">
        <v>553</v>
      </c>
      <c r="D14" t="s">
        <v>1120</v>
      </c>
      <c r="E14" s="4">
        <v>6.8</v>
      </c>
      <c r="F14" s="3">
        <f t="shared" si="0"/>
        <v>0.79999999999999993</v>
      </c>
      <c r="G14">
        <v>71.954999999999998</v>
      </c>
      <c r="H14">
        <f t="shared" si="1"/>
        <v>0.69620782260676928</v>
      </c>
      <c r="I14">
        <v>87.9</v>
      </c>
      <c r="J14" s="3">
        <f t="shared" si="2"/>
        <v>0.40450989415554539</v>
      </c>
      <c r="K14">
        <v>0.1</v>
      </c>
      <c r="L14" s="3">
        <f t="shared" si="3"/>
        <v>0.05</v>
      </c>
      <c r="M14">
        <v>47691</v>
      </c>
      <c r="N14">
        <f t="shared" si="4"/>
        <v>0.22451538421503361</v>
      </c>
      <c r="O14" s="15">
        <v>0.53584432400000004</v>
      </c>
      <c r="P14">
        <f t="shared" si="5"/>
        <v>0.54626889180261895</v>
      </c>
      <c r="Q14">
        <v>0.35980000000000001</v>
      </c>
      <c r="R14">
        <f t="shared" si="6"/>
        <v>0.79760585236089565</v>
      </c>
      <c r="S14">
        <f t="shared" si="7"/>
        <v>0.20393842591334921</v>
      </c>
      <c r="T14" s="14">
        <f t="shared" si="8"/>
        <v>0.34827291008097955</v>
      </c>
      <c r="U14" t="str">
        <f t="shared" si="9"/>
        <v>Moderate</v>
      </c>
      <c r="V14">
        <f t="shared" si="10"/>
        <v>0.24207982587098081</v>
      </c>
      <c r="W14">
        <f t="shared" si="11"/>
        <v>0.35620234578892873</v>
      </c>
      <c r="X14" t="str">
        <f t="shared" si="12"/>
        <v>Moderate</v>
      </c>
      <c r="Y14">
        <f t="shared" si="13"/>
        <v>0.16579702595571758</v>
      </c>
      <c r="Z14">
        <f t="shared" si="14"/>
        <v>0.32633003704530356</v>
      </c>
      <c r="AA14" t="str">
        <f t="shared" si="15"/>
        <v>Moderate</v>
      </c>
      <c r="AB14">
        <f t="shared" si="16"/>
        <v>0.15831682895428911</v>
      </c>
      <c r="AC14">
        <f t="shared" si="17"/>
        <v>0.36512623647352105</v>
      </c>
      <c r="AD14" t="str">
        <f t="shared" si="18"/>
        <v>Moderate</v>
      </c>
      <c r="AE14">
        <f t="shared" si="19"/>
        <v>6.8142234607801569E-2</v>
      </c>
      <c r="AF14">
        <f t="shared" si="20"/>
        <v>0.34959909635665343</v>
      </c>
      <c r="AG14" t="str">
        <f t="shared" si="21"/>
        <v>Moderate</v>
      </c>
      <c r="AH14" s="2" t="s">
        <v>1116</v>
      </c>
      <c r="AI14">
        <f>MAX(Y1:Y547)</f>
        <v>0.50806547707620431</v>
      </c>
      <c r="AJ14">
        <f>MIN(Y1:Y557)</f>
        <v>0</v>
      </c>
      <c r="AK14">
        <f t="shared" si="22"/>
        <v>0.50806547707620431</v>
      </c>
    </row>
    <row r="15" spans="1:37" x14ac:dyDescent="0.3">
      <c r="A15">
        <v>100662</v>
      </c>
      <c r="B15" t="s">
        <v>331</v>
      </c>
      <c r="C15" s="1" t="s">
        <v>553</v>
      </c>
      <c r="D15" t="s">
        <v>559</v>
      </c>
      <c r="E15" s="4">
        <v>6.7</v>
      </c>
      <c r="F15" s="3">
        <f t="shared" si="0"/>
        <v>0.77777777777777779</v>
      </c>
      <c r="G15">
        <v>84.698999999999998</v>
      </c>
      <c r="H15">
        <f t="shared" si="1"/>
        <v>0.81951367336489123</v>
      </c>
      <c r="I15">
        <v>83.8</v>
      </c>
      <c r="J15" s="3">
        <f t="shared" si="2"/>
        <v>0.38564196962724345</v>
      </c>
      <c r="K15">
        <v>1.5</v>
      </c>
      <c r="L15" s="3">
        <f t="shared" si="3"/>
        <v>0.75</v>
      </c>
      <c r="M15">
        <v>15037</v>
      </c>
      <c r="N15">
        <f t="shared" si="4"/>
        <v>7.0015566374737992E-2</v>
      </c>
      <c r="O15" s="15">
        <v>0.57228671499999995</v>
      </c>
      <c r="P15">
        <f t="shared" si="5"/>
        <v>0.58342025023747601</v>
      </c>
      <c r="Q15">
        <v>0.3659</v>
      </c>
      <c r="R15">
        <f t="shared" si="6"/>
        <v>0.81112835291509644</v>
      </c>
      <c r="S15">
        <f t="shared" si="7"/>
        <v>0.38230287446558847</v>
      </c>
      <c r="T15" s="14">
        <f t="shared" si="8"/>
        <v>0.65287222859622251</v>
      </c>
      <c r="U15" t="str">
        <f t="shared" si="9"/>
        <v>Moderate</v>
      </c>
      <c r="V15">
        <f t="shared" si="10"/>
        <v>0.44472698933398619</v>
      </c>
      <c r="W15">
        <f t="shared" si="11"/>
        <v>0.65438248010324351</v>
      </c>
      <c r="X15" t="str">
        <f t="shared" si="12"/>
        <v>Moderate</v>
      </c>
      <c r="Y15">
        <f t="shared" si="13"/>
        <v>0.31987875959719086</v>
      </c>
      <c r="Z15">
        <f t="shared" si="14"/>
        <v>0.62960144711665289</v>
      </c>
      <c r="AA15" t="str">
        <f t="shared" si="15"/>
        <v>Moderate</v>
      </c>
      <c r="AB15">
        <f t="shared" si="16"/>
        <v>0.26505396770710959</v>
      </c>
      <c r="AC15">
        <f t="shared" si="17"/>
        <v>0.61129418982497374</v>
      </c>
      <c r="AD15" t="str">
        <f t="shared" si="18"/>
        <v>Moderate</v>
      </c>
      <c r="AE15">
        <f t="shared" si="19"/>
        <v>3.8388267317306317E-2</v>
      </c>
      <c r="AF15">
        <f t="shared" si="20"/>
        <v>0.19694839246277715</v>
      </c>
      <c r="AG15" t="s">
        <v>1175</v>
      </c>
      <c r="AH15" s="2" t="s">
        <v>1157</v>
      </c>
      <c r="AI15">
        <f>MAX(AB1:AB547)</f>
        <v>0.43359477665410179</v>
      </c>
      <c r="AJ15">
        <f>MIN(AB1:AB557)</f>
        <v>0</v>
      </c>
      <c r="AK15">
        <f t="shared" si="22"/>
        <v>0.43359477665410179</v>
      </c>
    </row>
    <row r="16" spans="1:37" x14ac:dyDescent="0.3">
      <c r="A16">
        <v>100669</v>
      </c>
      <c r="B16" t="s">
        <v>352</v>
      </c>
      <c r="C16" s="1" t="s">
        <v>553</v>
      </c>
      <c r="D16" t="s">
        <v>560</v>
      </c>
      <c r="E16" s="4">
        <v>6.7</v>
      </c>
      <c r="F16" s="3">
        <f t="shared" si="0"/>
        <v>0.77777777777777779</v>
      </c>
      <c r="G16">
        <v>72.644040000000004</v>
      </c>
      <c r="H16">
        <f t="shared" si="1"/>
        <v>0.70287469826640336</v>
      </c>
      <c r="I16">
        <v>103.3</v>
      </c>
      <c r="J16" s="3">
        <f t="shared" si="2"/>
        <v>0.47537965945697197</v>
      </c>
      <c r="K16">
        <v>1.5</v>
      </c>
      <c r="L16" s="3">
        <f t="shared" si="3"/>
        <v>0.75</v>
      </c>
      <c r="M16">
        <v>4807</v>
      </c>
      <c r="N16">
        <f t="shared" si="4"/>
        <v>2.1613130639262276E-2</v>
      </c>
      <c r="O16" s="15">
        <v>0.57659190199999999</v>
      </c>
      <c r="P16">
        <f t="shared" si="5"/>
        <v>0.58780919237264184</v>
      </c>
      <c r="Q16">
        <v>0.36940000000000001</v>
      </c>
      <c r="R16">
        <f t="shared" si="6"/>
        <v>0.81888716470849032</v>
      </c>
      <c r="S16">
        <f t="shared" si="7"/>
        <v>0.36992837201304357</v>
      </c>
      <c r="T16" s="14">
        <f t="shared" si="8"/>
        <v>0.63173985022931689</v>
      </c>
      <c r="U16" t="str">
        <f t="shared" si="9"/>
        <v>Moderate</v>
      </c>
      <c r="V16">
        <f t="shared" si="10"/>
        <v>0.43069649562690554</v>
      </c>
      <c r="W16">
        <f t="shared" si="11"/>
        <v>0.63373765869750398</v>
      </c>
      <c r="X16" t="str">
        <f t="shared" si="12"/>
        <v>Moderate</v>
      </c>
      <c r="Y16">
        <f t="shared" si="13"/>
        <v>0.30916024839918166</v>
      </c>
      <c r="Z16">
        <f t="shared" si="14"/>
        <v>0.60850473481946699</v>
      </c>
      <c r="AA16" t="str">
        <f t="shared" si="15"/>
        <v>Moderate</v>
      </c>
      <c r="AB16">
        <f t="shared" si="16"/>
        <v>0.24747047289558291</v>
      </c>
      <c r="AC16">
        <f t="shared" si="17"/>
        <v>0.57074136087437544</v>
      </c>
      <c r="AD16" t="str">
        <f t="shared" si="18"/>
        <v>Moderate</v>
      </c>
      <c r="AE16">
        <f t="shared" si="19"/>
        <v>1.1367499732604185E-2</v>
      </c>
      <c r="AF16">
        <f t="shared" si="20"/>
        <v>5.8320183616313831E-2</v>
      </c>
      <c r="AG16" t="str">
        <f>IF(AF16&gt;0.7,"High",IF(AF16&gt;0.3,"Moderate",IF(AF16&gt;0.15,"Low","No Impact")))</f>
        <v>No Impact</v>
      </c>
      <c r="AH16" s="2" t="s">
        <v>1158</v>
      </c>
      <c r="AI16">
        <f>MAX(AE1:AE547)</f>
        <v>0.19491536253367298</v>
      </c>
      <c r="AJ16">
        <f>MIN(AE1:AE557)</f>
        <v>0</v>
      </c>
      <c r="AK16">
        <f t="shared" si="22"/>
        <v>0.19491536253367298</v>
      </c>
    </row>
    <row r="17" spans="1:34" x14ac:dyDescent="0.3">
      <c r="A17">
        <v>100694</v>
      </c>
      <c r="B17" t="s">
        <v>533</v>
      </c>
      <c r="C17" s="1" t="s">
        <v>553</v>
      </c>
      <c r="D17" t="s">
        <v>561</v>
      </c>
      <c r="E17" s="4">
        <v>6.7</v>
      </c>
      <c r="F17" s="3">
        <f t="shared" si="0"/>
        <v>0.77777777777777779</v>
      </c>
      <c r="G17">
        <v>72.852119999999999</v>
      </c>
      <c r="H17">
        <f t="shared" si="1"/>
        <v>0.70488799718556139</v>
      </c>
      <c r="I17">
        <v>105.80000000000001</v>
      </c>
      <c r="J17" s="3">
        <f t="shared" si="2"/>
        <v>0.48688449148642438</v>
      </c>
      <c r="K17">
        <v>0</v>
      </c>
      <c r="L17" s="3">
        <f t="shared" si="3"/>
        <v>0</v>
      </c>
      <c r="M17">
        <v>26434</v>
      </c>
      <c r="N17">
        <f t="shared" si="4"/>
        <v>0.1239395702923545</v>
      </c>
      <c r="O17" s="15">
        <v>0.54130868899999995</v>
      </c>
      <c r="P17">
        <f t="shared" si="5"/>
        <v>0.55183956313244154</v>
      </c>
      <c r="Q17">
        <v>0.31590000000000001</v>
      </c>
      <c r="R17">
        <f t="shared" si="6"/>
        <v>0.70028818443804042</v>
      </c>
      <c r="S17">
        <f t="shared" si="7"/>
        <v>0.18471142838265803</v>
      </c>
      <c r="T17" s="14">
        <f t="shared" si="8"/>
        <v>0.31543828192228829</v>
      </c>
      <c r="U17" t="str">
        <f t="shared" si="9"/>
        <v>Moderate</v>
      </c>
      <c r="V17">
        <f t="shared" si="10"/>
        <v>0.20661027771013052</v>
      </c>
      <c r="W17">
        <f t="shared" si="11"/>
        <v>0.30401156031760296</v>
      </c>
      <c r="X17" t="str">
        <f t="shared" si="12"/>
        <v>Moderate</v>
      </c>
      <c r="Y17">
        <f t="shared" si="13"/>
        <v>0.16281257905518559</v>
      </c>
      <c r="Z17">
        <f t="shared" si="14"/>
        <v>0.32045589870056351</v>
      </c>
      <c r="AA17" t="str">
        <f t="shared" si="15"/>
        <v>Moderate</v>
      </c>
      <c r="AB17">
        <f t="shared" si="16"/>
        <v>0.13395569646485239</v>
      </c>
      <c r="AC17">
        <f t="shared" si="17"/>
        <v>0.30894213601589332</v>
      </c>
      <c r="AD17" t="str">
        <f t="shared" si="18"/>
        <v>Moderate</v>
      </c>
      <c r="AE17">
        <f t="shared" si="19"/>
        <v>3.6566644427860194E-2</v>
      </c>
      <c r="AF17">
        <f t="shared" si="20"/>
        <v>0.18760268022251481</v>
      </c>
      <c r="AG17" t="s">
        <v>1175</v>
      </c>
    </row>
    <row r="18" spans="1:34" x14ac:dyDescent="0.3">
      <c r="A18">
        <v>100918</v>
      </c>
      <c r="B18" t="s">
        <v>71</v>
      </c>
      <c r="C18" s="1" t="s">
        <v>563</v>
      </c>
      <c r="D18" t="s">
        <v>562</v>
      </c>
      <c r="E18" s="4">
        <v>7.2</v>
      </c>
      <c r="F18" s="3">
        <f t="shared" si="0"/>
        <v>0.88888888888888884</v>
      </c>
      <c r="G18">
        <v>84.698999999999998</v>
      </c>
      <c r="H18">
        <f t="shared" si="1"/>
        <v>0.81951367336489123</v>
      </c>
      <c r="I18">
        <v>87.7</v>
      </c>
      <c r="J18" s="3">
        <f t="shared" si="2"/>
        <v>0.40358950759318918</v>
      </c>
      <c r="K18">
        <v>1.5</v>
      </c>
      <c r="L18" s="3">
        <f t="shared" si="3"/>
        <v>0.75</v>
      </c>
      <c r="M18">
        <v>36805</v>
      </c>
      <c r="N18">
        <f t="shared" si="4"/>
        <v>0.1730091363737444</v>
      </c>
      <c r="O18" s="15">
        <v>0.76612328399999996</v>
      </c>
      <c r="P18">
        <f t="shared" si="5"/>
        <v>0.78102780712642772</v>
      </c>
      <c r="Q18">
        <v>0.40150000000000002</v>
      </c>
      <c r="R18">
        <f t="shared" si="6"/>
        <v>0.8900465528707604</v>
      </c>
      <c r="S18">
        <f t="shared" si="7"/>
        <v>0.52622010600471214</v>
      </c>
      <c r="T18" s="14">
        <f t="shared" si="8"/>
        <v>0.89864480830724336</v>
      </c>
      <c r="U18" t="str">
        <f t="shared" si="9"/>
        <v>High</v>
      </c>
      <c r="V18">
        <f t="shared" si="10"/>
        <v>0.56055003010346982</v>
      </c>
      <c r="W18">
        <f t="shared" si="11"/>
        <v>0.82480741605178842</v>
      </c>
      <c r="X18" t="str">
        <f t="shared" si="12"/>
        <v>High</v>
      </c>
      <c r="Y18">
        <f t="shared" si="13"/>
        <v>0.49189018190595452</v>
      </c>
      <c r="Z18">
        <f t="shared" si="14"/>
        <v>0.96816297130965334</v>
      </c>
      <c r="AA18" t="str">
        <f t="shared" si="15"/>
        <v>High</v>
      </c>
      <c r="AB18">
        <f t="shared" si="16"/>
        <v>0.38189588135054675</v>
      </c>
      <c r="AC18">
        <f t="shared" si="17"/>
        <v>0.88076679405020231</v>
      </c>
      <c r="AD18" t="str">
        <f t="shared" si="18"/>
        <v>High</v>
      </c>
      <c r="AE18">
        <f t="shared" si="19"/>
        <v>0.10896090355013127</v>
      </c>
      <c r="AF18">
        <f t="shared" si="20"/>
        <v>0.55901649892428318</v>
      </c>
      <c r="AG18" t="str">
        <f t="shared" si="21"/>
        <v>Moderate</v>
      </c>
      <c r="AH18" s="2"/>
    </row>
    <row r="19" spans="1:34" x14ac:dyDescent="0.3">
      <c r="A19">
        <v>100921</v>
      </c>
      <c r="B19" t="s">
        <v>90</v>
      </c>
      <c r="C19" s="1" t="s">
        <v>563</v>
      </c>
      <c r="D19" t="s">
        <v>564</v>
      </c>
      <c r="E19" s="4">
        <v>7.2</v>
      </c>
      <c r="F19" s="3">
        <f t="shared" si="0"/>
        <v>0.88888888888888884</v>
      </c>
      <c r="G19">
        <v>83.126159999999999</v>
      </c>
      <c r="H19">
        <f t="shared" si="1"/>
        <v>0.80429550212302015</v>
      </c>
      <c r="I19">
        <v>95.5</v>
      </c>
      <c r="J19" s="3">
        <f t="shared" si="2"/>
        <v>0.43948458352508057</v>
      </c>
      <c r="K19">
        <v>1.5</v>
      </c>
      <c r="L19" s="3">
        <f t="shared" si="3"/>
        <v>0.75</v>
      </c>
      <c r="M19">
        <v>23768</v>
      </c>
      <c r="N19">
        <f t="shared" si="4"/>
        <v>0.11132560219159415</v>
      </c>
      <c r="O19" s="15">
        <v>0.46563471299999998</v>
      </c>
      <c r="P19">
        <f t="shared" si="5"/>
        <v>0.47469338996924881</v>
      </c>
      <c r="Q19">
        <v>0.41270000000000001</v>
      </c>
      <c r="R19">
        <f t="shared" si="6"/>
        <v>0.91487475060962098</v>
      </c>
      <c r="S19">
        <f t="shared" si="7"/>
        <v>0.43824824863399087</v>
      </c>
      <c r="T19" s="14">
        <f t="shared" si="8"/>
        <v>0.74841213570268106</v>
      </c>
      <c r="U19" t="str">
        <f t="shared" si="9"/>
        <v>High</v>
      </c>
      <c r="V19">
        <f t="shared" si="10"/>
        <v>0.57707462551221134</v>
      </c>
      <c r="W19">
        <f t="shared" si="11"/>
        <v>0.84912212144547017</v>
      </c>
      <c r="X19" t="str">
        <f t="shared" si="12"/>
        <v>High</v>
      </c>
      <c r="Y19">
        <f t="shared" si="13"/>
        <v>0.2994218717557704</v>
      </c>
      <c r="Z19">
        <f t="shared" si="14"/>
        <v>0.58933717260001972</v>
      </c>
      <c r="AA19" t="str">
        <f t="shared" si="15"/>
        <v>Moderate</v>
      </c>
      <c r="AB19">
        <f t="shared" si="16"/>
        <v>0.31637993876719978</v>
      </c>
      <c r="AC19">
        <f t="shared" si="17"/>
        <v>0.72966732027676251</v>
      </c>
      <c r="AD19" t="str">
        <f t="shared" si="18"/>
        <v>High</v>
      </c>
      <c r="AE19">
        <f t="shared" si="19"/>
        <v>7.0220738031984781E-2</v>
      </c>
      <c r="AF19">
        <f t="shared" si="20"/>
        <v>0.36026271669506638</v>
      </c>
      <c r="AG19" t="str">
        <f t="shared" si="21"/>
        <v>Moderate</v>
      </c>
    </row>
    <row r="20" spans="1:34" x14ac:dyDescent="0.3">
      <c r="A20">
        <v>100925</v>
      </c>
      <c r="B20" t="s">
        <v>100</v>
      </c>
      <c r="C20" s="1" t="s">
        <v>563</v>
      </c>
      <c r="D20" t="s">
        <v>565</v>
      </c>
      <c r="E20" s="4">
        <v>7.2</v>
      </c>
      <c r="F20" s="3">
        <f t="shared" si="0"/>
        <v>0.88888888888888884</v>
      </c>
      <c r="G20">
        <v>97.223759999999999</v>
      </c>
      <c r="H20">
        <f t="shared" si="1"/>
        <v>0.9406982455040388</v>
      </c>
      <c r="I20">
        <v>84.1</v>
      </c>
      <c r="J20" s="3">
        <f t="shared" si="2"/>
        <v>0.38702254947077774</v>
      </c>
      <c r="K20">
        <v>2</v>
      </c>
      <c r="L20" s="3">
        <f t="shared" si="3"/>
        <v>1</v>
      </c>
      <c r="M20">
        <v>19441</v>
      </c>
      <c r="N20">
        <f t="shared" si="4"/>
        <v>9.0852743987546905E-2</v>
      </c>
      <c r="O20" s="15">
        <v>0.51877729400000006</v>
      </c>
      <c r="P20">
        <f t="shared" si="5"/>
        <v>0.5288698317643119</v>
      </c>
      <c r="Q20">
        <v>0.39610000000000001</v>
      </c>
      <c r="R20">
        <f t="shared" si="6"/>
        <v>0.87807581467523832</v>
      </c>
      <c r="S20">
        <f t="shared" si="7"/>
        <v>0.53381631877168079</v>
      </c>
      <c r="T20" s="14">
        <f t="shared" si="8"/>
        <v>0.91161713127236477</v>
      </c>
      <c r="U20" t="str">
        <f t="shared" si="9"/>
        <v>High</v>
      </c>
      <c r="V20">
        <f t="shared" si="10"/>
        <v>0.6663103157944481</v>
      </c>
      <c r="W20">
        <f t="shared" si="11"/>
        <v>0.98042576102908319</v>
      </c>
      <c r="X20" t="str">
        <f t="shared" si="12"/>
        <v>High</v>
      </c>
      <c r="Y20">
        <f t="shared" si="13"/>
        <v>0.40132232174891341</v>
      </c>
      <c r="Z20">
        <f t="shared" si="14"/>
        <v>0.78990275831852952</v>
      </c>
      <c r="AA20" t="str">
        <f t="shared" si="15"/>
        <v>High</v>
      </c>
      <c r="AB20">
        <f t="shared" si="16"/>
        <v>0.37773493439684974</v>
      </c>
      <c r="AC20">
        <f t="shared" si="17"/>
        <v>0.87117039857282697</v>
      </c>
      <c r="AD20" t="str">
        <f t="shared" si="18"/>
        <v>High</v>
      </c>
      <c r="AE20">
        <f t="shared" si="19"/>
        <v>6.8941792411768191E-2</v>
      </c>
      <c r="AF20">
        <f t="shared" si="20"/>
        <v>0.35370117324568512</v>
      </c>
      <c r="AG20" t="str">
        <f t="shared" si="21"/>
        <v>Moderate</v>
      </c>
    </row>
    <row r="21" spans="1:34" x14ac:dyDescent="0.3">
      <c r="A21">
        <v>100929</v>
      </c>
      <c r="B21" t="s">
        <v>131</v>
      </c>
      <c r="C21" s="1" t="s">
        <v>563</v>
      </c>
      <c r="D21" t="s">
        <v>1121</v>
      </c>
      <c r="E21" s="4">
        <v>7.2</v>
      </c>
      <c r="F21" s="3">
        <f t="shared" si="0"/>
        <v>0.88888888888888884</v>
      </c>
      <c r="G21">
        <v>78.384599999999992</v>
      </c>
      <c r="H21">
        <f t="shared" si="1"/>
        <v>0.75841806256552791</v>
      </c>
      <c r="I21">
        <v>73.7</v>
      </c>
      <c r="J21" s="3">
        <f t="shared" si="2"/>
        <v>0.33916244822825592</v>
      </c>
      <c r="K21">
        <v>1.5</v>
      </c>
      <c r="L21" s="3">
        <f t="shared" si="3"/>
        <v>0.75</v>
      </c>
      <c r="M21">
        <v>11391</v>
      </c>
      <c r="N21">
        <f t="shared" si="4"/>
        <v>5.2764805798829445E-2</v>
      </c>
      <c r="O21" s="15">
        <v>0.58528307899999998</v>
      </c>
      <c r="P21">
        <f t="shared" si="5"/>
        <v>0.59666945162258478</v>
      </c>
      <c r="Q21">
        <v>0.41320000000000001</v>
      </c>
      <c r="R21">
        <f t="shared" si="6"/>
        <v>0.91598315229439153</v>
      </c>
      <c r="S21">
        <f t="shared" si="7"/>
        <v>0.45124088717632183</v>
      </c>
      <c r="T21" s="14">
        <f t="shared" si="8"/>
        <v>0.77060012707557957</v>
      </c>
      <c r="U21" t="str">
        <f t="shared" si="9"/>
        <v>High</v>
      </c>
      <c r="V21">
        <f t="shared" si="10"/>
        <v>0.54649567152375889</v>
      </c>
      <c r="W21">
        <f t="shared" si="11"/>
        <v>0.80412747927209205</v>
      </c>
      <c r="X21" t="str">
        <f t="shared" si="12"/>
        <v>High</v>
      </c>
      <c r="Y21">
        <f t="shared" si="13"/>
        <v>0.35598610282888493</v>
      </c>
      <c r="Z21">
        <f t="shared" si="14"/>
        <v>0.70066973429783119</v>
      </c>
      <c r="AA21" t="str">
        <f t="shared" si="15"/>
        <v>High</v>
      </c>
      <c r="AB21">
        <f t="shared" si="16"/>
        <v>0.30908754068990252</v>
      </c>
      <c r="AC21">
        <f t="shared" si="17"/>
        <v>0.71284885642539841</v>
      </c>
      <c r="AD21" t="str">
        <f t="shared" si="18"/>
        <v>High</v>
      </c>
      <c r="AE21">
        <f t="shared" si="19"/>
        <v>3.1480642308347156E-2</v>
      </c>
      <c r="AF21">
        <f t="shared" si="20"/>
        <v>0.1615092925418265</v>
      </c>
      <c r="AG21" t="s">
        <v>1175</v>
      </c>
    </row>
    <row r="22" spans="1:34" x14ac:dyDescent="0.3">
      <c r="A22">
        <v>100954</v>
      </c>
      <c r="B22" t="s">
        <v>298</v>
      </c>
      <c r="C22" s="1" t="s">
        <v>563</v>
      </c>
      <c r="D22" t="s">
        <v>566</v>
      </c>
      <c r="E22" s="4">
        <v>7.2</v>
      </c>
      <c r="F22" s="3">
        <f t="shared" si="0"/>
        <v>0.88888888888888884</v>
      </c>
      <c r="G22">
        <v>85.421520000000001</v>
      </c>
      <c r="H22">
        <f t="shared" si="1"/>
        <v>0.82650448812397459</v>
      </c>
      <c r="I22">
        <v>79.399999999999991</v>
      </c>
      <c r="J22" s="3">
        <f t="shared" si="2"/>
        <v>0.36539346525540728</v>
      </c>
      <c r="K22">
        <v>2</v>
      </c>
      <c r="L22" s="3">
        <f t="shared" si="3"/>
        <v>1</v>
      </c>
      <c r="M22">
        <v>17773</v>
      </c>
      <c r="N22">
        <f t="shared" si="4"/>
        <v>8.2960733938008929E-2</v>
      </c>
      <c r="O22" s="15">
        <v>0.51780243199999998</v>
      </c>
      <c r="P22">
        <f t="shared" si="5"/>
        <v>0.52787600433991144</v>
      </c>
      <c r="Q22">
        <v>0.41610000000000003</v>
      </c>
      <c r="R22">
        <f t="shared" si="6"/>
        <v>0.92241188206606084</v>
      </c>
      <c r="S22">
        <f t="shared" si="7"/>
        <v>0.51803025632146682</v>
      </c>
      <c r="T22" s="14">
        <f t="shared" si="8"/>
        <v>0.88465871044689426</v>
      </c>
      <c r="U22" t="str">
        <f t="shared" si="9"/>
        <v>High</v>
      </c>
      <c r="V22">
        <f t="shared" si="10"/>
        <v>0.6589550504828382</v>
      </c>
      <c r="W22">
        <f t="shared" si="11"/>
        <v>0.96960303861316521</v>
      </c>
      <c r="X22" t="str">
        <f t="shared" si="12"/>
        <v>High</v>
      </c>
      <c r="Y22">
        <f t="shared" si="13"/>
        <v>0.37710546216009538</v>
      </c>
      <c r="Z22">
        <f t="shared" si="14"/>
        <v>0.74223791848689935</v>
      </c>
      <c r="AA22" t="str">
        <f t="shared" si="15"/>
        <v>High</v>
      </c>
      <c r="AB22">
        <f t="shared" si="16"/>
        <v>0.36450890463380275</v>
      </c>
      <c r="AC22">
        <f t="shared" si="17"/>
        <v>0.84066719494775655</v>
      </c>
      <c r="AD22" t="str">
        <f t="shared" si="18"/>
        <v>High</v>
      </c>
      <c r="AE22">
        <f t="shared" si="19"/>
        <v>5.9265709476516534E-2</v>
      </c>
      <c r="AF22">
        <f t="shared" si="20"/>
        <v>0.30405868837700245</v>
      </c>
      <c r="AG22" t="str">
        <f t="shared" si="21"/>
        <v>Moderate</v>
      </c>
    </row>
    <row r="23" spans="1:34" x14ac:dyDescent="0.3">
      <c r="A23">
        <v>100965</v>
      </c>
      <c r="B23" t="s">
        <v>323</v>
      </c>
      <c r="C23" s="1" t="s">
        <v>563</v>
      </c>
      <c r="D23" t="s">
        <v>567</v>
      </c>
      <c r="E23" s="4">
        <v>5.3</v>
      </c>
      <c r="F23" s="3">
        <f t="shared" si="0"/>
        <v>0.46666666666666656</v>
      </c>
      <c r="G23">
        <v>103.35276</v>
      </c>
      <c r="H23">
        <f t="shared" si="1"/>
        <v>1</v>
      </c>
      <c r="I23">
        <v>78.600000000000009</v>
      </c>
      <c r="J23" s="3">
        <f t="shared" si="2"/>
        <v>0.3617119190059826</v>
      </c>
      <c r="K23">
        <v>2</v>
      </c>
      <c r="L23" s="3">
        <f t="shared" si="3"/>
        <v>1</v>
      </c>
      <c r="M23">
        <v>12816</v>
      </c>
      <c r="N23">
        <f t="shared" si="4"/>
        <v>5.9507080571366389E-2</v>
      </c>
      <c r="O23" s="15">
        <v>0.61451816699999995</v>
      </c>
      <c r="P23">
        <f t="shared" si="5"/>
        <v>0.62647329279103581</v>
      </c>
      <c r="Q23">
        <v>0.37280000000000002</v>
      </c>
      <c r="R23">
        <f t="shared" si="6"/>
        <v>0.82642429616493018</v>
      </c>
      <c r="S23">
        <f t="shared" si="7"/>
        <v>0.29573230077273355</v>
      </c>
      <c r="T23" s="14">
        <f t="shared" si="8"/>
        <v>0.50503257801364465</v>
      </c>
      <c r="U23" t="str">
        <f t="shared" si="9"/>
        <v>Moderate</v>
      </c>
      <c r="V23">
        <f t="shared" si="10"/>
        <v>0.33643163892227917</v>
      </c>
      <c r="W23">
        <f t="shared" si="11"/>
        <v>0.49503397712124336</v>
      </c>
      <c r="X23" t="str">
        <f t="shared" si="12"/>
        <v>Moderate</v>
      </c>
      <c r="Y23">
        <f t="shared" si="13"/>
        <v>0.25503296262318792</v>
      </c>
      <c r="Z23">
        <f t="shared" si="14"/>
        <v>0.50196869130105404</v>
      </c>
      <c r="AA23" t="str">
        <f t="shared" si="15"/>
        <v>Moderate</v>
      </c>
      <c r="AB23">
        <f t="shared" si="16"/>
        <v>0.20273968533447106</v>
      </c>
      <c r="AC23">
        <f t="shared" si="17"/>
        <v>0.46757870770248161</v>
      </c>
      <c r="AD23" t="str">
        <f t="shared" si="18"/>
        <v>Moderate</v>
      </c>
      <c r="AE23">
        <f t="shared" si="19"/>
        <v>2.4224922642048619E-2</v>
      </c>
      <c r="AF23">
        <f t="shared" si="20"/>
        <v>0.12428431667546777</v>
      </c>
      <c r="AG23" t="s">
        <v>1175</v>
      </c>
    </row>
    <row r="24" spans="1:34" x14ac:dyDescent="0.3">
      <c r="A24">
        <v>100991</v>
      </c>
      <c r="B24" t="s">
        <v>515</v>
      </c>
      <c r="C24" s="1" t="s">
        <v>563</v>
      </c>
      <c r="D24" t="s">
        <v>568</v>
      </c>
      <c r="E24" s="4">
        <v>5.3</v>
      </c>
      <c r="F24" s="3">
        <f t="shared" si="0"/>
        <v>0.46666666666666656</v>
      </c>
      <c r="G24">
        <v>85.421520000000001</v>
      </c>
      <c r="H24">
        <f t="shared" si="1"/>
        <v>0.82650448812397459</v>
      </c>
      <c r="I24">
        <v>73.7</v>
      </c>
      <c r="J24" s="3">
        <f t="shared" si="2"/>
        <v>0.33916244822825592</v>
      </c>
      <c r="K24">
        <v>1.5</v>
      </c>
      <c r="L24" s="3">
        <f t="shared" si="3"/>
        <v>0.75</v>
      </c>
      <c r="M24">
        <v>7108</v>
      </c>
      <c r="N24">
        <f t="shared" si="4"/>
        <v>3.2500130114074557E-2</v>
      </c>
      <c r="O24" s="15">
        <v>0.49327965299999998</v>
      </c>
      <c r="P24">
        <f t="shared" si="5"/>
        <v>0.50287614764972377</v>
      </c>
      <c r="Q24">
        <v>0.37109999999999999</v>
      </c>
      <c r="R24">
        <f t="shared" si="6"/>
        <v>0.82265573043671025</v>
      </c>
      <c r="S24">
        <f t="shared" si="7"/>
        <v>0.21601927885466701</v>
      </c>
      <c r="T24" s="14">
        <f t="shared" si="8"/>
        <v>0.36890381272372524</v>
      </c>
      <c r="U24" t="str">
        <f t="shared" si="9"/>
        <v>Moderate</v>
      </c>
      <c r="V24">
        <f t="shared" si="10"/>
        <v>0.26813311784118343</v>
      </c>
      <c r="W24">
        <f t="shared" si="11"/>
        <v>0.3945378150165712</v>
      </c>
      <c r="X24" t="str">
        <f t="shared" si="12"/>
        <v>Moderate</v>
      </c>
      <c r="Y24">
        <f t="shared" si="13"/>
        <v>0.16390543986815062</v>
      </c>
      <c r="Z24">
        <f t="shared" si="14"/>
        <v>0.32260692226401083</v>
      </c>
      <c r="AA24" t="str">
        <f t="shared" si="15"/>
        <v>Moderate</v>
      </c>
      <c r="AB24">
        <f t="shared" si="16"/>
        <v>0.14672576004361296</v>
      </c>
      <c r="AC24">
        <f t="shared" si="17"/>
        <v>0.33839374444462633</v>
      </c>
      <c r="AD24" t="str">
        <f t="shared" si="18"/>
        <v>Moderate</v>
      </c>
      <c r="AE24">
        <f t="shared" si="19"/>
        <v>1.0592962396438777E-2</v>
      </c>
      <c r="AF24">
        <f t="shared" si="20"/>
        <v>5.4346472534245571E-2</v>
      </c>
      <c r="AG24" t="str">
        <f>IF(AF24&gt;0.7,"High",IF(AF24&gt;0.3,"Moderate",IF(AF24&gt;0.15,"Low","No Impact")))</f>
        <v>No Impact</v>
      </c>
    </row>
    <row r="25" spans="1:34" x14ac:dyDescent="0.3">
      <c r="A25">
        <v>104240</v>
      </c>
      <c r="B25" t="s">
        <v>222</v>
      </c>
      <c r="C25" s="1" t="s">
        <v>570</v>
      </c>
      <c r="D25" t="s">
        <v>569</v>
      </c>
      <c r="E25" s="4">
        <v>5.9</v>
      </c>
      <c r="F25" s="3">
        <f t="shared" si="0"/>
        <v>0.60000000000000009</v>
      </c>
      <c r="G25">
        <v>72.852119999999999</v>
      </c>
      <c r="H25">
        <f t="shared" si="1"/>
        <v>0.70488799718556139</v>
      </c>
      <c r="I25">
        <v>104.2</v>
      </c>
      <c r="J25" s="3">
        <f t="shared" si="2"/>
        <v>0.47952139898757484</v>
      </c>
      <c r="K25">
        <v>0</v>
      </c>
      <c r="L25" s="3">
        <f t="shared" si="3"/>
        <v>0</v>
      </c>
      <c r="M25">
        <v>18852</v>
      </c>
      <c r="N25">
        <f t="shared" si="4"/>
        <v>8.806593708156496E-2</v>
      </c>
      <c r="O25" s="15">
        <v>0.44800389299999999</v>
      </c>
      <c r="P25">
        <f t="shared" si="5"/>
        <v>0.45671957169479893</v>
      </c>
      <c r="Q25">
        <v>0.3992</v>
      </c>
      <c r="R25">
        <f t="shared" si="6"/>
        <v>0.88494790512081578</v>
      </c>
      <c r="S25">
        <f t="shared" si="7"/>
        <v>0.15208853200211292</v>
      </c>
      <c r="T25" s="14">
        <f t="shared" si="8"/>
        <v>0.25972700040759167</v>
      </c>
      <c r="U25" t="str">
        <f t="shared" si="9"/>
        <v>Low</v>
      </c>
      <c r="V25">
        <f t="shared" si="10"/>
        <v>0.20063157244835969</v>
      </c>
      <c r="W25">
        <f t="shared" si="11"/>
        <v>0.29521434298914045</v>
      </c>
      <c r="X25" t="s">
        <v>1175</v>
      </c>
      <c r="Y25">
        <f t="shared" si="13"/>
        <v>0.10354549155586613</v>
      </c>
      <c r="Z25">
        <f t="shared" si="14"/>
        <v>0.20380343917824481</v>
      </c>
      <c r="AA25" t="str">
        <f t="shared" si="15"/>
        <v>Low</v>
      </c>
      <c r="AB25">
        <f t="shared" si="16"/>
        <v>0.10827277312930518</v>
      </c>
      <c r="AC25">
        <f t="shared" si="17"/>
        <v>0.24970958821231207</v>
      </c>
      <c r="AD25" t="str">
        <f t="shared" si="18"/>
        <v>Low</v>
      </c>
      <c r="AE25">
        <f t="shared" si="19"/>
        <v>1.9965929444627013E-2</v>
      </c>
      <c r="AF25">
        <f t="shared" si="20"/>
        <v>0.10243384197681063</v>
      </c>
      <c r="AG25" t="s">
        <v>1175</v>
      </c>
    </row>
    <row r="26" spans="1:34" x14ac:dyDescent="0.3">
      <c r="A26">
        <v>104243</v>
      </c>
      <c r="B26" t="s">
        <v>256</v>
      </c>
      <c r="C26" s="1" t="s">
        <v>570</v>
      </c>
      <c r="D26" t="s">
        <v>571</v>
      </c>
      <c r="E26" s="4">
        <v>5.8</v>
      </c>
      <c r="F26" s="3">
        <f t="shared" si="0"/>
        <v>0.57777777777777772</v>
      </c>
      <c r="G26">
        <v>72.171000000000006</v>
      </c>
      <c r="H26">
        <f t="shared" si="1"/>
        <v>0.69829775228063584</v>
      </c>
      <c r="I26">
        <v>114.2</v>
      </c>
      <c r="J26" s="3">
        <f t="shared" si="2"/>
        <v>0.52554072710538435</v>
      </c>
      <c r="K26">
        <v>0</v>
      </c>
      <c r="L26" s="3">
        <f t="shared" si="3"/>
        <v>0</v>
      </c>
      <c r="M26">
        <v>10294</v>
      </c>
      <c r="N26">
        <f t="shared" si="4"/>
        <v>4.7574437079199255E-2</v>
      </c>
      <c r="O26" s="15">
        <v>0.75962363300000002</v>
      </c>
      <c r="P26">
        <f t="shared" si="5"/>
        <v>0.77440170885525572</v>
      </c>
      <c r="Q26">
        <v>0.39610000000000001</v>
      </c>
      <c r="R26">
        <f t="shared" si="6"/>
        <v>0.87807581467523832</v>
      </c>
      <c r="S26">
        <f t="shared" si="7"/>
        <v>0.18351879982180344</v>
      </c>
      <c r="T26" s="14">
        <f t="shared" si="8"/>
        <v>0.31340158767168641</v>
      </c>
      <c r="U26" t="str">
        <f t="shared" si="9"/>
        <v>Moderate</v>
      </c>
      <c r="V26">
        <f t="shared" si="10"/>
        <v>0.19503251011544345</v>
      </c>
      <c r="W26">
        <f t="shared" si="11"/>
        <v>0.28697574181687202</v>
      </c>
      <c r="X26" t="s">
        <v>1175</v>
      </c>
      <c r="Y26">
        <f t="shared" si="13"/>
        <v>0.1720050895281634</v>
      </c>
      <c r="Z26">
        <f t="shared" si="14"/>
        <v>0.33854905969602911</v>
      </c>
      <c r="AA26" t="str">
        <f t="shared" si="15"/>
        <v>Moderate</v>
      </c>
      <c r="AB26">
        <f t="shared" si="16"/>
        <v>0.12356132938916879</v>
      </c>
      <c r="AC26">
        <f t="shared" si="17"/>
        <v>0.28496959844084851</v>
      </c>
      <c r="AD26" t="str">
        <f t="shared" si="18"/>
        <v>Low</v>
      </c>
      <c r="AE26">
        <f t="shared" si="19"/>
        <v>1.0566925686613052E-2</v>
      </c>
      <c r="AF26">
        <f t="shared" si="20"/>
        <v>5.4212892966748805E-2</v>
      </c>
      <c r="AG26" t="str">
        <f>IF(AF26&gt;0.7,"High",IF(AF26&gt;0.3,"Moderate",IF(AF26&gt;0.15,"Low","No Impact")))</f>
        <v>No Impact</v>
      </c>
    </row>
    <row r="27" spans="1:34" x14ac:dyDescent="0.3">
      <c r="A27">
        <v>104273</v>
      </c>
      <c r="B27" t="s">
        <v>364</v>
      </c>
      <c r="C27" s="1" t="s">
        <v>570</v>
      </c>
      <c r="D27" t="s">
        <v>572</v>
      </c>
      <c r="E27" s="4">
        <v>5.9</v>
      </c>
      <c r="F27" s="3">
        <f t="shared" si="0"/>
        <v>0.60000000000000009</v>
      </c>
      <c r="G27">
        <v>69.803640000000001</v>
      </c>
      <c r="H27">
        <f t="shared" si="1"/>
        <v>0.67539212305505913</v>
      </c>
      <c r="I27">
        <v>106.1</v>
      </c>
      <c r="J27" s="3">
        <f t="shared" si="2"/>
        <v>0.48826507132995861</v>
      </c>
      <c r="K27">
        <v>0</v>
      </c>
      <c r="L27" s="3">
        <f t="shared" si="3"/>
        <v>0</v>
      </c>
      <c r="M27">
        <v>19028</v>
      </c>
      <c r="N27">
        <f t="shared" si="4"/>
        <v>8.8898667158734443E-2</v>
      </c>
      <c r="O27" s="15">
        <v>0.62656925500000005</v>
      </c>
      <c r="P27">
        <f t="shared" si="5"/>
        <v>0.63875882833172004</v>
      </c>
      <c r="Q27">
        <v>0.37590000000000001</v>
      </c>
      <c r="R27">
        <f t="shared" si="6"/>
        <v>0.83329638661050764</v>
      </c>
      <c r="S27">
        <f t="shared" si="7"/>
        <v>0.16243092829641659</v>
      </c>
      <c r="T27" s="14">
        <f t="shared" si="8"/>
        <v>0.27738907874567942</v>
      </c>
      <c r="U27" t="str">
        <f t="shared" si="9"/>
        <v>Low</v>
      </c>
      <c r="V27">
        <f t="shared" si="10"/>
        <v>0.18389677812256042</v>
      </c>
      <c r="W27">
        <f t="shared" si="11"/>
        <v>0.27059034562092554</v>
      </c>
      <c r="X27" t="s">
        <v>1175</v>
      </c>
      <c r="Y27">
        <f t="shared" si="13"/>
        <v>0.14096507847027279</v>
      </c>
      <c r="Z27">
        <f t="shared" si="14"/>
        <v>0.27745455031011595</v>
      </c>
      <c r="AA27" t="str">
        <f t="shared" si="15"/>
        <v>Low</v>
      </c>
      <c r="AB27">
        <f t="shared" si="16"/>
        <v>0.11351993527668129</v>
      </c>
      <c r="AC27">
        <f t="shared" si="17"/>
        <v>0.26181112270926016</v>
      </c>
      <c r="AD27" t="str">
        <f t="shared" si="18"/>
        <v>Low</v>
      </c>
      <c r="AE27">
        <f t="shared" si="19"/>
        <v>1.9618683979152382E-2</v>
      </c>
      <c r="AF27">
        <f t="shared" si="20"/>
        <v>0.10065232275246196</v>
      </c>
      <c r="AG27" t="s">
        <v>1175</v>
      </c>
    </row>
    <row r="28" spans="1:34" x14ac:dyDescent="0.3">
      <c r="A28">
        <v>104284</v>
      </c>
      <c r="B28" t="s">
        <v>421</v>
      </c>
      <c r="C28" s="1" t="s">
        <v>570</v>
      </c>
      <c r="D28" t="s">
        <v>573</v>
      </c>
      <c r="E28" s="4">
        <v>5.8</v>
      </c>
      <c r="F28" s="3">
        <f t="shared" si="0"/>
        <v>0.57777777777777772</v>
      </c>
      <c r="G28">
        <v>71.910360000000011</v>
      </c>
      <c r="H28">
        <f t="shared" si="1"/>
        <v>0.69577590380750365</v>
      </c>
      <c r="I28">
        <v>106.1</v>
      </c>
      <c r="J28" s="3">
        <f t="shared" si="2"/>
        <v>0.48826507132995861</v>
      </c>
      <c r="K28">
        <v>0</v>
      </c>
      <c r="L28" s="3">
        <f t="shared" si="3"/>
        <v>0</v>
      </c>
      <c r="M28">
        <v>10861</v>
      </c>
      <c r="N28">
        <f t="shared" si="4"/>
        <v>5.0257152725535006E-2</v>
      </c>
      <c r="O28" s="15">
        <v>0.75585246299999997</v>
      </c>
      <c r="P28">
        <f t="shared" si="5"/>
        <v>0.77055717273827096</v>
      </c>
      <c r="Q28">
        <v>0.41930000000000001</v>
      </c>
      <c r="R28">
        <f t="shared" si="6"/>
        <v>0.92950565284859232</v>
      </c>
      <c r="S28">
        <f t="shared" si="7"/>
        <v>0.18464661481095884</v>
      </c>
      <c r="T28" s="14">
        <f t="shared" si="8"/>
        <v>0.31532759747855327</v>
      </c>
      <c r="U28" t="str">
        <f t="shared" si="9"/>
        <v>Moderate</v>
      </c>
      <c r="V28">
        <f t="shared" si="10"/>
        <v>0.20191027021239172</v>
      </c>
      <c r="W28">
        <f t="shared" si="11"/>
        <v>0.29709585104733782</v>
      </c>
      <c r="X28" t="s">
        <v>1175</v>
      </c>
      <c r="Y28">
        <f t="shared" si="13"/>
        <v>0.16738295940952599</v>
      </c>
      <c r="Z28">
        <f t="shared" si="14"/>
        <v>0.32945155095515449</v>
      </c>
      <c r="AA28" t="str">
        <f t="shared" si="15"/>
        <v>Moderate</v>
      </c>
      <c r="AB28">
        <f t="shared" si="16"/>
        <v>0.12470444070932243</v>
      </c>
      <c r="AC28">
        <f t="shared" si="17"/>
        <v>0.2876059570450149</v>
      </c>
      <c r="AD28" t="str">
        <f t="shared" si="18"/>
        <v>Low</v>
      </c>
      <c r="AE28">
        <f t="shared" si="19"/>
        <v>1.0917023748935859E-2</v>
      </c>
      <c r="AF28">
        <f t="shared" si="20"/>
        <v>5.600904724505678E-2</v>
      </c>
      <c r="AG28" t="str">
        <f>IF(AF28&gt;0.7,"High",IF(AF28&gt;0.3,"Moderate",IF(AF28&gt;0.15,"Low","No Impact")))</f>
        <v>No Impact</v>
      </c>
    </row>
    <row r="29" spans="1:34" x14ac:dyDescent="0.3">
      <c r="A29">
        <v>107838</v>
      </c>
      <c r="B29" t="s">
        <v>55</v>
      </c>
      <c r="C29" s="1" t="s">
        <v>575</v>
      </c>
      <c r="D29" t="s">
        <v>574</v>
      </c>
      <c r="E29" s="4">
        <v>7.4</v>
      </c>
      <c r="F29" s="3">
        <f t="shared" si="0"/>
        <v>0.93333333333333335</v>
      </c>
      <c r="G29">
        <v>82.387439999999998</v>
      </c>
      <c r="H29">
        <f t="shared" si="1"/>
        <v>0.79714794263839683</v>
      </c>
      <c r="I29">
        <v>103.7</v>
      </c>
      <c r="J29" s="3">
        <f t="shared" si="2"/>
        <v>0.47722043258168434</v>
      </c>
      <c r="K29">
        <v>0.5</v>
      </c>
      <c r="L29" s="3">
        <f t="shared" si="3"/>
        <v>0.25</v>
      </c>
      <c r="M29">
        <v>30925</v>
      </c>
      <c r="N29">
        <f t="shared" si="4"/>
        <v>0.14518838152285513</v>
      </c>
      <c r="O29" s="15">
        <v>0.79476960500000005</v>
      </c>
      <c r="P29">
        <f t="shared" si="5"/>
        <v>0.81023142714441665</v>
      </c>
      <c r="Q29">
        <v>0.3977</v>
      </c>
      <c r="R29">
        <f t="shared" si="6"/>
        <v>0.88162270006650412</v>
      </c>
      <c r="S29">
        <f t="shared" si="7"/>
        <v>0.40605884625218236</v>
      </c>
      <c r="T29" s="14">
        <f t="shared" si="8"/>
        <v>0.69344114732188744</v>
      </c>
      <c r="U29" t="str">
        <f t="shared" si="9"/>
        <v>Moderate</v>
      </c>
      <c r="V29">
        <f t="shared" si="10"/>
        <v>0.42319333642422041</v>
      </c>
      <c r="W29">
        <f t="shared" si="11"/>
        <v>0.62269732148969115</v>
      </c>
      <c r="X29" t="str">
        <f t="shared" si="12"/>
        <v>Moderate</v>
      </c>
      <c r="Y29">
        <f t="shared" si="13"/>
        <v>0.38892435608014431</v>
      </c>
      <c r="Z29">
        <f t="shared" si="14"/>
        <v>0.7655004593469158</v>
      </c>
      <c r="AA29" t="str">
        <f t="shared" si="15"/>
        <v>High</v>
      </c>
      <c r="AB29">
        <f t="shared" si="16"/>
        <v>0.28918745499948673</v>
      </c>
      <c r="AC29">
        <f t="shared" si="17"/>
        <v>0.66695327197214982</v>
      </c>
      <c r="AD29" t="str">
        <f t="shared" si="18"/>
        <v>Moderate</v>
      </c>
      <c r="AE29">
        <f t="shared" si="19"/>
        <v>6.9692801219903747E-2</v>
      </c>
      <c r="AF29">
        <f t="shared" si="20"/>
        <v>0.3575541728162337</v>
      </c>
      <c r="AG29" t="str">
        <f t="shared" si="21"/>
        <v>Moderate</v>
      </c>
    </row>
    <row r="30" spans="1:34" x14ac:dyDescent="0.3">
      <c r="A30">
        <v>107852</v>
      </c>
      <c r="B30" t="s">
        <v>129</v>
      </c>
      <c r="C30" s="1" t="s">
        <v>575</v>
      </c>
      <c r="D30" t="s">
        <v>576</v>
      </c>
      <c r="E30" s="4">
        <v>6.4</v>
      </c>
      <c r="F30" s="3">
        <f t="shared" si="0"/>
        <v>0.71111111111111114</v>
      </c>
      <c r="G30">
        <v>83.213999999999999</v>
      </c>
      <c r="H30">
        <f t="shared" si="1"/>
        <v>0.80514540685705926</v>
      </c>
      <c r="I30">
        <v>97.5</v>
      </c>
      <c r="J30" s="3">
        <f t="shared" si="2"/>
        <v>0.44868844914864248</v>
      </c>
      <c r="K30">
        <v>1</v>
      </c>
      <c r="L30" s="3">
        <f t="shared" si="3"/>
        <v>0.5</v>
      </c>
      <c r="M30">
        <v>16302</v>
      </c>
      <c r="N30">
        <f t="shared" si="4"/>
        <v>7.6000813804393594E-2</v>
      </c>
      <c r="O30" s="15">
        <v>0.503447435</v>
      </c>
      <c r="P30">
        <f t="shared" si="5"/>
        <v>0.51324173846865462</v>
      </c>
      <c r="Q30">
        <v>0.39960000000000001</v>
      </c>
      <c r="R30">
        <f t="shared" si="6"/>
        <v>0.8858346264686322</v>
      </c>
      <c r="S30">
        <f t="shared" si="7"/>
        <v>0.30433746400032519</v>
      </c>
      <c r="T30" s="14">
        <f t="shared" si="8"/>
        <v>0.5197279215987155</v>
      </c>
      <c r="U30" t="str">
        <f t="shared" si="9"/>
        <v>Moderate</v>
      </c>
      <c r="V30">
        <f t="shared" si="10"/>
        <v>0.38538663149416191</v>
      </c>
      <c r="W30">
        <f t="shared" si="11"/>
        <v>0.56706758475229779</v>
      </c>
      <c r="X30" t="str">
        <f t="shared" si="12"/>
        <v>Moderate</v>
      </c>
      <c r="Y30">
        <f t="shared" si="13"/>
        <v>0.22328829650648849</v>
      </c>
      <c r="Z30">
        <f t="shared" si="14"/>
        <v>0.43948724442262715</v>
      </c>
      <c r="AA30" t="str">
        <f t="shared" si="15"/>
        <v>Moderate</v>
      </c>
      <c r="AB30">
        <f t="shared" si="16"/>
        <v>0.2134443923302336</v>
      </c>
      <c r="AC30">
        <f t="shared" si="17"/>
        <v>0.4922669824975956</v>
      </c>
      <c r="AD30" t="str">
        <f t="shared" si="18"/>
        <v>Moderate</v>
      </c>
      <c r="AE30">
        <f t="shared" si="19"/>
        <v>3.3064521015229706E-2</v>
      </c>
      <c r="AF30">
        <f t="shared" si="20"/>
        <v>0.1696352744361932</v>
      </c>
      <c r="AG30" t="s">
        <v>1175</v>
      </c>
    </row>
    <row r="31" spans="1:34" x14ac:dyDescent="0.3">
      <c r="A31">
        <v>107855</v>
      </c>
      <c r="B31" t="s">
        <v>157</v>
      </c>
      <c r="C31" s="1" t="s">
        <v>575</v>
      </c>
      <c r="D31" t="s">
        <v>577</v>
      </c>
      <c r="E31" s="4">
        <v>7.4</v>
      </c>
      <c r="F31" s="3">
        <f t="shared" si="0"/>
        <v>0.93333333333333335</v>
      </c>
      <c r="G31">
        <v>71.85924</v>
      </c>
      <c r="H31">
        <f t="shared" si="1"/>
        <v>0.69528128711802184</v>
      </c>
      <c r="I31">
        <v>105.89999999999999</v>
      </c>
      <c r="J31" s="3">
        <f t="shared" si="2"/>
        <v>0.4873446847676024</v>
      </c>
      <c r="K31">
        <v>0.2</v>
      </c>
      <c r="L31" s="3">
        <f t="shared" si="3"/>
        <v>0.1</v>
      </c>
      <c r="M31">
        <v>9856</v>
      </c>
      <c r="N31">
        <f t="shared" si="4"/>
        <v>4.5502074728061587E-2</v>
      </c>
      <c r="O31" s="15">
        <v>0.51244822800000001</v>
      </c>
      <c r="P31">
        <f t="shared" si="5"/>
        <v>0.52241763713405653</v>
      </c>
      <c r="Q31">
        <v>0.38490000000000002</v>
      </c>
      <c r="R31">
        <f t="shared" si="6"/>
        <v>0.85324761693637774</v>
      </c>
      <c r="S31">
        <f t="shared" si="7"/>
        <v>0.2667937829565914</v>
      </c>
      <c r="T31" s="14">
        <f t="shared" si="8"/>
        <v>0.45561324093618621</v>
      </c>
      <c r="U31" t="str">
        <f t="shared" si="9"/>
        <v>Moderate</v>
      </c>
      <c r="V31">
        <f t="shared" si="10"/>
        <v>0.33095429116580355</v>
      </c>
      <c r="W31">
        <f t="shared" si="11"/>
        <v>0.48697446983872339</v>
      </c>
      <c r="X31" t="str">
        <f t="shared" si="12"/>
        <v>Moderate</v>
      </c>
      <c r="Y31">
        <f t="shared" si="13"/>
        <v>0.20263327474737924</v>
      </c>
      <c r="Z31">
        <f t="shared" si="14"/>
        <v>0.39883299277385553</v>
      </c>
      <c r="AA31" t="str">
        <f t="shared" si="15"/>
        <v>Moderate</v>
      </c>
      <c r="AB31">
        <f t="shared" si="16"/>
        <v>0.18280119163555317</v>
      </c>
      <c r="AC31">
        <f t="shared" si="17"/>
        <v>0.4215945428267508</v>
      </c>
      <c r="AD31" t="str">
        <f t="shared" si="18"/>
        <v>Moderate</v>
      </c>
      <c r="AE31">
        <f t="shared" si="19"/>
        <v>1.7649163723737565E-2</v>
      </c>
      <c r="AF31">
        <f t="shared" si="20"/>
        <v>9.054783314316002E-2</v>
      </c>
      <c r="AG31" t="s">
        <v>1175</v>
      </c>
    </row>
    <row r="32" spans="1:34" x14ac:dyDescent="0.3">
      <c r="A32">
        <v>107857</v>
      </c>
      <c r="B32" t="s">
        <v>539</v>
      </c>
      <c r="C32" s="1" t="s">
        <v>575</v>
      </c>
      <c r="D32" t="s">
        <v>578</v>
      </c>
      <c r="E32" s="4">
        <v>7.4</v>
      </c>
      <c r="F32" s="3">
        <f t="shared" si="0"/>
        <v>0.93333333333333335</v>
      </c>
      <c r="G32">
        <v>92.316240000000008</v>
      </c>
      <c r="H32">
        <f t="shared" si="1"/>
        <v>0.89321504331379253</v>
      </c>
      <c r="I32">
        <v>103.7</v>
      </c>
      <c r="J32" s="3">
        <f t="shared" si="2"/>
        <v>0.47722043258168434</v>
      </c>
      <c r="K32">
        <v>2</v>
      </c>
      <c r="L32" s="3">
        <f t="shared" si="3"/>
        <v>1</v>
      </c>
      <c r="M32">
        <v>35512</v>
      </c>
      <c r="N32">
        <f t="shared" si="4"/>
        <v>0.16689140915908457</v>
      </c>
      <c r="O32" s="15">
        <v>0.29004998900000001</v>
      </c>
      <c r="P32">
        <f t="shared" si="5"/>
        <v>0.2956927580675312</v>
      </c>
      <c r="Q32">
        <v>0.38519999999999999</v>
      </c>
      <c r="R32">
        <f t="shared" si="6"/>
        <v>0.85391265794724003</v>
      </c>
      <c r="S32">
        <f t="shared" si="7"/>
        <v>0.45747480136186902</v>
      </c>
      <c r="T32" s="14">
        <f t="shared" si="8"/>
        <v>0.78124600425577362</v>
      </c>
      <c r="U32" t="str">
        <f t="shared" si="9"/>
        <v>High</v>
      </c>
      <c r="V32">
        <f t="shared" si="10"/>
        <v>0.67961322751767517</v>
      </c>
      <c r="W32">
        <f t="shared" si="11"/>
        <v>1</v>
      </c>
      <c r="X32" t="str">
        <f t="shared" si="12"/>
        <v>High</v>
      </c>
      <c r="Y32">
        <f t="shared" si="13"/>
        <v>0.23533637520606274</v>
      </c>
      <c r="Z32">
        <f t="shared" si="14"/>
        <v>0.46320087828121576</v>
      </c>
      <c r="AA32" t="str">
        <f t="shared" si="15"/>
        <v>Moderate</v>
      </c>
      <c r="AB32">
        <f t="shared" si="16"/>
        <v>0.35495456288943467</v>
      </c>
      <c r="AC32">
        <f t="shared" si="17"/>
        <v>0.81863200850456286</v>
      </c>
      <c r="AD32" t="str">
        <f t="shared" si="18"/>
        <v>High</v>
      </c>
      <c r="AE32">
        <f t="shared" si="19"/>
        <v>0.13282577341837021</v>
      </c>
      <c r="AF32">
        <f t="shared" si="20"/>
        <v>0.68145358935175593</v>
      </c>
      <c r="AG32" t="str">
        <f t="shared" si="21"/>
        <v>Moderate</v>
      </c>
    </row>
    <row r="33" spans="1:33" x14ac:dyDescent="0.3">
      <c r="A33">
        <v>107866</v>
      </c>
      <c r="B33" t="s">
        <v>237</v>
      </c>
      <c r="C33" s="1" t="s">
        <v>575</v>
      </c>
      <c r="D33" t="s">
        <v>579</v>
      </c>
      <c r="E33" s="4">
        <v>7.4</v>
      </c>
      <c r="F33" s="3">
        <f t="shared" si="0"/>
        <v>0.93333333333333335</v>
      </c>
      <c r="G33">
        <v>87.049080000000004</v>
      </c>
      <c r="H33">
        <f t="shared" si="1"/>
        <v>0.84225210821655849</v>
      </c>
      <c r="I33">
        <v>163.1</v>
      </c>
      <c r="J33" s="3">
        <f t="shared" si="2"/>
        <v>0.7505752416014726</v>
      </c>
      <c r="K33">
        <v>2</v>
      </c>
      <c r="L33" s="3">
        <f t="shared" si="3"/>
        <v>1</v>
      </c>
      <c r="M33">
        <v>36052</v>
      </c>
      <c r="N33">
        <f t="shared" si="4"/>
        <v>0.16944637644130908</v>
      </c>
      <c r="O33" s="15">
        <v>0.60198223299999998</v>
      </c>
      <c r="P33">
        <f t="shared" si="5"/>
        <v>0.61369347882795888</v>
      </c>
      <c r="Q33">
        <v>0.36130000000000001</v>
      </c>
      <c r="R33">
        <f t="shared" si="6"/>
        <v>0.80093105741520731</v>
      </c>
      <c r="S33">
        <f t="shared" si="7"/>
        <v>0.58557074067555226</v>
      </c>
      <c r="T33" s="14">
        <f t="shared" si="8"/>
        <v>1</v>
      </c>
      <c r="U33" t="str">
        <f t="shared" si="9"/>
        <v>High</v>
      </c>
      <c r="V33">
        <f t="shared" si="10"/>
        <v>0.66307600427490032</v>
      </c>
      <c r="W33">
        <f t="shared" si="11"/>
        <v>0.97566671369364311</v>
      </c>
      <c r="X33" t="str">
        <f t="shared" si="12"/>
        <v>High</v>
      </c>
      <c r="Y33">
        <f t="shared" si="13"/>
        <v>0.50806547707620431</v>
      </c>
      <c r="Z33">
        <f t="shared" si="14"/>
        <v>1</v>
      </c>
      <c r="AA33" t="str">
        <f t="shared" si="15"/>
        <v>High</v>
      </c>
      <c r="AB33">
        <f t="shared" si="16"/>
        <v>0.43359477665410179</v>
      </c>
      <c r="AC33">
        <f t="shared" si="17"/>
        <v>1</v>
      </c>
      <c r="AD33" t="str">
        <f t="shared" si="18"/>
        <v>High</v>
      </c>
      <c r="AE33">
        <f t="shared" si="19"/>
        <v>0.14028152010007261</v>
      </c>
      <c r="AF33">
        <f t="shared" si="20"/>
        <v>0.71970479020522571</v>
      </c>
      <c r="AG33" t="str">
        <f t="shared" si="21"/>
        <v>High</v>
      </c>
    </row>
    <row r="34" spans="1:33" x14ac:dyDescent="0.3">
      <c r="A34">
        <v>107876</v>
      </c>
      <c r="B34" t="s">
        <v>337</v>
      </c>
      <c r="C34" s="1" t="s">
        <v>575</v>
      </c>
      <c r="D34" t="s">
        <v>580</v>
      </c>
      <c r="E34" s="4">
        <v>7.4</v>
      </c>
      <c r="F34" s="3">
        <f t="shared" si="0"/>
        <v>0.93333333333333335</v>
      </c>
      <c r="G34">
        <v>72.824759999999998</v>
      </c>
      <c r="H34">
        <f t="shared" si="1"/>
        <v>0.70462327276020487</v>
      </c>
      <c r="I34">
        <v>106.80000000000001</v>
      </c>
      <c r="J34" s="3">
        <f t="shared" si="2"/>
        <v>0.49148642429820533</v>
      </c>
      <c r="K34">
        <v>0.2</v>
      </c>
      <c r="L34" s="3">
        <f t="shared" si="3"/>
        <v>0.1</v>
      </c>
      <c r="M34">
        <v>16333</v>
      </c>
      <c r="N34">
        <f t="shared" si="4"/>
        <v>7.6147487852076853E-2</v>
      </c>
      <c r="O34" s="15">
        <v>0.39504667799999998</v>
      </c>
      <c r="P34">
        <f t="shared" si="5"/>
        <v>0.40273210209718679</v>
      </c>
      <c r="Q34">
        <v>0.37790000000000001</v>
      </c>
      <c r="R34">
        <f t="shared" si="6"/>
        <v>0.83772999334958997</v>
      </c>
      <c r="S34">
        <f t="shared" si="7"/>
        <v>0.24321543136009741</v>
      </c>
      <c r="T34" s="14">
        <f t="shared" si="8"/>
        <v>0.4153476505323821</v>
      </c>
      <c r="U34" t="str">
        <f t="shared" si="9"/>
        <v>Moderate</v>
      </c>
      <c r="V34">
        <f t="shared" si="10"/>
        <v>0.32850477647594373</v>
      </c>
      <c r="W34">
        <f t="shared" si="11"/>
        <v>0.48337019230162065</v>
      </c>
      <c r="X34" t="str">
        <f t="shared" si="12"/>
        <v>Moderate</v>
      </c>
      <c r="Y34">
        <f t="shared" si="13"/>
        <v>0.15792608624425117</v>
      </c>
      <c r="Z34">
        <f t="shared" si="14"/>
        <v>0.31083805802566655</v>
      </c>
      <c r="AA34" t="str">
        <f t="shared" si="15"/>
        <v>Moderate</v>
      </c>
      <c r="AB34">
        <f t="shared" si="16"/>
        <v>0.17280557947543737</v>
      </c>
      <c r="AC34">
        <f t="shared" si="17"/>
        <v>0.39854165405062575</v>
      </c>
      <c r="AD34" t="str">
        <f t="shared" si="18"/>
        <v>Moderate</v>
      </c>
      <c r="AE34">
        <f t="shared" si="19"/>
        <v>2.9860233815947792E-2</v>
      </c>
      <c r="AF34">
        <f t="shared" si="20"/>
        <v>0.15319589706937148</v>
      </c>
      <c r="AG34" t="s">
        <v>1175</v>
      </c>
    </row>
    <row r="35" spans="1:33" x14ac:dyDescent="0.3">
      <c r="A35">
        <v>107895</v>
      </c>
      <c r="B35" t="s">
        <v>409</v>
      </c>
      <c r="C35" s="1" t="s">
        <v>575</v>
      </c>
      <c r="D35" t="s">
        <v>581</v>
      </c>
      <c r="E35" s="4">
        <v>7.4</v>
      </c>
      <c r="F35" s="3">
        <f t="shared" si="0"/>
        <v>0.93333333333333335</v>
      </c>
      <c r="G35">
        <v>78.483599999999996</v>
      </c>
      <c r="H35">
        <f t="shared" si="1"/>
        <v>0.75937594699938338</v>
      </c>
      <c r="I35">
        <v>106.80000000000001</v>
      </c>
      <c r="J35" s="3">
        <f t="shared" si="2"/>
        <v>0.49148642429820533</v>
      </c>
      <c r="K35">
        <v>0.1</v>
      </c>
      <c r="L35" s="3">
        <f t="shared" si="3"/>
        <v>0.05</v>
      </c>
      <c r="M35">
        <v>53541</v>
      </c>
      <c r="N35">
        <f t="shared" si="4"/>
        <v>0.25219419643913266</v>
      </c>
      <c r="O35" s="15">
        <v>0.40298110700000001</v>
      </c>
      <c r="P35">
        <f t="shared" si="5"/>
        <v>0.41082089121519294</v>
      </c>
      <c r="Q35">
        <v>0.39789999999999998</v>
      </c>
      <c r="R35">
        <f t="shared" si="6"/>
        <v>0.88206606074041227</v>
      </c>
      <c r="S35">
        <f t="shared" si="7"/>
        <v>0.25464129480933684</v>
      </c>
      <c r="T35" s="14">
        <f t="shared" si="8"/>
        <v>0.43486000430206978</v>
      </c>
      <c r="U35" t="str">
        <f t="shared" si="9"/>
        <v>Moderate</v>
      </c>
      <c r="V35">
        <f t="shared" si="10"/>
        <v>0.34745565878682072</v>
      </c>
      <c r="W35">
        <f t="shared" si="11"/>
        <v>0.51125499728120605</v>
      </c>
      <c r="X35" t="str">
        <f t="shared" si="12"/>
        <v>Moderate</v>
      </c>
      <c r="Y35">
        <f t="shared" si="13"/>
        <v>0.16182693083185293</v>
      </c>
      <c r="Z35">
        <f t="shared" si="14"/>
        <v>0.31851589634298383</v>
      </c>
      <c r="AA35" t="str">
        <f t="shared" si="15"/>
        <v>Moderate</v>
      </c>
      <c r="AB35">
        <f t="shared" si="16"/>
        <v>0.20492729714750393</v>
      </c>
      <c r="AC35">
        <f t="shared" si="17"/>
        <v>0.47262399867649635</v>
      </c>
      <c r="AD35" t="str">
        <f t="shared" si="18"/>
        <v>Moderate</v>
      </c>
      <c r="AE35">
        <f t="shared" si="19"/>
        <v>9.9342106635888022E-2</v>
      </c>
      <c r="AF35">
        <f t="shared" si="20"/>
        <v>0.5096679160870452</v>
      </c>
      <c r="AG35" t="str">
        <f t="shared" si="21"/>
        <v>Moderate</v>
      </c>
    </row>
    <row r="36" spans="1:33" x14ac:dyDescent="0.3">
      <c r="A36" s="15">
        <v>107897</v>
      </c>
      <c r="B36" s="15" t="s">
        <v>1161</v>
      </c>
      <c r="C36" s="15" t="s">
        <v>575</v>
      </c>
      <c r="D36" s="15" t="s">
        <v>1162</v>
      </c>
      <c r="E36" s="4">
        <v>7.4</v>
      </c>
      <c r="F36" s="3">
        <f t="shared" si="0"/>
        <v>0.93333333333333335</v>
      </c>
      <c r="G36">
        <v>78.483599999999996</v>
      </c>
      <c r="H36">
        <f t="shared" si="1"/>
        <v>0.75937594699938338</v>
      </c>
      <c r="I36">
        <v>106.80000000000001</v>
      </c>
      <c r="J36" s="3">
        <f t="shared" si="2"/>
        <v>0.49148642429820533</v>
      </c>
      <c r="K36">
        <v>0.1</v>
      </c>
      <c r="L36" s="3">
        <f t="shared" si="3"/>
        <v>0.05</v>
      </c>
      <c r="M36">
        <v>35512</v>
      </c>
      <c r="N36">
        <f t="shared" si="4"/>
        <v>0.16689140915908457</v>
      </c>
      <c r="O36" s="15">
        <v>0.40298110700000001</v>
      </c>
      <c r="P36">
        <f t="shared" si="5"/>
        <v>0.41082089121519294</v>
      </c>
      <c r="Q36">
        <v>0.39789999999999998</v>
      </c>
      <c r="R36">
        <f t="shared" si="6"/>
        <v>0.88206606074041227</v>
      </c>
      <c r="S36">
        <f t="shared" si="7"/>
        <v>0.25464129480933684</v>
      </c>
      <c r="T36" s="14">
        <f t="shared" si="8"/>
        <v>0.43486000430206978</v>
      </c>
      <c r="U36" t="str">
        <f t="shared" si="9"/>
        <v>Moderate</v>
      </c>
      <c r="V36">
        <f t="shared" si="10"/>
        <v>0.34745565878682072</v>
      </c>
      <c r="W36">
        <f t="shared" si="11"/>
        <v>0.51125499728120605</v>
      </c>
      <c r="X36" t="str">
        <f t="shared" si="12"/>
        <v>Moderate</v>
      </c>
      <c r="Y36">
        <f t="shared" si="13"/>
        <v>0.16182693083185293</v>
      </c>
      <c r="Z36">
        <f t="shared" si="14"/>
        <v>0.31851589634298383</v>
      </c>
      <c r="AA36" t="str">
        <f t="shared" si="15"/>
        <v>Moderate</v>
      </c>
      <c r="AB36">
        <f t="shared" si="16"/>
        <v>0.19316669540294559</v>
      </c>
      <c r="AC36">
        <f t="shared" si="17"/>
        <v>0.44550051292947984</v>
      </c>
      <c r="AD36" t="str">
        <f t="shared" si="18"/>
        <v>Moderate</v>
      </c>
      <c r="AE36">
        <f t="shared" si="19"/>
        <v>6.5740387365721326E-2</v>
      </c>
      <c r="AF36">
        <f t="shared" si="20"/>
        <v>0.33727658256985371</v>
      </c>
      <c r="AG36" t="str">
        <f t="shared" si="21"/>
        <v>Moderate</v>
      </c>
    </row>
    <row r="37" spans="1:33" x14ac:dyDescent="0.3">
      <c r="A37">
        <v>107914</v>
      </c>
      <c r="B37" t="s">
        <v>66</v>
      </c>
      <c r="C37" s="1" t="s">
        <v>583</v>
      </c>
      <c r="D37" t="s">
        <v>582</v>
      </c>
      <c r="E37" s="4">
        <v>7.1</v>
      </c>
      <c r="F37" s="3">
        <f t="shared" si="0"/>
        <v>0.86666666666666659</v>
      </c>
      <c r="G37">
        <v>73.760040000000004</v>
      </c>
      <c r="H37">
        <f t="shared" si="1"/>
        <v>0.71367266824804676</v>
      </c>
      <c r="I37">
        <v>149.19999999999999</v>
      </c>
      <c r="J37" s="3">
        <f t="shared" si="2"/>
        <v>0.68660837551771747</v>
      </c>
      <c r="K37">
        <v>0</v>
      </c>
      <c r="L37" s="3">
        <f t="shared" si="3"/>
        <v>0</v>
      </c>
      <c r="M37">
        <v>20310</v>
      </c>
      <c r="N37">
        <f t="shared" si="4"/>
        <v>9.4964348743571181E-2</v>
      </c>
      <c r="O37" s="15">
        <v>0.43393753899999998</v>
      </c>
      <c r="P37">
        <f t="shared" si="5"/>
        <v>0.44237956422038299</v>
      </c>
      <c r="Q37">
        <v>0.39290000000000003</v>
      </c>
      <c r="R37">
        <f t="shared" si="6"/>
        <v>0.87098204389270673</v>
      </c>
      <c r="S37">
        <f t="shared" si="7"/>
        <v>0.24062008937954818</v>
      </c>
      <c r="T37" s="14">
        <f t="shared" si="8"/>
        <v>0.41091549263877714</v>
      </c>
      <c r="U37" t="str">
        <f t="shared" si="9"/>
        <v>Moderate</v>
      </c>
      <c r="V37">
        <f t="shared" si="10"/>
        <v>0.31914405896262305</v>
      </c>
      <c r="W37">
        <f t="shared" si="11"/>
        <v>0.46959659706494289</v>
      </c>
      <c r="X37" t="str">
        <f t="shared" si="12"/>
        <v>Moderate</v>
      </c>
      <c r="Y37">
        <f t="shared" si="13"/>
        <v>0.16209611979647334</v>
      </c>
      <c r="Z37">
        <f t="shared" si="14"/>
        <v>0.31904572758869165</v>
      </c>
      <c r="AA37" t="str">
        <f t="shared" si="15"/>
        <v>Moderate</v>
      </c>
      <c r="AB37">
        <f t="shared" si="16"/>
        <v>0.17250810431967711</v>
      </c>
      <c r="AC37">
        <f t="shared" si="17"/>
        <v>0.39785558684738181</v>
      </c>
      <c r="AD37" t="str">
        <f t="shared" si="18"/>
        <v>Moderate</v>
      </c>
      <c r="AE37">
        <f t="shared" si="19"/>
        <v>3.4796707839477373E-2</v>
      </c>
      <c r="AF37">
        <f t="shared" si="20"/>
        <v>0.17852214103167985</v>
      </c>
      <c r="AG37" t="s">
        <v>1175</v>
      </c>
    </row>
    <row r="38" spans="1:33" x14ac:dyDescent="0.3">
      <c r="A38">
        <v>107947</v>
      </c>
      <c r="B38" t="s">
        <v>264</v>
      </c>
      <c r="C38" s="1" t="s">
        <v>583</v>
      </c>
      <c r="D38" t="s">
        <v>584</v>
      </c>
      <c r="E38" s="4">
        <v>7.2</v>
      </c>
      <c r="F38" s="3">
        <f t="shared" si="0"/>
        <v>0.88888888888888884</v>
      </c>
      <c r="G38">
        <v>66.948480000000004</v>
      </c>
      <c r="H38">
        <f t="shared" si="1"/>
        <v>0.64776673598266754</v>
      </c>
      <c r="I38">
        <v>104.2</v>
      </c>
      <c r="J38" s="3">
        <f t="shared" si="2"/>
        <v>0.47952139898757484</v>
      </c>
      <c r="K38">
        <v>0</v>
      </c>
      <c r="L38" s="3">
        <f t="shared" si="3"/>
        <v>0</v>
      </c>
      <c r="M38">
        <v>9387</v>
      </c>
      <c r="N38">
        <f t="shared" si="4"/>
        <v>4.3283038329240651E-2</v>
      </c>
      <c r="O38" s="15">
        <v>0.55184595400000003</v>
      </c>
      <c r="P38">
        <f t="shared" si="5"/>
        <v>0.5625818250476402</v>
      </c>
      <c r="Q38">
        <v>0.40600000000000003</v>
      </c>
      <c r="R38">
        <f t="shared" si="6"/>
        <v>0.9000221680336955</v>
      </c>
      <c r="S38">
        <f t="shared" si="7"/>
        <v>0.23077354152837343</v>
      </c>
      <c r="T38" s="14">
        <f t="shared" si="8"/>
        <v>0.39410019233908128</v>
      </c>
      <c r="U38" t="str">
        <f t="shared" si="9"/>
        <v>Moderate</v>
      </c>
      <c r="V38">
        <f t="shared" si="10"/>
        <v>0.28401577481489954</v>
      </c>
      <c r="W38">
        <f t="shared" si="11"/>
        <v>0.41790795604771092</v>
      </c>
      <c r="X38" t="str">
        <f t="shared" si="12"/>
        <v>Moderate</v>
      </c>
      <c r="Y38">
        <f t="shared" si="13"/>
        <v>0.1775313082418474</v>
      </c>
      <c r="Z38">
        <f t="shared" si="14"/>
        <v>0.3494260410360841</v>
      </c>
      <c r="AA38" t="str">
        <f t="shared" si="15"/>
        <v>Moderate</v>
      </c>
      <c r="AB38">
        <f t="shared" si="16"/>
        <v>0.15744543255653989</v>
      </c>
      <c r="AC38">
        <f t="shared" si="17"/>
        <v>0.36311653422462986</v>
      </c>
      <c r="AD38" t="str">
        <f t="shared" si="18"/>
        <v>Moderate</v>
      </c>
      <c r="AE38">
        <f t="shared" si="19"/>
        <v>1.3658625425059578E-2</v>
      </c>
      <c r="AF38">
        <f t="shared" si="20"/>
        <v>7.0074648029346362E-2</v>
      </c>
      <c r="AG38" t="str">
        <f>IF(AF38&gt;0.7,"High",IF(AF38&gt;0.3,"Moderate",IF(AF38&gt;0.15,"Low","No Impact")))</f>
        <v>No Impact</v>
      </c>
    </row>
    <row r="39" spans="1:33" x14ac:dyDescent="0.3">
      <c r="A39">
        <v>107958</v>
      </c>
      <c r="B39" t="s">
        <v>324</v>
      </c>
      <c r="C39" s="1" t="s">
        <v>583</v>
      </c>
      <c r="D39" t="s">
        <v>585</v>
      </c>
      <c r="E39" s="4">
        <v>7.1</v>
      </c>
      <c r="F39" s="3">
        <f t="shared" si="0"/>
        <v>0.86666666666666659</v>
      </c>
      <c r="G39">
        <v>73.760040000000004</v>
      </c>
      <c r="H39">
        <f t="shared" si="1"/>
        <v>0.71367266824804676</v>
      </c>
      <c r="I39">
        <v>202.7</v>
      </c>
      <c r="J39" s="3">
        <f t="shared" si="2"/>
        <v>0.93281178094799821</v>
      </c>
      <c r="K39">
        <v>0</v>
      </c>
      <c r="L39" s="3">
        <f t="shared" si="3"/>
        <v>0</v>
      </c>
      <c r="M39">
        <v>34224</v>
      </c>
      <c r="N39">
        <f t="shared" si="4"/>
        <v>0.16079733904888976</v>
      </c>
      <c r="O39" s="15">
        <v>0.66688278000000001</v>
      </c>
      <c r="P39">
        <f t="shared" si="5"/>
        <v>0.67985663163028998</v>
      </c>
      <c r="Q39">
        <v>0.3997</v>
      </c>
      <c r="R39">
        <f t="shared" si="6"/>
        <v>0.88605630680558634</v>
      </c>
      <c r="S39">
        <f t="shared" si="7"/>
        <v>0.32030271580209285</v>
      </c>
      <c r="T39" s="14">
        <f t="shared" si="8"/>
        <v>0.54699235045892314</v>
      </c>
      <c r="U39" t="str">
        <f t="shared" si="9"/>
        <v>Moderate</v>
      </c>
      <c r="V39">
        <f t="shared" si="10"/>
        <v>0.36248023048699457</v>
      </c>
      <c r="W39">
        <f t="shared" si="11"/>
        <v>0.5333625300540038</v>
      </c>
      <c r="X39" t="str">
        <f t="shared" si="12"/>
        <v>Moderate</v>
      </c>
      <c r="Y39">
        <f t="shared" si="13"/>
        <v>0.27812520111719108</v>
      </c>
      <c r="Z39">
        <f t="shared" si="14"/>
        <v>0.54741999538668773</v>
      </c>
      <c r="AA39" t="str">
        <f t="shared" si="15"/>
        <v>Moderate</v>
      </c>
      <c r="AB39">
        <f t="shared" si="16"/>
        <v>0.23332906471509213</v>
      </c>
      <c r="AC39">
        <f t="shared" si="17"/>
        <v>0.53812701923120554</v>
      </c>
      <c r="AD39" t="str">
        <f t="shared" si="18"/>
        <v>Moderate</v>
      </c>
      <c r="AE39">
        <f t="shared" si="19"/>
        <v>6.5781210598533382E-2</v>
      </c>
      <c r="AF39">
        <f t="shared" si="20"/>
        <v>0.33748602338704431</v>
      </c>
      <c r="AG39" t="str">
        <f t="shared" si="21"/>
        <v>Moderate</v>
      </c>
    </row>
    <row r="40" spans="1:33" x14ac:dyDescent="0.3">
      <c r="A40">
        <v>107976</v>
      </c>
      <c r="B40" t="s">
        <v>380</v>
      </c>
      <c r="C40" s="1" t="s">
        <v>583</v>
      </c>
      <c r="D40" t="s">
        <v>586</v>
      </c>
      <c r="E40" s="4">
        <v>7</v>
      </c>
      <c r="F40" s="3">
        <f t="shared" si="0"/>
        <v>0.84444444444444444</v>
      </c>
      <c r="G40">
        <v>71.157600000000002</v>
      </c>
      <c r="H40">
        <f t="shared" si="1"/>
        <v>0.68849249889407893</v>
      </c>
      <c r="I40">
        <v>112.3</v>
      </c>
      <c r="J40" s="3">
        <f t="shared" si="2"/>
        <v>0.51679705476300053</v>
      </c>
      <c r="K40">
        <v>0</v>
      </c>
      <c r="L40" s="3">
        <f t="shared" si="3"/>
        <v>0</v>
      </c>
      <c r="M40">
        <v>7339</v>
      </c>
      <c r="N40">
        <f t="shared" si="4"/>
        <v>3.3593088340359491E-2</v>
      </c>
      <c r="O40" s="15">
        <v>0.75722040400000001</v>
      </c>
      <c r="P40">
        <f t="shared" si="5"/>
        <v>0.77195172630663411</v>
      </c>
      <c r="Q40">
        <v>0.34379999999999999</v>
      </c>
      <c r="R40">
        <f t="shared" si="6"/>
        <v>0.76213699844823768</v>
      </c>
      <c r="S40">
        <f t="shared" si="7"/>
        <v>0.24533050749011348</v>
      </c>
      <c r="T40" s="14">
        <f t="shared" si="8"/>
        <v>0.41895964133570668</v>
      </c>
      <c r="U40" t="str">
        <f t="shared" si="9"/>
        <v>Moderate</v>
      </c>
      <c r="V40">
        <f t="shared" si="10"/>
        <v>0.24376094236162818</v>
      </c>
      <c r="W40">
        <f t="shared" si="11"/>
        <v>0.3586759828851161</v>
      </c>
      <c r="X40" t="str">
        <f t="shared" si="12"/>
        <v>Moderate</v>
      </c>
      <c r="Y40">
        <f t="shared" si="13"/>
        <v>0.24690007261859881</v>
      </c>
      <c r="Z40">
        <f t="shared" si="14"/>
        <v>0.48596112855266188</v>
      </c>
      <c r="AA40" t="str">
        <f t="shared" si="15"/>
        <v>Moderate</v>
      </c>
      <c r="AB40">
        <f t="shared" si="16"/>
        <v>0.16314688155699492</v>
      </c>
      <c r="AC40">
        <f t="shared" si="17"/>
        <v>0.37626579087493156</v>
      </c>
      <c r="AD40" t="str">
        <f t="shared" si="18"/>
        <v>Moderate</v>
      </c>
      <c r="AE40">
        <f t="shared" si="19"/>
        <v>1.0744371270986926E-2</v>
      </c>
      <c r="AF40">
        <f t="shared" si="20"/>
        <v>5.5123265459031033E-2</v>
      </c>
      <c r="AG40" t="str">
        <f>IF(AF40&gt;0.7,"High",IF(AF40&gt;0.3,"Moderate",IF(AF40&gt;0.15,"Low","No Impact")))</f>
        <v>No Impact</v>
      </c>
    </row>
    <row r="41" spans="1:33" s="17" customFormat="1" x14ac:dyDescent="0.3">
      <c r="A41" s="17">
        <v>107980</v>
      </c>
      <c r="B41" s="17" t="s">
        <v>417</v>
      </c>
      <c r="C41" s="18" t="s">
        <v>583</v>
      </c>
      <c r="D41" s="17" t="s">
        <v>587</v>
      </c>
      <c r="E41" s="19">
        <v>7.1</v>
      </c>
      <c r="F41" s="3">
        <f t="shared" si="0"/>
        <v>0.86666666666666659</v>
      </c>
      <c r="G41" s="17">
        <v>67.885199999999998</v>
      </c>
      <c r="H41">
        <f t="shared" si="1"/>
        <v>0.6568300643350018</v>
      </c>
      <c r="I41" s="17">
        <v>112.3</v>
      </c>
      <c r="J41" s="3">
        <f t="shared" si="2"/>
        <v>0.51679705476300053</v>
      </c>
      <c r="K41" s="17">
        <v>0</v>
      </c>
      <c r="L41" s="3">
        <f t="shared" si="3"/>
        <v>0</v>
      </c>
      <c r="M41" s="17">
        <v>16497</v>
      </c>
      <c r="N41">
        <f t="shared" si="4"/>
        <v>7.692344087853023E-2</v>
      </c>
      <c r="O41" s="17">
        <v>0.78824680999999996</v>
      </c>
      <c r="P41">
        <f t="shared" si="5"/>
        <v>0.8035817346189702</v>
      </c>
      <c r="Q41" s="17">
        <v>0.4007</v>
      </c>
      <c r="R41">
        <f t="shared" si="6"/>
        <v>0.88827311017512744</v>
      </c>
      <c r="S41">
        <f t="shared" si="7"/>
        <v>0.2683952140115381</v>
      </c>
      <c r="T41" s="14">
        <f t="shared" si="8"/>
        <v>0.45834806175919929</v>
      </c>
      <c r="U41" t="str">
        <f t="shared" si="9"/>
        <v>Moderate</v>
      </c>
      <c r="V41">
        <f t="shared" si="10"/>
        <v>0.28183062186420926</v>
      </c>
      <c r="W41">
        <f t="shared" si="11"/>
        <v>0.41469266702417074</v>
      </c>
      <c r="X41" t="str">
        <f t="shared" si="12"/>
        <v>Moderate</v>
      </c>
      <c r="Y41">
        <f t="shared" si="13"/>
        <v>0.25495980615886693</v>
      </c>
      <c r="Z41">
        <f t="shared" si="14"/>
        <v>0.50182470107219213</v>
      </c>
      <c r="AA41" t="str">
        <f t="shared" si="15"/>
        <v>Moderate</v>
      </c>
      <c r="AB41">
        <f t="shared" si="16"/>
        <v>0.1836708334392497</v>
      </c>
      <c r="AC41">
        <f t="shared" si="17"/>
        <v>0.42360019845389479</v>
      </c>
      <c r="AD41" t="str">
        <f t="shared" si="18"/>
        <v>Moderate</v>
      </c>
      <c r="AE41">
        <f t="shared" si="19"/>
        <v>2.4406211254618206E-2</v>
      </c>
      <c r="AF41">
        <f t="shared" si="20"/>
        <v>0.12521440556232125</v>
      </c>
      <c r="AG41" t="s">
        <v>1175</v>
      </c>
    </row>
    <row r="42" spans="1:33" x14ac:dyDescent="0.3">
      <c r="A42">
        <v>107987</v>
      </c>
      <c r="B42" t="s">
        <v>381</v>
      </c>
      <c r="C42" s="1" t="s">
        <v>583</v>
      </c>
      <c r="D42" t="s">
        <v>1122</v>
      </c>
      <c r="E42" s="4">
        <v>7.1</v>
      </c>
      <c r="F42" s="3">
        <f t="shared" si="0"/>
        <v>0.86666666666666659</v>
      </c>
      <c r="G42">
        <v>72.852119999999999</v>
      </c>
      <c r="H42">
        <f t="shared" si="1"/>
        <v>0.70488799718556139</v>
      </c>
      <c r="I42">
        <v>112.3</v>
      </c>
      <c r="J42" s="3">
        <f t="shared" si="2"/>
        <v>0.51679705476300053</v>
      </c>
      <c r="K42">
        <v>0</v>
      </c>
      <c r="L42" s="3">
        <f t="shared" si="3"/>
        <v>0</v>
      </c>
      <c r="M42">
        <v>14296</v>
      </c>
      <c r="N42">
        <f t="shared" si="4"/>
        <v>6.650958349301879E-2</v>
      </c>
      <c r="O42" s="15">
        <v>0.80100053699999996</v>
      </c>
      <c r="P42">
        <f t="shared" si="5"/>
        <v>0.81658357862962572</v>
      </c>
      <c r="Q42">
        <v>0.39429999999999998</v>
      </c>
      <c r="R42">
        <f t="shared" si="6"/>
        <v>0.87408556861006426</v>
      </c>
      <c r="S42">
        <f t="shared" si="7"/>
        <v>0.28229045988646162</v>
      </c>
      <c r="T42" s="14">
        <f t="shared" si="8"/>
        <v>0.48207746780652511</v>
      </c>
      <c r="U42" t="str">
        <f t="shared" si="9"/>
        <v>Moderate</v>
      </c>
      <c r="V42">
        <f t="shared" si="10"/>
        <v>0.29189154784767907</v>
      </c>
      <c r="W42">
        <f t="shared" si="11"/>
        <v>0.42949656661897101</v>
      </c>
      <c r="X42" t="str">
        <f t="shared" si="12"/>
        <v>Moderate</v>
      </c>
      <c r="Y42">
        <f t="shared" si="13"/>
        <v>0.27268937192524417</v>
      </c>
      <c r="Z42">
        <f t="shared" si="14"/>
        <v>0.5367209232449851</v>
      </c>
      <c r="AA42" t="str">
        <f t="shared" si="15"/>
        <v>Moderate</v>
      </c>
      <c r="AB42">
        <f t="shared" si="16"/>
        <v>0.19174241130231257</v>
      </c>
      <c r="AC42">
        <f t="shared" si="17"/>
        <v>0.44221568530396338</v>
      </c>
      <c r="AD42" t="str">
        <f t="shared" si="18"/>
        <v>Moderate</v>
      </c>
      <c r="AE42">
        <f t="shared" si="19"/>
        <v>2.2210165651576196E-2</v>
      </c>
      <c r="AF42">
        <f t="shared" si="20"/>
        <v>0.11394774307612227</v>
      </c>
      <c r="AG42" t="s">
        <v>1175</v>
      </c>
    </row>
    <row r="43" spans="1:33" x14ac:dyDescent="0.3">
      <c r="A43">
        <v>107990</v>
      </c>
      <c r="B43" t="s">
        <v>536</v>
      </c>
      <c r="C43" s="1" t="s">
        <v>583</v>
      </c>
      <c r="D43" s="15" t="s">
        <v>1163</v>
      </c>
      <c r="E43" s="4">
        <v>7.1</v>
      </c>
      <c r="F43" s="3">
        <f t="shared" si="0"/>
        <v>0.86666666666666659</v>
      </c>
      <c r="G43">
        <v>81.947880000000012</v>
      </c>
      <c r="H43">
        <f t="shared" si="1"/>
        <v>0.7928949357520787</v>
      </c>
      <c r="I43">
        <v>166.6</v>
      </c>
      <c r="J43" s="3">
        <f t="shared" si="2"/>
        <v>0.76668200644270601</v>
      </c>
      <c r="K43">
        <v>0</v>
      </c>
      <c r="L43" s="3">
        <f t="shared" si="3"/>
        <v>0</v>
      </c>
      <c r="M43">
        <v>6600</v>
      </c>
      <c r="N43">
        <f t="shared" si="4"/>
        <v>3.0096568300426303E-2</v>
      </c>
      <c r="O43" s="15">
        <v>0.73399232000000003</v>
      </c>
      <c r="P43">
        <f t="shared" si="5"/>
        <v>0.74827175222263487</v>
      </c>
      <c r="Q43">
        <v>0.40079999999999999</v>
      </c>
      <c r="R43">
        <f t="shared" si="6"/>
        <v>0.88849479051208158</v>
      </c>
      <c r="S43">
        <f t="shared" si="7"/>
        <v>0.33370542942080356</v>
      </c>
      <c r="T43" s="14">
        <f t="shared" si="8"/>
        <v>0.56988064163830898</v>
      </c>
      <c r="U43" t="str">
        <f t="shared" si="9"/>
        <v>Moderate</v>
      </c>
      <c r="V43">
        <f t="shared" si="10"/>
        <v>0.36229422811953998</v>
      </c>
      <c r="W43">
        <f t="shared" si="11"/>
        <v>0.53308884149126945</v>
      </c>
      <c r="X43" t="str">
        <f t="shared" si="12"/>
        <v>Moderate</v>
      </c>
      <c r="Y43">
        <f t="shared" si="13"/>
        <v>0.30511663072206707</v>
      </c>
      <c r="Z43">
        <f t="shared" si="14"/>
        <v>0.6005458833336611</v>
      </c>
      <c r="AA43" t="str">
        <f t="shared" si="15"/>
        <v>Moderate</v>
      </c>
      <c r="AB43">
        <f t="shared" si="16"/>
        <v>0.22263324977845966</v>
      </c>
      <c r="AC43">
        <f t="shared" si="17"/>
        <v>0.51345925219958155</v>
      </c>
      <c r="AD43" t="str">
        <f t="shared" si="18"/>
        <v>Moderate</v>
      </c>
      <c r="AE43">
        <f t="shared" si="19"/>
        <v>1.2272230628573048E-2</v>
      </c>
      <c r="AF43">
        <f t="shared" si="20"/>
        <v>6.2961843894951769E-2</v>
      </c>
      <c r="AG43" t="str">
        <f t="shared" ref="AG43:AG45" si="23">IF(AF43&gt;0.7,"High",IF(AF43&gt;0.3,"Moderate",IF(AF43&gt;0.15,"Low","No Impact")))</f>
        <v>No Impact</v>
      </c>
    </row>
    <row r="44" spans="1:33" x14ac:dyDescent="0.3">
      <c r="A44">
        <v>200304</v>
      </c>
      <c r="B44" t="s">
        <v>10</v>
      </c>
      <c r="C44" s="1" t="s">
        <v>589</v>
      </c>
      <c r="D44" t="s">
        <v>588</v>
      </c>
      <c r="E44" s="4">
        <v>6</v>
      </c>
      <c r="F44" s="3">
        <f t="shared" si="0"/>
        <v>0.62222222222222223</v>
      </c>
      <c r="G44">
        <v>76.90428</v>
      </c>
      <c r="H44">
        <f t="shared" si="1"/>
        <v>0.74409507786729645</v>
      </c>
      <c r="I44">
        <v>28.1</v>
      </c>
      <c r="J44" s="3">
        <f t="shared" si="2"/>
        <v>0.12931431201104465</v>
      </c>
      <c r="K44">
        <v>0</v>
      </c>
      <c r="L44" s="3">
        <f t="shared" si="3"/>
        <v>0</v>
      </c>
      <c r="M44">
        <v>7538</v>
      </c>
      <c r="N44">
        <f t="shared" si="4"/>
        <v>3.4534641098068163E-2</v>
      </c>
      <c r="O44" s="15">
        <v>0.72628179500000001</v>
      </c>
      <c r="P44">
        <f t="shared" si="5"/>
        <v>0.74041122303847873</v>
      </c>
      <c r="Q44">
        <v>0.45079999999999998</v>
      </c>
      <c r="R44">
        <f t="shared" si="6"/>
        <v>0.9993349589891376</v>
      </c>
      <c r="S44">
        <f t="shared" si="7"/>
        <v>0.17509627160188082</v>
      </c>
      <c r="T44" s="14">
        <f t="shared" si="8"/>
        <v>0.29901813639096525</v>
      </c>
      <c r="U44" t="str">
        <f t="shared" si="9"/>
        <v>Low</v>
      </c>
      <c r="V44">
        <f t="shared" si="10"/>
        <v>0.20115557913911711</v>
      </c>
      <c r="W44">
        <f t="shared" si="11"/>
        <v>0.29598537961635762</v>
      </c>
      <c r="X44" t="s">
        <v>1175</v>
      </c>
      <c r="Y44">
        <f t="shared" si="13"/>
        <v>0.14903696406464459</v>
      </c>
      <c r="Z44">
        <f t="shared" si="14"/>
        <v>0.29334204111311951</v>
      </c>
      <c r="AA44" t="str">
        <f t="shared" si="15"/>
        <v>Low</v>
      </c>
      <c r="AB44">
        <f t="shared" si="16"/>
        <v>0.11754855247554012</v>
      </c>
      <c r="AC44">
        <f t="shared" si="17"/>
        <v>0.27110232596116796</v>
      </c>
      <c r="AD44" t="str">
        <f t="shared" si="18"/>
        <v>Low</v>
      </c>
      <c r="AE44">
        <f t="shared" si="19"/>
        <v>6.9514587355879384E-3</v>
      </c>
      <c r="AF44">
        <f t="shared" si="20"/>
        <v>3.566398587174998E-2</v>
      </c>
      <c r="AG44" t="str">
        <f t="shared" si="23"/>
        <v>No Impact</v>
      </c>
    </row>
    <row r="45" spans="1:33" x14ac:dyDescent="0.3">
      <c r="A45">
        <v>200314</v>
      </c>
      <c r="B45" t="s">
        <v>42</v>
      </c>
      <c r="C45" s="1" t="s">
        <v>589</v>
      </c>
      <c r="D45" t="s">
        <v>590</v>
      </c>
      <c r="E45" s="4">
        <v>7.6</v>
      </c>
      <c r="F45" s="3">
        <f t="shared" si="0"/>
        <v>0.97777777777777763</v>
      </c>
      <c r="G45">
        <v>70.960680000000011</v>
      </c>
      <c r="H45">
        <f t="shared" si="1"/>
        <v>0.68658717967473737</v>
      </c>
      <c r="I45">
        <v>16.2</v>
      </c>
      <c r="J45" s="3">
        <f t="shared" si="2"/>
        <v>7.455131155085136E-2</v>
      </c>
      <c r="K45">
        <v>0</v>
      </c>
      <c r="L45" s="3">
        <f t="shared" si="3"/>
        <v>0</v>
      </c>
      <c r="M45">
        <v>10534</v>
      </c>
      <c r="N45">
        <f t="shared" si="4"/>
        <v>4.8709978093521268E-2</v>
      </c>
      <c r="O45" s="15">
        <v>0.83759044800000004</v>
      </c>
      <c r="P45">
        <f t="shared" si="5"/>
        <v>0.85388532698802855</v>
      </c>
      <c r="Q45">
        <v>0.4446</v>
      </c>
      <c r="R45">
        <f t="shared" si="6"/>
        <v>0.98559077809798268</v>
      </c>
      <c r="S45">
        <f t="shared" si="7"/>
        <v>0.26038777388220807</v>
      </c>
      <c r="T45" s="14">
        <f t="shared" si="8"/>
        <v>0.4446734711877986</v>
      </c>
      <c r="U45" t="str">
        <f t="shared" si="9"/>
        <v>Moderate</v>
      </c>
      <c r="V45">
        <f t="shared" si="10"/>
        <v>0.27903139155565931</v>
      </c>
      <c r="W45">
        <f t="shared" si="11"/>
        <v>0.41057380912793129</v>
      </c>
      <c r="X45" t="str">
        <f t="shared" si="12"/>
        <v>Moderate</v>
      </c>
      <c r="Y45">
        <f t="shared" si="13"/>
        <v>0.24174415620875672</v>
      </c>
      <c r="Z45">
        <f t="shared" si="14"/>
        <v>0.47581299481306366</v>
      </c>
      <c r="AA45" t="str">
        <f t="shared" si="15"/>
        <v>Moderate</v>
      </c>
      <c r="AB45">
        <f t="shared" si="16"/>
        <v>0.17501084617382218</v>
      </c>
      <c r="AC45">
        <f t="shared" si="17"/>
        <v>0.40362766250165477</v>
      </c>
      <c r="AD45" t="str">
        <f t="shared" si="18"/>
        <v>Moderate</v>
      </c>
      <c r="AE45">
        <f t="shared" si="19"/>
        <v>1.379032076204117E-2</v>
      </c>
      <c r="AF45">
        <f t="shared" si="20"/>
        <v>7.0750301991505657E-2</v>
      </c>
      <c r="AG45" t="str">
        <f t="shared" si="23"/>
        <v>No Impact</v>
      </c>
    </row>
    <row r="46" spans="1:33" x14ac:dyDescent="0.3">
      <c r="A46">
        <v>200351</v>
      </c>
      <c r="B46" t="s">
        <v>301</v>
      </c>
      <c r="C46" s="1" t="s">
        <v>589</v>
      </c>
      <c r="D46" t="s">
        <v>591</v>
      </c>
      <c r="E46" s="4">
        <v>7.7</v>
      </c>
      <c r="F46" s="3">
        <f t="shared" si="0"/>
        <v>1</v>
      </c>
      <c r="G46">
        <v>70.960680000000011</v>
      </c>
      <c r="H46">
        <f t="shared" si="1"/>
        <v>0.68658717967473737</v>
      </c>
      <c r="I46">
        <v>22.5</v>
      </c>
      <c r="J46" s="3">
        <f t="shared" si="2"/>
        <v>0.10354348826507134</v>
      </c>
      <c r="K46">
        <v>0</v>
      </c>
      <c r="L46" s="3">
        <f t="shared" si="3"/>
        <v>0</v>
      </c>
      <c r="M46">
        <v>14751</v>
      </c>
      <c r="N46">
        <f t="shared" si="4"/>
        <v>6.8662379999337594E-2</v>
      </c>
      <c r="O46" s="15">
        <v>0.20586184699999999</v>
      </c>
      <c r="P46">
        <f t="shared" si="5"/>
        <v>0.20986678030974212</v>
      </c>
      <c r="Q46">
        <v>0.4385</v>
      </c>
      <c r="R46">
        <f t="shared" si="6"/>
        <v>0.97206827754378189</v>
      </c>
      <c r="S46">
        <f t="shared" si="7"/>
        <v>0.17453845946536298</v>
      </c>
      <c r="T46" s="14">
        <f t="shared" si="8"/>
        <v>0.29806554074748359</v>
      </c>
      <c r="U46" t="str">
        <f t="shared" si="9"/>
        <v>Low</v>
      </c>
      <c r="V46">
        <f t="shared" si="10"/>
        <v>0.28709411490976655</v>
      </c>
      <c r="W46">
        <f t="shared" si="11"/>
        <v>0.42243750310510236</v>
      </c>
      <c r="X46" t="str">
        <f t="shared" si="12"/>
        <v>Moderate</v>
      </c>
      <c r="Y46">
        <f t="shared" si="13"/>
        <v>6.1982804020959431E-2</v>
      </c>
      <c r="Z46">
        <f t="shared" si="14"/>
        <v>0.12199766923282347</v>
      </c>
      <c r="AA46" t="str">
        <f t="shared" si="15"/>
        <v>No Impact</v>
      </c>
      <c r="AB46">
        <f t="shared" si="16"/>
        <v>0.12617542876503607</v>
      </c>
      <c r="AC46">
        <f t="shared" si="17"/>
        <v>0.29099849804162176</v>
      </c>
      <c r="AD46" t="str">
        <f t="shared" si="18"/>
        <v>Low</v>
      </c>
      <c r="AE46">
        <f t="shared" si="19"/>
        <v>2.0278992400942771E-2</v>
      </c>
      <c r="AF46">
        <f t="shared" si="20"/>
        <v>0.10403999016465126</v>
      </c>
      <c r="AG46" t="s">
        <v>1175</v>
      </c>
    </row>
    <row r="47" spans="1:33" x14ac:dyDescent="0.3">
      <c r="A47">
        <v>200373</v>
      </c>
      <c r="B47" t="s">
        <v>362</v>
      </c>
      <c r="C47" s="1" t="s">
        <v>589</v>
      </c>
      <c r="D47" t="s">
        <v>592</v>
      </c>
      <c r="E47" s="4">
        <v>7.7</v>
      </c>
      <c r="F47" s="3">
        <f t="shared" si="0"/>
        <v>1</v>
      </c>
      <c r="G47">
        <v>71.200800000000001</v>
      </c>
      <c r="H47">
        <f t="shared" si="1"/>
        <v>0.6889104848288522</v>
      </c>
      <c r="I47">
        <v>23.099999999999998</v>
      </c>
      <c r="J47" s="3">
        <f t="shared" si="2"/>
        <v>0.1063046479521399</v>
      </c>
      <c r="K47">
        <v>0</v>
      </c>
      <c r="L47" s="3">
        <f t="shared" si="3"/>
        <v>0</v>
      </c>
      <c r="M47">
        <v>12144</v>
      </c>
      <c r="N47">
        <f t="shared" si="4"/>
        <v>5.6327565731264753E-2</v>
      </c>
      <c r="O47" s="15">
        <v>0.14528135</v>
      </c>
      <c r="P47">
        <f t="shared" si="5"/>
        <v>0.14810772179437776</v>
      </c>
      <c r="Q47">
        <v>0.44340000000000002</v>
      </c>
      <c r="R47">
        <f t="shared" si="6"/>
        <v>0.98293061405453341</v>
      </c>
      <c r="S47">
        <f t="shared" si="7"/>
        <v>0.16786029687321757</v>
      </c>
      <c r="T47" s="14">
        <f t="shared" si="8"/>
        <v>0.28666100474822748</v>
      </c>
      <c r="U47" t="str">
        <f t="shared" si="9"/>
        <v>Low</v>
      </c>
      <c r="V47">
        <f t="shared" si="10"/>
        <v>0.29175850093026162</v>
      </c>
      <c r="W47">
        <f t="shared" si="11"/>
        <v>0.42930079803762156</v>
      </c>
      <c r="X47" t="str">
        <f t="shared" si="12"/>
        <v>Moderate</v>
      </c>
      <c r="Y47">
        <f t="shared" si="13"/>
        <v>4.3962092816173581E-2</v>
      </c>
      <c r="Z47">
        <f t="shared" si="14"/>
        <v>8.6528399979398221E-2</v>
      </c>
      <c r="AA47" t="str">
        <f t="shared" si="15"/>
        <v>No Impact</v>
      </c>
      <c r="AB47">
        <f t="shared" si="16"/>
        <v>0.12115590599999969</v>
      </c>
      <c r="AC47">
        <f t="shared" si="17"/>
        <v>0.27942196844463202</v>
      </c>
      <c r="AD47" t="str">
        <f t="shared" si="18"/>
        <v>Low</v>
      </c>
      <c r="AE47">
        <f t="shared" si="19"/>
        <v>1.671943665587448E-2</v>
      </c>
      <c r="AF47">
        <f t="shared" si="20"/>
        <v>8.577793170605566E-2</v>
      </c>
      <c r="AG47" t="s">
        <v>1175</v>
      </c>
    </row>
    <row r="48" spans="1:33" x14ac:dyDescent="0.3">
      <c r="A48">
        <v>200389</v>
      </c>
      <c r="B48" t="s">
        <v>442</v>
      </c>
      <c r="C48" s="1" t="s">
        <v>589</v>
      </c>
      <c r="D48" t="s">
        <v>593</v>
      </c>
      <c r="E48" s="4">
        <v>5.9</v>
      </c>
      <c r="F48" s="3">
        <f t="shared" si="0"/>
        <v>0.60000000000000009</v>
      </c>
      <c r="G48">
        <v>68.756399999999999</v>
      </c>
      <c r="H48">
        <f t="shared" si="1"/>
        <v>0.66525944735292986</v>
      </c>
      <c r="I48">
        <v>14.5</v>
      </c>
      <c r="J48" s="3">
        <f t="shared" si="2"/>
        <v>6.6728025770823748E-2</v>
      </c>
      <c r="K48">
        <v>0</v>
      </c>
      <c r="L48" s="3">
        <f t="shared" si="3"/>
        <v>0</v>
      </c>
      <c r="M48">
        <v>5632</v>
      </c>
      <c r="N48">
        <f t="shared" si="4"/>
        <v>2.5516552875994188E-2</v>
      </c>
      <c r="O48" s="15">
        <v>0.168862399</v>
      </c>
      <c r="P48">
        <f t="shared" si="5"/>
        <v>0.17214752762569463</v>
      </c>
      <c r="Q48">
        <v>0.45090000000000002</v>
      </c>
      <c r="R48">
        <f t="shared" si="6"/>
        <v>0.99955663932609184</v>
      </c>
      <c r="S48">
        <f t="shared" si="7"/>
        <v>9.8229602338984909E-2</v>
      </c>
      <c r="T48" s="14">
        <f t="shared" si="8"/>
        <v>0.16775018885960882</v>
      </c>
      <c r="U48" t="str">
        <f t="shared" si="9"/>
        <v>Low</v>
      </c>
      <c r="V48">
        <f t="shared" si="10"/>
        <v>0.16759529233684861</v>
      </c>
      <c r="W48">
        <f t="shared" si="11"/>
        <v>0.24660392933933858</v>
      </c>
      <c r="X48" t="s">
        <v>1175</v>
      </c>
      <c r="Y48">
        <f t="shared" si="13"/>
        <v>2.8863912341121199E-2</v>
      </c>
      <c r="Z48">
        <f t="shared" si="14"/>
        <v>5.6811402552336625E-2</v>
      </c>
      <c r="AA48" t="str">
        <f t="shared" si="15"/>
        <v>No Impact</v>
      </c>
      <c r="AB48">
        <f t="shared" si="16"/>
        <v>6.8814948867174236E-2</v>
      </c>
      <c r="AC48">
        <f t="shared" si="17"/>
        <v>0.15870797475512727</v>
      </c>
      <c r="AD48" t="str">
        <f t="shared" si="18"/>
        <v>Low</v>
      </c>
      <c r="AE48">
        <f t="shared" si="19"/>
        <v>4.2783509912596015E-3</v>
      </c>
      <c r="AF48">
        <f t="shared" si="20"/>
        <v>2.1949788542298645E-2</v>
      </c>
      <c r="AG48" t="str">
        <f t="shared" ref="AG48:AG50" si="24">IF(AF48&gt;0.7,"High",IF(AF48&gt;0.3,"Moderate",IF(AF48&gt;0.15,"Low","No Impact")))</f>
        <v>No Impact</v>
      </c>
    </row>
    <row r="49" spans="1:33" x14ac:dyDescent="0.3">
      <c r="A49">
        <v>200391</v>
      </c>
      <c r="B49" t="s">
        <v>446</v>
      </c>
      <c r="C49" s="1" t="s">
        <v>589</v>
      </c>
      <c r="D49" t="s">
        <v>594</v>
      </c>
      <c r="E49" s="4">
        <v>7.7</v>
      </c>
      <c r="F49" s="3">
        <f t="shared" si="0"/>
        <v>1</v>
      </c>
      <c r="G49">
        <v>75.500640000000004</v>
      </c>
      <c r="H49">
        <f t="shared" si="1"/>
        <v>0.73051401820328743</v>
      </c>
      <c r="I49">
        <v>20.100000000000001</v>
      </c>
      <c r="J49" s="3">
        <f t="shared" si="2"/>
        <v>9.2498849516797071E-2</v>
      </c>
      <c r="K49">
        <v>0</v>
      </c>
      <c r="L49" s="3">
        <f t="shared" si="3"/>
        <v>0</v>
      </c>
      <c r="M49">
        <v>2880</v>
      </c>
      <c r="N49">
        <f t="shared" si="4"/>
        <v>1.2495682578435131E-2</v>
      </c>
      <c r="O49" s="15">
        <v>0.29061267899999998</v>
      </c>
      <c r="P49">
        <f t="shared" si="5"/>
        <v>0.29626639490375606</v>
      </c>
      <c r="Q49">
        <v>0.45019999999999999</v>
      </c>
      <c r="R49">
        <f t="shared" si="6"/>
        <v>0.99800487696741291</v>
      </c>
      <c r="S49">
        <f t="shared" si="7"/>
        <v>0.20106852185300989</v>
      </c>
      <c r="T49" s="14">
        <f t="shared" si="8"/>
        <v>0.34337187274938674</v>
      </c>
      <c r="U49" t="str">
        <f t="shared" si="9"/>
        <v>Moderate</v>
      </c>
      <c r="V49">
        <f t="shared" si="10"/>
        <v>0.31008548173030459</v>
      </c>
      <c r="W49">
        <f t="shared" si="11"/>
        <v>0.45626757863867501</v>
      </c>
      <c r="X49" t="str">
        <f t="shared" si="12"/>
        <v>Moderate</v>
      </c>
      <c r="Y49">
        <f t="shared" si="13"/>
        <v>9.2051561975715221E-2</v>
      </c>
      <c r="Z49">
        <f t="shared" si="14"/>
        <v>0.18118050946002082</v>
      </c>
      <c r="AA49" t="str">
        <f t="shared" si="15"/>
        <v>Low</v>
      </c>
      <c r="AB49">
        <f t="shared" si="16"/>
        <v>0.1375042537173706</v>
      </c>
      <c r="AC49">
        <f t="shared" si="17"/>
        <v>0.31712617660766695</v>
      </c>
      <c r="AD49" t="str">
        <f t="shared" si="18"/>
        <v>Moderate</v>
      </c>
      <c r="AE49">
        <f t="shared" si="19"/>
        <v>3.8824757687126519E-3</v>
      </c>
      <c r="AF49">
        <f t="shared" si="20"/>
        <v>1.9918777659415774E-2</v>
      </c>
      <c r="AG49" t="str">
        <f t="shared" si="24"/>
        <v>No Impact</v>
      </c>
    </row>
    <row r="50" spans="1:33" x14ac:dyDescent="0.3">
      <c r="A50">
        <v>200395</v>
      </c>
      <c r="B50" t="s">
        <v>522</v>
      </c>
      <c r="C50" s="1" t="s">
        <v>589</v>
      </c>
      <c r="D50" t="s">
        <v>595</v>
      </c>
      <c r="E50" s="4">
        <v>7.7</v>
      </c>
      <c r="F50" s="3">
        <f t="shared" si="0"/>
        <v>1</v>
      </c>
      <c r="G50">
        <v>75.500640000000004</v>
      </c>
      <c r="H50">
        <f t="shared" si="1"/>
        <v>0.73051401820328743</v>
      </c>
      <c r="I50">
        <v>32.800000000000004</v>
      </c>
      <c r="J50" s="3">
        <f t="shared" si="2"/>
        <v>0.15094339622641512</v>
      </c>
      <c r="K50">
        <v>0</v>
      </c>
      <c r="L50" s="3">
        <f t="shared" si="3"/>
        <v>0</v>
      </c>
      <c r="M50">
        <v>2642</v>
      </c>
      <c r="N50">
        <f t="shared" si="4"/>
        <v>1.1369604405899136E-2</v>
      </c>
      <c r="O50" s="15">
        <v>9.5020465999999998E-2</v>
      </c>
      <c r="P50">
        <f t="shared" si="5"/>
        <v>9.6869038889713849E-2</v>
      </c>
      <c r="Q50">
        <v>0.4511</v>
      </c>
      <c r="R50">
        <f t="shared" si="6"/>
        <v>1</v>
      </c>
      <c r="S50">
        <f t="shared" si="7"/>
        <v>0.17681215560298227</v>
      </c>
      <c r="T50" s="14">
        <f t="shared" si="8"/>
        <v>0.30194841258461846</v>
      </c>
      <c r="U50" t="str">
        <f t="shared" si="9"/>
        <v>Moderate</v>
      </c>
      <c r="V50">
        <f t="shared" si="10"/>
        <v>0.32239428652659802</v>
      </c>
      <c r="W50">
        <f t="shared" si="11"/>
        <v>0.47437906366855298</v>
      </c>
      <c r="X50" t="str">
        <f t="shared" si="12"/>
        <v>Moderate</v>
      </c>
      <c r="Y50">
        <f t="shared" si="13"/>
        <v>3.1230024679366572E-2</v>
      </c>
      <c r="Z50">
        <f t="shared" si="14"/>
        <v>6.1468503743037056E-2</v>
      </c>
      <c r="AA50" t="str">
        <f t="shared" si="15"/>
        <v>No Impact</v>
      </c>
      <c r="AB50">
        <f t="shared" si="16"/>
        <v>0.1234899311133046</v>
      </c>
      <c r="AC50">
        <f t="shared" si="17"/>
        <v>0.28480493253685601</v>
      </c>
      <c r="AD50" t="str">
        <f t="shared" si="18"/>
        <v>Low</v>
      </c>
      <c r="AE50">
        <f t="shared" si="19"/>
        <v>3.6654955005295171E-3</v>
      </c>
      <c r="AF50">
        <f t="shared" si="20"/>
        <v>1.8805575162892958E-2</v>
      </c>
      <c r="AG50" t="str">
        <f t="shared" si="24"/>
        <v>No Impact</v>
      </c>
    </row>
    <row r="51" spans="1:33" x14ac:dyDescent="0.3">
      <c r="A51">
        <v>201202</v>
      </c>
      <c r="B51" t="s">
        <v>6</v>
      </c>
      <c r="C51" s="1" t="s">
        <v>597</v>
      </c>
      <c r="D51" t="s">
        <v>596</v>
      </c>
      <c r="E51" s="4">
        <v>6</v>
      </c>
      <c r="F51" s="3">
        <f t="shared" si="0"/>
        <v>0.62222222222222223</v>
      </c>
      <c r="G51">
        <v>71.629199999999997</v>
      </c>
      <c r="H51">
        <f t="shared" si="1"/>
        <v>0.69305551201535398</v>
      </c>
      <c r="I51">
        <v>89.399999999999991</v>
      </c>
      <c r="J51" s="3">
        <f t="shared" si="2"/>
        <v>0.41141279337321673</v>
      </c>
      <c r="K51">
        <v>0</v>
      </c>
      <c r="L51" s="3">
        <f t="shared" si="3"/>
        <v>0</v>
      </c>
      <c r="M51">
        <v>17023</v>
      </c>
      <c r="N51">
        <f t="shared" si="4"/>
        <v>7.9412168268252634E-2</v>
      </c>
      <c r="O51" s="15">
        <v>0.13191842200000001</v>
      </c>
      <c r="P51">
        <f t="shared" si="5"/>
        <v>0.13448482510060183</v>
      </c>
      <c r="Q51">
        <v>0.3196</v>
      </c>
      <c r="R51">
        <f t="shared" si="6"/>
        <v>0.70849035690534246</v>
      </c>
      <c r="S51">
        <f t="shared" si="7"/>
        <v>9.4283340177356928E-2</v>
      </c>
      <c r="T51" s="14">
        <f t="shared" si="8"/>
        <v>0.16101101648040947</v>
      </c>
      <c r="U51" t="str">
        <f t="shared" si="9"/>
        <v>Low</v>
      </c>
      <c r="V51">
        <f t="shared" si="10"/>
        <v>0.15848352065010707</v>
      </c>
      <c r="W51">
        <f t="shared" si="11"/>
        <v>0.2331966392546197</v>
      </c>
      <c r="X51" t="s">
        <v>1175</v>
      </c>
      <c r="Y51">
        <f t="shared" si="13"/>
        <v>3.008315970460677E-2</v>
      </c>
      <c r="Z51">
        <f t="shared" si="14"/>
        <v>5.9211186474877574E-2</v>
      </c>
      <c r="AA51" t="str">
        <f t="shared" si="15"/>
        <v>No Impact</v>
      </c>
      <c r="AB51">
        <f t="shared" si="16"/>
        <v>7.0711529408999274E-2</v>
      </c>
      <c r="AC51">
        <f t="shared" si="17"/>
        <v>0.16308206006228959</v>
      </c>
      <c r="AD51" t="str">
        <f t="shared" si="18"/>
        <v>Low</v>
      </c>
      <c r="AE51">
        <f t="shared" si="19"/>
        <v>1.7763855057370777E-2</v>
      </c>
      <c r="AF51">
        <f t="shared" si="20"/>
        <v>9.1136249223567223E-2</v>
      </c>
      <c r="AG51" t="s">
        <v>1175</v>
      </c>
    </row>
    <row r="52" spans="1:33" x14ac:dyDescent="0.3">
      <c r="A52">
        <v>201204</v>
      </c>
      <c r="B52" t="s">
        <v>40</v>
      </c>
      <c r="C52" s="1" t="s">
        <v>597</v>
      </c>
      <c r="D52" t="s">
        <v>598</v>
      </c>
      <c r="E52" s="4">
        <v>6</v>
      </c>
      <c r="F52" s="3">
        <f t="shared" si="0"/>
        <v>0.62222222222222223</v>
      </c>
      <c r="G52">
        <v>68.409360000000007</v>
      </c>
      <c r="H52">
        <f t="shared" si="1"/>
        <v>0.66190162701025113</v>
      </c>
      <c r="I52">
        <v>103.7</v>
      </c>
      <c r="J52" s="3">
        <f t="shared" si="2"/>
        <v>0.47722043258168434</v>
      </c>
      <c r="K52">
        <v>0</v>
      </c>
      <c r="L52" s="3">
        <f t="shared" si="3"/>
        <v>0</v>
      </c>
      <c r="M52">
        <v>40696</v>
      </c>
      <c r="N52">
        <f t="shared" si="4"/>
        <v>0.19141909506844001</v>
      </c>
      <c r="O52" s="15">
        <v>0.22193853699999999</v>
      </c>
      <c r="P52">
        <f t="shared" si="5"/>
        <v>0.22625623380734836</v>
      </c>
      <c r="Q52">
        <v>0.29659999999999997</v>
      </c>
      <c r="R52">
        <f t="shared" si="6"/>
        <v>0.65750387940589661</v>
      </c>
      <c r="S52">
        <f t="shared" si="7"/>
        <v>9.9037424712879921E-2</v>
      </c>
      <c r="T52" s="14">
        <f t="shared" si="8"/>
        <v>0.16912973588575131</v>
      </c>
      <c r="U52" t="str">
        <f t="shared" si="9"/>
        <v>Low</v>
      </c>
      <c r="V52">
        <f t="shared" si="10"/>
        <v>0.14736462979377657</v>
      </c>
      <c r="W52">
        <f t="shared" si="11"/>
        <v>0.21683602353066908</v>
      </c>
      <c r="X52" t="s">
        <v>1176</v>
      </c>
      <c r="Y52">
        <f t="shared" si="13"/>
        <v>5.0710219631983251E-2</v>
      </c>
      <c r="Z52">
        <f t="shared" si="14"/>
        <v>9.981040224147579E-2</v>
      </c>
      <c r="AA52" t="str">
        <f t="shared" si="15"/>
        <v>No Impact</v>
      </c>
      <c r="AB52">
        <f t="shared" si="16"/>
        <v>8.1806478219660861E-2</v>
      </c>
      <c r="AC52">
        <f t="shared" si="17"/>
        <v>0.18867034988505316</v>
      </c>
      <c r="AD52" t="str">
        <f t="shared" si="18"/>
        <v>Low</v>
      </c>
      <c r="AE52">
        <f t="shared" si="19"/>
        <v>4.2902262577840251E-2</v>
      </c>
      <c r="AF52">
        <f t="shared" si="20"/>
        <v>0.2201071378887777</v>
      </c>
      <c r="AG52" t="s">
        <v>1175</v>
      </c>
    </row>
    <row r="53" spans="1:33" x14ac:dyDescent="0.3">
      <c r="A53">
        <v>201207</v>
      </c>
      <c r="B53" t="s">
        <v>75</v>
      </c>
      <c r="C53" s="1" t="s">
        <v>597</v>
      </c>
      <c r="D53" t="s">
        <v>1123</v>
      </c>
      <c r="E53" s="4">
        <v>5.2</v>
      </c>
      <c r="F53" s="3">
        <f t="shared" si="0"/>
        <v>0.44444444444444442</v>
      </c>
      <c r="G53">
        <v>68.799599999999998</v>
      </c>
      <c r="H53">
        <f t="shared" si="1"/>
        <v>0.66567743328770312</v>
      </c>
      <c r="I53">
        <v>101.5</v>
      </c>
      <c r="J53" s="3">
        <f t="shared" si="2"/>
        <v>0.46709618039576628</v>
      </c>
      <c r="K53">
        <v>0</v>
      </c>
      <c r="L53" s="3">
        <f t="shared" si="3"/>
        <v>0</v>
      </c>
      <c r="M53">
        <v>16310</v>
      </c>
      <c r="N53">
        <f t="shared" si="4"/>
        <v>7.6038665171537664E-2</v>
      </c>
      <c r="O53" s="15">
        <v>0.34887293200000002</v>
      </c>
      <c r="P53">
        <f t="shared" si="5"/>
        <v>0.35566007029976571</v>
      </c>
      <c r="Q53">
        <v>0.26950000000000002</v>
      </c>
      <c r="R53">
        <f t="shared" si="6"/>
        <v>0.5974285080913323</v>
      </c>
      <c r="S53">
        <f t="shared" si="7"/>
        <v>7.6181473407277184E-2</v>
      </c>
      <c r="T53" s="14">
        <f t="shared" si="8"/>
        <v>0.13009781417594279</v>
      </c>
      <c r="U53" t="str">
        <f t="shared" si="9"/>
        <v>No Impact</v>
      </c>
      <c r="V53">
        <f t="shared" si="10"/>
        <v>9.5506304521536189E-2</v>
      </c>
      <c r="W53">
        <f t="shared" si="11"/>
        <v>0.14053037912516542</v>
      </c>
      <c r="X53" t="s">
        <v>1176</v>
      </c>
      <c r="Y53">
        <f t="shared" si="13"/>
        <v>5.6856642293018171E-2</v>
      </c>
      <c r="Z53">
        <f t="shared" si="14"/>
        <v>0.11190810015318221</v>
      </c>
      <c r="AA53" t="str">
        <f t="shared" si="15"/>
        <v>No Impact</v>
      </c>
      <c r="AB53">
        <f t="shared" si="16"/>
        <v>5.473870024340443E-2</v>
      </c>
      <c r="AC53">
        <f t="shared" si="17"/>
        <v>0.1262439106527152</v>
      </c>
      <c r="AD53" t="str">
        <f t="shared" si="18"/>
        <v>No Impact</v>
      </c>
      <c r="AE53">
        <f t="shared" si="19"/>
        <v>1.2155717065603764E-2</v>
      </c>
      <c r="AF53">
        <f t="shared" si="20"/>
        <v>6.236407899097117E-2</v>
      </c>
      <c r="AG53" t="str">
        <f>IF(AF53&gt;0.7,"High",IF(AF53&gt;0.3,"Moderate",IF(AF53&gt;0.15,"Low","No Impact")))</f>
        <v>No Impact</v>
      </c>
    </row>
    <row r="54" spans="1:33" x14ac:dyDescent="0.3">
      <c r="A54">
        <v>201213</v>
      </c>
      <c r="B54" t="s">
        <v>89</v>
      </c>
      <c r="C54" s="1" t="s">
        <v>597</v>
      </c>
      <c r="D54" t="s">
        <v>599</v>
      </c>
      <c r="E54" s="4">
        <v>6</v>
      </c>
      <c r="F54" s="3">
        <f t="shared" si="0"/>
        <v>0.62222222222222223</v>
      </c>
      <c r="G54">
        <v>71.629199999999997</v>
      </c>
      <c r="H54">
        <f t="shared" si="1"/>
        <v>0.69305551201535398</v>
      </c>
      <c r="I54">
        <v>101.5</v>
      </c>
      <c r="J54" s="3">
        <f t="shared" si="2"/>
        <v>0.46709618039576628</v>
      </c>
      <c r="K54">
        <v>0</v>
      </c>
      <c r="L54" s="3">
        <f t="shared" si="3"/>
        <v>0</v>
      </c>
      <c r="M54">
        <v>60378</v>
      </c>
      <c r="N54">
        <f t="shared" si="4"/>
        <v>0.28454292108463092</v>
      </c>
      <c r="O54" s="15">
        <v>0.60142980099999999</v>
      </c>
      <c r="P54">
        <f t="shared" si="5"/>
        <v>0.61313029955569642</v>
      </c>
      <c r="Q54">
        <v>0.31390000000000001</v>
      </c>
      <c r="R54">
        <f t="shared" si="6"/>
        <v>0.69585457769895809</v>
      </c>
      <c r="S54">
        <f t="shared" si="7"/>
        <v>0.15093992386751476</v>
      </c>
      <c r="T54" s="14">
        <f t="shared" si="8"/>
        <v>0.25776548140602229</v>
      </c>
      <c r="U54" t="str">
        <f t="shared" si="9"/>
        <v>Low</v>
      </c>
      <c r="V54">
        <f t="shared" si="10"/>
        <v>0.16047891584664814</v>
      </c>
      <c r="W54">
        <f t="shared" si="11"/>
        <v>0.23613271394496874</v>
      </c>
      <c r="X54" t="s">
        <v>1175</v>
      </c>
      <c r="Y54">
        <f t="shared" si="13"/>
        <v>0.14140093188838138</v>
      </c>
      <c r="Z54">
        <f t="shared" si="14"/>
        <v>0.27831241890732278</v>
      </c>
      <c r="AA54" t="str">
        <f t="shared" si="15"/>
        <v>Low</v>
      </c>
      <c r="AB54">
        <f t="shared" si="16"/>
        <v>0.12155548462378081</v>
      </c>
      <c r="AC54">
        <f t="shared" si="17"/>
        <v>0.28034351696250054</v>
      </c>
      <c r="AD54" t="str">
        <f t="shared" si="18"/>
        <v>Low</v>
      </c>
      <c r="AE54">
        <f t="shared" si="19"/>
        <v>6.5621670031255866E-2</v>
      </c>
      <c r="AF54">
        <f t="shared" si="20"/>
        <v>0.33666751136621809</v>
      </c>
      <c r="AG54" t="str">
        <f t="shared" si="21"/>
        <v>Moderate</v>
      </c>
    </row>
    <row r="55" spans="1:33" x14ac:dyDescent="0.3">
      <c r="A55">
        <v>201233</v>
      </c>
      <c r="B55" t="s">
        <v>13</v>
      </c>
      <c r="C55" s="1" t="s">
        <v>597</v>
      </c>
      <c r="D55" t="s">
        <v>600</v>
      </c>
      <c r="E55" s="4">
        <v>6</v>
      </c>
      <c r="F55" s="3">
        <f t="shared" si="0"/>
        <v>0.62222222222222223</v>
      </c>
      <c r="G55">
        <v>68.799599999999998</v>
      </c>
      <c r="H55">
        <f t="shared" si="1"/>
        <v>0.66567743328770312</v>
      </c>
      <c r="I55">
        <v>109.89999999999999</v>
      </c>
      <c r="J55" s="3">
        <f t="shared" si="2"/>
        <v>0.5057524160147262</v>
      </c>
      <c r="K55">
        <v>0</v>
      </c>
      <c r="L55" s="3">
        <f t="shared" si="3"/>
        <v>0</v>
      </c>
      <c r="M55">
        <v>21752</v>
      </c>
      <c r="N55">
        <f t="shared" si="4"/>
        <v>0.10178705767128926</v>
      </c>
      <c r="O55" s="15">
        <v>0.563137255</v>
      </c>
      <c r="P55">
        <f t="shared" si="5"/>
        <v>0.57409279233425048</v>
      </c>
      <c r="Q55">
        <v>0.34789999999999999</v>
      </c>
      <c r="R55">
        <f t="shared" si="6"/>
        <v>0.77122589226335625</v>
      </c>
      <c r="S55">
        <f t="shared" si="7"/>
        <v>0.15378189573468343</v>
      </c>
      <c r="T55" s="14">
        <f t="shared" si="8"/>
        <v>0.26261881793695957</v>
      </c>
      <c r="U55" t="str">
        <f t="shared" si="9"/>
        <v>Low</v>
      </c>
      <c r="V55">
        <f t="shared" si="10"/>
        <v>0.17631596306477498</v>
      </c>
      <c r="W55">
        <f t="shared" si="11"/>
        <v>0.25943574363432975</v>
      </c>
      <c r="X55" t="s">
        <v>1175</v>
      </c>
      <c r="Y55">
        <f t="shared" si="13"/>
        <v>0.13124782840459187</v>
      </c>
      <c r="Z55">
        <f t="shared" si="14"/>
        <v>0.25832857048247371</v>
      </c>
      <c r="AA55" t="str">
        <f t="shared" si="15"/>
        <v>Low</v>
      </c>
      <c r="AB55">
        <f t="shared" si="16"/>
        <v>0.10922955203951192</v>
      </c>
      <c r="AC55">
        <f t="shared" si="17"/>
        <v>0.2519162082218746</v>
      </c>
      <c r="AD55" t="str">
        <f t="shared" si="18"/>
        <v>Low</v>
      </c>
      <c r="AE55">
        <f t="shared" si="19"/>
        <v>2.3270332701323223E-2</v>
      </c>
      <c r="AF55">
        <f t="shared" si="20"/>
        <v>0.11938685796150682</v>
      </c>
      <c r="AG55" t="s">
        <v>1175</v>
      </c>
    </row>
    <row r="56" spans="1:33" x14ac:dyDescent="0.3">
      <c r="A56">
        <v>201263</v>
      </c>
      <c r="B56" t="s">
        <v>260</v>
      </c>
      <c r="C56" s="1" t="s">
        <v>597</v>
      </c>
      <c r="D56" t="s">
        <v>601</v>
      </c>
      <c r="E56" s="4">
        <v>5.9</v>
      </c>
      <c r="F56" s="3">
        <f t="shared" si="0"/>
        <v>0.60000000000000009</v>
      </c>
      <c r="G56">
        <v>71.629199999999997</v>
      </c>
      <c r="H56">
        <f t="shared" si="1"/>
        <v>0.69305551201535398</v>
      </c>
      <c r="I56">
        <v>89.399999999999991</v>
      </c>
      <c r="J56" s="3">
        <f t="shared" si="2"/>
        <v>0.41141279337321673</v>
      </c>
      <c r="K56">
        <v>0</v>
      </c>
      <c r="L56" s="3">
        <f t="shared" si="3"/>
        <v>0</v>
      </c>
      <c r="M56">
        <v>28839</v>
      </c>
      <c r="N56">
        <f t="shared" si="4"/>
        <v>0.13531863754003964</v>
      </c>
      <c r="O56" s="15">
        <v>0.79572886200000004</v>
      </c>
      <c r="P56">
        <f t="shared" si="5"/>
        <v>0.81120934598179884</v>
      </c>
      <c r="Q56">
        <v>0.36149999999999999</v>
      </c>
      <c r="R56">
        <f t="shared" si="6"/>
        <v>0.80137441808911547</v>
      </c>
      <c r="S56">
        <f t="shared" si="7"/>
        <v>0.17391946340858044</v>
      </c>
      <c r="T56" s="14">
        <f t="shared" si="8"/>
        <v>0.29700845914523616</v>
      </c>
      <c r="U56" t="str">
        <f t="shared" si="9"/>
        <v>Low</v>
      </c>
      <c r="V56">
        <f t="shared" si="10"/>
        <v>0.17285875238080753</v>
      </c>
      <c r="W56">
        <f t="shared" si="11"/>
        <v>0.25434871686088817</v>
      </c>
      <c r="X56" t="s">
        <v>1175</v>
      </c>
      <c r="Y56">
        <f t="shared" si="13"/>
        <v>0.17498017443635333</v>
      </c>
      <c r="Z56">
        <f t="shared" si="14"/>
        <v>0.34440477129704328</v>
      </c>
      <c r="AA56" t="str">
        <f t="shared" si="15"/>
        <v>Moderate</v>
      </c>
      <c r="AB56">
        <f t="shared" si="16"/>
        <v>0.12321063156869717</v>
      </c>
      <c r="AC56">
        <f t="shared" si="17"/>
        <v>0.28416078376098125</v>
      </c>
      <c r="AD56" t="str">
        <f t="shared" si="18"/>
        <v>Low</v>
      </c>
      <c r="AE56">
        <f t="shared" si="19"/>
        <v>2.9188616870024418E-2</v>
      </c>
      <c r="AF56">
        <f t="shared" si="20"/>
        <v>0.14975021204386535</v>
      </c>
      <c r="AG56" t="s">
        <v>1175</v>
      </c>
    </row>
    <row r="57" spans="1:33" x14ac:dyDescent="0.3">
      <c r="A57">
        <v>201285</v>
      </c>
      <c r="B57" t="s">
        <v>357</v>
      </c>
      <c r="C57" s="1" t="s">
        <v>597</v>
      </c>
      <c r="D57" t="s">
        <v>602</v>
      </c>
      <c r="E57" s="4">
        <v>6</v>
      </c>
      <c r="F57" s="3">
        <f t="shared" si="0"/>
        <v>0.62222222222222223</v>
      </c>
      <c r="G57">
        <v>71.151119999999992</v>
      </c>
      <c r="H57">
        <f t="shared" si="1"/>
        <v>0.68842980100386275</v>
      </c>
      <c r="I57">
        <v>108.89999999999999</v>
      </c>
      <c r="J57" s="3">
        <f t="shared" si="2"/>
        <v>0.5011504832029452</v>
      </c>
      <c r="K57">
        <v>0</v>
      </c>
      <c r="L57" s="3">
        <f t="shared" si="3"/>
        <v>0</v>
      </c>
      <c r="M57">
        <v>31740</v>
      </c>
      <c r="N57">
        <f t="shared" si="4"/>
        <v>0.14904448955065697</v>
      </c>
      <c r="O57" s="15">
        <v>0.626450913</v>
      </c>
      <c r="P57">
        <f t="shared" si="5"/>
        <v>0.63863818405072592</v>
      </c>
      <c r="Q57">
        <v>0.30630000000000002</v>
      </c>
      <c r="R57">
        <f t="shared" si="6"/>
        <v>0.67900687209044563</v>
      </c>
      <c r="S57">
        <f t="shared" si="7"/>
        <v>0.15397204381446847</v>
      </c>
      <c r="T57" s="14">
        <f t="shared" si="8"/>
        <v>0.2629435405820249</v>
      </c>
      <c r="U57" t="str">
        <f t="shared" si="9"/>
        <v>Low</v>
      </c>
      <c r="V57">
        <f t="shared" si="10"/>
        <v>0.15868928490653267</v>
      </c>
      <c r="W57">
        <f t="shared" si="11"/>
        <v>0.23349940595793586</v>
      </c>
      <c r="X57" t="s">
        <v>1175</v>
      </c>
      <c r="Y57">
        <f t="shared" si="13"/>
        <v>0.14925480272240432</v>
      </c>
      <c r="Z57">
        <f t="shared" si="14"/>
        <v>0.29377080210474077</v>
      </c>
      <c r="AA57" t="str">
        <f t="shared" si="15"/>
        <v>Low</v>
      </c>
      <c r="AB57">
        <f t="shared" si="16"/>
        <v>0.1125091977975982</v>
      </c>
      <c r="AC57">
        <f t="shared" si="17"/>
        <v>0.25948005800667634</v>
      </c>
      <c r="AD57" t="str">
        <f t="shared" si="18"/>
        <v>Low</v>
      </c>
      <c r="AE57">
        <f t="shared" si="19"/>
        <v>3.4832877895972829E-2</v>
      </c>
      <c r="AF57">
        <f t="shared" si="20"/>
        <v>0.17870770904451005</v>
      </c>
      <c r="AG57" t="s">
        <v>1175</v>
      </c>
    </row>
    <row r="58" spans="1:33" x14ac:dyDescent="0.3">
      <c r="A58">
        <v>201290</v>
      </c>
      <c r="B58" t="s">
        <v>375</v>
      </c>
      <c r="C58" s="1" t="s">
        <v>597</v>
      </c>
      <c r="D58" t="s">
        <v>603</v>
      </c>
      <c r="E58" s="4">
        <v>5.8</v>
      </c>
      <c r="F58" s="3">
        <f t="shared" si="0"/>
        <v>0.57777777777777772</v>
      </c>
      <c r="G58">
        <v>67.298400000000001</v>
      </c>
      <c r="H58">
        <f t="shared" si="1"/>
        <v>0.65115242205433121</v>
      </c>
      <c r="I58">
        <v>108.89999999999999</v>
      </c>
      <c r="J58" s="3">
        <f t="shared" si="2"/>
        <v>0.5011504832029452</v>
      </c>
      <c r="K58">
        <v>0</v>
      </c>
      <c r="L58" s="3">
        <f t="shared" si="3"/>
        <v>0</v>
      </c>
      <c r="M58">
        <v>31073</v>
      </c>
      <c r="N58">
        <f t="shared" si="4"/>
        <v>0.14588863181502038</v>
      </c>
      <c r="O58" s="15">
        <v>0.52601346000000004</v>
      </c>
      <c r="P58">
        <f t="shared" si="5"/>
        <v>0.5362467735451113</v>
      </c>
      <c r="Q58">
        <v>0.33950000000000002</v>
      </c>
      <c r="R58">
        <f t="shared" si="6"/>
        <v>0.75260474395921084</v>
      </c>
      <c r="S58">
        <f t="shared" si="7"/>
        <v>0.13429786559839402</v>
      </c>
      <c r="T58" s="14">
        <f t="shared" si="8"/>
        <v>0.22934524604740208</v>
      </c>
      <c r="U58" t="str">
        <f t="shared" si="9"/>
        <v>Low</v>
      </c>
      <c r="V58">
        <f t="shared" si="10"/>
        <v>0.15684228847192849</v>
      </c>
      <c r="W58">
        <f t="shared" si="11"/>
        <v>0.23078168893916856</v>
      </c>
      <c r="X58" t="s">
        <v>1176</v>
      </c>
      <c r="Y58">
        <f t="shared" si="13"/>
        <v>0.11175344272485956</v>
      </c>
      <c r="Z58">
        <f t="shared" si="14"/>
        <v>0.21995874108190538</v>
      </c>
      <c r="AA58" t="str">
        <f t="shared" si="15"/>
        <v>Low</v>
      </c>
      <c r="AB58">
        <f t="shared" si="16"/>
        <v>9.9061913939046606E-2</v>
      </c>
      <c r="AC58">
        <f t="shared" si="17"/>
        <v>0.22846657587407421</v>
      </c>
      <c r="AD58" t="str">
        <f t="shared" si="18"/>
        <v>Low</v>
      </c>
      <c r="AE58">
        <f t="shared" si="19"/>
        <v>3.0403086161182244E-2</v>
      </c>
      <c r="AF58">
        <f t="shared" si="20"/>
        <v>0.1559809640757788</v>
      </c>
      <c r="AG58" t="s">
        <v>1175</v>
      </c>
    </row>
    <row r="59" spans="1:33" x14ac:dyDescent="0.3">
      <c r="A59">
        <v>201294</v>
      </c>
      <c r="B59" t="s">
        <v>459</v>
      </c>
      <c r="C59" s="1" t="s">
        <v>597</v>
      </c>
      <c r="D59" t="s">
        <v>604</v>
      </c>
      <c r="E59" s="4">
        <v>5.5</v>
      </c>
      <c r="F59" s="3">
        <f t="shared" si="0"/>
        <v>0.51111111111111107</v>
      </c>
      <c r="G59">
        <v>68.799599999999998</v>
      </c>
      <c r="H59">
        <f t="shared" si="1"/>
        <v>0.66567743328770312</v>
      </c>
      <c r="I59">
        <v>121.7</v>
      </c>
      <c r="J59" s="3">
        <f t="shared" si="2"/>
        <v>0.56005522319374146</v>
      </c>
      <c r="K59">
        <v>0</v>
      </c>
      <c r="L59" s="3">
        <f t="shared" si="3"/>
        <v>0</v>
      </c>
      <c r="M59">
        <v>26913</v>
      </c>
      <c r="N59">
        <f t="shared" si="4"/>
        <v>0.12620592090010552</v>
      </c>
      <c r="O59" s="15">
        <v>0.72542477100000002</v>
      </c>
      <c r="P59">
        <f t="shared" si="5"/>
        <v>0.7395375260900191</v>
      </c>
      <c r="Q59">
        <v>0.31790000000000002</v>
      </c>
      <c r="R59">
        <f t="shared" si="6"/>
        <v>0.70472179117712264</v>
      </c>
      <c r="S59">
        <f t="shared" si="7"/>
        <v>0.13961953962935547</v>
      </c>
      <c r="T59" s="14">
        <f t="shared" si="8"/>
        <v>0.23843325824012543</v>
      </c>
      <c r="U59" t="str">
        <f t="shared" si="9"/>
        <v>Low</v>
      </c>
      <c r="V59">
        <f t="shared" si="10"/>
        <v>0.13625383042306535</v>
      </c>
      <c r="W59">
        <f t="shared" si="11"/>
        <v>0.20048731382221618</v>
      </c>
      <c r="X59" t="s">
        <v>1176</v>
      </c>
      <c r="Y59">
        <f t="shared" si="13"/>
        <v>0.14298524883564559</v>
      </c>
      <c r="Z59">
        <f t="shared" si="14"/>
        <v>0.28143075112777116</v>
      </c>
      <c r="AA59" t="str">
        <f t="shared" si="15"/>
        <v>Low</v>
      </c>
      <c r="AB59">
        <f t="shared" si="16"/>
        <v>9.9124826743395372E-2</v>
      </c>
      <c r="AC59">
        <f t="shared" si="17"/>
        <v>0.22861167172793628</v>
      </c>
      <c r="AD59" t="str">
        <f t="shared" si="18"/>
        <v>Low</v>
      </c>
      <c r="AE59">
        <f t="shared" si="19"/>
        <v>2.4401175556082354E-2</v>
      </c>
      <c r="AF59">
        <f t="shared" si="20"/>
        <v>0.12518857025375249</v>
      </c>
      <c r="AG59" t="s">
        <v>1175</v>
      </c>
    </row>
    <row r="60" spans="1:33" x14ac:dyDescent="0.3">
      <c r="A60">
        <v>201322</v>
      </c>
      <c r="B60" t="s">
        <v>98</v>
      </c>
      <c r="C60" s="1" t="s">
        <v>606</v>
      </c>
      <c r="D60" t="s">
        <v>605</v>
      </c>
      <c r="E60" s="4">
        <v>6</v>
      </c>
      <c r="F60" s="3">
        <f t="shared" si="0"/>
        <v>0.62222222222222223</v>
      </c>
      <c r="G60">
        <v>70.2</v>
      </c>
      <c r="H60">
        <f t="shared" si="1"/>
        <v>0.67922714400660422</v>
      </c>
      <c r="I60">
        <v>94.5</v>
      </c>
      <c r="J60" s="3">
        <f t="shared" si="2"/>
        <v>0.43488265071329962</v>
      </c>
      <c r="K60">
        <v>0</v>
      </c>
      <c r="L60" s="3">
        <f t="shared" si="3"/>
        <v>0</v>
      </c>
      <c r="M60">
        <v>31606</v>
      </c>
      <c r="N60">
        <f t="shared" si="4"/>
        <v>0.14841047915099384</v>
      </c>
      <c r="O60" s="15">
        <v>0.66741325900000004</v>
      </c>
      <c r="P60">
        <f t="shared" si="5"/>
        <v>0.68039743081855297</v>
      </c>
      <c r="Q60">
        <v>0.36159999999999998</v>
      </c>
      <c r="R60">
        <f t="shared" si="6"/>
        <v>0.8015960984260696</v>
      </c>
      <c r="S60">
        <f t="shared" si="7"/>
        <v>0.16536885486787836</v>
      </c>
      <c r="T60" s="14">
        <f t="shared" si="8"/>
        <v>0.28240628054109768</v>
      </c>
      <c r="U60" t="str">
        <f t="shared" si="9"/>
        <v>Low</v>
      </c>
      <c r="V60">
        <f t="shared" si="10"/>
        <v>0.17889285782623365</v>
      </c>
      <c r="W60">
        <f t="shared" si="11"/>
        <v>0.26322745141328352</v>
      </c>
      <c r="X60" t="s">
        <v>1175</v>
      </c>
      <c r="Y60">
        <f t="shared" si="13"/>
        <v>0.1518448519095231</v>
      </c>
      <c r="Z60">
        <f t="shared" si="14"/>
        <v>0.29886866705321924</v>
      </c>
      <c r="AA60" t="str">
        <f t="shared" si="15"/>
        <v>Low</v>
      </c>
      <c r="AB60">
        <f t="shared" si="16"/>
        <v>0.11975826667730387</v>
      </c>
      <c r="AC60">
        <f t="shared" si="17"/>
        <v>0.27619859169300021</v>
      </c>
      <c r="AD60" t="str">
        <f t="shared" si="18"/>
        <v>Low</v>
      </c>
      <c r="AE60">
        <f t="shared" si="19"/>
        <v>3.3120888186471881E-2</v>
      </c>
      <c r="AF60">
        <f t="shared" si="20"/>
        <v>0.16992446237145631</v>
      </c>
      <c r="AG60" t="s">
        <v>1175</v>
      </c>
    </row>
    <row r="61" spans="1:33" x14ac:dyDescent="0.3">
      <c r="A61">
        <v>201345</v>
      </c>
      <c r="B61" t="s">
        <v>162</v>
      </c>
      <c r="C61" s="1" t="s">
        <v>606</v>
      </c>
      <c r="D61" t="s">
        <v>607</v>
      </c>
      <c r="E61" s="4">
        <v>6</v>
      </c>
      <c r="F61" s="3">
        <f t="shared" si="0"/>
        <v>0.62222222222222223</v>
      </c>
      <c r="G61">
        <v>75.841200000000001</v>
      </c>
      <c r="H61">
        <f t="shared" si="1"/>
        <v>0.7338091406557502</v>
      </c>
      <c r="I61">
        <v>85.5</v>
      </c>
      <c r="J61" s="3">
        <f t="shared" si="2"/>
        <v>0.39346525540727106</v>
      </c>
      <c r="K61">
        <v>0</v>
      </c>
      <c r="L61" s="3">
        <f t="shared" si="3"/>
        <v>0</v>
      </c>
      <c r="M61">
        <v>25019</v>
      </c>
      <c r="N61">
        <f t="shared" si="4"/>
        <v>0.11724460972874765</v>
      </c>
      <c r="O61" s="15">
        <v>0.76227493000000002</v>
      </c>
      <c r="P61">
        <f t="shared" si="5"/>
        <v>0.77710458543556193</v>
      </c>
      <c r="Q61">
        <v>0.39350000000000002</v>
      </c>
      <c r="R61">
        <f t="shared" si="6"/>
        <v>0.87231212591443141</v>
      </c>
      <c r="S61">
        <f t="shared" si="7"/>
        <v>0.19100369783800922</v>
      </c>
      <c r="T61" s="14">
        <f t="shared" si="8"/>
        <v>0.32618381447415729</v>
      </c>
      <c r="U61" t="str">
        <f t="shared" si="9"/>
        <v>Moderate</v>
      </c>
      <c r="V61">
        <f t="shared" si="10"/>
        <v>0.20202880275442672</v>
      </c>
      <c r="W61">
        <f t="shared" si="11"/>
        <v>0.29727026281161134</v>
      </c>
      <c r="X61" t="s">
        <v>1175</v>
      </c>
      <c r="Y61">
        <f t="shared" si="13"/>
        <v>0.17997859292159171</v>
      </c>
      <c r="Z61">
        <f t="shared" si="14"/>
        <v>0.35424290970786992</v>
      </c>
      <c r="AA61" t="str">
        <f t="shared" si="15"/>
        <v>Moderate</v>
      </c>
      <c r="AB61">
        <f t="shared" si="16"/>
        <v>0.13420756873725959</v>
      </c>
      <c r="AC61">
        <f t="shared" si="17"/>
        <v>0.30952302925070302</v>
      </c>
      <c r="AD61" t="str">
        <f t="shared" si="18"/>
        <v>Moderate</v>
      </c>
      <c r="AE61">
        <f t="shared" si="19"/>
        <v>2.7154028276379173E-2</v>
      </c>
      <c r="AF61">
        <f t="shared" si="20"/>
        <v>0.13931189375433722</v>
      </c>
      <c r="AG61" t="s">
        <v>1175</v>
      </c>
    </row>
    <row r="62" spans="1:33" x14ac:dyDescent="0.3">
      <c r="A62">
        <v>201347</v>
      </c>
      <c r="B62" t="s">
        <v>197</v>
      </c>
      <c r="C62" s="1" t="s">
        <v>606</v>
      </c>
      <c r="D62" t="s">
        <v>608</v>
      </c>
      <c r="E62" s="4">
        <v>6</v>
      </c>
      <c r="F62" s="3">
        <f t="shared" si="0"/>
        <v>0.62222222222222223</v>
      </c>
      <c r="G62">
        <v>75.841200000000001</v>
      </c>
      <c r="H62">
        <f t="shared" si="1"/>
        <v>0.7338091406557502</v>
      </c>
      <c r="I62">
        <v>85.5</v>
      </c>
      <c r="J62" s="3">
        <f t="shared" si="2"/>
        <v>0.39346525540727106</v>
      </c>
      <c r="K62">
        <v>0</v>
      </c>
      <c r="L62" s="3">
        <f t="shared" si="3"/>
        <v>0</v>
      </c>
      <c r="M62">
        <v>5413</v>
      </c>
      <c r="N62">
        <f t="shared" si="4"/>
        <v>2.4480371700425354E-2</v>
      </c>
      <c r="O62" s="15">
        <v>0.305467822</v>
      </c>
      <c r="P62">
        <f t="shared" si="5"/>
        <v>0.31141053685081055</v>
      </c>
      <c r="Q62">
        <v>0.30370000000000003</v>
      </c>
      <c r="R62">
        <f t="shared" si="6"/>
        <v>0.67324318332963873</v>
      </c>
      <c r="S62">
        <f t="shared" si="7"/>
        <v>0.11402364263090742</v>
      </c>
      <c r="T62" s="14">
        <f t="shared" si="8"/>
        <v>0.19472223372937381</v>
      </c>
      <c r="U62" t="str">
        <f t="shared" si="9"/>
        <v>Low</v>
      </c>
      <c r="V62">
        <f t="shared" si="10"/>
        <v>0.15592413569636443</v>
      </c>
      <c r="W62">
        <f t="shared" si="11"/>
        <v>0.2294306958472335</v>
      </c>
      <c r="X62" t="s">
        <v>1176</v>
      </c>
      <c r="Y62">
        <f t="shared" si="13"/>
        <v>7.2123149565450406E-2</v>
      </c>
      <c r="Z62">
        <f t="shared" si="14"/>
        <v>0.14195640684051578</v>
      </c>
      <c r="AA62" t="str">
        <f t="shared" si="15"/>
        <v>No Impact</v>
      </c>
      <c r="AB62">
        <f t="shared" si="16"/>
        <v>7.81947842037862E-2</v>
      </c>
      <c r="AC62">
        <f t="shared" si="17"/>
        <v>0.1803406969225686</v>
      </c>
      <c r="AD62" t="str">
        <f t="shared" si="18"/>
        <v>Low</v>
      </c>
      <c r="AE62">
        <f t="shared" si="19"/>
        <v>5.6696909726386534E-3</v>
      </c>
      <c r="AF62">
        <f t="shared" si="20"/>
        <v>2.9087963611175979E-2</v>
      </c>
      <c r="AG62" t="str">
        <f>IF(AF62&gt;0.7,"High",IF(AF62&gt;0.3,"Moderate",IF(AF62&gt;0.15,"Low","No Impact")))</f>
        <v>No Impact</v>
      </c>
    </row>
    <row r="63" spans="1:33" x14ac:dyDescent="0.3">
      <c r="A63">
        <v>201349</v>
      </c>
      <c r="B63" t="s">
        <v>198</v>
      </c>
      <c r="C63" s="1" t="s">
        <v>606</v>
      </c>
      <c r="D63" t="s">
        <v>609</v>
      </c>
      <c r="E63" s="4">
        <v>4.5999999999999996</v>
      </c>
      <c r="F63" s="3">
        <f t="shared" si="0"/>
        <v>0.31111111111111101</v>
      </c>
      <c r="G63">
        <v>72.946439999999996</v>
      </c>
      <c r="H63">
        <f t="shared" si="1"/>
        <v>0.70580059980981635</v>
      </c>
      <c r="I63">
        <v>94.5</v>
      </c>
      <c r="J63" s="3">
        <f t="shared" si="2"/>
        <v>0.43488265071329962</v>
      </c>
      <c r="K63">
        <v>0</v>
      </c>
      <c r="L63" s="3">
        <f t="shared" si="3"/>
        <v>0</v>
      </c>
      <c r="M63">
        <v>29282</v>
      </c>
      <c r="N63">
        <f t="shared" si="4"/>
        <v>0.13741465699564237</v>
      </c>
      <c r="O63" s="15">
        <v>0.33133156899999999</v>
      </c>
      <c r="P63">
        <f t="shared" si="5"/>
        <v>0.33777744936391818</v>
      </c>
      <c r="Q63">
        <v>0.32740000000000002</v>
      </c>
      <c r="R63">
        <f t="shared" si="6"/>
        <v>0.72578142318776329</v>
      </c>
      <c r="S63">
        <f t="shared" si="7"/>
        <v>6.1097377663621638E-2</v>
      </c>
      <c r="T63" s="14">
        <f t="shared" si="8"/>
        <v>0.10433816688507311</v>
      </c>
      <c r="U63" t="str">
        <f t="shared" si="9"/>
        <v>No Impact</v>
      </c>
      <c r="V63">
        <f t="shared" si="10"/>
        <v>8.3386717666799948E-2</v>
      </c>
      <c r="W63">
        <f t="shared" si="11"/>
        <v>0.12269731413465058</v>
      </c>
      <c r="X63" t="s">
        <v>1176</v>
      </c>
      <c r="Y63">
        <f t="shared" si="13"/>
        <v>3.8808037660443308E-2</v>
      </c>
      <c r="Z63">
        <f t="shared" si="14"/>
        <v>7.6383929653662586E-2</v>
      </c>
      <c r="AA63" t="str">
        <f t="shared" si="15"/>
        <v>No Impact</v>
      </c>
      <c r="AB63">
        <f t="shared" si="16"/>
        <v>4.6353523949127708E-2</v>
      </c>
      <c r="AC63">
        <f t="shared" si="17"/>
        <v>0.10690517147559186</v>
      </c>
      <c r="AD63" t="str">
        <f t="shared" si="18"/>
        <v>No Impact</v>
      </c>
      <c r="AE63">
        <f t="shared" si="19"/>
        <v>1.5787889907470667E-2</v>
      </c>
      <c r="AF63">
        <f t="shared" si="20"/>
        <v>8.099869452179892E-2</v>
      </c>
      <c r="AG63" t="s">
        <v>1175</v>
      </c>
    </row>
    <row r="64" spans="1:33" x14ac:dyDescent="0.3">
      <c r="A64">
        <v>201358</v>
      </c>
      <c r="B64" t="s">
        <v>231</v>
      </c>
      <c r="C64" s="1" t="s">
        <v>606</v>
      </c>
      <c r="D64" t="s">
        <v>1124</v>
      </c>
      <c r="E64" s="4">
        <v>5.6</v>
      </c>
      <c r="F64" s="3">
        <f t="shared" si="0"/>
        <v>0.53333333333333321</v>
      </c>
      <c r="G64">
        <v>75.02112000000001</v>
      </c>
      <c r="H64">
        <f t="shared" si="1"/>
        <v>0.72587437432730395</v>
      </c>
      <c r="I64">
        <v>94</v>
      </c>
      <c r="J64" s="3">
        <f t="shared" si="2"/>
        <v>0.43258168430740912</v>
      </c>
      <c r="K64">
        <v>0</v>
      </c>
      <c r="L64" s="3">
        <f t="shared" si="3"/>
        <v>0</v>
      </c>
      <c r="M64">
        <v>41920</v>
      </c>
      <c r="N64">
        <f t="shared" si="4"/>
        <v>0.19721035424148226</v>
      </c>
      <c r="O64" s="15">
        <v>0.48636347000000002</v>
      </c>
      <c r="P64">
        <f t="shared" si="5"/>
        <v>0.49582541396888308</v>
      </c>
      <c r="Q64">
        <v>0.3377</v>
      </c>
      <c r="R64">
        <f t="shared" si="6"/>
        <v>0.74861449789403678</v>
      </c>
      <c r="S64">
        <f t="shared" si="7"/>
        <v>0.12506325322217973</v>
      </c>
      <c r="T64" s="14">
        <f t="shared" si="8"/>
        <v>0.21357496974302145</v>
      </c>
      <c r="U64" t="str">
        <f t="shared" si="9"/>
        <v>Low</v>
      </c>
      <c r="V64">
        <f t="shared" si="10"/>
        <v>0.15046795530008672</v>
      </c>
      <c r="W64">
        <f t="shared" si="11"/>
        <v>0.22140233475101601</v>
      </c>
      <c r="X64" t="s">
        <v>1176</v>
      </c>
      <c r="Y64">
        <f t="shared" si="13"/>
        <v>9.9658551144272689E-2</v>
      </c>
      <c r="Z64">
        <f t="shared" si="14"/>
        <v>0.19615296775876978</v>
      </c>
      <c r="AA64" t="str">
        <f t="shared" si="15"/>
        <v>Low</v>
      </c>
      <c r="AB64">
        <f t="shared" si="16"/>
        <v>9.6434769993496761E-2</v>
      </c>
      <c r="AC64">
        <f t="shared" si="17"/>
        <v>0.22240759157121293</v>
      </c>
      <c r="AD64" t="str">
        <f t="shared" si="18"/>
        <v>Low</v>
      </c>
      <c r="AE64">
        <f t="shared" si="19"/>
        <v>3.9638343700527462E-2</v>
      </c>
      <c r="AF64">
        <f t="shared" si="20"/>
        <v>0.20336182425682153</v>
      </c>
      <c r="AG64" t="s">
        <v>1175</v>
      </c>
    </row>
    <row r="65" spans="1:33" x14ac:dyDescent="0.3">
      <c r="A65">
        <v>201376</v>
      </c>
      <c r="B65" t="s">
        <v>327</v>
      </c>
      <c r="C65" s="1" t="s">
        <v>606</v>
      </c>
      <c r="D65" t="s">
        <v>610</v>
      </c>
      <c r="E65" s="4">
        <v>6</v>
      </c>
      <c r="F65" s="3">
        <f t="shared" si="0"/>
        <v>0.62222222222222223</v>
      </c>
      <c r="G65">
        <v>71.764920000000004</v>
      </c>
      <c r="H65">
        <f t="shared" si="1"/>
        <v>0.69436868449376676</v>
      </c>
      <c r="I65">
        <v>99.9</v>
      </c>
      <c r="J65" s="3">
        <f t="shared" si="2"/>
        <v>0.45973308789691675</v>
      </c>
      <c r="K65">
        <v>0</v>
      </c>
      <c r="L65" s="3">
        <f t="shared" si="3"/>
        <v>0</v>
      </c>
      <c r="M65">
        <v>14716</v>
      </c>
      <c r="N65">
        <f t="shared" si="4"/>
        <v>6.8496780268082313E-2</v>
      </c>
      <c r="O65" s="15">
        <v>0.37338610500000002</v>
      </c>
      <c r="P65">
        <f t="shared" si="5"/>
        <v>0.38065013411030613</v>
      </c>
      <c r="Q65">
        <v>0.33529999999999999</v>
      </c>
      <c r="R65">
        <f t="shared" si="6"/>
        <v>0.74329416980713803</v>
      </c>
      <c r="S65">
        <f t="shared" si="7"/>
        <v>0.12927151010510821</v>
      </c>
      <c r="T65" s="14">
        <f t="shared" si="8"/>
        <v>0.22076155983472165</v>
      </c>
      <c r="U65" t="str">
        <f t="shared" si="9"/>
        <v>Low</v>
      </c>
      <c r="V65">
        <f t="shared" si="10"/>
        <v>0.17098135458916691</v>
      </c>
      <c r="W65">
        <f t="shared" si="11"/>
        <v>0.25158626652057048</v>
      </c>
      <c r="X65" t="s">
        <v>1175</v>
      </c>
      <c r="Y65">
        <f t="shared" si="13"/>
        <v>8.7561665621049486E-2</v>
      </c>
      <c r="Z65">
        <f t="shared" si="14"/>
        <v>0.17234326985755063</v>
      </c>
      <c r="AA65" t="str">
        <f t="shared" si="15"/>
        <v>Low</v>
      </c>
      <c r="AB65">
        <f t="shared" si="16"/>
        <v>9.1626728869097077E-2</v>
      </c>
      <c r="AC65">
        <f t="shared" si="17"/>
        <v>0.21131880226083044</v>
      </c>
      <c r="AD65" t="str">
        <f t="shared" si="18"/>
        <v>Low</v>
      </c>
      <c r="AE65">
        <f t="shared" si="19"/>
        <v>1.5756443075925178E-2</v>
      </c>
      <c r="AF65">
        <f t="shared" si="20"/>
        <v>8.0837358693074499E-2</v>
      </c>
      <c r="AG65" t="s">
        <v>1175</v>
      </c>
    </row>
    <row r="66" spans="1:33" x14ac:dyDescent="0.3">
      <c r="A66">
        <v>201379</v>
      </c>
      <c r="B66" t="s">
        <v>328</v>
      </c>
      <c r="C66" s="1" t="s">
        <v>606</v>
      </c>
      <c r="D66" t="s">
        <v>1125</v>
      </c>
      <c r="E66" s="4">
        <v>5.3</v>
      </c>
      <c r="F66" s="3">
        <f t="shared" si="0"/>
        <v>0.46666666666666656</v>
      </c>
      <c r="G66">
        <v>72.871200000000002</v>
      </c>
      <c r="H66">
        <f t="shared" si="1"/>
        <v>0.70507260764008628</v>
      </c>
      <c r="I66">
        <v>99.9</v>
      </c>
      <c r="J66" s="3">
        <f t="shared" si="2"/>
        <v>0.45973308789691675</v>
      </c>
      <c r="K66">
        <v>0</v>
      </c>
      <c r="L66" s="3">
        <f t="shared" si="3"/>
        <v>0</v>
      </c>
      <c r="M66">
        <v>26290</v>
      </c>
      <c r="N66">
        <f t="shared" si="4"/>
        <v>0.12325824568376129</v>
      </c>
      <c r="O66" s="15">
        <v>0.41072800700000001</v>
      </c>
      <c r="P66">
        <f t="shared" si="5"/>
        <v>0.41871850305572766</v>
      </c>
      <c r="Q66">
        <v>0.35780000000000001</v>
      </c>
      <c r="R66">
        <f t="shared" si="6"/>
        <v>0.79317224562181332</v>
      </c>
      <c r="S66">
        <f t="shared" si="7"/>
        <v>0.10575078344941471</v>
      </c>
      <c r="T66" s="14">
        <f t="shared" si="8"/>
        <v>0.18059437759375371</v>
      </c>
      <c r="U66" t="str">
        <f t="shared" si="9"/>
        <v>Low</v>
      </c>
      <c r="V66">
        <f t="shared" si="10"/>
        <v>0.13842598679191123</v>
      </c>
      <c r="W66">
        <f t="shared" si="11"/>
        <v>0.20368347934827546</v>
      </c>
      <c r="X66" t="s">
        <v>1176</v>
      </c>
      <c r="Y66">
        <f t="shared" si="13"/>
        <v>7.3075580106918184E-2</v>
      </c>
      <c r="Z66">
        <f t="shared" si="14"/>
        <v>0.14383102848760898</v>
      </c>
      <c r="AA66" t="str">
        <f t="shared" si="15"/>
        <v>No Impact</v>
      </c>
      <c r="AB66">
        <f t="shared" si="16"/>
        <v>7.7900714772774438E-2</v>
      </c>
      <c r="AC66">
        <f t="shared" si="17"/>
        <v>0.17966248434519166</v>
      </c>
      <c r="AD66" t="str">
        <f t="shared" si="18"/>
        <v>Low</v>
      </c>
      <c r="AE66">
        <f t="shared" si="19"/>
        <v>2.1511272467228722E-2</v>
      </c>
      <c r="AF66">
        <f t="shared" si="20"/>
        <v>0.11036211916601751</v>
      </c>
      <c r="AG66" t="s">
        <v>1175</v>
      </c>
    </row>
    <row r="67" spans="1:33" x14ac:dyDescent="0.3">
      <c r="A67">
        <v>201395</v>
      </c>
      <c r="B67" t="s">
        <v>473</v>
      </c>
      <c r="C67" s="1" t="s">
        <v>606</v>
      </c>
      <c r="D67" t="s">
        <v>611</v>
      </c>
      <c r="E67" s="4">
        <v>6</v>
      </c>
      <c r="F67" s="3">
        <f t="shared" ref="F67:F130" si="25">(E67-$AJ$5)/$AK$5</f>
        <v>0.62222222222222223</v>
      </c>
      <c r="G67">
        <v>75.02112000000001</v>
      </c>
      <c r="H67">
        <f t="shared" ref="H67:H130" si="26">(G67-$AJ$6)/$AK$6</f>
        <v>0.72587437432730395</v>
      </c>
      <c r="I67">
        <v>88.8</v>
      </c>
      <c r="J67" s="3">
        <f t="shared" ref="J67:J130" si="27">(I67-$AJ$7)/$AK$7</f>
        <v>0.40865163368614821</v>
      </c>
      <c r="K67">
        <v>0</v>
      </c>
      <c r="L67" s="3">
        <f t="shared" ref="L67:L130" si="28">(K67-$AJ$8)/$AK$8</f>
        <v>0</v>
      </c>
      <c r="M67">
        <v>14024</v>
      </c>
      <c r="N67">
        <f t="shared" ref="N67:N130" si="29">(M67-$AJ$9)/$AK$9</f>
        <v>6.5222637010120516E-2</v>
      </c>
      <c r="O67" s="15">
        <v>0.39793395799999998</v>
      </c>
      <c r="P67">
        <f t="shared" ref="P67:P130" si="30">(O67-$AJ$11)/$AK$11</f>
        <v>0.40567555260189692</v>
      </c>
      <c r="Q67">
        <v>0.3231</v>
      </c>
      <c r="R67">
        <f t="shared" ref="R67:R130" si="31">(Q67-$AJ$12)/$AK$12</f>
        <v>0.71624916869873645</v>
      </c>
      <c r="S67">
        <f t="shared" ref="S67:S130" si="32">F67*(R67*0.5+P67*0.5)*(H67*0.4+J67*0.2+L67*0.4)</f>
        <v>0.12987203789561522</v>
      </c>
      <c r="T67" s="14">
        <f t="shared" ref="T67:T130" si="33">(S67-$AJ$10)/$AK$10</f>
        <v>0.22178710252118547</v>
      </c>
      <c r="U67" t="str">
        <f t="shared" ref="U67:U130" si="34">IF(T67&gt;0.7,"High",IF(T67&gt;0.3,"Moderate",IF(T67&gt;0.15,"Low","No Impact")))</f>
        <v>Low</v>
      </c>
      <c r="V67">
        <f t="shared" ref="V67:V130" si="35">F67*(R67*1)*(H67*0.4+J67*0.2+L67*0.4)</f>
        <v>0.16582349495268703</v>
      </c>
      <c r="W67">
        <f t="shared" ref="W67:W130" si="36">(V67-$AJ$13)/$AK$13</f>
        <v>0.24399686209517507</v>
      </c>
      <c r="X67" t="s">
        <v>1175</v>
      </c>
      <c r="Y67">
        <f t="shared" ref="Y67:Y130" si="37">F67*(P67*1)*(H67*0.4+J67*0.2+L67*0.4)</f>
        <v>9.3920580838543391E-2</v>
      </c>
      <c r="Z67">
        <f t="shared" ref="Z67:Z130" si="38">(Y67-$AJ$14)/$AK$14</f>
        <v>0.18485920629568051</v>
      </c>
      <c r="AA67" t="str">
        <f t="shared" ref="AA67:AA130" si="39">IF(Z67&gt;0.7,"High",IF(Z67&gt;0.3,"Moderate",IF(Z67&gt;0.15,"Low","No Impact")))</f>
        <v>Low</v>
      </c>
      <c r="AB67">
        <f t="shared" ref="AB67:AB130" si="40">F67*(R67*0.35+P67*0.3+N67*0.35)*(H67*0.4+J67*0.2+L67*0.4)</f>
        <v>9.1499438127416052E-2</v>
      </c>
      <c r="AC67">
        <f t="shared" ref="AC67:AC130" si="41">(AB67-$AJ$15)/$AK$15</f>
        <v>0.21102523151566768</v>
      </c>
      <c r="AD67" t="str">
        <f t="shared" ref="AD67:AD130" si="42">IF(AC67&gt;0.7,"High",IF(AC67&gt;0.3,"Moderate",IF(AC67&gt;0.15,"Low","No Impact")))</f>
        <v>Low</v>
      </c>
      <c r="AE67">
        <f t="shared" ref="AE67:AE130" si="43">F67*(N67*1)*(H67*0.4+J67*0.2+L67*0.4)</f>
        <v>1.5100116121178736E-2</v>
      </c>
      <c r="AF67">
        <f t="shared" ref="AF67:AF130" si="44">(AE67-$AJ$16)/$AK$16</f>
        <v>7.7470117926544069E-2</v>
      </c>
      <c r="AG67" t="s">
        <v>1175</v>
      </c>
    </row>
    <row r="68" spans="1:33" x14ac:dyDescent="0.3">
      <c r="A68">
        <v>201504</v>
      </c>
      <c r="B68" t="s">
        <v>11</v>
      </c>
      <c r="C68" t="s">
        <v>1165</v>
      </c>
      <c r="D68" t="s">
        <v>612</v>
      </c>
      <c r="E68" s="4">
        <v>5.2</v>
      </c>
      <c r="F68" s="3">
        <f t="shared" si="25"/>
        <v>0.44444444444444442</v>
      </c>
      <c r="G68">
        <v>81.520920000000004</v>
      </c>
      <c r="H68">
        <f t="shared" si="26"/>
        <v>0.78876384143006917</v>
      </c>
      <c r="I68">
        <v>42.2</v>
      </c>
      <c r="J68" s="3">
        <f t="shared" si="27"/>
        <v>0.19420156465715604</v>
      </c>
      <c r="K68">
        <v>0.1</v>
      </c>
      <c r="L68" s="3">
        <f t="shared" si="28"/>
        <v>0.05</v>
      </c>
      <c r="M68">
        <v>33279</v>
      </c>
      <c r="N68">
        <f t="shared" si="29"/>
        <v>0.15632614630499686</v>
      </c>
      <c r="O68" s="15">
        <v>0.555129125</v>
      </c>
      <c r="P68">
        <f t="shared" si="30"/>
        <v>0.56592886840228529</v>
      </c>
      <c r="Q68">
        <v>0.39140000000000003</v>
      </c>
      <c r="R68">
        <f t="shared" si="31"/>
        <v>0.86765683883839506</v>
      </c>
      <c r="S68">
        <f t="shared" si="32"/>
        <v>0.11925707986956208</v>
      </c>
      <c r="T68" s="14">
        <f t="shared" si="33"/>
        <v>0.20365956081067063</v>
      </c>
      <c r="U68" t="str">
        <f t="shared" si="34"/>
        <v>Low</v>
      </c>
      <c r="V68">
        <f t="shared" si="35"/>
        <v>0.14435721618330877</v>
      </c>
      <c r="W68">
        <f t="shared" si="36"/>
        <v>0.21241083948672021</v>
      </c>
      <c r="X68" t="s">
        <v>1176</v>
      </c>
      <c r="Y68">
        <f t="shared" si="37"/>
        <v>9.4156943555815401E-2</v>
      </c>
      <c r="Z68">
        <f t="shared" si="38"/>
        <v>0.18532442727198503</v>
      </c>
      <c r="AA68" t="str">
        <f t="shared" si="39"/>
        <v>Low</v>
      </c>
      <c r="AB68">
        <f t="shared" si="40"/>
        <v>8.7875226692392075E-2</v>
      </c>
      <c r="AC68">
        <f t="shared" si="41"/>
        <v>0.20266670961881564</v>
      </c>
      <c r="AD68" t="str">
        <f t="shared" si="42"/>
        <v>Low</v>
      </c>
      <c r="AE68">
        <f t="shared" si="43"/>
        <v>2.6008908461398247E-2</v>
      </c>
      <c r="AF68">
        <f t="shared" si="44"/>
        <v>0.1334369344894763</v>
      </c>
      <c r="AG68" t="s">
        <v>1175</v>
      </c>
    </row>
    <row r="69" spans="1:33" x14ac:dyDescent="0.3">
      <c r="A69">
        <v>201506</v>
      </c>
      <c r="B69" t="s">
        <v>56</v>
      </c>
      <c r="C69" t="s">
        <v>1165</v>
      </c>
      <c r="D69" t="s">
        <v>613</v>
      </c>
      <c r="E69" s="4">
        <v>5.3</v>
      </c>
      <c r="F69" s="3">
        <f t="shared" si="25"/>
        <v>0.46666666666666656</v>
      </c>
      <c r="G69">
        <v>67.506479999999996</v>
      </c>
      <c r="H69">
        <f t="shared" si="26"/>
        <v>0.65316572097348924</v>
      </c>
      <c r="I69">
        <v>32.300000000000004</v>
      </c>
      <c r="J69" s="3">
        <f t="shared" si="27"/>
        <v>0.14864242982052464</v>
      </c>
      <c r="K69">
        <v>0</v>
      </c>
      <c r="L69" s="3">
        <f t="shared" si="28"/>
        <v>0</v>
      </c>
      <c r="M69">
        <v>20965</v>
      </c>
      <c r="N69">
        <f t="shared" si="29"/>
        <v>9.8063429428491666E-2</v>
      </c>
      <c r="O69" s="15">
        <v>0.49964676200000002</v>
      </c>
      <c r="P69">
        <f t="shared" si="30"/>
        <v>0.50936712538641526</v>
      </c>
      <c r="Q69">
        <v>0.38469999999999999</v>
      </c>
      <c r="R69">
        <f t="shared" si="31"/>
        <v>0.85280425626246947</v>
      </c>
      <c r="S69">
        <f t="shared" si="32"/>
        <v>9.2489775894533111E-2</v>
      </c>
      <c r="T69" s="14">
        <f t="shared" si="33"/>
        <v>0.15794808290426349</v>
      </c>
      <c r="U69" t="str">
        <f t="shared" si="34"/>
        <v>Low</v>
      </c>
      <c r="V69">
        <f t="shared" si="35"/>
        <v>0.11580873832210768</v>
      </c>
      <c r="W69">
        <f t="shared" si="36"/>
        <v>0.1704038909676692</v>
      </c>
      <c r="X69" t="s">
        <v>1176</v>
      </c>
      <c r="Y69">
        <f t="shared" si="37"/>
        <v>6.9170813466958525E-2</v>
      </c>
      <c r="Z69">
        <f t="shared" si="38"/>
        <v>0.1361454705897753</v>
      </c>
      <c r="AA69" t="str">
        <f t="shared" si="39"/>
        <v>No Impact</v>
      </c>
      <c r="AB69">
        <f t="shared" si="40"/>
        <v>6.5945173554241385E-2</v>
      </c>
      <c r="AC69">
        <f t="shared" si="41"/>
        <v>0.15208940952452671</v>
      </c>
      <c r="AD69" t="str">
        <f t="shared" si="42"/>
        <v>Low</v>
      </c>
      <c r="AE69">
        <f t="shared" si="43"/>
        <v>1.3316774575474701E-2</v>
      </c>
      <c r="AF69">
        <f t="shared" si="44"/>
        <v>6.8320805514619901E-2</v>
      </c>
      <c r="AG69" t="str">
        <f>IF(AF69&gt;0.7,"High",IF(AF69&gt;0.3,"Moderate",IF(AF69&gt;0.15,"Low","No Impact")))</f>
        <v>No Impact</v>
      </c>
    </row>
    <row r="70" spans="1:33" s="17" customFormat="1" x14ac:dyDescent="0.3">
      <c r="A70" s="17">
        <v>201508</v>
      </c>
      <c r="B70" s="17" t="s">
        <v>45</v>
      </c>
      <c r="C70" t="s">
        <v>1165</v>
      </c>
      <c r="D70" s="17" t="s">
        <v>614</v>
      </c>
      <c r="E70" s="19">
        <v>5.7</v>
      </c>
      <c r="F70" s="3">
        <f t="shared" si="25"/>
        <v>0.55555555555555558</v>
      </c>
      <c r="G70" s="17">
        <v>81.709559999999996</v>
      </c>
      <c r="H70">
        <f t="shared" si="26"/>
        <v>0.79058904667857921</v>
      </c>
      <c r="I70" s="17">
        <v>42.2</v>
      </c>
      <c r="J70" s="3">
        <f t="shared" si="27"/>
        <v>0.19420156465715604</v>
      </c>
      <c r="K70" s="17">
        <v>0.1</v>
      </c>
      <c r="L70" s="3">
        <f t="shared" si="28"/>
        <v>0.05</v>
      </c>
      <c r="M70" s="17">
        <v>56891</v>
      </c>
      <c r="N70">
        <f t="shared" si="29"/>
        <v>0.26804445643071073</v>
      </c>
      <c r="O70" s="17">
        <v>0.38601412499999999</v>
      </c>
      <c r="P70">
        <f t="shared" si="30"/>
        <v>0.39352382555778942</v>
      </c>
      <c r="Q70" s="17">
        <v>0.39129999999999998</v>
      </c>
      <c r="R70">
        <f t="shared" si="31"/>
        <v>0.86743515850144093</v>
      </c>
      <c r="S70">
        <f t="shared" si="32"/>
        <v>0.13137649046083763</v>
      </c>
      <c r="T70" s="14">
        <f t="shared" si="33"/>
        <v>0.22435630972489032</v>
      </c>
      <c r="U70" t="str">
        <f t="shared" si="34"/>
        <v>Low</v>
      </c>
      <c r="V70">
        <f t="shared" si="35"/>
        <v>0.18075225010000279</v>
      </c>
      <c r="W70">
        <f t="shared" si="36"/>
        <v>0.26596340798164031</v>
      </c>
      <c r="X70" t="s">
        <v>1175</v>
      </c>
      <c r="Y70">
        <f t="shared" si="37"/>
        <v>8.2000730821672432E-2</v>
      </c>
      <c r="Z70">
        <f t="shared" si="38"/>
        <v>0.16139795857330652</v>
      </c>
      <c r="AA70" t="str">
        <f t="shared" si="39"/>
        <v>Low</v>
      </c>
      <c r="AB70">
        <f t="shared" si="40"/>
        <v>0.10741237259947833</v>
      </c>
      <c r="AC70">
        <f t="shared" si="41"/>
        <v>0.24772524574290722</v>
      </c>
      <c r="AD70" t="str">
        <f t="shared" si="42"/>
        <v>Low</v>
      </c>
      <c r="AE70">
        <f t="shared" si="43"/>
        <v>5.5853902337073234E-2</v>
      </c>
      <c r="AF70">
        <f t="shared" si="44"/>
        <v>0.28655464408262887</v>
      </c>
      <c r="AG70" t="s">
        <v>1175</v>
      </c>
    </row>
    <row r="71" spans="1:33" x14ac:dyDescent="0.3">
      <c r="A71">
        <v>201510</v>
      </c>
      <c r="B71" t="s">
        <v>32</v>
      </c>
      <c r="C71" t="s">
        <v>1165</v>
      </c>
      <c r="D71" t="s">
        <v>615</v>
      </c>
      <c r="E71" s="4">
        <v>5.6</v>
      </c>
      <c r="F71" s="3">
        <f t="shared" si="25"/>
        <v>0.53333333333333321</v>
      </c>
      <c r="G71">
        <v>70.820279999999997</v>
      </c>
      <c r="H71">
        <f t="shared" si="26"/>
        <v>0.68522872538672397</v>
      </c>
      <c r="I71">
        <v>34.5</v>
      </c>
      <c r="J71" s="3">
        <f t="shared" si="27"/>
        <v>0.15876668200644273</v>
      </c>
      <c r="K71">
        <v>0</v>
      </c>
      <c r="L71" s="3">
        <f t="shared" si="28"/>
        <v>0</v>
      </c>
      <c r="M71">
        <v>9263</v>
      </c>
      <c r="N71">
        <f t="shared" si="29"/>
        <v>4.2696342138507613E-2</v>
      </c>
      <c r="O71" s="15">
        <v>0.210712714</v>
      </c>
      <c r="P71">
        <f t="shared" si="30"/>
        <v>0.214812018360583</v>
      </c>
      <c r="Q71">
        <v>0.2064</v>
      </c>
      <c r="R71">
        <f t="shared" si="31"/>
        <v>0.4575482154732875</v>
      </c>
      <c r="S71">
        <f t="shared" si="32"/>
        <v>5.4836773093348529E-2</v>
      </c>
      <c r="T71" s="14">
        <f t="shared" si="33"/>
        <v>9.3646709584712662E-2</v>
      </c>
      <c r="U71" t="str">
        <f t="shared" si="34"/>
        <v>No Impact</v>
      </c>
      <c r="V71">
        <f t="shared" si="35"/>
        <v>7.4634002454626605E-2</v>
      </c>
      <c r="W71">
        <f t="shared" si="36"/>
        <v>0.10981834877939534</v>
      </c>
      <c r="X71" t="s">
        <v>1176</v>
      </c>
      <c r="Y71">
        <f t="shared" si="37"/>
        <v>3.5039543732070438E-2</v>
      </c>
      <c r="Z71">
        <f t="shared" si="38"/>
        <v>6.8966590553868487E-2</v>
      </c>
      <c r="AA71" t="str">
        <f t="shared" si="39"/>
        <v>No Impact</v>
      </c>
      <c r="AB71">
        <f t="shared" si="40"/>
        <v>3.9071342311846738E-2</v>
      </c>
      <c r="AC71">
        <f t="shared" si="41"/>
        <v>9.0110269808475391E-2</v>
      </c>
      <c r="AD71" t="str">
        <f t="shared" si="42"/>
        <v>No Impact</v>
      </c>
      <c r="AE71">
        <f t="shared" si="43"/>
        <v>6.9645095231608313E-3</v>
      </c>
      <c r="AF71">
        <f t="shared" si="44"/>
        <v>3.5730942049053027E-2</v>
      </c>
      <c r="AG71" t="str">
        <f>IF(AF71&gt;0.7,"High",IF(AF71&gt;0.3,"Moderate",IF(AF71&gt;0.15,"Low","No Impact")))</f>
        <v>No Impact</v>
      </c>
    </row>
    <row r="72" spans="1:33" x14ac:dyDescent="0.3">
      <c r="A72">
        <v>201512</v>
      </c>
      <c r="B72" t="s">
        <v>83</v>
      </c>
      <c r="C72" t="s">
        <v>1165</v>
      </c>
      <c r="D72" t="s">
        <v>616</v>
      </c>
      <c r="E72" s="4">
        <v>5.8</v>
      </c>
      <c r="F72" s="3">
        <f t="shared" si="25"/>
        <v>0.57777777777777772</v>
      </c>
      <c r="G72">
        <v>70.820279999999997</v>
      </c>
      <c r="H72">
        <f t="shared" si="26"/>
        <v>0.68522872538672397</v>
      </c>
      <c r="I72">
        <v>34.5</v>
      </c>
      <c r="J72" s="3">
        <f t="shared" si="27"/>
        <v>0.15876668200644273</v>
      </c>
      <c r="K72">
        <v>0</v>
      </c>
      <c r="L72" s="3">
        <f t="shared" si="28"/>
        <v>0</v>
      </c>
      <c r="M72">
        <v>21163</v>
      </c>
      <c r="N72">
        <f t="shared" si="29"/>
        <v>9.9000250765307329E-2</v>
      </c>
      <c r="O72" s="15">
        <v>0.37150071699999998</v>
      </c>
      <c r="P72">
        <f t="shared" si="30"/>
        <v>0.37872806688434446</v>
      </c>
      <c r="Q72">
        <v>0.41760000000000003</v>
      </c>
      <c r="R72">
        <f t="shared" si="31"/>
        <v>0.9257370871203725</v>
      </c>
      <c r="S72">
        <f t="shared" si="32"/>
        <v>0.11525624320163487</v>
      </c>
      <c r="T72" s="14">
        <f t="shared" si="33"/>
        <v>0.19682718960422751</v>
      </c>
      <c r="U72" t="str">
        <f t="shared" si="34"/>
        <v>Low</v>
      </c>
      <c r="V72">
        <f t="shared" si="35"/>
        <v>0.16358731933368742</v>
      </c>
      <c r="W72">
        <f t="shared" si="36"/>
        <v>0.24070649703390726</v>
      </c>
      <c r="X72" t="s">
        <v>1175</v>
      </c>
      <c r="Y72">
        <f t="shared" si="37"/>
        <v>6.6925167069582292E-2</v>
      </c>
      <c r="Z72">
        <f t="shared" si="38"/>
        <v>0.13172547651676841</v>
      </c>
      <c r="AA72" t="str">
        <f t="shared" si="39"/>
        <v>No Impact</v>
      </c>
      <c r="AB72">
        <f t="shared" si="40"/>
        <v>8.3456140824804279E-2</v>
      </c>
      <c r="AC72">
        <f t="shared" si="41"/>
        <v>0.19247496814607853</v>
      </c>
      <c r="AD72" t="str">
        <f t="shared" si="42"/>
        <v>Low</v>
      </c>
      <c r="AE72">
        <f t="shared" si="43"/>
        <v>1.7494368391825724E-2</v>
      </c>
      <c r="AF72">
        <f t="shared" si="44"/>
        <v>8.9753666229379178E-2</v>
      </c>
      <c r="AG72" t="s">
        <v>1175</v>
      </c>
    </row>
    <row r="73" spans="1:33" x14ac:dyDescent="0.3">
      <c r="A73">
        <v>201518</v>
      </c>
      <c r="B73" t="s">
        <v>95</v>
      </c>
      <c r="C73" t="s">
        <v>1165</v>
      </c>
      <c r="D73" t="s">
        <v>617</v>
      </c>
      <c r="E73" s="4">
        <v>5.7</v>
      </c>
      <c r="F73" s="3">
        <f t="shared" si="25"/>
        <v>0.55555555555555558</v>
      </c>
      <c r="G73">
        <v>71.09496</v>
      </c>
      <c r="H73">
        <f t="shared" si="26"/>
        <v>0.68788641928865757</v>
      </c>
      <c r="I73">
        <v>26</v>
      </c>
      <c r="J73" s="3">
        <f t="shared" si="27"/>
        <v>0.11965025310630466</v>
      </c>
      <c r="K73">
        <v>0</v>
      </c>
      <c r="L73" s="3">
        <f t="shared" si="28"/>
        <v>0</v>
      </c>
      <c r="M73">
        <v>25017</v>
      </c>
      <c r="N73">
        <f t="shared" si="29"/>
        <v>0.11723514688696163</v>
      </c>
      <c r="O73" s="15">
        <v>0.11223617399999999</v>
      </c>
      <c r="P73">
        <f t="shared" si="30"/>
        <v>0.11441966937984381</v>
      </c>
      <c r="Q73">
        <v>0.4078</v>
      </c>
      <c r="R73">
        <f t="shared" si="31"/>
        <v>0.90401241409886945</v>
      </c>
      <c r="S73">
        <f t="shared" si="32"/>
        <v>8.4610380830307086E-2</v>
      </c>
      <c r="T73" s="14">
        <f t="shared" si="33"/>
        <v>0.14449215944890806</v>
      </c>
      <c r="U73" t="str">
        <f t="shared" si="34"/>
        <v>No Impact</v>
      </c>
      <c r="V73">
        <f t="shared" si="35"/>
        <v>0.15020900435690046</v>
      </c>
      <c r="W73">
        <f t="shared" si="36"/>
        <v>0.22102130781878265</v>
      </c>
      <c r="X73" t="s">
        <v>1176</v>
      </c>
      <c r="Y73">
        <f t="shared" si="37"/>
        <v>1.9011757303713735E-2</v>
      </c>
      <c r="Z73">
        <f t="shared" si="38"/>
        <v>3.7419895980970536E-2</v>
      </c>
      <c r="AA73" t="str">
        <f t="shared" si="39"/>
        <v>No Impact</v>
      </c>
      <c r="AB73">
        <f t="shared" si="40"/>
        <v>6.5094528830928075E-2</v>
      </c>
      <c r="AC73">
        <f t="shared" si="41"/>
        <v>0.15012756687993253</v>
      </c>
      <c r="AD73" t="str">
        <f t="shared" si="42"/>
        <v>Low</v>
      </c>
      <c r="AE73">
        <f t="shared" si="43"/>
        <v>1.947957175685372E-2</v>
      </c>
      <c r="AF73">
        <f t="shared" si="44"/>
        <v>9.9938616965035212E-2</v>
      </c>
      <c r="AG73" t="s">
        <v>1175</v>
      </c>
    </row>
    <row r="74" spans="1:33" x14ac:dyDescent="0.3">
      <c r="A74">
        <v>201519</v>
      </c>
      <c r="B74" t="s">
        <v>96</v>
      </c>
      <c r="C74" t="s">
        <v>1165</v>
      </c>
      <c r="D74" t="s">
        <v>618</v>
      </c>
      <c r="E74" s="4">
        <v>5.7</v>
      </c>
      <c r="F74" s="3">
        <f t="shared" si="25"/>
        <v>0.55555555555555558</v>
      </c>
      <c r="G74">
        <v>70.820279999999997</v>
      </c>
      <c r="H74">
        <f t="shared" si="26"/>
        <v>0.68522872538672397</v>
      </c>
      <c r="I74">
        <v>34.5</v>
      </c>
      <c r="J74" s="3">
        <f t="shared" si="27"/>
        <v>0.15876668200644273</v>
      </c>
      <c r="K74">
        <v>0</v>
      </c>
      <c r="L74" s="3">
        <f t="shared" si="28"/>
        <v>0</v>
      </c>
      <c r="M74">
        <v>16713</v>
      </c>
      <c r="N74">
        <f t="shared" si="29"/>
        <v>7.7945427791420038E-2</v>
      </c>
      <c r="O74" s="15">
        <v>0.20052567099999999</v>
      </c>
      <c r="P74">
        <f t="shared" si="30"/>
        <v>0.20442679182908832</v>
      </c>
      <c r="Q74">
        <v>0.26090000000000002</v>
      </c>
      <c r="R74">
        <f t="shared" si="31"/>
        <v>0.57836399911327874</v>
      </c>
      <c r="S74">
        <f t="shared" si="32"/>
        <v>6.6503476023718103E-2</v>
      </c>
      <c r="T74" s="14">
        <f t="shared" si="33"/>
        <v>0.1135703535101419</v>
      </c>
      <c r="U74" t="str">
        <f t="shared" si="34"/>
        <v>No Impact</v>
      </c>
      <c r="V74">
        <f t="shared" si="35"/>
        <v>9.8272020552790343E-2</v>
      </c>
      <c r="W74">
        <f t="shared" si="36"/>
        <v>0.14459992327067311</v>
      </c>
      <c r="X74" t="s">
        <v>1176</v>
      </c>
      <c r="Y74">
        <f t="shared" si="37"/>
        <v>3.473493149464587E-2</v>
      </c>
      <c r="Z74">
        <f t="shared" si="38"/>
        <v>6.8367037442766468E-2</v>
      </c>
      <c r="AA74" t="str">
        <f t="shared" si="39"/>
        <v>No Impact</v>
      </c>
      <c r="AB74">
        <f t="shared" si="40"/>
        <v>4.9451087778145053E-2</v>
      </c>
      <c r="AC74">
        <f t="shared" si="41"/>
        <v>0.11404908555343236</v>
      </c>
      <c r="AD74" t="str">
        <f t="shared" si="42"/>
        <v>No Impact</v>
      </c>
      <c r="AE74">
        <f t="shared" si="43"/>
        <v>1.32440032464991E-2</v>
      </c>
      <c r="AF74">
        <f t="shared" si="44"/>
        <v>6.7947457164701963E-2</v>
      </c>
      <c r="AG74" t="str">
        <f t="shared" ref="AG74:AG76" si="45">IF(AF74&gt;0.7,"High",IF(AF74&gt;0.3,"Moderate",IF(AF74&gt;0.15,"Low","No Impact")))</f>
        <v>No Impact</v>
      </c>
    </row>
    <row r="75" spans="1:33" x14ac:dyDescent="0.3">
      <c r="A75">
        <v>201520</v>
      </c>
      <c r="B75" t="s">
        <v>113</v>
      </c>
      <c r="C75" t="s">
        <v>1165</v>
      </c>
      <c r="D75" t="s">
        <v>619</v>
      </c>
      <c r="E75" s="4">
        <v>5.5</v>
      </c>
      <c r="F75" s="3">
        <f t="shared" si="25"/>
        <v>0.51111111111111107</v>
      </c>
      <c r="G75">
        <v>70.820279999999997</v>
      </c>
      <c r="H75">
        <f t="shared" si="26"/>
        <v>0.68522872538672397</v>
      </c>
      <c r="I75">
        <v>34.5</v>
      </c>
      <c r="J75" s="3">
        <f t="shared" si="27"/>
        <v>0.15876668200644273</v>
      </c>
      <c r="K75">
        <v>0</v>
      </c>
      <c r="L75" s="3">
        <f t="shared" si="28"/>
        <v>0</v>
      </c>
      <c r="M75">
        <v>10040</v>
      </c>
      <c r="N75">
        <f t="shared" si="29"/>
        <v>4.6372656172375126E-2</v>
      </c>
      <c r="O75" s="15">
        <v>0.277051145</v>
      </c>
      <c r="P75">
        <f t="shared" si="30"/>
        <v>0.2824410284353347</v>
      </c>
      <c r="Q75">
        <v>0.159</v>
      </c>
      <c r="R75">
        <f t="shared" si="31"/>
        <v>0.35247173575703833</v>
      </c>
      <c r="S75">
        <f t="shared" si="32"/>
        <v>4.9625000417551531E-2</v>
      </c>
      <c r="T75" s="14">
        <f t="shared" si="33"/>
        <v>8.474637984866E-2</v>
      </c>
      <c r="U75" t="str">
        <f t="shared" si="34"/>
        <v>No Impact</v>
      </c>
      <c r="V75">
        <f t="shared" si="35"/>
        <v>5.5098624631897922E-2</v>
      </c>
      <c r="W75">
        <f t="shared" si="36"/>
        <v>8.1073502399517286E-2</v>
      </c>
      <c r="X75" t="s">
        <v>1176</v>
      </c>
      <c r="Y75">
        <f t="shared" si="37"/>
        <v>4.4151376203205139E-2</v>
      </c>
      <c r="Z75">
        <f t="shared" si="38"/>
        <v>8.6900957052397629E-2</v>
      </c>
      <c r="AA75" t="str">
        <f t="shared" si="39"/>
        <v>No Impact</v>
      </c>
      <c r="AB75">
        <f t="shared" si="40"/>
        <v>3.5067083431482245E-2</v>
      </c>
      <c r="AC75">
        <f t="shared" si="41"/>
        <v>8.0875244167105925E-2</v>
      </c>
      <c r="AD75" t="str">
        <f t="shared" si="42"/>
        <v>No Impact</v>
      </c>
      <c r="AE75">
        <f t="shared" si="43"/>
        <v>7.2490055695898174E-3</v>
      </c>
      <c r="AF75">
        <f t="shared" si="44"/>
        <v>3.7190529650209081E-2</v>
      </c>
      <c r="AG75" t="str">
        <f t="shared" si="45"/>
        <v>No Impact</v>
      </c>
    </row>
    <row r="76" spans="1:33" x14ac:dyDescent="0.3">
      <c r="A76">
        <v>201528</v>
      </c>
      <c r="B76" t="s">
        <v>155</v>
      </c>
      <c r="C76" t="s">
        <v>1165</v>
      </c>
      <c r="D76" t="s">
        <v>620</v>
      </c>
      <c r="E76" s="4">
        <v>5.7</v>
      </c>
      <c r="F76" s="3">
        <f t="shared" si="25"/>
        <v>0.55555555555555558</v>
      </c>
      <c r="G76">
        <v>70.820279999999997</v>
      </c>
      <c r="H76">
        <f t="shared" si="26"/>
        <v>0.68522872538672397</v>
      </c>
      <c r="I76">
        <v>34.5</v>
      </c>
      <c r="J76" s="3">
        <f t="shared" si="27"/>
        <v>0.15876668200644273</v>
      </c>
      <c r="K76">
        <v>0</v>
      </c>
      <c r="L76" s="3">
        <f t="shared" si="28"/>
        <v>0</v>
      </c>
      <c r="M76">
        <v>11215</v>
      </c>
      <c r="N76">
        <f t="shared" si="29"/>
        <v>5.1932075721659969E-2</v>
      </c>
      <c r="O76" s="15">
        <v>0.190884791</v>
      </c>
      <c r="P76">
        <f t="shared" si="30"/>
        <v>0.19459835360977815</v>
      </c>
      <c r="Q76">
        <v>0.14499999999999999</v>
      </c>
      <c r="R76">
        <f t="shared" si="31"/>
        <v>0.32143648858346263</v>
      </c>
      <c r="S76">
        <f t="shared" si="32"/>
        <v>4.3840718557620353E-2</v>
      </c>
      <c r="T76" s="14">
        <f t="shared" si="33"/>
        <v>7.4868355797700667E-2</v>
      </c>
      <c r="U76" t="str">
        <f t="shared" si="34"/>
        <v>No Impact</v>
      </c>
      <c r="V76">
        <f t="shared" si="35"/>
        <v>5.4616492833095429E-2</v>
      </c>
      <c r="W76">
        <f t="shared" si="36"/>
        <v>8.0364081541769258E-2</v>
      </c>
      <c r="X76" t="s">
        <v>1176</v>
      </c>
      <c r="Y76">
        <f t="shared" si="37"/>
        <v>3.3064944282145278E-2</v>
      </c>
      <c r="Z76">
        <f t="shared" si="38"/>
        <v>6.5080084701732044E-2</v>
      </c>
      <c r="AA76" t="str">
        <f t="shared" si="39"/>
        <v>No Impact</v>
      </c>
      <c r="AB76">
        <f t="shared" si="40"/>
        <v>3.212364735518479E-2</v>
      </c>
      <c r="AC76">
        <f t="shared" si="41"/>
        <v>7.4086795055677709E-2</v>
      </c>
      <c r="AD76" t="str">
        <f t="shared" si="42"/>
        <v>No Impact</v>
      </c>
      <c r="AE76">
        <f t="shared" si="43"/>
        <v>8.8239759398794533E-3</v>
      </c>
      <c r="AF76">
        <f t="shared" si="44"/>
        <v>4.5270807930057597E-2</v>
      </c>
      <c r="AG76" t="str">
        <f t="shared" si="45"/>
        <v>No Impact</v>
      </c>
    </row>
    <row r="77" spans="1:33" x14ac:dyDescent="0.3">
      <c r="A77">
        <v>201533</v>
      </c>
      <c r="B77" t="s">
        <v>165</v>
      </c>
      <c r="C77" t="s">
        <v>1165</v>
      </c>
      <c r="D77" t="s">
        <v>621</v>
      </c>
      <c r="E77" s="4">
        <v>5.6</v>
      </c>
      <c r="F77" s="3">
        <f t="shared" si="25"/>
        <v>0.53333333333333321</v>
      </c>
      <c r="G77">
        <v>74.552760000000006</v>
      </c>
      <c r="H77">
        <f t="shared" si="26"/>
        <v>0.72134271015113682</v>
      </c>
      <c r="I77">
        <v>54.199999999999996</v>
      </c>
      <c r="J77" s="3">
        <f t="shared" si="27"/>
        <v>0.24942475839852737</v>
      </c>
      <c r="K77">
        <v>0</v>
      </c>
      <c r="L77" s="3">
        <f t="shared" si="28"/>
        <v>0</v>
      </c>
      <c r="M77">
        <v>78242</v>
      </c>
      <c r="N77">
        <f t="shared" si="29"/>
        <v>0.36906502391733259</v>
      </c>
      <c r="O77" s="15">
        <v>0.233890562</v>
      </c>
      <c r="P77">
        <f t="shared" si="30"/>
        <v>0.23844077912978273</v>
      </c>
      <c r="Q77">
        <v>0.41439999999999999</v>
      </c>
      <c r="R77">
        <f t="shared" si="31"/>
        <v>0.9186433163378408</v>
      </c>
      <c r="S77">
        <f t="shared" si="32"/>
        <v>0.10442206802952399</v>
      </c>
      <c r="T77" s="14">
        <f t="shared" si="33"/>
        <v>0.17832528296932312</v>
      </c>
      <c r="U77" t="str">
        <f t="shared" si="34"/>
        <v>Low</v>
      </c>
      <c r="V77">
        <f t="shared" si="35"/>
        <v>0.16580754199154346</v>
      </c>
      <c r="W77">
        <f t="shared" si="36"/>
        <v>0.24397338850681977</v>
      </c>
      <c r="X77" t="s">
        <v>1175</v>
      </c>
      <c r="Y77">
        <f t="shared" si="37"/>
        <v>4.3036594067504513E-2</v>
      </c>
      <c r="Z77">
        <f t="shared" si="38"/>
        <v>8.4706786840093626E-2</v>
      </c>
      <c r="AA77" t="str">
        <f t="shared" si="39"/>
        <v>No Impact</v>
      </c>
      <c r="AB77">
        <f t="shared" si="40"/>
        <v>9.4258235437349208E-2</v>
      </c>
      <c r="AC77">
        <f t="shared" si="41"/>
        <v>0.2173878480841186</v>
      </c>
      <c r="AD77" t="str">
        <f t="shared" si="42"/>
        <v>Low</v>
      </c>
      <c r="AE77">
        <f t="shared" si="43"/>
        <v>6.6613192914450448E-2</v>
      </c>
      <c r="AF77">
        <f t="shared" si="44"/>
        <v>0.34175445202756943</v>
      </c>
      <c r="AG77" t="str">
        <f t="shared" ref="AG77:AG124" si="46">IF(AF77&gt;0.7,"High",IF(AF77&gt;0.3,"Moderate",IF(AF77&gt;0.15,"Low","No Impact")))</f>
        <v>Moderate</v>
      </c>
    </row>
    <row r="78" spans="1:33" x14ac:dyDescent="0.3">
      <c r="A78">
        <v>201535</v>
      </c>
      <c r="B78" t="s">
        <v>200</v>
      </c>
      <c r="C78" t="s">
        <v>1165</v>
      </c>
      <c r="D78" t="s">
        <v>622</v>
      </c>
      <c r="E78" s="4">
        <v>5.7</v>
      </c>
      <c r="F78" s="3">
        <f t="shared" si="25"/>
        <v>0.55555555555555558</v>
      </c>
      <c r="G78">
        <v>70.820279999999997</v>
      </c>
      <c r="H78">
        <f t="shared" si="26"/>
        <v>0.68522872538672397</v>
      </c>
      <c r="I78">
        <v>34.5</v>
      </c>
      <c r="J78" s="3">
        <f t="shared" si="27"/>
        <v>0.15876668200644273</v>
      </c>
      <c r="K78">
        <v>0</v>
      </c>
      <c r="L78" s="3">
        <f t="shared" si="28"/>
        <v>0</v>
      </c>
      <c r="M78">
        <v>11544</v>
      </c>
      <c r="N78">
        <f t="shared" si="29"/>
        <v>5.3488713195459732E-2</v>
      </c>
      <c r="O78" s="15">
        <v>0.12595626600000001</v>
      </c>
      <c r="P78">
        <f t="shared" si="30"/>
        <v>0.12840667851026055</v>
      </c>
      <c r="Q78">
        <v>0.20810000000000001</v>
      </c>
      <c r="R78">
        <f t="shared" si="31"/>
        <v>0.46131678120150743</v>
      </c>
      <c r="S78">
        <f t="shared" si="32"/>
        <v>5.0101074792093622E-2</v>
      </c>
      <c r="T78" s="14">
        <f t="shared" si="33"/>
        <v>8.5559389006175046E-2</v>
      </c>
      <c r="U78" t="str">
        <f t="shared" si="34"/>
        <v>No Impact</v>
      </c>
      <c r="V78">
        <f t="shared" si="35"/>
        <v>7.8384083852187314E-2</v>
      </c>
      <c r="W78">
        <f t="shared" si="36"/>
        <v>0.11533631288856679</v>
      </c>
      <c r="X78" t="s">
        <v>1176</v>
      </c>
      <c r="Y78">
        <f t="shared" si="37"/>
        <v>2.1818065731999934E-2</v>
      </c>
      <c r="Z78">
        <f t="shared" si="38"/>
        <v>4.2943413233974687E-2</v>
      </c>
      <c r="AA78" t="str">
        <f t="shared" si="39"/>
        <v>No Impact</v>
      </c>
      <c r="AB78">
        <f t="shared" si="40"/>
        <v>3.7160813608692611E-2</v>
      </c>
      <c r="AC78">
        <f t="shared" si="41"/>
        <v>8.5704015845046666E-2</v>
      </c>
      <c r="AD78" t="str">
        <f t="shared" si="42"/>
        <v>No Impact</v>
      </c>
      <c r="AE78">
        <f t="shared" si="43"/>
        <v>9.0884701166488013E-3</v>
      </c>
      <c r="AF78">
        <f t="shared" si="44"/>
        <v>4.6627777300410095E-2</v>
      </c>
      <c r="AG78" t="str">
        <f>IF(AF78&gt;0.7,"High",IF(AF78&gt;0.3,"Moderate",IF(AF78&gt;0.15,"Low","No Impact")))</f>
        <v>No Impact</v>
      </c>
    </row>
    <row r="79" spans="1:33" x14ac:dyDescent="0.3">
      <c r="A79">
        <v>201537</v>
      </c>
      <c r="B79" t="s">
        <v>205</v>
      </c>
      <c r="C79" t="s">
        <v>1165</v>
      </c>
      <c r="D79" t="s">
        <v>623</v>
      </c>
      <c r="E79" s="4">
        <v>5.8</v>
      </c>
      <c r="F79" s="3">
        <f t="shared" si="25"/>
        <v>0.57777777777777772</v>
      </c>
      <c r="G79">
        <v>74.552760000000006</v>
      </c>
      <c r="H79">
        <f t="shared" si="26"/>
        <v>0.72134271015113682</v>
      </c>
      <c r="I79">
        <v>49.8</v>
      </c>
      <c r="J79" s="3">
        <f t="shared" si="27"/>
        <v>0.22917625402669123</v>
      </c>
      <c r="K79">
        <v>0</v>
      </c>
      <c r="L79" s="3">
        <f t="shared" si="28"/>
        <v>0</v>
      </c>
      <c r="M79">
        <v>46431</v>
      </c>
      <c r="N79">
        <f t="shared" si="29"/>
        <v>0.21855379388984306</v>
      </c>
      <c r="O79" s="15">
        <v>0.207994137</v>
      </c>
      <c r="P79">
        <f t="shared" si="30"/>
        <v>0.21204055288347534</v>
      </c>
      <c r="Q79">
        <v>0.41110000000000002</v>
      </c>
      <c r="R79">
        <f t="shared" si="31"/>
        <v>0.91132786521835518</v>
      </c>
      <c r="S79">
        <f t="shared" si="32"/>
        <v>0.10851340380839153</v>
      </c>
      <c r="T79" s="14">
        <f t="shared" si="33"/>
        <v>0.18531220272926111</v>
      </c>
      <c r="U79" t="str">
        <f t="shared" si="34"/>
        <v>Low</v>
      </c>
      <c r="V79">
        <f t="shared" si="35"/>
        <v>0.17606207731454049</v>
      </c>
      <c r="W79">
        <f t="shared" si="36"/>
        <v>0.25906216975443069</v>
      </c>
      <c r="X79" t="s">
        <v>1175</v>
      </c>
      <c r="Y79">
        <f t="shared" si="37"/>
        <v>4.0964730302242527E-2</v>
      </c>
      <c r="Z79">
        <f t="shared" si="38"/>
        <v>8.0628840475414285E-2</v>
      </c>
      <c r="AA79" t="str">
        <f t="shared" si="39"/>
        <v>No Impact</v>
      </c>
      <c r="AB79">
        <f t="shared" si="40"/>
        <v>8.8689210938455013E-2</v>
      </c>
      <c r="AC79">
        <f t="shared" si="41"/>
        <v>0.20454400217373103</v>
      </c>
      <c r="AD79" t="str">
        <f t="shared" si="42"/>
        <v>Low</v>
      </c>
      <c r="AE79">
        <f t="shared" si="43"/>
        <v>4.22230422505517E-2</v>
      </c>
      <c r="AF79">
        <f t="shared" si="44"/>
        <v>0.21662244423272373</v>
      </c>
      <c r="AG79" t="s">
        <v>1175</v>
      </c>
    </row>
    <row r="80" spans="1:33" x14ac:dyDescent="0.3">
      <c r="A80">
        <v>201539</v>
      </c>
      <c r="B80" t="s">
        <v>1164</v>
      </c>
      <c r="C80" t="s">
        <v>1165</v>
      </c>
      <c r="D80" s="15" t="s">
        <v>1166</v>
      </c>
      <c r="E80" s="4">
        <v>5.6</v>
      </c>
      <c r="F80" s="3">
        <f t="shared" si="25"/>
        <v>0.53333333333333321</v>
      </c>
      <c r="G80">
        <v>70.820279999999997</v>
      </c>
      <c r="H80">
        <f t="shared" si="26"/>
        <v>0.68522872538672397</v>
      </c>
      <c r="I80">
        <v>34.5</v>
      </c>
      <c r="J80" s="3">
        <f t="shared" si="27"/>
        <v>0.15876668200644273</v>
      </c>
      <c r="K80">
        <v>0</v>
      </c>
      <c r="L80" s="3">
        <f t="shared" si="28"/>
        <v>0</v>
      </c>
      <c r="M80">
        <v>12037</v>
      </c>
      <c r="N80">
        <f t="shared" si="29"/>
        <v>5.5821303695712858E-2</v>
      </c>
      <c r="O80" s="15">
        <v>0.207994137</v>
      </c>
      <c r="P80">
        <f t="shared" si="30"/>
        <v>0.21204055288347534</v>
      </c>
      <c r="Q80">
        <v>0.41110000000000002</v>
      </c>
      <c r="R80">
        <f t="shared" si="31"/>
        <v>0.91132786521835518</v>
      </c>
      <c r="S80">
        <f t="shared" si="32"/>
        <v>9.1620378398084748E-2</v>
      </c>
      <c r="T80" s="14">
        <f t="shared" si="33"/>
        <v>0.15646338184928016</v>
      </c>
      <c r="U80" t="str">
        <f t="shared" si="34"/>
        <v>Low</v>
      </c>
      <c r="V80">
        <f t="shared" si="35"/>
        <v>0.14865328686578005</v>
      </c>
      <c r="W80">
        <f t="shared" si="36"/>
        <v>0.21873218596516197</v>
      </c>
      <c r="X80" t="s">
        <v>1176</v>
      </c>
      <c r="Y80">
        <f t="shared" si="37"/>
        <v>3.4587469930389442E-2</v>
      </c>
      <c r="Z80">
        <f t="shared" si="38"/>
        <v>6.8076796182712673E-2</v>
      </c>
      <c r="AA80" t="str">
        <f t="shared" si="39"/>
        <v>No Impact</v>
      </c>
      <c r="AB80">
        <f t="shared" si="40"/>
        <v>6.5591787345569363E-2</v>
      </c>
      <c r="AC80">
        <f t="shared" si="41"/>
        <v>0.1512743946126798</v>
      </c>
      <c r="AD80" t="str">
        <f t="shared" si="42"/>
        <v>Low</v>
      </c>
      <c r="AE80">
        <f t="shared" si="43"/>
        <v>9.1054170383700669E-3</v>
      </c>
      <c r="AF80">
        <f t="shared" si="44"/>
        <v>4.6714722328759707E-2</v>
      </c>
      <c r="AG80" t="str">
        <f t="shared" ref="AG80:AG82" si="47">IF(AF80&gt;0.7,"High",IF(AF80&gt;0.3,"Moderate",IF(AF80&gt;0.15,"Low","No Impact")))</f>
        <v>No Impact</v>
      </c>
    </row>
    <row r="81" spans="1:33" x14ac:dyDescent="0.3">
      <c r="A81">
        <v>201541</v>
      </c>
      <c r="B81" t="s">
        <v>283</v>
      </c>
      <c r="C81" t="s">
        <v>1165</v>
      </c>
      <c r="D81" t="s">
        <v>1126</v>
      </c>
      <c r="E81" s="4">
        <v>5.7</v>
      </c>
      <c r="F81" s="3">
        <f t="shared" si="25"/>
        <v>0.55555555555555558</v>
      </c>
      <c r="G81">
        <v>70.820279999999997</v>
      </c>
      <c r="H81">
        <f t="shared" si="26"/>
        <v>0.68522872538672397</v>
      </c>
      <c r="I81">
        <v>34.5</v>
      </c>
      <c r="J81" s="3">
        <f t="shared" si="27"/>
        <v>0.15876668200644273</v>
      </c>
      <c r="K81">
        <v>0</v>
      </c>
      <c r="L81" s="3">
        <f t="shared" si="28"/>
        <v>0</v>
      </c>
      <c r="M81">
        <v>9508</v>
      </c>
      <c r="N81">
        <f t="shared" si="29"/>
        <v>4.385554025729467E-2</v>
      </c>
      <c r="O81" s="15">
        <v>0.20142516799999999</v>
      </c>
      <c r="P81">
        <f t="shared" si="30"/>
        <v>0.20534378806729012</v>
      </c>
      <c r="Q81">
        <v>0.37430000000000002</v>
      </c>
      <c r="R81">
        <f t="shared" si="31"/>
        <v>0.82974950121924185</v>
      </c>
      <c r="S81">
        <f t="shared" si="32"/>
        <v>8.7938313203082277E-2</v>
      </c>
      <c r="T81" s="14">
        <f t="shared" si="33"/>
        <v>0.15017538803532252</v>
      </c>
      <c r="U81" t="str">
        <f t="shared" si="34"/>
        <v>Low</v>
      </c>
      <c r="V81">
        <f t="shared" si="35"/>
        <v>0.14098588460294911</v>
      </c>
      <c r="W81">
        <f t="shared" si="36"/>
        <v>0.20745017738678784</v>
      </c>
      <c r="X81" t="s">
        <v>1176</v>
      </c>
      <c r="Y81">
        <f t="shared" si="37"/>
        <v>3.4890741803215483E-2</v>
      </c>
      <c r="Z81">
        <f t="shared" si="38"/>
        <v>6.8673711120864553E-2</v>
      </c>
      <c r="AA81" t="str">
        <f t="shared" si="39"/>
        <v>No Impact</v>
      </c>
      <c r="AB81">
        <f t="shared" si="40"/>
        <v>6.2420363561012861E-2</v>
      </c>
      <c r="AC81">
        <f t="shared" si="41"/>
        <v>0.14396013725693105</v>
      </c>
      <c r="AD81" t="str">
        <f t="shared" si="42"/>
        <v>No Impact</v>
      </c>
      <c r="AE81">
        <f t="shared" si="43"/>
        <v>7.4516611686172244E-3</v>
      </c>
      <c r="AF81">
        <f t="shared" si="44"/>
        <v>3.8230240406678558E-2</v>
      </c>
      <c r="AG81" t="str">
        <f t="shared" si="47"/>
        <v>No Impact</v>
      </c>
    </row>
    <row r="82" spans="1:33" x14ac:dyDescent="0.3">
      <c r="A82">
        <v>201543</v>
      </c>
      <c r="B82" t="s">
        <v>278</v>
      </c>
      <c r="C82" t="s">
        <v>1165</v>
      </c>
      <c r="D82" t="s">
        <v>624</v>
      </c>
      <c r="E82" s="4">
        <v>5.3</v>
      </c>
      <c r="F82" s="3">
        <f t="shared" si="25"/>
        <v>0.46666666666666656</v>
      </c>
      <c r="G82">
        <v>70.820279999999997</v>
      </c>
      <c r="H82">
        <f t="shared" si="26"/>
        <v>0.68522872538672397</v>
      </c>
      <c r="I82">
        <v>34.5</v>
      </c>
      <c r="J82" s="3">
        <f t="shared" si="27"/>
        <v>0.15876668200644273</v>
      </c>
      <c r="K82">
        <v>0</v>
      </c>
      <c r="L82" s="3">
        <f t="shared" si="28"/>
        <v>0</v>
      </c>
      <c r="M82">
        <v>12037</v>
      </c>
      <c r="N82">
        <f t="shared" si="29"/>
        <v>5.5821303695712858E-2</v>
      </c>
      <c r="O82" s="15">
        <v>0.19820426099999999</v>
      </c>
      <c r="P82">
        <f t="shared" si="30"/>
        <v>0.20206022002582047</v>
      </c>
      <c r="Q82">
        <v>0.35189999999999999</v>
      </c>
      <c r="R82">
        <f t="shared" si="31"/>
        <v>0.78009310574152069</v>
      </c>
      <c r="S82">
        <f t="shared" si="32"/>
        <v>7.0090186499827539E-2</v>
      </c>
      <c r="T82" s="14">
        <f t="shared" si="33"/>
        <v>0.11969550667604562</v>
      </c>
      <c r="U82" t="str">
        <f t="shared" si="34"/>
        <v>No Impact</v>
      </c>
      <c r="V82">
        <f t="shared" si="35"/>
        <v>0.11134080562408048</v>
      </c>
      <c r="W82">
        <f t="shared" si="36"/>
        <v>0.16382966239600563</v>
      </c>
      <c r="X82" t="s">
        <v>1176</v>
      </c>
      <c r="Y82">
        <f t="shared" si="37"/>
        <v>2.8839567375574582E-2</v>
      </c>
      <c r="Z82">
        <f t="shared" si="38"/>
        <v>5.6763485567922101E-2</v>
      </c>
      <c r="AA82" t="str">
        <f t="shared" si="39"/>
        <v>No Impact</v>
      </c>
      <c r="AB82">
        <f t="shared" si="40"/>
        <v>5.0409686149101379E-2</v>
      </c>
      <c r="AC82">
        <f t="shared" si="41"/>
        <v>0.11625990178686002</v>
      </c>
      <c r="AD82" t="str">
        <f t="shared" si="42"/>
        <v>No Impact</v>
      </c>
      <c r="AE82">
        <f t="shared" si="43"/>
        <v>7.9672399085738074E-3</v>
      </c>
      <c r="AF82">
        <f t="shared" si="44"/>
        <v>4.0875382037664741E-2</v>
      </c>
      <c r="AG82" t="str">
        <f t="shared" si="47"/>
        <v>No Impact</v>
      </c>
    </row>
    <row r="83" spans="1:33" x14ac:dyDescent="0.3">
      <c r="A83">
        <v>201547</v>
      </c>
      <c r="B83" t="s">
        <v>303</v>
      </c>
      <c r="C83" t="s">
        <v>1165</v>
      </c>
      <c r="D83" t="s">
        <v>1127</v>
      </c>
      <c r="E83" s="4">
        <v>5.7</v>
      </c>
      <c r="F83" s="3">
        <f t="shared" si="25"/>
        <v>0.55555555555555558</v>
      </c>
      <c r="G83">
        <v>66.331440000000001</v>
      </c>
      <c r="H83">
        <f t="shared" si="26"/>
        <v>0.64179650354765561</v>
      </c>
      <c r="I83">
        <v>19.5</v>
      </c>
      <c r="J83" s="3">
        <f t="shared" si="27"/>
        <v>8.973768982972849E-2</v>
      </c>
      <c r="K83">
        <v>0</v>
      </c>
      <c r="L83" s="3">
        <f t="shared" si="28"/>
        <v>0</v>
      </c>
      <c r="M83">
        <v>21502</v>
      </c>
      <c r="N83">
        <f t="shared" si="29"/>
        <v>0.10060420244803717</v>
      </c>
      <c r="O83" s="15">
        <v>0.13164079000000001</v>
      </c>
      <c r="P83">
        <f t="shared" si="30"/>
        <v>0.13420179191693982</v>
      </c>
      <c r="Q83">
        <v>0.33029999999999998</v>
      </c>
      <c r="R83">
        <f t="shared" si="31"/>
        <v>0.73221015295943248</v>
      </c>
      <c r="S83">
        <f t="shared" si="32"/>
        <v>6.6103895560069306E-2</v>
      </c>
      <c r="T83" s="14">
        <f t="shared" si="33"/>
        <v>0.11288797572742036</v>
      </c>
      <c r="U83" t="str">
        <f t="shared" si="34"/>
        <v>No Impact</v>
      </c>
      <c r="V83">
        <f t="shared" si="35"/>
        <v>0.11172963107326304</v>
      </c>
      <c r="W83">
        <f t="shared" si="36"/>
        <v>0.16440178994361498</v>
      </c>
      <c r="X83" t="s">
        <v>1176</v>
      </c>
      <c r="Y83">
        <f t="shared" si="37"/>
        <v>2.0478160046875572E-2</v>
      </c>
      <c r="Z83">
        <f t="shared" si="38"/>
        <v>4.0306143540243082E-2</v>
      </c>
      <c r="AA83" t="str">
        <f t="shared" si="39"/>
        <v>No Impact</v>
      </c>
      <c r="AB83">
        <f t="shared" si="40"/>
        <v>5.0621818202098372E-2</v>
      </c>
      <c r="AC83">
        <f t="shared" si="41"/>
        <v>0.11674914212004378</v>
      </c>
      <c r="AD83" t="str">
        <f t="shared" si="42"/>
        <v>No Impact</v>
      </c>
      <c r="AE83">
        <f t="shared" si="43"/>
        <v>1.5351426606838964E-2</v>
      </c>
      <c r="AF83">
        <f t="shared" si="44"/>
        <v>7.8759449267047379E-2</v>
      </c>
      <c r="AG83" t="s">
        <v>1175</v>
      </c>
    </row>
    <row r="84" spans="1:33" x14ac:dyDescent="0.3">
      <c r="A84">
        <v>201553</v>
      </c>
      <c r="B84" t="s">
        <v>336</v>
      </c>
      <c r="C84" t="s">
        <v>1165</v>
      </c>
      <c r="D84" t="s">
        <v>625</v>
      </c>
      <c r="E84" s="4">
        <v>5.8</v>
      </c>
      <c r="F84" s="3">
        <f t="shared" si="25"/>
        <v>0.57777777777777772</v>
      </c>
      <c r="G84">
        <v>90.121319999999997</v>
      </c>
      <c r="H84">
        <f t="shared" si="26"/>
        <v>0.87197787461118592</v>
      </c>
      <c r="I84">
        <v>54.4</v>
      </c>
      <c r="J84" s="3">
        <f t="shared" si="27"/>
        <v>0.25034514496088356</v>
      </c>
      <c r="K84">
        <v>0.3</v>
      </c>
      <c r="L84" s="3">
        <f t="shared" si="28"/>
        <v>0.15</v>
      </c>
      <c r="M84">
        <v>64375</v>
      </c>
      <c r="N84">
        <f t="shared" si="29"/>
        <v>0.30345441039398541</v>
      </c>
      <c r="O84" s="16">
        <v>5.5681485000000003E-2</v>
      </c>
      <c r="P84">
        <f t="shared" si="30"/>
        <v>5.6764738829022568E-2</v>
      </c>
      <c r="Q84">
        <v>0.40210000000000001</v>
      </c>
      <c r="R84">
        <f t="shared" si="31"/>
        <v>0.89137663489248509</v>
      </c>
      <c r="S84">
        <f t="shared" si="32"/>
        <v>0.12568524808905837</v>
      </c>
      <c r="T84" s="14">
        <f t="shared" si="33"/>
        <v>0.21463717252002679</v>
      </c>
      <c r="U84" t="str">
        <f t="shared" si="34"/>
        <v>Low</v>
      </c>
      <c r="V84">
        <f t="shared" si="35"/>
        <v>0.23632107321193396</v>
      </c>
      <c r="W84">
        <f t="shared" si="36"/>
        <v>0.34772877225346205</v>
      </c>
      <c r="X84" t="str">
        <f t="shared" ref="X84:X125" si="48">IF(W84&gt;0.7,"High",IF(W84&gt;0.3,"Moderate",IF(W84&gt;0.15,"Low","No Impact")))</f>
        <v>Moderate</v>
      </c>
      <c r="Y84">
        <f t="shared" si="37"/>
        <v>1.5049422966182852E-2</v>
      </c>
      <c r="Z84">
        <f t="shared" si="38"/>
        <v>2.962103044825776E-2</v>
      </c>
      <c r="AA84" t="str">
        <f t="shared" si="39"/>
        <v>No Impact</v>
      </c>
      <c r="AB84">
        <f t="shared" si="40"/>
        <v>0.11538526072962299</v>
      </c>
      <c r="AC84">
        <f t="shared" si="41"/>
        <v>0.26611312437850476</v>
      </c>
      <c r="AD84" t="str">
        <f t="shared" si="42"/>
        <v>Low</v>
      </c>
      <c r="AE84">
        <f t="shared" si="43"/>
        <v>8.0451594901689363E-2</v>
      </c>
      <c r="AF84">
        <f t="shared" si="44"/>
        <v>0.4127514314721642</v>
      </c>
      <c r="AG84" t="str">
        <f t="shared" si="46"/>
        <v>Moderate</v>
      </c>
    </row>
    <row r="85" spans="1:33" x14ac:dyDescent="0.3">
      <c r="A85">
        <v>201555</v>
      </c>
      <c r="B85" t="s">
        <v>390</v>
      </c>
      <c r="C85" t="s">
        <v>1165</v>
      </c>
      <c r="D85" t="s">
        <v>626</v>
      </c>
      <c r="E85" s="4">
        <v>5.8</v>
      </c>
      <c r="F85" s="3">
        <f t="shared" si="25"/>
        <v>0.57777777777777772</v>
      </c>
      <c r="G85">
        <v>84.93732</v>
      </c>
      <c r="H85">
        <f t="shared" si="26"/>
        <v>0.82181956243839061</v>
      </c>
      <c r="I85">
        <v>56.4</v>
      </c>
      <c r="J85" s="3">
        <f t="shared" si="27"/>
        <v>0.25954901058444546</v>
      </c>
      <c r="K85">
        <v>0</v>
      </c>
      <c r="L85" s="3">
        <f t="shared" si="28"/>
        <v>0</v>
      </c>
      <c r="M85">
        <v>9603</v>
      </c>
      <c r="N85">
        <f t="shared" si="29"/>
        <v>4.4305025242130466E-2</v>
      </c>
      <c r="O85" s="15">
        <v>0.25788607899999999</v>
      </c>
      <c r="P85">
        <f t="shared" si="30"/>
        <v>0.26290311621674028</v>
      </c>
      <c r="Q85">
        <v>0.28000000000000003</v>
      </c>
      <c r="R85">
        <f t="shared" si="31"/>
        <v>0.62070494347151417</v>
      </c>
      <c r="S85">
        <f t="shared" si="32"/>
        <v>9.7163292812248087E-2</v>
      </c>
      <c r="T85" s="14">
        <f t="shared" si="33"/>
        <v>0.16592921412049078</v>
      </c>
      <c r="U85" t="str">
        <f t="shared" si="34"/>
        <v>Low</v>
      </c>
      <c r="V85">
        <f t="shared" si="35"/>
        <v>0.13650789059984464</v>
      </c>
      <c r="W85">
        <f t="shared" si="36"/>
        <v>0.20086114435772129</v>
      </c>
      <c r="X85" t="s">
        <v>1176</v>
      </c>
      <c r="Y85">
        <f t="shared" si="37"/>
        <v>5.7818695024651499E-2</v>
      </c>
      <c r="Z85">
        <f t="shared" si="38"/>
        <v>0.11380166067843127</v>
      </c>
      <c r="AA85" t="str">
        <f t="shared" si="39"/>
        <v>No Impact</v>
      </c>
      <c r="AB85">
        <f t="shared" si="40"/>
        <v>6.8533678063018438E-2</v>
      </c>
      <c r="AC85">
        <f t="shared" si="41"/>
        <v>0.15805927966168942</v>
      </c>
      <c r="AD85" t="str">
        <f t="shared" si="42"/>
        <v>Low</v>
      </c>
      <c r="AE85">
        <f t="shared" si="43"/>
        <v>9.743736701935353E-3</v>
      </c>
      <c r="AF85">
        <f t="shared" si="44"/>
        <v>4.9989577913603679E-2</v>
      </c>
      <c r="AG85" t="str">
        <f t="shared" si="46"/>
        <v>No Impact</v>
      </c>
    </row>
    <row r="86" spans="1:33" x14ac:dyDescent="0.3">
      <c r="A86">
        <v>201557</v>
      </c>
      <c r="B86" t="s">
        <v>400</v>
      </c>
      <c r="C86" t="s">
        <v>1165</v>
      </c>
      <c r="D86" t="s">
        <v>627</v>
      </c>
      <c r="E86" s="4">
        <v>5.7</v>
      </c>
      <c r="F86" s="3">
        <f t="shared" si="25"/>
        <v>0.55555555555555558</v>
      </c>
      <c r="G86">
        <v>70.820279999999997</v>
      </c>
      <c r="H86">
        <f t="shared" si="26"/>
        <v>0.68522872538672397</v>
      </c>
      <c r="I86">
        <v>34.5</v>
      </c>
      <c r="J86" s="3">
        <f t="shared" si="27"/>
        <v>0.15876668200644273</v>
      </c>
      <c r="K86">
        <v>0</v>
      </c>
      <c r="L86" s="3">
        <f t="shared" si="28"/>
        <v>0</v>
      </c>
      <c r="M86">
        <v>8383</v>
      </c>
      <c r="N86">
        <f t="shared" si="29"/>
        <v>3.8532691752660241E-2</v>
      </c>
      <c r="O86" s="15">
        <v>0.21318184000000001</v>
      </c>
      <c r="P86">
        <f t="shared" si="30"/>
        <v>0.21732917990047279</v>
      </c>
      <c r="Q86">
        <v>0.28000000000000003</v>
      </c>
      <c r="R86">
        <f t="shared" si="31"/>
        <v>0.62070494347151417</v>
      </c>
      <c r="S86">
        <f t="shared" si="32"/>
        <v>7.1196778086304591E-2</v>
      </c>
      <c r="T86" s="14">
        <f t="shared" si="33"/>
        <v>0.12158527252261167</v>
      </c>
      <c r="U86" t="str">
        <f t="shared" si="34"/>
        <v>No Impact</v>
      </c>
      <c r="V86">
        <f t="shared" si="35"/>
        <v>0.10546633098804636</v>
      </c>
      <c r="W86">
        <f t="shared" si="36"/>
        <v>0.15518581263238204</v>
      </c>
      <c r="X86" t="s">
        <v>1176</v>
      </c>
      <c r="Y86">
        <f t="shared" si="37"/>
        <v>3.6927225184562817E-2</v>
      </c>
      <c r="Z86">
        <f t="shared" si="38"/>
        <v>7.2682020036216974E-2</v>
      </c>
      <c r="AA86" t="str">
        <f t="shared" si="39"/>
        <v>No Impact</v>
      </c>
      <c r="AB86">
        <f t="shared" si="40"/>
        <v>5.0282915928429275E-2</v>
      </c>
      <c r="AC86">
        <f t="shared" si="41"/>
        <v>0.11596753151974024</v>
      </c>
      <c r="AD86" t="str">
        <f t="shared" si="42"/>
        <v>No Impact</v>
      </c>
      <c r="AE86">
        <f t="shared" si="43"/>
        <v>6.5472357921262997E-3</v>
      </c>
      <c r="AF86">
        <f t="shared" si="44"/>
        <v>3.3590147574926114E-2</v>
      </c>
      <c r="AG86" t="str">
        <f t="shared" si="46"/>
        <v>No Impact</v>
      </c>
    </row>
    <row r="87" spans="1:33" x14ac:dyDescent="0.3">
      <c r="A87">
        <v>201561</v>
      </c>
      <c r="B87" t="s">
        <v>407</v>
      </c>
      <c r="C87" t="s">
        <v>1165</v>
      </c>
      <c r="D87" t="s">
        <v>628</v>
      </c>
      <c r="E87" s="4">
        <v>5.0999999999999996</v>
      </c>
      <c r="F87" s="3">
        <f t="shared" si="25"/>
        <v>0.42222222222222211</v>
      </c>
      <c r="G87">
        <v>78.191280000000006</v>
      </c>
      <c r="H87">
        <f t="shared" si="26"/>
        <v>0.75654757550741758</v>
      </c>
      <c r="I87">
        <v>37.1</v>
      </c>
      <c r="J87" s="3">
        <f t="shared" si="27"/>
        <v>0.17073170731707318</v>
      </c>
      <c r="K87">
        <v>0.1</v>
      </c>
      <c r="L87" s="3">
        <f t="shared" si="28"/>
        <v>0.05</v>
      </c>
      <c r="M87">
        <v>61378</v>
      </c>
      <c r="N87">
        <f t="shared" si="29"/>
        <v>0.28927434197763929</v>
      </c>
      <c r="O87" s="15">
        <v>0.13048842899999999</v>
      </c>
      <c r="P87">
        <f t="shared" si="30"/>
        <v>0.13302701234341099</v>
      </c>
      <c r="Q87">
        <v>0.40579999999999999</v>
      </c>
      <c r="R87">
        <f t="shared" si="31"/>
        <v>0.89957880735978712</v>
      </c>
      <c r="S87">
        <f t="shared" si="32"/>
        <v>7.7772910910825804E-2</v>
      </c>
      <c r="T87" s="14">
        <f t="shared" si="33"/>
        <v>0.13281556865546584</v>
      </c>
      <c r="U87" t="str">
        <f t="shared" si="34"/>
        <v>No Impact</v>
      </c>
      <c r="V87">
        <f t="shared" si="35"/>
        <v>0.13550739518816399</v>
      </c>
      <c r="W87">
        <f t="shared" si="36"/>
        <v>0.19938899023951054</v>
      </c>
      <c r="X87" t="s">
        <v>1176</v>
      </c>
      <c r="Y87">
        <f t="shared" si="37"/>
        <v>2.0038426633487594E-2</v>
      </c>
      <c r="Z87">
        <f t="shared" si="38"/>
        <v>3.9440638141374933E-2</v>
      </c>
      <c r="AA87" t="str">
        <f t="shared" si="39"/>
        <v>No Impact</v>
      </c>
      <c r="AB87">
        <f t="shared" si="40"/>
        <v>6.8690236373885508E-2</v>
      </c>
      <c r="AC87">
        <f t="shared" si="41"/>
        <v>0.15842035022641157</v>
      </c>
      <c r="AD87" t="str">
        <f t="shared" si="42"/>
        <v>Low</v>
      </c>
      <c r="AE87">
        <f t="shared" si="43"/>
        <v>4.3574628765662413E-2</v>
      </c>
      <c r="AF87">
        <f t="shared" si="44"/>
        <v>0.22355666684884623</v>
      </c>
      <c r="AG87" t="s">
        <v>1175</v>
      </c>
    </row>
    <row r="88" spans="1:33" x14ac:dyDescent="0.3">
      <c r="A88">
        <v>201565</v>
      </c>
      <c r="B88" t="s">
        <v>404</v>
      </c>
      <c r="C88" t="s">
        <v>1165</v>
      </c>
      <c r="D88" t="s">
        <v>629</v>
      </c>
      <c r="E88" s="4">
        <v>4.0999999999999996</v>
      </c>
      <c r="F88" s="3">
        <f t="shared" si="25"/>
        <v>0.19999999999999987</v>
      </c>
      <c r="G88">
        <v>78.191280000000006</v>
      </c>
      <c r="H88">
        <f t="shared" si="26"/>
        <v>0.75654757550741758</v>
      </c>
      <c r="I88">
        <v>37.1</v>
      </c>
      <c r="J88" s="3">
        <f t="shared" si="27"/>
        <v>0.17073170731707318</v>
      </c>
      <c r="K88">
        <v>0</v>
      </c>
      <c r="L88" s="3">
        <f t="shared" si="28"/>
        <v>0</v>
      </c>
      <c r="M88">
        <v>13802</v>
      </c>
      <c r="N88">
        <f t="shared" si="29"/>
        <v>6.4172261571872655E-2</v>
      </c>
      <c r="O88" s="15">
        <v>3.7292502999999998E-2</v>
      </c>
      <c r="P88">
        <f t="shared" si="30"/>
        <v>3.8018008914014065E-2</v>
      </c>
      <c r="Q88">
        <v>0.21010000000000001</v>
      </c>
      <c r="R88">
        <f t="shared" si="31"/>
        <v>0.46575038794058971</v>
      </c>
      <c r="S88">
        <f t="shared" si="32"/>
        <v>1.6965175140051778E-2</v>
      </c>
      <c r="T88" s="14">
        <f t="shared" si="33"/>
        <v>2.897203354197591E-2</v>
      </c>
      <c r="U88" t="str">
        <f t="shared" si="34"/>
        <v>No Impact</v>
      </c>
      <c r="V88">
        <f t="shared" si="35"/>
        <v>3.1369720499714808E-2</v>
      </c>
      <c r="W88">
        <f t="shared" si="36"/>
        <v>4.6158195911363359E-2</v>
      </c>
      <c r="X88" t="s">
        <v>1176</v>
      </c>
      <c r="Y88">
        <f t="shared" si="37"/>
        <v>2.5606297803887497E-3</v>
      </c>
      <c r="Z88">
        <f t="shared" si="38"/>
        <v>5.0399601939587861E-3</v>
      </c>
      <c r="AA88" t="str">
        <f t="shared" si="39"/>
        <v>No Impact</v>
      </c>
      <c r="AB88">
        <f t="shared" si="40"/>
        <v>1.3260360795341482E-2</v>
      </c>
      <c r="AC88">
        <f t="shared" si="41"/>
        <v>3.0582381313877943E-2</v>
      </c>
      <c r="AD88" t="str">
        <f t="shared" si="42"/>
        <v>No Impact</v>
      </c>
      <c r="AE88">
        <f t="shared" si="43"/>
        <v>4.3221991037847886E-3</v>
      </c>
      <c r="AF88">
        <f t="shared" si="44"/>
        <v>2.2174748298960267E-2</v>
      </c>
      <c r="AG88" t="str">
        <f>IF(AF88&gt;0.7,"High",IF(AF88&gt;0.3,"Moderate",IF(AF88&gt;0.15,"Low","No Impact")))</f>
        <v>No Impact</v>
      </c>
    </row>
    <row r="89" spans="1:33" x14ac:dyDescent="0.3">
      <c r="A89">
        <v>201570</v>
      </c>
      <c r="B89" t="s">
        <v>437</v>
      </c>
      <c r="C89" t="s">
        <v>1165</v>
      </c>
      <c r="D89" t="s">
        <v>630</v>
      </c>
      <c r="E89" s="4">
        <v>5.7</v>
      </c>
      <c r="F89" s="3">
        <f t="shared" si="25"/>
        <v>0.55555555555555558</v>
      </c>
      <c r="G89">
        <v>63.871200000000002</v>
      </c>
      <c r="H89">
        <f t="shared" si="26"/>
        <v>0.61799220456231652</v>
      </c>
      <c r="I89">
        <v>25</v>
      </c>
      <c r="J89" s="3">
        <f t="shared" si="27"/>
        <v>0.11504832029452371</v>
      </c>
      <c r="K89">
        <v>0</v>
      </c>
      <c r="L89" s="3">
        <f t="shared" si="28"/>
        <v>0</v>
      </c>
      <c r="M89">
        <v>39341</v>
      </c>
      <c r="N89">
        <f t="shared" si="29"/>
        <v>0.18500801975841366</v>
      </c>
      <c r="O89" s="15">
        <v>0.216305678</v>
      </c>
      <c r="P89">
        <f t="shared" si="30"/>
        <v>0.22051379051590761</v>
      </c>
      <c r="Q89">
        <v>0.4138</v>
      </c>
      <c r="R89">
        <f t="shared" si="31"/>
        <v>0.91731323431611611</v>
      </c>
      <c r="S89">
        <f t="shared" si="32"/>
        <v>8.540230838698265E-2</v>
      </c>
      <c r="T89" s="14">
        <f t="shared" si="33"/>
        <v>0.145844562329834</v>
      </c>
      <c r="U89" t="str">
        <f t="shared" si="34"/>
        <v>No Impact</v>
      </c>
      <c r="V89">
        <f t="shared" si="35"/>
        <v>0.13770224474337966</v>
      </c>
      <c r="W89">
        <f t="shared" si="36"/>
        <v>0.20261854709088686</v>
      </c>
      <c r="X89" t="s">
        <v>1176</v>
      </c>
      <c r="Y89">
        <f t="shared" si="37"/>
        <v>3.310237203058565E-2</v>
      </c>
      <c r="Z89">
        <f t="shared" si="38"/>
        <v>6.5153751876789401E-2</v>
      </c>
      <c r="AA89" t="str">
        <f t="shared" si="39"/>
        <v>No Impact</v>
      </c>
      <c r="AB89">
        <f t="shared" si="40"/>
        <v>6.7846848543194685E-2</v>
      </c>
      <c r="AC89">
        <f t="shared" si="41"/>
        <v>0.15647524415940831</v>
      </c>
      <c r="AD89" t="str">
        <f t="shared" si="42"/>
        <v>Low</v>
      </c>
      <c r="AE89">
        <f t="shared" si="43"/>
        <v>2.7772432210960325E-2</v>
      </c>
      <c r="AF89">
        <f t="shared" si="44"/>
        <v>0.1424845730472499</v>
      </c>
      <c r="AG89" t="s">
        <v>1175</v>
      </c>
    </row>
    <row r="90" spans="1:33" x14ac:dyDescent="0.3">
      <c r="A90">
        <v>201574</v>
      </c>
      <c r="B90" t="s">
        <v>440</v>
      </c>
      <c r="C90" t="s">
        <v>1165</v>
      </c>
      <c r="D90" t="s">
        <v>631</v>
      </c>
      <c r="E90" s="4">
        <v>5.5</v>
      </c>
      <c r="F90" s="3">
        <f t="shared" si="25"/>
        <v>0.51111111111111107</v>
      </c>
      <c r="G90">
        <v>67.506479999999996</v>
      </c>
      <c r="H90">
        <f t="shared" si="26"/>
        <v>0.65316572097348924</v>
      </c>
      <c r="I90">
        <v>35.700000000000003</v>
      </c>
      <c r="J90" s="3">
        <f t="shared" si="27"/>
        <v>0.16428900138057986</v>
      </c>
      <c r="K90">
        <v>0</v>
      </c>
      <c r="L90" s="3">
        <f t="shared" si="28"/>
        <v>0</v>
      </c>
      <c r="M90">
        <v>34140</v>
      </c>
      <c r="N90">
        <f t="shared" si="29"/>
        <v>0.16039989969387708</v>
      </c>
      <c r="O90" s="15">
        <v>0.22320835999999999</v>
      </c>
      <c r="P90">
        <f t="shared" si="30"/>
        <v>0.22755076054193682</v>
      </c>
      <c r="Q90">
        <v>0.41060000000000002</v>
      </c>
      <c r="R90">
        <f t="shared" si="31"/>
        <v>0.91021946353358463</v>
      </c>
      <c r="S90">
        <f t="shared" si="32"/>
        <v>8.5520549957113959E-2</v>
      </c>
      <c r="T90" s="14">
        <f t="shared" si="33"/>
        <v>0.1460464876685128</v>
      </c>
      <c r="U90" t="str">
        <f t="shared" si="34"/>
        <v>No Impact</v>
      </c>
      <c r="V90">
        <f t="shared" si="35"/>
        <v>0.13683337365646242</v>
      </c>
      <c r="W90">
        <f t="shared" si="36"/>
        <v>0.20134006831540621</v>
      </c>
      <c r="X90" t="s">
        <v>1176</v>
      </c>
      <c r="Y90">
        <f t="shared" si="37"/>
        <v>3.4207726257765518E-2</v>
      </c>
      <c r="Z90">
        <f t="shared" si="38"/>
        <v>6.7329365605832595E-2</v>
      </c>
      <c r="AA90" t="str">
        <f t="shared" si="39"/>
        <v>No Impact</v>
      </c>
      <c r="AB90">
        <f t="shared" si="40"/>
        <v>6.6593524618691141E-2</v>
      </c>
      <c r="AC90">
        <f t="shared" si="41"/>
        <v>0.15358470213264541</v>
      </c>
      <c r="AD90" t="str">
        <f t="shared" si="42"/>
        <v>Low</v>
      </c>
      <c r="AE90">
        <f t="shared" si="43"/>
        <v>2.4112931318856105E-2</v>
      </c>
      <c r="AF90">
        <f t="shared" si="44"/>
        <v>0.12370975281484255</v>
      </c>
      <c r="AG90" t="s">
        <v>1175</v>
      </c>
    </row>
    <row r="91" spans="1:33" x14ac:dyDescent="0.3">
      <c r="A91">
        <v>201578</v>
      </c>
      <c r="B91" t="s">
        <v>456</v>
      </c>
      <c r="C91" t="s">
        <v>1165</v>
      </c>
      <c r="D91" t="s">
        <v>632</v>
      </c>
      <c r="E91" s="4">
        <v>5.8</v>
      </c>
      <c r="F91" s="3">
        <f t="shared" si="25"/>
        <v>0.57777777777777772</v>
      </c>
      <c r="G91">
        <v>102.45923999999999</v>
      </c>
      <c r="H91">
        <f t="shared" si="26"/>
        <v>0.9913546575824389</v>
      </c>
      <c r="I91">
        <v>61</v>
      </c>
      <c r="J91" s="3">
        <f t="shared" si="27"/>
        <v>0.28071790151863785</v>
      </c>
      <c r="K91">
        <v>0.3</v>
      </c>
      <c r="L91" s="3">
        <f t="shared" si="28"/>
        <v>0.15</v>
      </c>
      <c r="M91">
        <v>39476</v>
      </c>
      <c r="N91">
        <f t="shared" si="29"/>
        <v>0.18564676157896978</v>
      </c>
      <c r="O91" s="15">
        <v>0.19747442500000001</v>
      </c>
      <c r="P91">
        <f t="shared" si="30"/>
        <v>0.2013161854526043</v>
      </c>
      <c r="Q91">
        <v>0.3498</v>
      </c>
      <c r="R91">
        <f t="shared" si="31"/>
        <v>0.77543781866548434</v>
      </c>
      <c r="S91">
        <f t="shared" si="32"/>
        <v>0.14466618389374153</v>
      </c>
      <c r="T91" s="14">
        <f t="shared" si="33"/>
        <v>0.24705159230948812</v>
      </c>
      <c r="U91" t="str">
        <f t="shared" si="34"/>
        <v>Low</v>
      </c>
      <c r="V91">
        <f t="shared" si="35"/>
        <v>0.22969883839792346</v>
      </c>
      <c r="W91">
        <f t="shared" si="36"/>
        <v>0.33798464935256062</v>
      </c>
      <c r="X91" t="str">
        <f t="shared" si="48"/>
        <v>Moderate</v>
      </c>
      <c r="Y91">
        <f t="shared" si="37"/>
        <v>5.9633529389559597E-2</v>
      </c>
      <c r="Z91">
        <f t="shared" si="38"/>
        <v>0.11737370886275592</v>
      </c>
      <c r="AA91" t="str">
        <f t="shared" si="39"/>
        <v>No Impact</v>
      </c>
      <c r="AB91">
        <f t="shared" si="40"/>
        <v>0.11753183824733331</v>
      </c>
      <c r="AC91">
        <f t="shared" si="41"/>
        <v>0.27106377792252279</v>
      </c>
      <c r="AD91" t="str">
        <f t="shared" si="42"/>
        <v>Low</v>
      </c>
      <c r="AE91">
        <f t="shared" si="43"/>
        <v>5.4991959974834914E-2</v>
      </c>
      <c r="AF91">
        <f t="shared" si="44"/>
        <v>0.28213250746376994</v>
      </c>
      <c r="AG91" t="s">
        <v>1175</v>
      </c>
    </row>
    <row r="92" spans="1:33" x14ac:dyDescent="0.3">
      <c r="A92">
        <v>201582</v>
      </c>
      <c r="B92" t="s">
        <v>463</v>
      </c>
      <c r="C92" t="s">
        <v>1165</v>
      </c>
      <c r="D92" t="s">
        <v>633</v>
      </c>
      <c r="E92" s="4">
        <v>5.7</v>
      </c>
      <c r="F92" s="3">
        <f t="shared" si="25"/>
        <v>0.55555555555555558</v>
      </c>
      <c r="G92">
        <v>71.09496</v>
      </c>
      <c r="H92">
        <f t="shared" si="26"/>
        <v>0.68788641928865757</v>
      </c>
      <c r="I92">
        <v>26</v>
      </c>
      <c r="J92" s="3">
        <f t="shared" si="27"/>
        <v>0.11965025310630466</v>
      </c>
      <c r="K92">
        <v>0</v>
      </c>
      <c r="L92" s="3">
        <f t="shared" si="28"/>
        <v>0</v>
      </c>
      <c r="M92">
        <v>40219</v>
      </c>
      <c r="N92">
        <f t="shared" si="29"/>
        <v>0.18916220730247502</v>
      </c>
      <c r="O92" s="15">
        <v>0.28359237300000001</v>
      </c>
      <c r="P92">
        <f t="shared" si="30"/>
        <v>0.28910951256504297</v>
      </c>
      <c r="Q92">
        <v>0.4027</v>
      </c>
      <c r="R92">
        <f t="shared" si="31"/>
        <v>0.89270671691420966</v>
      </c>
      <c r="S92">
        <f t="shared" si="32"/>
        <v>9.818418220498569E-2</v>
      </c>
      <c r="T92" s="14">
        <f t="shared" si="33"/>
        <v>0.16767262327983476</v>
      </c>
      <c r="U92" t="str">
        <f t="shared" si="34"/>
        <v>Low</v>
      </c>
      <c r="V92">
        <f t="shared" si="35"/>
        <v>0.14833047095273127</v>
      </c>
      <c r="W92">
        <f t="shared" si="36"/>
        <v>0.21825718650962181</v>
      </c>
      <c r="X92" t="s">
        <v>1176</v>
      </c>
      <c r="Y92">
        <f t="shared" si="37"/>
        <v>4.8037893457240098E-2</v>
      </c>
      <c r="Z92">
        <f t="shared" si="38"/>
        <v>9.4550595591904263E-2</v>
      </c>
      <c r="AA92" t="str">
        <f t="shared" si="39"/>
        <v>No Impact</v>
      </c>
      <c r="AB92">
        <f t="shared" si="40"/>
        <v>7.7327825815726628E-2</v>
      </c>
      <c r="AC92">
        <f t="shared" si="41"/>
        <v>0.17834123005917699</v>
      </c>
      <c r="AD92" t="str">
        <f t="shared" si="42"/>
        <v>Low</v>
      </c>
      <c r="AE92">
        <f t="shared" si="43"/>
        <v>3.1430836985996108E-2</v>
      </c>
      <c r="AF92">
        <f t="shared" si="44"/>
        <v>0.16125376972564803</v>
      </c>
      <c r="AG92" t="s">
        <v>1175</v>
      </c>
    </row>
    <row r="93" spans="1:33" x14ac:dyDescent="0.3">
      <c r="A93">
        <v>201586</v>
      </c>
      <c r="B93" t="s">
        <v>491</v>
      </c>
      <c r="C93" t="s">
        <v>1165</v>
      </c>
      <c r="D93" t="s">
        <v>634</v>
      </c>
      <c r="E93" s="4">
        <v>5.8</v>
      </c>
      <c r="F93" s="3">
        <f t="shared" si="25"/>
        <v>0.57777777777777772</v>
      </c>
      <c r="G93">
        <v>84.93732</v>
      </c>
      <c r="H93">
        <f t="shared" si="26"/>
        <v>0.82181956243839061</v>
      </c>
      <c r="I93">
        <v>56.4</v>
      </c>
      <c r="J93" s="3">
        <f t="shared" si="27"/>
        <v>0.25954901058444546</v>
      </c>
      <c r="K93">
        <v>0.3</v>
      </c>
      <c r="L93" s="3">
        <f t="shared" si="28"/>
        <v>0.15</v>
      </c>
      <c r="M93">
        <v>54977</v>
      </c>
      <c r="N93">
        <f t="shared" si="29"/>
        <v>0.25898851684149266</v>
      </c>
      <c r="O93" s="15">
        <v>0.34025681699999999</v>
      </c>
      <c r="P93">
        <f t="shared" si="30"/>
        <v>0.34687633334131668</v>
      </c>
      <c r="Q93">
        <v>0.3952</v>
      </c>
      <c r="R93">
        <f t="shared" si="31"/>
        <v>0.87608069164265123</v>
      </c>
      <c r="S93">
        <f t="shared" si="32"/>
        <v>0.15567669910714346</v>
      </c>
      <c r="T93" s="14">
        <f t="shared" si="33"/>
        <v>0.26585464111055951</v>
      </c>
      <c r="U93" t="str">
        <f t="shared" si="34"/>
        <v>Low</v>
      </c>
      <c r="V93">
        <f t="shared" si="35"/>
        <v>0.22304193432834496</v>
      </c>
      <c r="W93">
        <f t="shared" si="36"/>
        <v>0.32818951323684198</v>
      </c>
      <c r="X93" t="str">
        <f t="shared" si="48"/>
        <v>Moderate</v>
      </c>
      <c r="Y93">
        <f t="shared" si="37"/>
        <v>8.8311463885941965E-2</v>
      </c>
      <c r="Z93">
        <f t="shared" si="38"/>
        <v>0.1738190604765224</v>
      </c>
      <c r="AA93" t="str">
        <f t="shared" si="39"/>
        <v>Low</v>
      </c>
      <c r="AB93">
        <f t="shared" si="40"/>
        <v>0.12763573347174986</v>
      </c>
      <c r="AC93">
        <f t="shared" si="41"/>
        <v>0.29436640002139758</v>
      </c>
      <c r="AD93" t="str">
        <f t="shared" si="42"/>
        <v>Low</v>
      </c>
      <c r="AE93">
        <f t="shared" si="43"/>
        <v>6.5936049402990193E-2</v>
      </c>
      <c r="AF93">
        <f t="shared" si="44"/>
        <v>0.33828041333375808</v>
      </c>
      <c r="AG93" t="str">
        <f t="shared" si="46"/>
        <v>Moderate</v>
      </c>
    </row>
    <row r="94" spans="1:33" x14ac:dyDescent="0.3">
      <c r="A94">
        <v>201909</v>
      </c>
      <c r="B94" t="s">
        <v>52</v>
      </c>
      <c r="C94" s="1" t="s">
        <v>1174</v>
      </c>
      <c r="D94" t="s">
        <v>635</v>
      </c>
      <c r="E94" s="4">
        <v>4.4000000000000004</v>
      </c>
      <c r="F94" s="3">
        <f t="shared" si="25"/>
        <v>0.26666666666666672</v>
      </c>
      <c r="G94">
        <v>75.02112000000001</v>
      </c>
      <c r="H94">
        <f t="shared" si="26"/>
        <v>0.72587437432730395</v>
      </c>
      <c r="I94">
        <v>89.7</v>
      </c>
      <c r="J94" s="3">
        <f t="shared" si="27"/>
        <v>0.41279337321675108</v>
      </c>
      <c r="K94">
        <v>0</v>
      </c>
      <c r="L94" s="3">
        <f t="shared" si="28"/>
        <v>0</v>
      </c>
      <c r="M94">
        <v>52813</v>
      </c>
      <c r="N94">
        <f t="shared" si="29"/>
        <v>0.24874972202902254</v>
      </c>
      <c r="O94" s="15">
        <v>0.22227117499999999</v>
      </c>
      <c r="P94">
        <f t="shared" si="30"/>
        <v>0.22659534310363613</v>
      </c>
      <c r="Q94">
        <v>0.36870000000000003</v>
      </c>
      <c r="R94">
        <f t="shared" si="31"/>
        <v>0.81733540234981161</v>
      </c>
      <c r="S94">
        <f t="shared" si="32"/>
        <v>5.1905409259053896E-2</v>
      </c>
      <c r="T94" s="14">
        <f t="shared" si="33"/>
        <v>8.8640715209186274E-2</v>
      </c>
      <c r="U94" t="str">
        <f t="shared" si="34"/>
        <v>No Impact</v>
      </c>
      <c r="V94">
        <f t="shared" si="35"/>
        <v>8.1277668553487947E-2</v>
      </c>
      <c r="W94">
        <f t="shared" si="36"/>
        <v>0.11959400621197312</v>
      </c>
      <c r="X94" t="s">
        <v>1176</v>
      </c>
      <c r="Y94">
        <f t="shared" si="37"/>
        <v>2.2533149964619862E-2</v>
      </c>
      <c r="Z94">
        <f t="shared" si="38"/>
        <v>4.4350877950402705E-2</v>
      </c>
      <c r="AA94" t="str">
        <f t="shared" si="39"/>
        <v>No Impact</v>
      </c>
      <c r="AB94">
        <f t="shared" si="40"/>
        <v>4.3864809894275616E-2</v>
      </c>
      <c r="AC94">
        <f t="shared" si="41"/>
        <v>0.10116544814668874</v>
      </c>
      <c r="AD94" t="str">
        <f t="shared" si="42"/>
        <v>No Impact</v>
      </c>
      <c r="AE94">
        <f t="shared" si="43"/>
        <v>2.4736231174768242E-2</v>
      </c>
      <c r="AF94">
        <f t="shared" si="44"/>
        <v>0.12690755029888875</v>
      </c>
      <c r="AG94" t="s">
        <v>1175</v>
      </c>
    </row>
    <row r="95" spans="1:33" x14ac:dyDescent="0.3">
      <c r="A95">
        <v>201915</v>
      </c>
      <c r="B95" t="s">
        <v>88</v>
      </c>
      <c r="C95" s="1" t="s">
        <v>1174</v>
      </c>
      <c r="D95" t="s">
        <v>636</v>
      </c>
      <c r="E95" s="4">
        <v>4.4000000000000004</v>
      </c>
      <c r="F95" s="3">
        <f t="shared" si="25"/>
        <v>0.26666666666666672</v>
      </c>
      <c r="G95">
        <v>72.816839999999999</v>
      </c>
      <c r="H95">
        <f t="shared" si="26"/>
        <v>0.70454664200549644</v>
      </c>
      <c r="I95">
        <v>84.2</v>
      </c>
      <c r="J95" s="3">
        <f t="shared" si="27"/>
        <v>0.38748274275195588</v>
      </c>
      <c r="K95">
        <v>0</v>
      </c>
      <c r="L95" s="3">
        <f t="shared" si="28"/>
        <v>0</v>
      </c>
      <c r="M95">
        <v>14956</v>
      </c>
      <c r="N95">
        <f t="shared" si="29"/>
        <v>6.9632321282404319E-2</v>
      </c>
      <c r="O95" s="15">
        <v>0.150074077</v>
      </c>
      <c r="P95">
        <f t="shared" si="30"/>
        <v>0.15299368876228109</v>
      </c>
      <c r="Q95">
        <v>0.35060000000000002</v>
      </c>
      <c r="R95">
        <f t="shared" si="31"/>
        <v>0.77721126136111729</v>
      </c>
      <c r="S95">
        <f t="shared" si="32"/>
        <v>4.4564904356477933E-2</v>
      </c>
      <c r="T95" s="14">
        <f t="shared" si="33"/>
        <v>7.6105073667213932E-2</v>
      </c>
      <c r="U95" t="str">
        <f t="shared" si="34"/>
        <v>No Impact</v>
      </c>
      <c r="V95">
        <f t="shared" si="35"/>
        <v>7.4470353060884051E-2</v>
      </c>
      <c r="W95">
        <f t="shared" si="36"/>
        <v>0.10957755094451462</v>
      </c>
      <c r="X95" t="s">
        <v>1176</v>
      </c>
      <c r="Y95">
        <f t="shared" si="37"/>
        <v>1.4659455652071798E-2</v>
      </c>
      <c r="Z95">
        <f t="shared" si="38"/>
        <v>2.8853477186510428E-2</v>
      </c>
      <c r="AA95" t="str">
        <f t="shared" si="39"/>
        <v>No Impact</v>
      </c>
      <c r="AB95">
        <f t="shared" si="40"/>
        <v>3.2797655770202321E-2</v>
      </c>
      <c r="AC95">
        <f t="shared" si="41"/>
        <v>7.5641261233104051E-2</v>
      </c>
      <c r="AD95" t="str">
        <f t="shared" si="42"/>
        <v>No Impact</v>
      </c>
      <c r="AE95">
        <f t="shared" si="43"/>
        <v>6.6719871522038987E-3</v>
      </c>
      <c r="AF95">
        <f t="shared" si="44"/>
        <v>3.4230175936241385E-2</v>
      </c>
      <c r="AG95" t="str">
        <f>IF(AF95&gt;0.7,"High",IF(AF95&gt;0.3,"Moderate",IF(AF95&gt;0.15,"Low","No Impact")))</f>
        <v>No Impact</v>
      </c>
    </row>
    <row r="96" spans="1:33" x14ac:dyDescent="0.3">
      <c r="A96">
        <v>201918</v>
      </c>
      <c r="B96" t="s">
        <v>91</v>
      </c>
      <c r="C96" s="1" t="s">
        <v>1174</v>
      </c>
      <c r="D96" t="s">
        <v>637</v>
      </c>
      <c r="E96" s="4">
        <v>4.3</v>
      </c>
      <c r="F96" s="3">
        <f t="shared" si="25"/>
        <v>0.24444444444444435</v>
      </c>
      <c r="G96">
        <v>74.075040000000001</v>
      </c>
      <c r="H96">
        <f t="shared" si="26"/>
        <v>0.71672048235576868</v>
      </c>
      <c r="I96">
        <v>80.3</v>
      </c>
      <c r="J96" s="3">
        <f t="shared" si="27"/>
        <v>0.36953520478601015</v>
      </c>
      <c r="K96">
        <v>0</v>
      </c>
      <c r="L96" s="3">
        <f t="shared" si="28"/>
        <v>0</v>
      </c>
      <c r="M96">
        <v>36049</v>
      </c>
      <c r="N96">
        <f t="shared" si="29"/>
        <v>0.16943218217863007</v>
      </c>
      <c r="O96" s="15">
        <v>0.40571206599999998</v>
      </c>
      <c r="P96">
        <f t="shared" si="30"/>
        <v>0.41360497957755915</v>
      </c>
      <c r="Q96">
        <v>0.35720000000000002</v>
      </c>
      <c r="R96">
        <f t="shared" si="31"/>
        <v>0.79184216360008874</v>
      </c>
      <c r="S96">
        <f t="shared" si="32"/>
        <v>5.3127371555822582E-2</v>
      </c>
      <c r="T96" s="14">
        <f t="shared" si="33"/>
        <v>9.0727503724881156E-2</v>
      </c>
      <c r="U96" t="str">
        <f t="shared" si="34"/>
        <v>No Impact</v>
      </c>
      <c r="V96">
        <f t="shared" si="35"/>
        <v>6.979732471430096E-2</v>
      </c>
      <c r="W96">
        <f t="shared" si="36"/>
        <v>0.1027015394759745</v>
      </c>
      <c r="X96" t="s">
        <v>1176</v>
      </c>
      <c r="Y96">
        <f t="shared" si="37"/>
        <v>3.6457418397344198E-2</v>
      </c>
      <c r="Z96">
        <f t="shared" si="38"/>
        <v>7.1757322711922783E-2</v>
      </c>
      <c r="AA96" t="str">
        <f t="shared" si="39"/>
        <v>No Impact</v>
      </c>
      <c r="AB96">
        <f t="shared" si="40"/>
        <v>4.0593428810248779E-2</v>
      </c>
      <c r="AC96">
        <f t="shared" si="41"/>
        <v>9.3620659186658045E-2</v>
      </c>
      <c r="AD96" t="str">
        <f t="shared" si="42"/>
        <v>No Impact</v>
      </c>
      <c r="AE96">
        <f t="shared" si="43"/>
        <v>1.4934684688686251E-2</v>
      </c>
      <c r="AF96">
        <f t="shared" si="44"/>
        <v>7.662138322271124E-2</v>
      </c>
      <c r="AG96" t="s">
        <v>1175</v>
      </c>
    </row>
    <row r="97" spans="1:33" x14ac:dyDescent="0.3">
      <c r="A97">
        <v>201927</v>
      </c>
      <c r="B97" t="s">
        <v>97</v>
      </c>
      <c r="C97" s="1" t="s">
        <v>1174</v>
      </c>
      <c r="D97" t="s">
        <v>638</v>
      </c>
      <c r="E97" s="4">
        <v>3.8</v>
      </c>
      <c r="F97" s="3">
        <f t="shared" si="25"/>
        <v>0.13333333333333325</v>
      </c>
      <c r="G97">
        <v>74.075040000000001</v>
      </c>
      <c r="H97">
        <f t="shared" si="26"/>
        <v>0.71672048235576868</v>
      </c>
      <c r="I97">
        <v>94</v>
      </c>
      <c r="J97" s="3">
        <f t="shared" si="27"/>
        <v>0.43258168430740912</v>
      </c>
      <c r="K97">
        <v>0</v>
      </c>
      <c r="L97" s="3">
        <f t="shared" si="28"/>
        <v>0</v>
      </c>
      <c r="M97">
        <v>52969</v>
      </c>
      <c r="N97">
        <f t="shared" si="29"/>
        <v>0.24948782368833183</v>
      </c>
      <c r="O97" s="15">
        <v>0.594475317</v>
      </c>
      <c r="P97">
        <f t="shared" si="30"/>
        <v>0.60604051974916617</v>
      </c>
      <c r="Q97">
        <v>0.34720000000000001</v>
      </c>
      <c r="R97">
        <f t="shared" si="31"/>
        <v>0.76967412990467743</v>
      </c>
      <c r="S97">
        <f t="shared" si="32"/>
        <v>3.4228195931216468E-2</v>
      </c>
      <c r="T97" s="14">
        <f t="shared" si="33"/>
        <v>5.8452708705576048E-2</v>
      </c>
      <c r="U97" t="str">
        <f t="shared" si="34"/>
        <v>No Impact</v>
      </c>
      <c r="V97">
        <f t="shared" si="35"/>
        <v>3.8299449567095405E-2</v>
      </c>
      <c r="W97">
        <f t="shared" si="36"/>
        <v>5.6354773592306701E-2</v>
      </c>
      <c r="X97" t="s">
        <v>1176</v>
      </c>
      <c r="Y97">
        <f t="shared" si="37"/>
        <v>3.0156942295337528E-2</v>
      </c>
      <c r="Z97">
        <f t="shared" si="38"/>
        <v>5.9356409077199149E-2</v>
      </c>
      <c r="AA97" t="str">
        <f t="shared" si="39"/>
        <v>No Impact</v>
      </c>
      <c r="AB97">
        <f t="shared" si="40"/>
        <v>2.6797022713882131E-2</v>
      </c>
      <c r="AC97">
        <f t="shared" si="41"/>
        <v>6.180199614180161E-2</v>
      </c>
      <c r="AD97" t="str">
        <f t="shared" si="42"/>
        <v>No Impact</v>
      </c>
      <c r="AE97">
        <f t="shared" si="43"/>
        <v>1.2414664790849933E-2</v>
      </c>
      <c r="AF97">
        <f t="shared" si="44"/>
        <v>6.3692592669319301E-2</v>
      </c>
      <c r="AG97" t="str">
        <f>IF(AF97&gt;0.7,"High",IF(AF97&gt;0.3,"Moderate",IF(AF97&gt;0.15,"Low","No Impact")))</f>
        <v>No Impact</v>
      </c>
    </row>
    <row r="98" spans="1:33" x14ac:dyDescent="0.3">
      <c r="A98">
        <v>201931</v>
      </c>
      <c r="B98" t="s">
        <v>105</v>
      </c>
      <c r="C98" s="1" t="s">
        <v>1174</v>
      </c>
      <c r="D98" t="s">
        <v>639</v>
      </c>
      <c r="E98" s="4">
        <v>4.5</v>
      </c>
      <c r="F98" s="3">
        <f t="shared" si="25"/>
        <v>0.28888888888888886</v>
      </c>
      <c r="G98">
        <v>73.995120000000014</v>
      </c>
      <c r="H98">
        <f t="shared" si="26"/>
        <v>0.71594720837643822</v>
      </c>
      <c r="I98">
        <v>70</v>
      </c>
      <c r="J98" s="3">
        <f t="shared" si="27"/>
        <v>0.32213529682466641</v>
      </c>
      <c r="K98">
        <v>0</v>
      </c>
      <c r="L98" s="3">
        <f t="shared" si="28"/>
        <v>0</v>
      </c>
      <c r="M98">
        <v>58877</v>
      </c>
      <c r="N98">
        <f t="shared" si="29"/>
        <v>0.27744105832422533</v>
      </c>
      <c r="O98" s="15">
        <v>0.48047816199999999</v>
      </c>
      <c r="P98">
        <f t="shared" si="30"/>
        <v>0.48982561041572065</v>
      </c>
      <c r="Q98">
        <v>0.39079999999999998</v>
      </c>
      <c r="R98">
        <f t="shared" si="31"/>
        <v>0.86632675681667026</v>
      </c>
      <c r="S98">
        <f t="shared" si="32"/>
        <v>6.8718911394297297E-2</v>
      </c>
      <c r="T98" s="14">
        <f t="shared" si="33"/>
        <v>0.11735373136133598</v>
      </c>
      <c r="U98" t="str">
        <f t="shared" si="34"/>
        <v>No Impact</v>
      </c>
      <c r="V98">
        <f t="shared" si="35"/>
        <v>8.7796966002702995E-2</v>
      </c>
      <c r="W98">
        <f t="shared" si="36"/>
        <v>0.12918666448471913</v>
      </c>
      <c r="X98" t="s">
        <v>1176</v>
      </c>
      <c r="Y98">
        <f t="shared" si="37"/>
        <v>4.9640856785891599E-2</v>
      </c>
      <c r="Z98">
        <f t="shared" si="38"/>
        <v>9.7705628557096413E-2</v>
      </c>
      <c r="AA98" t="str">
        <f t="shared" si="39"/>
        <v>No Impact</v>
      </c>
      <c r="AB98">
        <f t="shared" si="40"/>
        <v>5.5462134529181376E-2</v>
      </c>
      <c r="AC98">
        <f t="shared" si="41"/>
        <v>0.12791236775766335</v>
      </c>
      <c r="AD98" t="str">
        <f t="shared" si="42"/>
        <v>No Impact</v>
      </c>
      <c r="AE98">
        <f t="shared" si="43"/>
        <v>2.8116969692765271E-2</v>
      </c>
      <c r="AF98">
        <f t="shared" si="44"/>
        <v>0.14425219914570803</v>
      </c>
      <c r="AG98" t="s">
        <v>1175</v>
      </c>
    </row>
    <row r="99" spans="1:33" x14ac:dyDescent="0.3">
      <c r="A99">
        <v>201933</v>
      </c>
      <c r="B99" t="s">
        <v>117</v>
      </c>
      <c r="C99" s="1" t="s">
        <v>1174</v>
      </c>
      <c r="D99" t="s">
        <v>640</v>
      </c>
      <c r="E99" s="4">
        <v>4.4000000000000004</v>
      </c>
      <c r="F99" s="3">
        <f t="shared" si="25"/>
        <v>0.26666666666666672</v>
      </c>
      <c r="G99">
        <v>75.02112000000001</v>
      </c>
      <c r="H99">
        <f t="shared" si="26"/>
        <v>0.72587437432730395</v>
      </c>
      <c r="I99">
        <v>79.699999999999989</v>
      </c>
      <c r="J99" s="3">
        <f t="shared" si="27"/>
        <v>0.36677404509894151</v>
      </c>
      <c r="K99">
        <v>0</v>
      </c>
      <c r="L99" s="3">
        <f t="shared" si="28"/>
        <v>0</v>
      </c>
      <c r="M99">
        <v>63237</v>
      </c>
      <c r="N99">
        <f t="shared" si="29"/>
        <v>0.2980700534177419</v>
      </c>
      <c r="O99" s="15">
        <v>0.59946928899999996</v>
      </c>
      <c r="P99">
        <f t="shared" si="30"/>
        <v>0.61113164683206367</v>
      </c>
      <c r="Q99">
        <v>0.38969999999999999</v>
      </c>
      <c r="R99">
        <f t="shared" si="31"/>
        <v>0.86388827311017513</v>
      </c>
      <c r="S99">
        <f t="shared" si="32"/>
        <v>7.1529529217479931E-2</v>
      </c>
      <c r="T99" s="14">
        <f t="shared" si="33"/>
        <v>0.12215352347516346</v>
      </c>
      <c r="U99" t="str">
        <f t="shared" si="34"/>
        <v>No Impact</v>
      </c>
      <c r="V99">
        <f t="shared" si="35"/>
        <v>8.3786694181719759E-2</v>
      </c>
      <c r="W99">
        <f t="shared" si="36"/>
        <v>0.12328584964091309</v>
      </c>
      <c r="X99" t="s">
        <v>1176</v>
      </c>
      <c r="Y99">
        <f t="shared" si="37"/>
        <v>5.927236425324011E-2</v>
      </c>
      <c r="Z99">
        <f t="shared" si="38"/>
        <v>0.11666284549451861</v>
      </c>
      <c r="AA99" t="str">
        <f t="shared" si="39"/>
        <v>No Impact</v>
      </c>
      <c r="AB99">
        <f t="shared" si="40"/>
        <v>5.7225266383383308E-2</v>
      </c>
      <c r="AC99">
        <f t="shared" si="41"/>
        <v>0.13197868024373019</v>
      </c>
      <c r="AD99" t="str">
        <f t="shared" si="42"/>
        <v>No Impact</v>
      </c>
      <c r="AE99">
        <f t="shared" si="43"/>
        <v>2.8909183268026765E-2</v>
      </c>
      <c r="AF99">
        <f t="shared" si="44"/>
        <v>0.14831659696927432</v>
      </c>
      <c r="AG99" t="s">
        <v>1175</v>
      </c>
    </row>
    <row r="100" spans="1:33" x14ac:dyDescent="0.3">
      <c r="A100">
        <v>201936</v>
      </c>
      <c r="B100" t="s">
        <v>130</v>
      </c>
      <c r="C100" s="1" t="s">
        <v>1174</v>
      </c>
      <c r="D100" t="s">
        <v>641</v>
      </c>
      <c r="E100" s="4">
        <v>4.3</v>
      </c>
      <c r="F100" s="3">
        <f t="shared" si="25"/>
        <v>0.24444444444444435</v>
      </c>
      <c r="G100">
        <v>72.063720000000004</v>
      </c>
      <c r="H100">
        <f t="shared" si="26"/>
        <v>0.69725975387594874</v>
      </c>
      <c r="I100">
        <v>99.9</v>
      </c>
      <c r="J100" s="3">
        <f t="shared" si="27"/>
        <v>0.45973308789691675</v>
      </c>
      <c r="K100">
        <v>0</v>
      </c>
      <c r="L100" s="3">
        <f t="shared" si="28"/>
        <v>0</v>
      </c>
      <c r="M100">
        <v>46512</v>
      </c>
      <c r="N100">
        <f t="shared" si="29"/>
        <v>0.21893703898217673</v>
      </c>
      <c r="O100" s="15">
        <v>0.45133930100000003</v>
      </c>
      <c r="P100">
        <f t="shared" si="30"/>
        <v>0.4601198682926399</v>
      </c>
      <c r="Q100">
        <v>0.29849999999999999</v>
      </c>
      <c r="R100">
        <f t="shared" si="31"/>
        <v>0.6617158058080248</v>
      </c>
      <c r="S100">
        <f t="shared" si="32"/>
        <v>5.0848519592263421E-2</v>
      </c>
      <c r="T100" s="14">
        <f t="shared" si="33"/>
        <v>8.6835827100242888E-2</v>
      </c>
      <c r="U100" t="str">
        <f t="shared" si="34"/>
        <v>No Impact</v>
      </c>
      <c r="V100">
        <f t="shared" si="35"/>
        <v>5.9986092246733951E-2</v>
      </c>
      <c r="W100">
        <f t="shared" si="36"/>
        <v>8.8265045202013601E-2</v>
      </c>
      <c r="X100" t="s">
        <v>1176</v>
      </c>
      <c r="Y100">
        <f t="shared" si="37"/>
        <v>4.171094693779287E-2</v>
      </c>
      <c r="Z100">
        <f t="shared" si="38"/>
        <v>8.2097581551554E-2</v>
      </c>
      <c r="AA100" t="str">
        <f t="shared" si="39"/>
        <v>No Impact</v>
      </c>
      <c r="AB100">
        <f t="shared" si="40"/>
        <v>4.0454921280330347E-2</v>
      </c>
      <c r="AC100">
        <f t="shared" si="41"/>
        <v>9.3301219153299614E-2</v>
      </c>
      <c r="AD100" t="str">
        <f t="shared" si="42"/>
        <v>No Impact</v>
      </c>
      <c r="AE100">
        <f t="shared" si="43"/>
        <v>1.9847156893244594E-2</v>
      </c>
      <c r="AF100">
        <f t="shared" si="44"/>
        <v>0.10182448748654103</v>
      </c>
      <c r="AG100" t="s">
        <v>1175</v>
      </c>
    </row>
    <row r="101" spans="1:33" x14ac:dyDescent="0.3">
      <c r="A101">
        <v>201940</v>
      </c>
      <c r="B101" t="s">
        <v>135</v>
      </c>
      <c r="C101" s="1" t="s">
        <v>1174</v>
      </c>
      <c r="D101" t="s">
        <v>642</v>
      </c>
      <c r="E101" s="4">
        <v>4.4000000000000004</v>
      </c>
      <c r="F101" s="3">
        <f t="shared" si="25"/>
        <v>0.26666666666666672</v>
      </c>
      <c r="G101">
        <v>74.075040000000001</v>
      </c>
      <c r="H101">
        <f t="shared" si="26"/>
        <v>0.71672048235576868</v>
      </c>
      <c r="I101">
        <v>89.7</v>
      </c>
      <c r="J101" s="3">
        <f t="shared" si="27"/>
        <v>0.41279337321675108</v>
      </c>
      <c r="K101">
        <v>0</v>
      </c>
      <c r="L101" s="3">
        <f t="shared" si="28"/>
        <v>0</v>
      </c>
      <c r="M101">
        <v>53195</v>
      </c>
      <c r="N101">
        <f t="shared" si="29"/>
        <v>0.25055712481015174</v>
      </c>
      <c r="O101" s="15">
        <v>0.47338841999999998</v>
      </c>
      <c r="P101">
        <f t="shared" si="30"/>
        <v>0.48259794123636685</v>
      </c>
      <c r="Q101">
        <v>0.35599999999999998</v>
      </c>
      <c r="R101">
        <f t="shared" si="31"/>
        <v>0.78918199955663926</v>
      </c>
      <c r="S101">
        <f t="shared" si="32"/>
        <v>6.2613434586145433E-2</v>
      </c>
      <c r="T101" s="14">
        <f t="shared" si="33"/>
        <v>0.10692719126285327</v>
      </c>
      <c r="U101" t="str">
        <f t="shared" si="34"/>
        <v>No Impact</v>
      </c>
      <c r="V101">
        <f t="shared" si="35"/>
        <v>7.7707461677673326E-2</v>
      </c>
      <c r="W101">
        <f t="shared" si="36"/>
        <v>0.11434071399920234</v>
      </c>
      <c r="X101" t="s">
        <v>1176</v>
      </c>
      <c r="Y101">
        <f t="shared" si="37"/>
        <v>4.7519407494617548E-2</v>
      </c>
      <c r="Z101">
        <f t="shared" si="38"/>
        <v>9.353008546866913E-2</v>
      </c>
      <c r="AA101" t="str">
        <f t="shared" si="39"/>
        <v>No Impact</v>
      </c>
      <c r="AB101">
        <f t="shared" si="40"/>
        <v>5.0088394294396529E-2</v>
      </c>
      <c r="AC101">
        <f t="shared" si="41"/>
        <v>0.11551890611070324</v>
      </c>
      <c r="AD101" t="str">
        <f t="shared" si="42"/>
        <v>No Impact</v>
      </c>
      <c r="AE101">
        <f t="shared" si="43"/>
        <v>2.4671315596644594E-2</v>
      </c>
      <c r="AF101">
        <f t="shared" si="44"/>
        <v>0.12657450534399234</v>
      </c>
      <c r="AG101" t="s">
        <v>1175</v>
      </c>
    </row>
    <row r="102" spans="1:33" x14ac:dyDescent="0.3">
      <c r="A102">
        <v>201954</v>
      </c>
      <c r="B102" t="s">
        <v>210</v>
      </c>
      <c r="C102" s="1" t="s">
        <v>1174</v>
      </c>
      <c r="D102" t="s">
        <v>643</v>
      </c>
      <c r="E102" s="4">
        <v>4.4000000000000004</v>
      </c>
      <c r="F102" s="3">
        <f t="shared" si="25"/>
        <v>0.26666666666666672</v>
      </c>
      <c r="G102">
        <v>72.063720000000004</v>
      </c>
      <c r="H102">
        <f t="shared" si="26"/>
        <v>0.69725975387594874</v>
      </c>
      <c r="I102">
        <v>100.9</v>
      </c>
      <c r="J102" s="3">
        <f t="shared" si="27"/>
        <v>0.4643350207086977</v>
      </c>
      <c r="K102">
        <v>0</v>
      </c>
      <c r="L102" s="3">
        <f t="shared" si="28"/>
        <v>0</v>
      </c>
      <c r="M102">
        <v>23236</v>
      </c>
      <c r="N102">
        <f t="shared" si="29"/>
        <v>0.1088084862765137</v>
      </c>
      <c r="O102" s="15">
        <v>0.61484375000000002</v>
      </c>
      <c r="P102">
        <f t="shared" si="30"/>
        <v>0.62680520983603161</v>
      </c>
      <c r="Q102">
        <v>0.30049999999999999</v>
      </c>
      <c r="R102">
        <f t="shared" si="31"/>
        <v>0.66614941254710702</v>
      </c>
      <c r="S102">
        <f t="shared" si="32"/>
        <v>6.4091054797625516E-2</v>
      </c>
      <c r="T102" s="14">
        <f t="shared" si="33"/>
        <v>0.10945057590084835</v>
      </c>
      <c r="U102" t="str">
        <f t="shared" si="34"/>
        <v>No Impact</v>
      </c>
      <c r="V102">
        <f t="shared" si="35"/>
        <v>6.6041325447709631E-2</v>
      </c>
      <c r="W102">
        <f t="shared" si="36"/>
        <v>9.7174867665435552E-2</v>
      </c>
      <c r="X102" t="s">
        <v>1176</v>
      </c>
      <c r="Y102">
        <f t="shared" si="37"/>
        <v>6.21407841475414E-2</v>
      </c>
      <c r="Z102">
        <f t="shared" si="38"/>
        <v>0.12230861365575713</v>
      </c>
      <c r="AA102" t="str">
        <f t="shared" si="39"/>
        <v>No Impact</v>
      </c>
      <c r="AB102">
        <f t="shared" si="40"/>
        <v>4.5532203236694865E-2</v>
      </c>
      <c r="AC102">
        <f t="shared" si="41"/>
        <v>0.10501095882208464</v>
      </c>
      <c r="AD102" t="str">
        <f t="shared" si="42"/>
        <v>No Impact</v>
      </c>
      <c r="AE102">
        <f t="shared" si="43"/>
        <v>1.0787154530668804E-2</v>
      </c>
      <c r="AF102">
        <f t="shared" si="44"/>
        <v>5.5342762060662347E-2</v>
      </c>
      <c r="AG102" t="str">
        <f>IF(AF102&gt;0.7,"High",IF(AF102&gt;0.3,"Moderate",IF(AF102&gt;0.15,"Low","No Impact")))</f>
        <v>No Impact</v>
      </c>
    </row>
    <row r="103" spans="1:33" x14ac:dyDescent="0.3">
      <c r="A103">
        <v>201967</v>
      </c>
      <c r="B103" t="s">
        <v>116</v>
      </c>
      <c r="C103" s="1" t="s">
        <v>1174</v>
      </c>
      <c r="D103" t="s">
        <v>644</v>
      </c>
      <c r="E103" s="4">
        <v>4.4000000000000004</v>
      </c>
      <c r="F103" s="3">
        <f t="shared" si="25"/>
        <v>0.26666666666666672</v>
      </c>
      <c r="G103">
        <v>74.075040000000001</v>
      </c>
      <c r="H103">
        <f t="shared" si="26"/>
        <v>0.71672048235576868</v>
      </c>
      <c r="I103">
        <v>79.699999999999989</v>
      </c>
      <c r="J103" s="3">
        <f t="shared" si="27"/>
        <v>0.36677404509894151</v>
      </c>
      <c r="K103">
        <v>0</v>
      </c>
      <c r="L103" s="3">
        <f t="shared" si="28"/>
        <v>0</v>
      </c>
      <c r="M103">
        <v>64652</v>
      </c>
      <c r="N103">
        <f t="shared" si="29"/>
        <v>0.30476501398134875</v>
      </c>
      <c r="O103" s="15">
        <v>0.66842768200000002</v>
      </c>
      <c r="P103">
        <f t="shared" si="30"/>
        <v>0.6814315888812762</v>
      </c>
      <c r="Q103">
        <v>0.36059999999999998</v>
      </c>
      <c r="R103">
        <f t="shared" si="31"/>
        <v>0.79937929505652838</v>
      </c>
      <c r="S103">
        <f t="shared" si="32"/>
        <v>7.108741279881492E-2</v>
      </c>
      <c r="T103" s="14">
        <f t="shared" si="33"/>
        <v>0.12139850552779308</v>
      </c>
      <c r="U103" t="str">
        <f t="shared" si="34"/>
        <v>No Impact</v>
      </c>
      <c r="V103">
        <f t="shared" si="35"/>
        <v>7.6749578959599052E-2</v>
      </c>
      <c r="W103">
        <f t="shared" si="36"/>
        <v>0.11293126127037156</v>
      </c>
      <c r="X103" t="s">
        <v>1176</v>
      </c>
      <c r="Y103">
        <f t="shared" si="37"/>
        <v>6.5425246638030773E-2</v>
      </c>
      <c r="Z103">
        <f t="shared" si="38"/>
        <v>0.12877325775909332</v>
      </c>
      <c r="AA103" t="str">
        <f t="shared" si="39"/>
        <v>No Impact</v>
      </c>
      <c r="AB103">
        <f t="shared" si="40"/>
        <v>5.6731254276442954E-2</v>
      </c>
      <c r="AC103">
        <f t="shared" si="41"/>
        <v>0.1308393397038084</v>
      </c>
      <c r="AD103" t="str">
        <f t="shared" si="42"/>
        <v>No Impact</v>
      </c>
      <c r="AE103">
        <f t="shared" si="43"/>
        <v>2.926093614049731E-2</v>
      </c>
      <c r="AF103">
        <f t="shared" si="44"/>
        <v>0.1501212411384058</v>
      </c>
      <c r="AG103" t="s">
        <v>1175</v>
      </c>
    </row>
    <row r="104" spans="1:33" x14ac:dyDescent="0.3">
      <c r="A104">
        <v>201972</v>
      </c>
      <c r="B104" t="s">
        <v>294</v>
      </c>
      <c r="C104" s="1" t="s">
        <v>1174</v>
      </c>
      <c r="D104" t="s">
        <v>645</v>
      </c>
      <c r="E104" s="4">
        <v>4.4000000000000004</v>
      </c>
      <c r="F104" s="3">
        <f t="shared" si="25"/>
        <v>0.26666666666666672</v>
      </c>
      <c r="G104">
        <v>75.02112000000001</v>
      </c>
      <c r="H104">
        <f t="shared" si="26"/>
        <v>0.72587437432730395</v>
      </c>
      <c r="I104">
        <v>75.899999999999991</v>
      </c>
      <c r="J104" s="3">
        <f t="shared" si="27"/>
        <v>0.34928670041417392</v>
      </c>
      <c r="K104">
        <v>0</v>
      </c>
      <c r="L104" s="3">
        <f t="shared" si="28"/>
        <v>0</v>
      </c>
      <c r="M104">
        <v>22886</v>
      </c>
      <c r="N104">
        <f t="shared" si="29"/>
        <v>0.10715248896396076</v>
      </c>
      <c r="O104" s="15">
        <v>0.54074714300000004</v>
      </c>
      <c r="P104">
        <f t="shared" si="30"/>
        <v>0.55126709255213147</v>
      </c>
      <c r="Q104">
        <v>0.33650000000000002</v>
      </c>
      <c r="R104">
        <f t="shared" si="31"/>
        <v>0.74595433385058751</v>
      </c>
      <c r="S104">
        <f t="shared" si="32"/>
        <v>6.2302447313143126E-2</v>
      </c>
      <c r="T104" s="14">
        <f t="shared" si="33"/>
        <v>0.10639610722569061</v>
      </c>
      <c r="U104" t="str">
        <f t="shared" si="34"/>
        <v>No Impact</v>
      </c>
      <c r="V104">
        <f t="shared" si="35"/>
        <v>7.1652810594741184E-2</v>
      </c>
      <c r="W104">
        <f t="shared" si="36"/>
        <v>0.10543174807891399</v>
      </c>
      <c r="X104" t="s">
        <v>1176</v>
      </c>
      <c r="Y104">
        <f t="shared" si="37"/>
        <v>5.2952084031545069E-2</v>
      </c>
      <c r="Z104">
        <f t="shared" si="38"/>
        <v>0.10422295239635586</v>
      </c>
      <c r="AA104" t="str">
        <f t="shared" si="39"/>
        <v>No Impact</v>
      </c>
      <c r="AB104">
        <f t="shared" si="40"/>
        <v>4.4566503631117103E-2</v>
      </c>
      <c r="AC104">
        <f t="shared" si="41"/>
        <v>0.1027837650052455</v>
      </c>
      <c r="AD104" t="str">
        <f t="shared" si="42"/>
        <v>No Impact</v>
      </c>
      <c r="AE104">
        <f t="shared" si="43"/>
        <v>1.0292556324269056E-2</v>
      </c>
      <c r="AF104">
        <f t="shared" si="44"/>
        <v>5.2805259628988688E-2</v>
      </c>
      <c r="AG104" t="str">
        <f t="shared" ref="AG104:AG107" si="49">IF(AF104&gt;0.7,"High",IF(AF104&gt;0.3,"Moderate",IF(AF104&gt;0.15,"Low","No Impact")))</f>
        <v>No Impact</v>
      </c>
    </row>
    <row r="105" spans="1:33" x14ac:dyDescent="0.3">
      <c r="A105">
        <v>201973</v>
      </c>
      <c r="B105" t="s">
        <v>1167</v>
      </c>
      <c r="C105" s="1" t="s">
        <v>1174</v>
      </c>
      <c r="D105" s="15" t="s">
        <v>1168</v>
      </c>
      <c r="E105" s="4">
        <v>4.4000000000000004</v>
      </c>
      <c r="F105" s="3">
        <f t="shared" si="25"/>
        <v>0.26666666666666672</v>
      </c>
      <c r="G105">
        <v>75.02112000000001</v>
      </c>
      <c r="H105">
        <f t="shared" si="26"/>
        <v>0.72587437432730395</v>
      </c>
      <c r="I105">
        <v>75.899999999999991</v>
      </c>
      <c r="J105" s="3">
        <f t="shared" si="27"/>
        <v>0.34928670041417392</v>
      </c>
      <c r="K105">
        <v>0</v>
      </c>
      <c r="L105" s="3">
        <f t="shared" si="28"/>
        <v>0</v>
      </c>
      <c r="M105">
        <v>22886</v>
      </c>
      <c r="N105">
        <f t="shared" si="29"/>
        <v>0.10715248896396076</v>
      </c>
      <c r="O105" s="15">
        <v>0.54074714300000004</v>
      </c>
      <c r="P105">
        <f t="shared" si="30"/>
        <v>0.55126709255213147</v>
      </c>
      <c r="Q105">
        <v>0.33650000000000002</v>
      </c>
      <c r="R105">
        <f t="shared" si="31"/>
        <v>0.74595433385058751</v>
      </c>
      <c r="S105">
        <f t="shared" si="32"/>
        <v>6.2302447313143126E-2</v>
      </c>
      <c r="T105" s="14">
        <f t="shared" si="33"/>
        <v>0.10639610722569061</v>
      </c>
      <c r="U105" t="str">
        <f t="shared" si="34"/>
        <v>No Impact</v>
      </c>
      <c r="V105">
        <f t="shared" si="35"/>
        <v>7.1652810594741184E-2</v>
      </c>
      <c r="W105">
        <f t="shared" si="36"/>
        <v>0.10543174807891399</v>
      </c>
      <c r="X105" t="s">
        <v>1176</v>
      </c>
      <c r="Y105">
        <f t="shared" si="37"/>
        <v>5.2952084031545069E-2</v>
      </c>
      <c r="Z105">
        <f t="shared" si="38"/>
        <v>0.10422295239635586</v>
      </c>
      <c r="AA105" t="str">
        <f t="shared" si="39"/>
        <v>No Impact</v>
      </c>
      <c r="AB105">
        <f t="shared" si="40"/>
        <v>4.4566503631117103E-2</v>
      </c>
      <c r="AC105">
        <f t="shared" si="41"/>
        <v>0.1027837650052455</v>
      </c>
      <c r="AD105" t="str">
        <f t="shared" si="42"/>
        <v>No Impact</v>
      </c>
      <c r="AE105">
        <f t="shared" si="43"/>
        <v>1.0292556324269056E-2</v>
      </c>
      <c r="AF105">
        <f t="shared" si="44"/>
        <v>5.2805259628988688E-2</v>
      </c>
      <c r="AG105" t="str">
        <f t="shared" si="49"/>
        <v>No Impact</v>
      </c>
    </row>
    <row r="106" spans="1:33" x14ac:dyDescent="0.3">
      <c r="A106">
        <v>201974</v>
      </c>
      <c r="B106" t="s">
        <v>322</v>
      </c>
      <c r="C106" s="1" t="s">
        <v>1174</v>
      </c>
      <c r="D106" t="s">
        <v>646</v>
      </c>
      <c r="E106" s="4">
        <v>4.4000000000000004</v>
      </c>
      <c r="F106" s="3">
        <f t="shared" si="25"/>
        <v>0.26666666666666672</v>
      </c>
      <c r="G106">
        <v>78.304680000000005</v>
      </c>
      <c r="H106">
        <f t="shared" si="26"/>
        <v>0.75764478858619744</v>
      </c>
      <c r="I106">
        <v>76.8</v>
      </c>
      <c r="J106" s="3">
        <f t="shared" si="27"/>
        <v>0.3534284399447768</v>
      </c>
      <c r="K106">
        <v>0</v>
      </c>
      <c r="L106" s="3">
        <f t="shared" si="28"/>
        <v>0</v>
      </c>
      <c r="M106">
        <v>12259</v>
      </c>
      <c r="N106">
        <f t="shared" si="29"/>
        <v>5.6871679133960719E-2</v>
      </c>
      <c r="O106" s="15">
        <v>0.38828520700000002</v>
      </c>
      <c r="P106">
        <f t="shared" si="30"/>
        <v>0.39583909025644637</v>
      </c>
      <c r="Q106">
        <v>0.31230000000000002</v>
      </c>
      <c r="R106">
        <f t="shared" si="31"/>
        <v>0.6923076923076924</v>
      </c>
      <c r="S106">
        <f t="shared" si="32"/>
        <v>5.4225053275885025E-2</v>
      </c>
      <c r="T106" s="14">
        <f t="shared" si="33"/>
        <v>9.2602053875382326E-2</v>
      </c>
      <c r="U106" t="str">
        <f t="shared" si="34"/>
        <v>No Impact</v>
      </c>
      <c r="V106">
        <f t="shared" si="35"/>
        <v>6.8998819093557137E-2</v>
      </c>
      <c r="W106">
        <f t="shared" si="36"/>
        <v>0.10152659821760553</v>
      </c>
      <c r="X106" t="s">
        <v>1176</v>
      </c>
      <c r="Y106">
        <f t="shared" si="37"/>
        <v>3.94512874582129E-2</v>
      </c>
      <c r="Z106">
        <f t="shared" si="38"/>
        <v>7.7650006226058998E-2</v>
      </c>
      <c r="AA106" t="str">
        <f t="shared" si="39"/>
        <v>No Impact</v>
      </c>
      <c r="AB106">
        <f t="shared" si="40"/>
        <v>3.7968812707487198E-2</v>
      </c>
      <c r="AC106">
        <f t="shared" si="41"/>
        <v>8.7567504849756631E-2</v>
      </c>
      <c r="AD106" t="str">
        <f t="shared" si="42"/>
        <v>No Impact</v>
      </c>
      <c r="AE106">
        <f t="shared" si="43"/>
        <v>5.6681136779380865E-3</v>
      </c>
      <c r="AF106">
        <f t="shared" si="44"/>
        <v>2.9079871408077856E-2</v>
      </c>
      <c r="AG106" t="str">
        <f t="shared" si="49"/>
        <v>No Impact</v>
      </c>
    </row>
    <row r="107" spans="1:33" x14ac:dyDescent="0.3">
      <c r="A107">
        <v>201975</v>
      </c>
      <c r="B107" t="s">
        <v>330</v>
      </c>
      <c r="C107" s="1" t="s">
        <v>1174</v>
      </c>
      <c r="D107" t="s">
        <v>647</v>
      </c>
      <c r="E107" s="4">
        <v>3.2</v>
      </c>
      <c r="F107" s="3">
        <f t="shared" si="25"/>
        <v>0</v>
      </c>
      <c r="G107">
        <v>70.93368000000001</v>
      </c>
      <c r="H107">
        <f t="shared" si="26"/>
        <v>0.68632593846550405</v>
      </c>
      <c r="I107">
        <v>100.9</v>
      </c>
      <c r="J107" s="3">
        <f t="shared" si="27"/>
        <v>0.4643350207086977</v>
      </c>
      <c r="K107">
        <v>0</v>
      </c>
      <c r="L107" s="3">
        <f t="shared" si="28"/>
        <v>0</v>
      </c>
      <c r="M107">
        <v>18727</v>
      </c>
      <c r="N107">
        <f t="shared" si="29"/>
        <v>8.7474509469938913E-2</v>
      </c>
      <c r="O107" s="15">
        <v>0.62193120599999996</v>
      </c>
      <c r="P107">
        <f t="shared" si="30"/>
        <v>0.63403054854246488</v>
      </c>
      <c r="Q107">
        <v>0.27110000000000001</v>
      </c>
      <c r="R107">
        <f t="shared" si="31"/>
        <v>0.6009753934825981</v>
      </c>
      <c r="S107">
        <f t="shared" si="32"/>
        <v>0</v>
      </c>
      <c r="T107" s="14">
        <f t="shared" si="33"/>
        <v>0</v>
      </c>
      <c r="U107" t="str">
        <f t="shared" si="34"/>
        <v>No Impact</v>
      </c>
      <c r="V107">
        <f t="shared" si="35"/>
        <v>0</v>
      </c>
      <c r="W107">
        <f t="shared" si="36"/>
        <v>0</v>
      </c>
      <c r="X107" t="s">
        <v>1176</v>
      </c>
      <c r="Y107">
        <f t="shared" si="37"/>
        <v>0</v>
      </c>
      <c r="Z107">
        <f t="shared" si="38"/>
        <v>0</v>
      </c>
      <c r="AA107" t="str">
        <f t="shared" si="39"/>
        <v>No Impact</v>
      </c>
      <c r="AB107">
        <f t="shared" si="40"/>
        <v>0</v>
      </c>
      <c r="AC107">
        <f t="shared" si="41"/>
        <v>0</v>
      </c>
      <c r="AD107" t="str">
        <f t="shared" si="42"/>
        <v>No Impact</v>
      </c>
      <c r="AE107">
        <f t="shared" si="43"/>
        <v>0</v>
      </c>
      <c r="AF107">
        <f t="shared" si="44"/>
        <v>0</v>
      </c>
      <c r="AG107" t="str">
        <f t="shared" si="49"/>
        <v>No Impact</v>
      </c>
    </row>
    <row r="108" spans="1:33" x14ac:dyDescent="0.3">
      <c r="A108">
        <v>201981</v>
      </c>
      <c r="B108" t="s">
        <v>354</v>
      </c>
      <c r="C108" s="1" t="s">
        <v>1174</v>
      </c>
      <c r="D108" t="s">
        <v>648</v>
      </c>
      <c r="E108" s="4">
        <v>4.4000000000000004</v>
      </c>
      <c r="F108" s="3">
        <f t="shared" si="25"/>
        <v>0.26666666666666672</v>
      </c>
      <c r="G108">
        <v>72.063720000000004</v>
      </c>
      <c r="H108">
        <f t="shared" si="26"/>
        <v>0.69725975387594874</v>
      </c>
      <c r="I108">
        <v>92.8</v>
      </c>
      <c r="J108" s="3">
        <f t="shared" si="27"/>
        <v>0.42705936493327201</v>
      </c>
      <c r="K108">
        <v>0</v>
      </c>
      <c r="L108" s="3">
        <f t="shared" si="28"/>
        <v>0</v>
      </c>
      <c r="M108">
        <v>60123</v>
      </c>
      <c r="N108">
        <f t="shared" si="29"/>
        <v>0.28333640875691379</v>
      </c>
      <c r="O108" s="15">
        <v>0.38679064000000002</v>
      </c>
      <c r="P108">
        <f t="shared" si="30"/>
        <v>0.39431544724625234</v>
      </c>
      <c r="Q108">
        <v>0.31879999999999997</v>
      </c>
      <c r="R108">
        <f t="shared" si="31"/>
        <v>0.7067169142097095</v>
      </c>
      <c r="S108">
        <f t="shared" si="32"/>
        <v>5.348312767388911E-2</v>
      </c>
      <c r="T108" s="14">
        <f t="shared" si="33"/>
        <v>9.1335041112517876E-2</v>
      </c>
      <c r="U108" t="str">
        <f t="shared" si="34"/>
        <v>No Impact</v>
      </c>
      <c r="V108">
        <f t="shared" si="35"/>
        <v>6.8658165327662113E-2</v>
      </c>
      <c r="W108">
        <f t="shared" si="36"/>
        <v>0.10102535169664054</v>
      </c>
      <c r="X108" t="s">
        <v>1176</v>
      </c>
      <c r="Y108">
        <f t="shared" si="37"/>
        <v>3.8308090020116106E-2</v>
      </c>
      <c r="Z108">
        <f t="shared" si="38"/>
        <v>7.5399907587836962E-2</v>
      </c>
      <c r="AA108" t="str">
        <f t="shared" si="39"/>
        <v>No Impact</v>
      </c>
      <c r="AB108">
        <f t="shared" si="40"/>
        <v>4.5157017703726134E-2</v>
      </c>
      <c r="AC108">
        <f t="shared" si="41"/>
        <v>0.10414566811018099</v>
      </c>
      <c r="AD108" t="str">
        <f t="shared" si="42"/>
        <v>No Impact</v>
      </c>
      <c r="AE108">
        <f t="shared" si="43"/>
        <v>2.7526379522884455E-2</v>
      </c>
      <c r="AF108">
        <f t="shared" si="44"/>
        <v>0.14122221647936592</v>
      </c>
      <c r="AG108" t="s">
        <v>1175</v>
      </c>
    </row>
    <row r="109" spans="1:33" x14ac:dyDescent="0.3">
      <c r="A109">
        <v>201987</v>
      </c>
      <c r="B109" t="s">
        <v>368</v>
      </c>
      <c r="C109" s="1" t="s">
        <v>1174</v>
      </c>
      <c r="D109" t="s">
        <v>649</v>
      </c>
      <c r="E109" s="4">
        <v>4.4000000000000004</v>
      </c>
      <c r="F109" s="3">
        <f t="shared" si="25"/>
        <v>0.26666666666666672</v>
      </c>
      <c r="G109">
        <v>77.994720000000001</v>
      </c>
      <c r="H109">
        <f t="shared" si="26"/>
        <v>0.754645739504199</v>
      </c>
      <c r="I109">
        <v>71.099999999999994</v>
      </c>
      <c r="J109" s="3">
        <f t="shared" si="27"/>
        <v>0.32719742291762538</v>
      </c>
      <c r="K109">
        <v>0</v>
      </c>
      <c r="L109" s="3">
        <f t="shared" si="28"/>
        <v>0</v>
      </c>
      <c r="M109">
        <v>33417</v>
      </c>
      <c r="N109">
        <f t="shared" si="29"/>
        <v>0.15697908238823202</v>
      </c>
      <c r="O109" s="15">
        <v>0.54291955700000005</v>
      </c>
      <c r="P109">
        <f t="shared" si="30"/>
        <v>0.55348176971705465</v>
      </c>
      <c r="Q109">
        <v>0.3619</v>
      </c>
      <c r="R109">
        <f t="shared" si="31"/>
        <v>0.80226113943693189</v>
      </c>
      <c r="S109">
        <f t="shared" si="32"/>
        <v>6.6394848174031934E-2</v>
      </c>
      <c r="T109" s="14">
        <f t="shared" si="33"/>
        <v>0.11338484586411293</v>
      </c>
      <c r="U109" t="str">
        <f t="shared" si="34"/>
        <v>No Impact</v>
      </c>
      <c r="V109">
        <f t="shared" si="35"/>
        <v>7.857832954786409E-2</v>
      </c>
      <c r="W109">
        <f t="shared" si="36"/>
        <v>0.11562213089182471</v>
      </c>
      <c r="X109" t="s">
        <v>1176</v>
      </c>
      <c r="Y109">
        <f t="shared" si="37"/>
        <v>5.4211366800199785E-2</v>
      </c>
      <c r="Z109">
        <f t="shared" si="38"/>
        <v>0.10670153601495082</v>
      </c>
      <c r="AA109" t="str">
        <f t="shared" si="39"/>
        <v>No Impact</v>
      </c>
      <c r="AB109">
        <f t="shared" si="40"/>
        <v>4.9147245111102057E-2</v>
      </c>
      <c r="AC109">
        <f t="shared" si="41"/>
        <v>0.11334833295353335</v>
      </c>
      <c r="AD109" t="str">
        <f t="shared" si="42"/>
        <v>No Impact</v>
      </c>
      <c r="AE109">
        <f t="shared" si="43"/>
        <v>1.5375484940827681E-2</v>
      </c>
      <c r="AF109">
        <f t="shared" si="44"/>
        <v>7.8882878911976276E-2</v>
      </c>
      <c r="AG109" t="s">
        <v>1175</v>
      </c>
    </row>
    <row r="110" spans="1:33" x14ac:dyDescent="0.3">
      <c r="A110">
        <v>201994</v>
      </c>
      <c r="B110" t="s">
        <v>523</v>
      </c>
      <c r="C110" s="1" t="s">
        <v>1174</v>
      </c>
      <c r="D110" t="s">
        <v>650</v>
      </c>
      <c r="E110" s="4">
        <v>4.3</v>
      </c>
      <c r="F110" s="3">
        <f t="shared" si="25"/>
        <v>0.24444444444444435</v>
      </c>
      <c r="G110">
        <v>72.063720000000004</v>
      </c>
      <c r="H110">
        <f t="shared" si="26"/>
        <v>0.69725975387594874</v>
      </c>
      <c r="I110">
        <v>100.9</v>
      </c>
      <c r="J110" s="3">
        <f t="shared" si="27"/>
        <v>0.4643350207086977</v>
      </c>
      <c r="K110">
        <v>0</v>
      </c>
      <c r="L110" s="3">
        <f t="shared" si="28"/>
        <v>0</v>
      </c>
      <c r="M110">
        <v>27825</v>
      </c>
      <c r="N110">
        <f t="shared" si="29"/>
        <v>0.13052097675452914</v>
      </c>
      <c r="O110" s="15">
        <v>0.61333753099999999</v>
      </c>
      <c r="P110">
        <f t="shared" si="30"/>
        <v>0.62526968814234263</v>
      </c>
      <c r="Q110">
        <v>0.3034</v>
      </c>
      <c r="R110">
        <f t="shared" si="31"/>
        <v>0.67257814231877633</v>
      </c>
      <c r="S110">
        <f t="shared" si="32"/>
        <v>5.8972474413243332E-2</v>
      </c>
      <c r="T110" s="14">
        <f t="shared" si="33"/>
        <v>0.10070939395846329</v>
      </c>
      <c r="U110" t="str">
        <f t="shared" si="34"/>
        <v>No Impact</v>
      </c>
      <c r="V110">
        <f t="shared" si="35"/>
        <v>6.1122107473429277E-2</v>
      </c>
      <c r="W110">
        <f t="shared" si="36"/>
        <v>8.993660658530904E-2</v>
      </c>
      <c r="X110" t="s">
        <v>1176</v>
      </c>
      <c r="Y110">
        <f t="shared" si="37"/>
        <v>5.6822841353057388E-2</v>
      </c>
      <c r="Z110">
        <f t="shared" si="38"/>
        <v>0.11184157144480529</v>
      </c>
      <c r="AA110" t="str">
        <f t="shared" si="39"/>
        <v>No Impact</v>
      </c>
      <c r="AB110">
        <f t="shared" si="40"/>
        <v>4.2591079392693632E-2</v>
      </c>
      <c r="AC110">
        <f t="shared" si="41"/>
        <v>9.8227842413956171E-2</v>
      </c>
      <c r="AD110" t="str">
        <f t="shared" si="42"/>
        <v>No Impact</v>
      </c>
      <c r="AE110">
        <f t="shared" si="43"/>
        <v>1.1861398203074762E-2</v>
      </c>
      <c r="AF110">
        <f t="shared" si="44"/>
        <v>6.085409610043243E-2</v>
      </c>
      <c r="AG110" t="str">
        <f>IF(AF110&gt;0.7,"High",IF(AF110&gt;0.3,"Moderate",IF(AF110&gt;0.15,"Low","No Impact")))</f>
        <v>No Impact</v>
      </c>
    </row>
    <row r="111" spans="1:33" x14ac:dyDescent="0.3">
      <c r="A111">
        <v>202216</v>
      </c>
      <c r="B111" t="s">
        <v>94</v>
      </c>
      <c r="C111" s="1" t="s">
        <v>652</v>
      </c>
      <c r="D111" t="s">
        <v>651</v>
      </c>
      <c r="E111" s="4">
        <v>7.1</v>
      </c>
      <c r="F111" s="3">
        <f t="shared" si="25"/>
        <v>0.86666666666666659</v>
      </c>
      <c r="G111">
        <v>74.161079999999998</v>
      </c>
      <c r="H111">
        <f t="shared" si="26"/>
        <v>0.71755297100919213</v>
      </c>
      <c r="I111">
        <v>30.200000000000003</v>
      </c>
      <c r="J111" s="3">
        <f t="shared" si="27"/>
        <v>0.13897837091578466</v>
      </c>
      <c r="K111">
        <v>0</v>
      </c>
      <c r="L111" s="3">
        <f t="shared" si="28"/>
        <v>0</v>
      </c>
      <c r="M111">
        <v>58413</v>
      </c>
      <c r="N111">
        <f t="shared" si="29"/>
        <v>0.27524567902986946</v>
      </c>
      <c r="O111" s="15">
        <v>0.39566949200000001</v>
      </c>
      <c r="P111">
        <f t="shared" si="30"/>
        <v>0.40336703261401946</v>
      </c>
      <c r="Q111">
        <v>0.3775</v>
      </c>
      <c r="R111">
        <f t="shared" si="31"/>
        <v>0.83684327200177344</v>
      </c>
      <c r="S111">
        <f t="shared" si="32"/>
        <v>0.16919028405370229</v>
      </c>
      <c r="T111" s="14">
        <f t="shared" si="33"/>
        <v>0.28893227120349874</v>
      </c>
      <c r="U111" t="str">
        <f t="shared" si="34"/>
        <v>Low</v>
      </c>
      <c r="V111">
        <f t="shared" si="35"/>
        <v>0.22832539025269882</v>
      </c>
      <c r="W111">
        <f t="shared" si="36"/>
        <v>0.33596372319984108</v>
      </c>
      <c r="X111" t="str">
        <f t="shared" si="48"/>
        <v>Moderate</v>
      </c>
      <c r="Y111">
        <f t="shared" si="37"/>
        <v>0.11005517785470577</v>
      </c>
      <c r="Z111">
        <f t="shared" si="38"/>
        <v>0.21661613083425207</v>
      </c>
      <c r="AA111" t="str">
        <f t="shared" si="39"/>
        <v>Low</v>
      </c>
      <c r="AB111">
        <f t="shared" si="40"/>
        <v>0.1392148742157287</v>
      </c>
      <c r="AC111">
        <f t="shared" si="41"/>
        <v>0.32107138210935304</v>
      </c>
      <c r="AD111" t="str">
        <f t="shared" si="42"/>
        <v>Moderate</v>
      </c>
      <c r="AE111">
        <f t="shared" si="43"/>
        <v>7.5098383631064011E-2</v>
      </c>
      <c r="AF111">
        <f t="shared" si="44"/>
        <v>0.38528714543005937</v>
      </c>
      <c r="AG111" t="str">
        <f t="shared" si="46"/>
        <v>Moderate</v>
      </c>
    </row>
    <row r="112" spans="1:33" x14ac:dyDescent="0.3">
      <c r="A112">
        <v>202224</v>
      </c>
      <c r="B112" t="s">
        <v>120</v>
      </c>
      <c r="C112" s="1" t="s">
        <v>652</v>
      </c>
      <c r="D112" t="s">
        <v>653</v>
      </c>
      <c r="E112" s="4">
        <v>7.1</v>
      </c>
      <c r="F112" s="3">
        <f t="shared" si="25"/>
        <v>0.86666666666666659</v>
      </c>
      <c r="G112">
        <v>78.667560000000009</v>
      </c>
      <c r="H112">
        <f t="shared" si="26"/>
        <v>0.76115587043829314</v>
      </c>
      <c r="I112">
        <v>44.699999999999996</v>
      </c>
      <c r="J112" s="3">
        <f t="shared" si="27"/>
        <v>0.20570639668660837</v>
      </c>
      <c r="K112">
        <v>0</v>
      </c>
      <c r="L112" s="3">
        <f t="shared" si="28"/>
        <v>0</v>
      </c>
      <c r="M112">
        <v>22156.5</v>
      </c>
      <c r="N112">
        <f t="shared" si="29"/>
        <v>0.10370091742251115</v>
      </c>
      <c r="O112" s="15">
        <v>0.60906580499999996</v>
      </c>
      <c r="P112">
        <f t="shared" si="30"/>
        <v>0.62091485797322721</v>
      </c>
      <c r="Q112">
        <v>0.372</v>
      </c>
      <c r="R112">
        <f t="shared" si="31"/>
        <v>0.82465085346929723</v>
      </c>
      <c r="S112">
        <f t="shared" si="32"/>
        <v>0.21649019326238422</v>
      </c>
      <c r="T112" s="14">
        <f t="shared" si="33"/>
        <v>0.36970801002220011</v>
      </c>
      <c r="U112" t="str">
        <f t="shared" si="34"/>
        <v>Moderate</v>
      </c>
      <c r="V112">
        <f t="shared" si="35"/>
        <v>0.2470020162049984</v>
      </c>
      <c r="W112">
        <f t="shared" si="36"/>
        <v>0.36344498047394824</v>
      </c>
      <c r="X112" t="str">
        <f t="shared" si="48"/>
        <v>Moderate</v>
      </c>
      <c r="Y112">
        <f t="shared" si="37"/>
        <v>0.18597837031976999</v>
      </c>
      <c r="Z112">
        <f t="shared" si="38"/>
        <v>0.36605197304495313</v>
      </c>
      <c r="AA112" t="str">
        <f t="shared" si="39"/>
        <v>Moderate</v>
      </c>
      <c r="AB112">
        <f t="shared" si="40"/>
        <v>0.153115505449755</v>
      </c>
      <c r="AC112">
        <f t="shared" si="41"/>
        <v>0.35313041967731584</v>
      </c>
      <c r="AD112" t="str">
        <f t="shared" si="42"/>
        <v>Moderate</v>
      </c>
      <c r="AE112">
        <f t="shared" si="43"/>
        <v>3.1060824805927343E-2</v>
      </c>
      <c r="AF112">
        <f t="shared" si="44"/>
        <v>0.15935544742175656</v>
      </c>
      <c r="AG112" t="s">
        <v>1175</v>
      </c>
    </row>
    <row r="113" spans="1:33" x14ac:dyDescent="0.3">
      <c r="A113">
        <v>202232</v>
      </c>
      <c r="B113" t="s">
        <v>1169</v>
      </c>
      <c r="C113" t="s">
        <v>652</v>
      </c>
      <c r="D113" s="15" t="s">
        <v>1170</v>
      </c>
      <c r="E113" s="4">
        <v>7.1</v>
      </c>
      <c r="F113" s="3">
        <f t="shared" si="25"/>
        <v>0.86666666666666659</v>
      </c>
      <c r="G113">
        <v>78.667560000000009</v>
      </c>
      <c r="H113">
        <f t="shared" si="26"/>
        <v>0.76115587043829314</v>
      </c>
      <c r="I113">
        <v>44.699999999999996</v>
      </c>
      <c r="J113" s="3">
        <f t="shared" si="27"/>
        <v>0.20570639668660837</v>
      </c>
      <c r="K113">
        <v>0</v>
      </c>
      <c r="L113" s="3">
        <f t="shared" si="28"/>
        <v>0</v>
      </c>
      <c r="M113">
        <v>22156.5</v>
      </c>
      <c r="N113">
        <f t="shared" si="29"/>
        <v>0.10370091742251115</v>
      </c>
      <c r="O113" s="15">
        <v>0.60906580499999996</v>
      </c>
      <c r="P113">
        <f t="shared" si="30"/>
        <v>0.62091485797322721</v>
      </c>
      <c r="Q113">
        <v>0.372</v>
      </c>
      <c r="R113">
        <f t="shared" si="31"/>
        <v>0.82465085346929723</v>
      </c>
      <c r="S113">
        <f t="shared" si="32"/>
        <v>0.21649019326238422</v>
      </c>
      <c r="T113" s="14">
        <f t="shared" si="33"/>
        <v>0.36970801002220011</v>
      </c>
      <c r="U113" t="str">
        <f t="shared" si="34"/>
        <v>Moderate</v>
      </c>
      <c r="V113">
        <f t="shared" si="35"/>
        <v>0.2470020162049984</v>
      </c>
      <c r="W113">
        <f t="shared" si="36"/>
        <v>0.36344498047394824</v>
      </c>
      <c r="X113" t="str">
        <f t="shared" si="48"/>
        <v>Moderate</v>
      </c>
      <c r="Y113">
        <f t="shared" si="37"/>
        <v>0.18597837031976999</v>
      </c>
      <c r="Z113">
        <f t="shared" si="38"/>
        <v>0.36605197304495313</v>
      </c>
      <c r="AA113" t="str">
        <f t="shared" si="39"/>
        <v>Moderate</v>
      </c>
      <c r="AB113">
        <f t="shared" si="40"/>
        <v>0.153115505449755</v>
      </c>
      <c r="AC113">
        <f t="shared" si="41"/>
        <v>0.35313041967731584</v>
      </c>
      <c r="AD113" t="str">
        <f t="shared" si="42"/>
        <v>Moderate</v>
      </c>
      <c r="AE113">
        <f t="shared" si="43"/>
        <v>3.1060824805927343E-2</v>
      </c>
      <c r="AF113">
        <f t="shared" si="44"/>
        <v>0.15935544742175656</v>
      </c>
      <c r="AG113" t="s">
        <v>1175</v>
      </c>
    </row>
    <row r="114" spans="1:33" x14ac:dyDescent="0.3">
      <c r="A114">
        <v>202245</v>
      </c>
      <c r="B114" t="s">
        <v>292</v>
      </c>
      <c r="C114" s="1" t="s">
        <v>652</v>
      </c>
      <c r="D114" t="s">
        <v>654</v>
      </c>
      <c r="E114" s="4">
        <v>6.2</v>
      </c>
      <c r="F114" s="3">
        <f t="shared" si="25"/>
        <v>0.66666666666666663</v>
      </c>
      <c r="G114">
        <v>83.595960000000005</v>
      </c>
      <c r="H114">
        <f t="shared" si="26"/>
        <v>0.80884109916367986</v>
      </c>
      <c r="I114">
        <v>45.8</v>
      </c>
      <c r="J114" s="3">
        <f t="shared" si="27"/>
        <v>0.21076852277956742</v>
      </c>
      <c r="K114">
        <v>0</v>
      </c>
      <c r="L114" s="3">
        <f t="shared" si="28"/>
        <v>0</v>
      </c>
      <c r="M114">
        <v>10526</v>
      </c>
      <c r="N114">
        <f t="shared" si="29"/>
        <v>4.8672126726377198E-2</v>
      </c>
      <c r="O114" s="15">
        <v>0.47861640100000002</v>
      </c>
      <c r="P114">
        <f t="shared" si="30"/>
        <v>0.48792762984054278</v>
      </c>
      <c r="Q114">
        <v>0.24179999999999999</v>
      </c>
      <c r="R114">
        <f t="shared" si="31"/>
        <v>0.53602305475504319</v>
      </c>
      <c r="S114">
        <f t="shared" si="32"/>
        <v>0.12481622450844872</v>
      </c>
      <c r="T114" s="14">
        <f t="shared" si="33"/>
        <v>0.21315311001443252</v>
      </c>
      <c r="U114" t="str">
        <f t="shared" si="34"/>
        <v>Low</v>
      </c>
      <c r="V114">
        <f t="shared" si="35"/>
        <v>0.13067889879957287</v>
      </c>
      <c r="W114">
        <f t="shared" si="36"/>
        <v>0.19228421918285016</v>
      </c>
      <c r="X114" t="s">
        <v>1176</v>
      </c>
      <c r="Y114">
        <f t="shared" si="37"/>
        <v>0.11895355021732457</v>
      </c>
      <c r="Z114">
        <f t="shared" si="38"/>
        <v>0.23413035442178415</v>
      </c>
      <c r="AA114" t="str">
        <f t="shared" si="39"/>
        <v>Low</v>
      </c>
      <c r="AB114">
        <f t="shared" si="40"/>
        <v>8.5576760288211651E-2</v>
      </c>
      <c r="AC114">
        <f t="shared" si="41"/>
        <v>0.19736575460751021</v>
      </c>
      <c r="AD114" t="str">
        <f t="shared" si="42"/>
        <v>Low</v>
      </c>
      <c r="AE114">
        <f t="shared" si="43"/>
        <v>1.1865944694753616E-2</v>
      </c>
      <c r="AF114">
        <f t="shared" si="44"/>
        <v>6.0877421566520658E-2</v>
      </c>
      <c r="AG114" t="str">
        <f>IF(AF114&gt;0.7,"High",IF(AF114&gt;0.3,"Moderate",IF(AF114&gt;0.15,"Low","No Impact")))</f>
        <v>No Impact</v>
      </c>
    </row>
    <row r="115" spans="1:33" x14ac:dyDescent="0.3">
      <c r="A115">
        <v>202249</v>
      </c>
      <c r="B115" t="s">
        <v>315</v>
      </c>
      <c r="C115" s="1" t="s">
        <v>652</v>
      </c>
      <c r="D115" t="s">
        <v>655</v>
      </c>
      <c r="E115" s="4">
        <v>6.2</v>
      </c>
      <c r="F115" s="3">
        <f t="shared" si="25"/>
        <v>0.66666666666666663</v>
      </c>
      <c r="G115">
        <v>88.842600000000004</v>
      </c>
      <c r="H115">
        <f t="shared" si="26"/>
        <v>0.85960549094189653</v>
      </c>
      <c r="I115">
        <v>54.699999999999996</v>
      </c>
      <c r="J115" s="3">
        <f t="shared" si="27"/>
        <v>0.25172572480441785</v>
      </c>
      <c r="K115">
        <v>0</v>
      </c>
      <c r="L115" s="3">
        <f t="shared" si="28"/>
        <v>0</v>
      </c>
      <c r="M115">
        <v>24265</v>
      </c>
      <c r="N115">
        <f t="shared" si="29"/>
        <v>0.11367711837541933</v>
      </c>
      <c r="O115" s="15">
        <v>0.411262301</v>
      </c>
      <c r="P115">
        <f t="shared" si="30"/>
        <v>0.41926319146279711</v>
      </c>
      <c r="Q115">
        <v>0.37619999999999998</v>
      </c>
      <c r="R115">
        <f t="shared" si="31"/>
        <v>0.83396142762136993</v>
      </c>
      <c r="S115">
        <f t="shared" si="32"/>
        <v>0.16466842689855571</v>
      </c>
      <c r="T115" s="14">
        <f t="shared" si="33"/>
        <v>0.281210134762853</v>
      </c>
      <c r="U115" t="str">
        <f t="shared" si="34"/>
        <v>Low</v>
      </c>
      <c r="V115">
        <f t="shared" si="35"/>
        <v>0.21915802528814157</v>
      </c>
      <c r="W115">
        <f t="shared" si="36"/>
        <v>0.32247463176758401</v>
      </c>
      <c r="X115" t="str">
        <f t="shared" si="48"/>
        <v>Moderate</v>
      </c>
      <c r="Y115">
        <f t="shared" si="37"/>
        <v>0.11017882850896989</v>
      </c>
      <c r="Z115">
        <f t="shared" si="38"/>
        <v>0.21685950626486722</v>
      </c>
      <c r="AA115" t="str">
        <f t="shared" si="39"/>
        <v>Low</v>
      </c>
      <c r="AB115">
        <f t="shared" si="40"/>
        <v>0.1202146429849844</v>
      </c>
      <c r="AC115">
        <f t="shared" si="41"/>
        <v>0.27725113275726815</v>
      </c>
      <c r="AD115" t="str">
        <f t="shared" si="42"/>
        <v>Low</v>
      </c>
      <c r="AE115">
        <f t="shared" si="43"/>
        <v>2.9873387375553985E-2</v>
      </c>
      <c r="AF115">
        <f t="shared" si="44"/>
        <v>0.15326338051159591</v>
      </c>
      <c r="AG115" t="s">
        <v>1175</v>
      </c>
    </row>
    <row r="116" spans="1:33" x14ac:dyDescent="0.3">
      <c r="A116">
        <v>202256</v>
      </c>
      <c r="B116" t="s">
        <v>410</v>
      </c>
      <c r="C116" s="1" t="s">
        <v>652</v>
      </c>
      <c r="D116" t="s">
        <v>656</v>
      </c>
      <c r="E116" s="4">
        <v>7</v>
      </c>
      <c r="F116" s="3">
        <f t="shared" si="25"/>
        <v>0.84444444444444444</v>
      </c>
      <c r="G116">
        <v>74.161079999999998</v>
      </c>
      <c r="H116">
        <f t="shared" si="26"/>
        <v>0.71755297100919213</v>
      </c>
      <c r="I116">
        <v>30.200000000000003</v>
      </c>
      <c r="J116" s="3">
        <f t="shared" si="27"/>
        <v>0.13897837091578466</v>
      </c>
      <c r="K116">
        <v>0</v>
      </c>
      <c r="L116" s="3">
        <f t="shared" si="28"/>
        <v>0</v>
      </c>
      <c r="M116">
        <v>24564</v>
      </c>
      <c r="N116">
        <f t="shared" si="29"/>
        <v>0.11509181322242883</v>
      </c>
      <c r="O116" s="15">
        <v>0.48826736199999998</v>
      </c>
      <c r="P116">
        <f t="shared" si="30"/>
        <v>0.49776634518037399</v>
      </c>
      <c r="Q116">
        <v>0.34560000000000002</v>
      </c>
      <c r="R116">
        <f t="shared" si="31"/>
        <v>0.76612724451341174</v>
      </c>
      <c r="S116">
        <f t="shared" si="32"/>
        <v>0.16800011725487032</v>
      </c>
      <c r="T116" s="14">
        <f t="shared" si="33"/>
        <v>0.2868997809915409</v>
      </c>
      <c r="U116" t="str">
        <f t="shared" si="34"/>
        <v>Low</v>
      </c>
      <c r="V116">
        <f t="shared" si="35"/>
        <v>0.20367136594400706</v>
      </c>
      <c r="W116">
        <f t="shared" si="36"/>
        <v>0.29968717161072328</v>
      </c>
      <c r="X116" t="s">
        <v>1175</v>
      </c>
      <c r="Y116">
        <f t="shared" si="37"/>
        <v>0.13232886856573356</v>
      </c>
      <c r="Z116">
        <f t="shared" si="38"/>
        <v>0.26045632804506746</v>
      </c>
      <c r="AA116" t="str">
        <f t="shared" si="39"/>
        <v>Low</v>
      </c>
      <c r="AB116">
        <f t="shared" si="40"/>
        <v>0.12169245685434316</v>
      </c>
      <c r="AC116">
        <f t="shared" si="41"/>
        <v>0.28065941613365591</v>
      </c>
      <c r="AD116" t="str">
        <f t="shared" si="42"/>
        <v>Low</v>
      </c>
      <c r="AE116">
        <f t="shared" si="43"/>
        <v>3.0596623440630376E-2</v>
      </c>
      <c r="AF116">
        <f t="shared" si="44"/>
        <v>0.15697389391431163</v>
      </c>
      <c r="AG116" t="s">
        <v>1175</v>
      </c>
    </row>
    <row r="117" spans="1:33" x14ac:dyDescent="0.3">
      <c r="A117">
        <v>202266</v>
      </c>
      <c r="B117" t="s">
        <v>434</v>
      </c>
      <c r="C117" s="1" t="s">
        <v>652</v>
      </c>
      <c r="D117" t="s">
        <v>657</v>
      </c>
      <c r="E117" s="4">
        <v>7</v>
      </c>
      <c r="F117" s="3">
        <f t="shared" si="25"/>
        <v>0.84444444444444444</v>
      </c>
      <c r="G117">
        <v>78.667560000000009</v>
      </c>
      <c r="H117">
        <f t="shared" si="26"/>
        <v>0.76115587043829314</v>
      </c>
      <c r="I117">
        <v>44.699999999999996</v>
      </c>
      <c r="J117" s="3">
        <f t="shared" si="27"/>
        <v>0.20570639668660837</v>
      </c>
      <c r="K117">
        <v>0</v>
      </c>
      <c r="L117" s="3">
        <f t="shared" si="28"/>
        <v>0</v>
      </c>
      <c r="M117">
        <v>42505</v>
      </c>
      <c r="N117">
        <f t="shared" si="29"/>
        <v>0.19997823546389215</v>
      </c>
      <c r="O117" s="15">
        <v>0.45057568599999998</v>
      </c>
      <c r="P117">
        <f t="shared" si="30"/>
        <v>0.45934139756685149</v>
      </c>
      <c r="Q117">
        <v>0.4153</v>
      </c>
      <c r="R117">
        <f t="shared" si="31"/>
        <v>0.92063843937042789</v>
      </c>
      <c r="S117">
        <f t="shared" si="32"/>
        <v>0.20136877140570333</v>
      </c>
      <c r="T117" s="14">
        <f t="shared" si="33"/>
        <v>0.34388461959931826</v>
      </c>
      <c r="U117" t="str">
        <f t="shared" si="34"/>
        <v>Moderate</v>
      </c>
      <c r="V117">
        <f t="shared" si="35"/>
        <v>0.26868194227581771</v>
      </c>
      <c r="W117">
        <f t="shared" si="36"/>
        <v>0.39534536909646878</v>
      </c>
      <c r="X117" t="str">
        <f t="shared" si="48"/>
        <v>Moderate</v>
      </c>
      <c r="Y117">
        <f t="shared" si="37"/>
        <v>0.13405560053558904</v>
      </c>
      <c r="Z117">
        <f t="shared" si="38"/>
        <v>0.26385496866869812</v>
      </c>
      <c r="AA117" t="str">
        <f t="shared" si="39"/>
        <v>Low</v>
      </c>
      <c r="AB117">
        <f t="shared" si="40"/>
        <v>0.1546821512434049</v>
      </c>
      <c r="AC117">
        <f t="shared" si="41"/>
        <v>0.35674357619580332</v>
      </c>
      <c r="AD117" t="str">
        <f t="shared" si="42"/>
        <v>Moderate</v>
      </c>
      <c r="AE117">
        <f t="shared" si="43"/>
        <v>5.8362260817691462E-2</v>
      </c>
      <c r="AF117">
        <f t="shared" si="44"/>
        <v>0.29942360652875155</v>
      </c>
      <c r="AG117" t="s">
        <v>1175</v>
      </c>
    </row>
    <row r="118" spans="1:33" x14ac:dyDescent="0.3">
      <c r="A118">
        <v>202290</v>
      </c>
      <c r="B118" t="s">
        <v>518</v>
      </c>
      <c r="C118" s="1" t="s">
        <v>652</v>
      </c>
      <c r="D118" t="s">
        <v>658</v>
      </c>
      <c r="E118" s="4">
        <v>7.2</v>
      </c>
      <c r="F118" s="3">
        <f t="shared" si="25"/>
        <v>0.88888888888888884</v>
      </c>
      <c r="G118">
        <v>98.629199999999997</v>
      </c>
      <c r="H118">
        <f t="shared" si="26"/>
        <v>0.95429672124866327</v>
      </c>
      <c r="I118">
        <v>109.89999999999999</v>
      </c>
      <c r="J118" s="3">
        <f t="shared" si="27"/>
        <v>0.5057524160147262</v>
      </c>
      <c r="K118">
        <v>0</v>
      </c>
      <c r="L118" s="3">
        <f t="shared" si="28"/>
        <v>0</v>
      </c>
      <c r="M118">
        <v>42859</v>
      </c>
      <c r="N118">
        <f t="shared" si="29"/>
        <v>0.20165315846001713</v>
      </c>
      <c r="O118" s="15">
        <v>0.35459809799999997</v>
      </c>
      <c r="P118">
        <f t="shared" si="30"/>
        <v>0.36149661637505082</v>
      </c>
      <c r="Q118">
        <v>0.41170000000000001</v>
      </c>
      <c r="R118">
        <f t="shared" si="31"/>
        <v>0.91265794724007987</v>
      </c>
      <c r="S118">
        <f t="shared" si="32"/>
        <v>0.27344442611274866</v>
      </c>
      <c r="T118" s="14">
        <f t="shared" si="33"/>
        <v>0.46697078101492145</v>
      </c>
      <c r="U118" t="str">
        <f t="shared" si="34"/>
        <v>Moderate</v>
      </c>
      <c r="V118">
        <f t="shared" si="35"/>
        <v>0.39172834402794632</v>
      </c>
      <c r="W118">
        <f t="shared" si="36"/>
        <v>0.57639894011297532</v>
      </c>
      <c r="X118" t="str">
        <f t="shared" si="48"/>
        <v>Moderate</v>
      </c>
      <c r="Y118">
        <f t="shared" si="37"/>
        <v>0.15516050819755098</v>
      </c>
      <c r="Z118">
        <f t="shared" si="38"/>
        <v>0.30539470835621957</v>
      </c>
      <c r="AA118" t="str">
        <f t="shared" si="39"/>
        <v>Moderate</v>
      </c>
      <c r="AB118">
        <f t="shared" si="40"/>
        <v>0.21394661309915067</v>
      </c>
      <c r="AC118">
        <f t="shared" si="41"/>
        <v>0.49342525468157467</v>
      </c>
      <c r="AD118" t="str">
        <f t="shared" si="42"/>
        <v>Moderate</v>
      </c>
      <c r="AE118">
        <f t="shared" si="43"/>
        <v>8.6552972086011926E-2</v>
      </c>
      <c r="AF118">
        <f t="shared" si="44"/>
        <v>0.44405413180841147</v>
      </c>
      <c r="AG118" t="str">
        <f t="shared" si="46"/>
        <v>Moderate</v>
      </c>
    </row>
    <row r="119" spans="1:33" x14ac:dyDescent="0.3">
      <c r="A119">
        <v>202294</v>
      </c>
      <c r="B119" t="s">
        <v>528</v>
      </c>
      <c r="C119" s="1" t="s">
        <v>652</v>
      </c>
      <c r="D119" t="s">
        <v>659</v>
      </c>
      <c r="E119" s="4">
        <v>7</v>
      </c>
      <c r="F119" s="3">
        <f t="shared" si="25"/>
        <v>0.84444444444444444</v>
      </c>
      <c r="G119">
        <v>84.556799999999996</v>
      </c>
      <c r="H119">
        <f t="shared" si="26"/>
        <v>0.81813780299626249</v>
      </c>
      <c r="I119">
        <v>81.400000000000006</v>
      </c>
      <c r="J119" s="3">
        <f t="shared" si="27"/>
        <v>0.37459733087896924</v>
      </c>
      <c r="K119">
        <v>0</v>
      </c>
      <c r="L119" s="3">
        <f t="shared" si="28"/>
        <v>0</v>
      </c>
      <c r="M119">
        <v>79128</v>
      </c>
      <c r="N119">
        <f t="shared" si="29"/>
        <v>0.37325706282853804</v>
      </c>
      <c r="O119" s="15">
        <v>0.30767318199999999</v>
      </c>
      <c r="P119">
        <f t="shared" si="30"/>
        <v>0.31365880096273163</v>
      </c>
      <c r="Q119">
        <v>0.40610000000000002</v>
      </c>
      <c r="R119">
        <f t="shared" si="31"/>
        <v>0.90024384837064952</v>
      </c>
      <c r="S119">
        <f t="shared" si="32"/>
        <v>0.2061292254456932</v>
      </c>
      <c r="T119" s="14">
        <f t="shared" si="33"/>
        <v>0.35201421643419067</v>
      </c>
      <c r="U119" t="str">
        <f t="shared" si="34"/>
        <v>Moderate</v>
      </c>
      <c r="V119">
        <f t="shared" si="35"/>
        <v>0.30573550074842759</v>
      </c>
      <c r="W119">
        <f t="shared" si="36"/>
        <v>0.44986690718946626</v>
      </c>
      <c r="X119" t="str">
        <f t="shared" si="48"/>
        <v>Moderate</v>
      </c>
      <c r="Y119">
        <f t="shared" si="37"/>
        <v>0.10652295014295887</v>
      </c>
      <c r="Z119">
        <f t="shared" si="38"/>
        <v>0.20966382277334222</v>
      </c>
      <c r="AA119" t="str">
        <f t="shared" si="39"/>
        <v>Low</v>
      </c>
      <c r="AB119">
        <f t="shared" si="40"/>
        <v>0.18333148629433096</v>
      </c>
      <c r="AC119">
        <f t="shared" si="41"/>
        <v>0.42281756184665203</v>
      </c>
      <c r="AD119" t="str">
        <f t="shared" si="42"/>
        <v>Moderate</v>
      </c>
      <c r="AE119">
        <f t="shared" si="43"/>
        <v>0.12676335996998181</v>
      </c>
      <c r="AF119">
        <f t="shared" si="44"/>
        <v>0.65035078981053929</v>
      </c>
      <c r="AG119" t="str">
        <f t="shared" si="46"/>
        <v>Moderate</v>
      </c>
    </row>
    <row r="120" spans="1:33" x14ac:dyDescent="0.3">
      <c r="A120">
        <v>203014</v>
      </c>
      <c r="B120" t="s">
        <v>108</v>
      </c>
      <c r="C120" s="1" t="s">
        <v>661</v>
      </c>
      <c r="D120" t="s">
        <v>660</v>
      </c>
      <c r="E120" s="4">
        <v>5.5</v>
      </c>
      <c r="F120" s="3">
        <f t="shared" si="25"/>
        <v>0.51111111111111107</v>
      </c>
      <c r="G120">
        <v>71.416440000000009</v>
      </c>
      <c r="H120">
        <f t="shared" si="26"/>
        <v>0.69099693128659556</v>
      </c>
      <c r="I120">
        <v>54.4</v>
      </c>
      <c r="J120" s="3">
        <f t="shared" si="27"/>
        <v>0.25034514496088356</v>
      </c>
      <c r="K120">
        <v>0</v>
      </c>
      <c r="L120" s="3">
        <f t="shared" si="28"/>
        <v>0</v>
      </c>
      <c r="M120">
        <v>24400</v>
      </c>
      <c r="N120">
        <f t="shared" si="29"/>
        <v>0.11431586019597545</v>
      </c>
      <c r="O120" s="15">
        <v>0.241093057</v>
      </c>
      <c r="P120">
        <f t="shared" si="30"/>
        <v>0.24578339485909276</v>
      </c>
      <c r="Q120">
        <v>0.39889999999999998</v>
      </c>
      <c r="R120">
        <f t="shared" si="31"/>
        <v>0.88428286410995338</v>
      </c>
      <c r="S120">
        <f t="shared" si="32"/>
        <v>9.4282174264678636E-2</v>
      </c>
      <c r="T120" s="14">
        <f t="shared" si="33"/>
        <v>0.16100902540982259</v>
      </c>
      <c r="U120" t="str">
        <f t="shared" si="34"/>
        <v>Low</v>
      </c>
      <c r="V120">
        <f t="shared" si="35"/>
        <v>0.14755260663979777</v>
      </c>
      <c r="W120">
        <f t="shared" si="36"/>
        <v>0.21711261739083834</v>
      </c>
      <c r="X120" t="s">
        <v>1176</v>
      </c>
      <c r="Y120">
        <f t="shared" si="37"/>
        <v>4.1011741889559486E-2</v>
      </c>
      <c r="Z120">
        <f t="shared" si="38"/>
        <v>8.0721371043693591E-2</v>
      </c>
      <c r="AA120" t="str">
        <f t="shared" si="39"/>
        <v>No Impact</v>
      </c>
      <c r="AB120">
        <f t="shared" si="40"/>
        <v>7.0623148286843754E-2</v>
      </c>
      <c r="AC120">
        <f t="shared" si="41"/>
        <v>0.16287822660553644</v>
      </c>
      <c r="AD120" t="str">
        <f t="shared" si="42"/>
        <v>Low</v>
      </c>
      <c r="AE120">
        <f t="shared" si="43"/>
        <v>1.9074895417276267E-2</v>
      </c>
      <c r="AF120">
        <f t="shared" si="44"/>
        <v>9.7862452550300891E-2</v>
      </c>
      <c r="AG120" t="s">
        <v>1175</v>
      </c>
    </row>
    <row r="121" spans="1:33" x14ac:dyDescent="0.3">
      <c r="A121">
        <v>203025</v>
      </c>
      <c r="B121" t="s">
        <v>122</v>
      </c>
      <c r="C121" s="1" t="s">
        <v>661</v>
      </c>
      <c r="D121" t="s">
        <v>662</v>
      </c>
      <c r="E121" s="4">
        <v>5.6</v>
      </c>
      <c r="F121" s="3">
        <f t="shared" si="25"/>
        <v>0.53333333333333321</v>
      </c>
      <c r="G121">
        <v>82.536119999999997</v>
      </c>
      <c r="H121">
        <f t="shared" si="26"/>
        <v>0.79858651089724153</v>
      </c>
      <c r="I121">
        <v>62.4</v>
      </c>
      <c r="J121" s="3">
        <f t="shared" si="27"/>
        <v>0.28716060745513117</v>
      </c>
      <c r="K121">
        <v>0</v>
      </c>
      <c r="L121" s="3">
        <f t="shared" si="28"/>
        <v>0</v>
      </c>
      <c r="M121">
        <v>37243</v>
      </c>
      <c r="N121">
        <f t="shared" si="29"/>
        <v>0.17508149872488207</v>
      </c>
      <c r="O121" s="15">
        <v>0.34948955999999998</v>
      </c>
      <c r="P121">
        <f t="shared" si="30"/>
        <v>0.3562886944712414</v>
      </c>
      <c r="Q121">
        <v>0.40089999999999998</v>
      </c>
      <c r="R121">
        <f t="shared" si="31"/>
        <v>0.8887164708490356</v>
      </c>
      <c r="S121">
        <f t="shared" si="32"/>
        <v>0.12512027208546522</v>
      </c>
      <c r="T121" s="14">
        <f t="shared" si="33"/>
        <v>0.21367234288570905</v>
      </c>
      <c r="U121" t="str">
        <f t="shared" si="34"/>
        <v>Low</v>
      </c>
      <c r="V121">
        <f t="shared" si="35"/>
        <v>0.17862808884147968</v>
      </c>
      <c r="W121">
        <f t="shared" si="36"/>
        <v>0.26283786366832301</v>
      </c>
      <c r="X121" t="s">
        <v>1175</v>
      </c>
      <c r="Y121">
        <f t="shared" si="37"/>
        <v>7.1612455329450792E-2</v>
      </c>
      <c r="Z121">
        <f t="shared" si="38"/>
        <v>0.14095123278511934</v>
      </c>
      <c r="AA121" t="str">
        <f t="shared" si="39"/>
        <v>No Impact</v>
      </c>
      <c r="AB121">
        <f t="shared" si="40"/>
        <v>9.632028071387061E-2</v>
      </c>
      <c r="AC121">
        <f t="shared" si="41"/>
        <v>0.22214354484881091</v>
      </c>
      <c r="AD121" t="str">
        <f t="shared" si="42"/>
        <v>Low</v>
      </c>
      <c r="AE121">
        <f t="shared" si="43"/>
        <v>3.5190608630049997E-2</v>
      </c>
      <c r="AF121">
        <f t="shared" si="44"/>
        <v>0.18054302222571386</v>
      </c>
      <c r="AG121" t="s">
        <v>1175</v>
      </c>
    </row>
    <row r="122" spans="1:33" x14ac:dyDescent="0.3">
      <c r="A122">
        <v>203029</v>
      </c>
      <c r="B122" t="s">
        <v>167</v>
      </c>
      <c r="C122" s="1" t="s">
        <v>661</v>
      </c>
      <c r="D122" t="s">
        <v>663</v>
      </c>
      <c r="E122" s="4">
        <v>5.6</v>
      </c>
      <c r="F122" s="3">
        <f t="shared" si="25"/>
        <v>0.53333333333333321</v>
      </c>
      <c r="G122">
        <v>80.910360000000011</v>
      </c>
      <c r="H122">
        <f t="shared" si="26"/>
        <v>0.78285630688527341</v>
      </c>
      <c r="I122">
        <v>57.6</v>
      </c>
      <c r="J122" s="3">
        <f t="shared" si="27"/>
        <v>0.26507132995858262</v>
      </c>
      <c r="K122">
        <v>0.1</v>
      </c>
      <c r="L122" s="3">
        <f t="shared" si="28"/>
        <v>0.05</v>
      </c>
      <c r="M122">
        <v>65689</v>
      </c>
      <c r="N122">
        <f t="shared" si="29"/>
        <v>0.30967149744739841</v>
      </c>
      <c r="O122" s="15">
        <v>0.25805936600000001</v>
      </c>
      <c r="P122">
        <f t="shared" si="30"/>
        <v>0.26307977442363734</v>
      </c>
      <c r="Q122">
        <v>0.40189999999999998</v>
      </c>
      <c r="R122">
        <f t="shared" si="31"/>
        <v>0.89093327421857671</v>
      </c>
      <c r="S122">
        <f t="shared" si="32"/>
        <v>0.11883465947585543</v>
      </c>
      <c r="T122" s="14">
        <f t="shared" si="33"/>
        <v>0.20293817846629442</v>
      </c>
      <c r="U122" t="str">
        <f t="shared" si="34"/>
        <v>Low</v>
      </c>
      <c r="V122">
        <f t="shared" si="35"/>
        <v>0.1834879638181599</v>
      </c>
      <c r="W122">
        <f t="shared" si="36"/>
        <v>0.26998880596888886</v>
      </c>
      <c r="X122" t="s">
        <v>1175</v>
      </c>
      <c r="Y122">
        <f t="shared" si="37"/>
        <v>5.4181355133550956E-2</v>
      </c>
      <c r="Z122">
        <f t="shared" si="38"/>
        <v>0.10664246554470053</v>
      </c>
      <c r="AA122" t="str">
        <f t="shared" si="39"/>
        <v>No Impact</v>
      </c>
      <c r="AB122">
        <f t="shared" si="40"/>
        <v>0.10279712073356233</v>
      </c>
      <c r="AC122">
        <f t="shared" si="41"/>
        <v>0.2370810864623682</v>
      </c>
      <c r="AD122" t="str">
        <f t="shared" si="42"/>
        <v>Low</v>
      </c>
      <c r="AE122">
        <f t="shared" si="43"/>
        <v>6.3776933877545905E-2</v>
      </c>
      <c r="AF122">
        <f t="shared" si="44"/>
        <v>0.32720321809692143</v>
      </c>
      <c r="AG122" t="str">
        <f t="shared" si="46"/>
        <v>Moderate</v>
      </c>
    </row>
    <row r="123" spans="1:33" x14ac:dyDescent="0.3">
      <c r="A123">
        <v>203041</v>
      </c>
      <c r="B123" t="s">
        <v>171</v>
      </c>
      <c r="C123" s="1" t="s">
        <v>661</v>
      </c>
      <c r="D123" t="s">
        <v>664</v>
      </c>
      <c r="E123" s="4">
        <v>5.5</v>
      </c>
      <c r="F123" s="3">
        <f t="shared" si="25"/>
        <v>0.51111111111111107</v>
      </c>
      <c r="G123">
        <v>67.5702</v>
      </c>
      <c r="H123">
        <f t="shared" si="26"/>
        <v>0.65378225022727987</v>
      </c>
      <c r="I123">
        <v>57.7</v>
      </c>
      <c r="J123" s="3">
        <f t="shared" si="27"/>
        <v>0.26553152323976076</v>
      </c>
      <c r="K123">
        <v>0.1</v>
      </c>
      <c r="L123" s="3">
        <f t="shared" si="28"/>
        <v>0.05</v>
      </c>
      <c r="M123">
        <v>9161</v>
      </c>
      <c r="N123">
        <f t="shared" si="29"/>
        <v>4.2213737207420762E-2</v>
      </c>
      <c r="O123" s="15">
        <v>8.9392804000000006E-2</v>
      </c>
      <c r="P123">
        <f t="shared" si="30"/>
        <v>9.1131893703158315E-2</v>
      </c>
      <c r="Q123">
        <v>0.40550000000000003</v>
      </c>
      <c r="R123">
        <f t="shared" si="31"/>
        <v>0.89891376634892495</v>
      </c>
      <c r="S123">
        <f t="shared" si="32"/>
        <v>8.4662563363346807E-2</v>
      </c>
      <c r="T123" s="14">
        <f t="shared" si="33"/>
        <v>0.14458127341826302</v>
      </c>
      <c r="U123" t="str">
        <f t="shared" si="34"/>
        <v>No Impact</v>
      </c>
      <c r="V123">
        <f t="shared" si="35"/>
        <v>0.15373905825251932</v>
      </c>
      <c r="W123">
        <f t="shared" si="36"/>
        <v>0.22621551792636485</v>
      </c>
      <c r="X123" t="s">
        <v>1176</v>
      </c>
      <c r="Y123">
        <f t="shared" si="37"/>
        <v>1.5586068474174293E-2</v>
      </c>
      <c r="Z123">
        <f t="shared" si="38"/>
        <v>3.0677283101123897E-2</v>
      </c>
      <c r="AA123" t="str">
        <f t="shared" si="39"/>
        <v>No Impact</v>
      </c>
      <c r="AB123">
        <f t="shared" si="40"/>
        <v>6.1011390791653838E-2</v>
      </c>
      <c r="AC123">
        <f t="shared" si="41"/>
        <v>0.14071062216767752</v>
      </c>
      <c r="AD123" t="str">
        <f t="shared" si="42"/>
        <v>No Impact</v>
      </c>
      <c r="AE123">
        <f t="shared" si="43"/>
        <v>7.2197138886279603E-3</v>
      </c>
      <c r="AF123">
        <f t="shared" si="44"/>
        <v>3.7040250674857424E-2</v>
      </c>
      <c r="AG123" t="str">
        <f t="shared" si="46"/>
        <v>No Impact</v>
      </c>
    </row>
    <row r="124" spans="1:33" x14ac:dyDescent="0.3">
      <c r="A124">
        <v>203051</v>
      </c>
      <c r="B124" t="s">
        <v>403</v>
      </c>
      <c r="C124" s="1" t="s">
        <v>661</v>
      </c>
      <c r="D124" t="s">
        <v>665</v>
      </c>
      <c r="E124" s="4">
        <v>5.7</v>
      </c>
      <c r="F124" s="3">
        <f t="shared" si="25"/>
        <v>0.55555555555555558</v>
      </c>
      <c r="G124">
        <v>69.737760000000009</v>
      </c>
      <c r="H124">
        <f t="shared" si="26"/>
        <v>0.67475469450452996</v>
      </c>
      <c r="I124">
        <v>61.5</v>
      </c>
      <c r="J124" s="3">
        <f t="shared" si="27"/>
        <v>0.28301886792452835</v>
      </c>
      <c r="K124">
        <v>0</v>
      </c>
      <c r="L124" s="3">
        <f t="shared" si="28"/>
        <v>0</v>
      </c>
      <c r="M124">
        <v>14970</v>
      </c>
      <c r="N124">
        <f t="shared" si="29"/>
        <v>6.9698561174906443E-2</v>
      </c>
      <c r="O124" s="15">
        <v>0.378791936</v>
      </c>
      <c r="P124">
        <f t="shared" si="30"/>
        <v>0.3861611326921297</v>
      </c>
      <c r="Q124">
        <v>0.40710000000000002</v>
      </c>
      <c r="R124">
        <f t="shared" si="31"/>
        <v>0.90246065174019063</v>
      </c>
      <c r="S124">
        <f t="shared" si="32"/>
        <v>0.11687285975477482</v>
      </c>
      <c r="T124" s="14">
        <f t="shared" si="33"/>
        <v>0.19958794324310455</v>
      </c>
      <c r="U124" t="str">
        <f t="shared" si="34"/>
        <v>Low</v>
      </c>
      <c r="V124">
        <f t="shared" si="35"/>
        <v>0.16369916830406267</v>
      </c>
      <c r="W124">
        <f t="shared" si="36"/>
        <v>0.24087107442270203</v>
      </c>
      <c r="X124" t="s">
        <v>1175</v>
      </c>
      <c r="Y124">
        <f t="shared" si="37"/>
        <v>7.0046551205486973E-2</v>
      </c>
      <c r="Z124">
        <f t="shared" si="38"/>
        <v>0.13786914160865282</v>
      </c>
      <c r="AA124" t="str">
        <f t="shared" si="39"/>
        <v>No Impact</v>
      </c>
      <c r="AB124">
        <f t="shared" si="40"/>
        <v>8.2733641457509929E-2</v>
      </c>
      <c r="AC124">
        <f t="shared" si="41"/>
        <v>0.19080866724441725</v>
      </c>
      <c r="AD124" t="str">
        <f t="shared" si="42"/>
        <v>Low</v>
      </c>
      <c r="AE124">
        <f t="shared" si="43"/>
        <v>1.2642763398405456E-2</v>
      </c>
      <c r="AF124">
        <f t="shared" si="44"/>
        <v>6.4862837049190158E-2</v>
      </c>
      <c r="AG124" t="str">
        <f t="shared" si="46"/>
        <v>No Impact</v>
      </c>
    </row>
    <row r="125" spans="1:33" x14ac:dyDescent="0.3">
      <c r="A125">
        <v>203094</v>
      </c>
      <c r="B125" t="s">
        <v>492</v>
      </c>
      <c r="C125" s="1" t="s">
        <v>661</v>
      </c>
      <c r="D125" t="s">
        <v>666</v>
      </c>
      <c r="E125" s="4">
        <v>5.4</v>
      </c>
      <c r="F125" s="3">
        <f t="shared" si="25"/>
        <v>0.48888888888888893</v>
      </c>
      <c r="G125">
        <v>93.385800000000003</v>
      </c>
      <c r="H125">
        <f t="shared" si="26"/>
        <v>0.90356367841555463</v>
      </c>
      <c r="I125">
        <v>55.199999999999996</v>
      </c>
      <c r="J125" s="3">
        <f t="shared" si="27"/>
        <v>0.25402669121030835</v>
      </c>
      <c r="K125">
        <v>0.5</v>
      </c>
      <c r="L125" s="3">
        <f t="shared" si="28"/>
        <v>0.25</v>
      </c>
      <c r="M125">
        <v>40135</v>
      </c>
      <c r="N125">
        <f t="shared" si="29"/>
        <v>0.1887647679474623</v>
      </c>
      <c r="O125" s="15">
        <v>0.28440849099999999</v>
      </c>
      <c r="P125">
        <f t="shared" si="30"/>
        <v>0.28994150770891641</v>
      </c>
      <c r="Q125">
        <v>0.38740000000000002</v>
      </c>
      <c r="R125">
        <f t="shared" si="31"/>
        <v>0.85878962536023062</v>
      </c>
      <c r="S125">
        <f t="shared" si="32"/>
        <v>0.14383489469903893</v>
      </c>
      <c r="T125" s="14">
        <f t="shared" si="33"/>
        <v>0.2456319701580405</v>
      </c>
      <c r="U125" t="str">
        <f t="shared" si="34"/>
        <v>Low</v>
      </c>
      <c r="V125">
        <f t="shared" si="35"/>
        <v>0.21506149137316091</v>
      </c>
      <c r="W125">
        <f t="shared" si="36"/>
        <v>0.31644688870857457</v>
      </c>
      <c r="X125" t="str">
        <f t="shared" si="48"/>
        <v>Moderate</v>
      </c>
      <c r="Y125">
        <f t="shared" si="37"/>
        <v>7.2608298024916945E-2</v>
      </c>
      <c r="Z125">
        <f t="shared" si="38"/>
        <v>0.14291130041497876</v>
      </c>
      <c r="AA125" t="str">
        <f t="shared" si="39"/>
        <v>No Impact</v>
      </c>
      <c r="AB125">
        <f t="shared" si="40"/>
        <v>0.11359893806178391</v>
      </c>
      <c r="AC125">
        <f t="shared" si="41"/>
        <v>0.26199332689933885</v>
      </c>
      <c r="AD125" t="str">
        <f t="shared" si="42"/>
        <v>Low</v>
      </c>
      <c r="AE125">
        <f t="shared" si="43"/>
        <v>4.7271219067721443E-2</v>
      </c>
      <c r="AF125">
        <f t="shared" si="44"/>
        <v>0.24252177177442857</v>
      </c>
      <c r="AG125" t="s">
        <v>1175</v>
      </c>
    </row>
    <row r="126" spans="1:33" x14ac:dyDescent="0.3">
      <c r="A126">
        <v>204643</v>
      </c>
      <c r="B126" t="s">
        <v>150</v>
      </c>
      <c r="C126" s="1" t="s">
        <v>668</v>
      </c>
      <c r="D126" t="s">
        <v>667</v>
      </c>
      <c r="E126" s="4">
        <v>6.2</v>
      </c>
      <c r="F126" s="3">
        <f t="shared" si="25"/>
        <v>0.66666666666666663</v>
      </c>
      <c r="G126">
        <v>65.476079999999996</v>
      </c>
      <c r="H126">
        <f t="shared" si="26"/>
        <v>0.63352038203914429</v>
      </c>
      <c r="I126">
        <v>52</v>
      </c>
      <c r="J126" s="3">
        <f t="shared" si="27"/>
        <v>0.23930050621260932</v>
      </c>
      <c r="K126">
        <v>0</v>
      </c>
      <c r="L126" s="3">
        <f t="shared" si="28"/>
        <v>0</v>
      </c>
      <c r="M126">
        <v>15793</v>
      </c>
      <c r="N126">
        <f t="shared" si="29"/>
        <v>7.3592520569852327E-2</v>
      </c>
      <c r="O126" s="15">
        <v>0.44197655800000002</v>
      </c>
      <c r="P126">
        <f t="shared" si="30"/>
        <v>0.45057497808149954</v>
      </c>
      <c r="Q126">
        <v>0.43959999999999999</v>
      </c>
      <c r="R126">
        <f t="shared" si="31"/>
        <v>0.97450676125027713</v>
      </c>
      <c r="S126">
        <f t="shared" si="32"/>
        <v>0.14311062916622605</v>
      </c>
      <c r="T126" s="14">
        <f t="shared" si="33"/>
        <v>0.24439511612401327</v>
      </c>
      <c r="U126" t="str">
        <f t="shared" si="34"/>
        <v>Low</v>
      </c>
      <c r="V126">
        <f t="shared" si="35"/>
        <v>0.19572530035317481</v>
      </c>
      <c r="W126">
        <f t="shared" si="36"/>
        <v>0.28799513080119449</v>
      </c>
      <c r="X126" t="s">
        <v>1175</v>
      </c>
      <c r="Y126">
        <f t="shared" si="37"/>
        <v>9.0495957979277258E-2</v>
      </c>
      <c r="Z126">
        <f t="shared" si="38"/>
        <v>0.17811869151208604</v>
      </c>
      <c r="AA126" t="str">
        <f t="shared" si="39"/>
        <v>Low</v>
      </c>
      <c r="AB126">
        <f t="shared" si="40"/>
        <v>0.10082589689361905</v>
      </c>
      <c r="AC126">
        <f t="shared" si="41"/>
        <v>0.23253485125364515</v>
      </c>
      <c r="AD126" t="str">
        <f t="shared" si="42"/>
        <v>Low</v>
      </c>
      <c r="AE126">
        <f t="shared" si="43"/>
        <v>1.4780726789213385E-2</v>
      </c>
      <c r="AF126">
        <f t="shared" si="44"/>
        <v>7.5831512699056303E-2</v>
      </c>
      <c r="AG126" t="str">
        <f t="shared" ref="AG126:AG133" si="50">IF(AF126&gt;0.7,"High",IF(AF126&gt;0.3,"Moderate",IF(AF126&gt;0.15,"Low","No Impact")))</f>
        <v>No Impact</v>
      </c>
    </row>
    <row r="127" spans="1:33" x14ac:dyDescent="0.3">
      <c r="A127">
        <v>204649</v>
      </c>
      <c r="B127" t="s">
        <v>270</v>
      </c>
      <c r="C127" s="1" t="s">
        <v>668</v>
      </c>
      <c r="D127" t="s">
        <v>669</v>
      </c>
      <c r="E127" s="4">
        <v>6.2</v>
      </c>
      <c r="F127" s="3">
        <f t="shared" si="25"/>
        <v>0.66666666666666663</v>
      </c>
      <c r="G127">
        <v>60.338160000000002</v>
      </c>
      <c r="H127">
        <f t="shared" si="26"/>
        <v>0.58380792153010719</v>
      </c>
      <c r="I127">
        <v>45.400000000000006</v>
      </c>
      <c r="J127" s="3">
        <f t="shared" si="27"/>
        <v>0.20892774965485508</v>
      </c>
      <c r="K127">
        <v>0</v>
      </c>
      <c r="L127" s="3">
        <f t="shared" si="28"/>
        <v>0</v>
      </c>
      <c r="M127">
        <v>15837</v>
      </c>
      <c r="N127">
        <f t="shared" si="29"/>
        <v>7.3800703089144701E-2</v>
      </c>
      <c r="O127" s="15">
        <v>0.284034648</v>
      </c>
      <c r="P127">
        <f t="shared" si="30"/>
        <v>0.28956039179115567</v>
      </c>
      <c r="Q127">
        <v>0.41620000000000001</v>
      </c>
      <c r="R127">
        <f t="shared" si="31"/>
        <v>0.92263356240301486</v>
      </c>
      <c r="S127">
        <f t="shared" si="32"/>
        <v>0.11124252138492866</v>
      </c>
      <c r="T127" s="14">
        <f t="shared" si="33"/>
        <v>0.18997281397050694</v>
      </c>
      <c r="U127" t="str">
        <f t="shared" si="34"/>
        <v>Low</v>
      </c>
      <c r="V127">
        <f t="shared" si="35"/>
        <v>0.16933937583329992</v>
      </c>
      <c r="W127">
        <f t="shared" si="36"/>
        <v>0.24917021767192693</v>
      </c>
      <c r="X127" t="s">
        <v>1175</v>
      </c>
      <c r="Y127">
        <f t="shared" si="37"/>
        <v>5.3145666936557409E-2</v>
      </c>
      <c r="Z127">
        <f t="shared" si="38"/>
        <v>0.10460397199667659</v>
      </c>
      <c r="AA127" t="str">
        <f t="shared" si="39"/>
        <v>No Impact</v>
      </c>
      <c r="AB127">
        <f t="shared" si="40"/>
        <v>7.9953342921466219E-2</v>
      </c>
      <c r="AC127">
        <f t="shared" si="41"/>
        <v>0.1843964623800084</v>
      </c>
      <c r="AD127" t="str">
        <f t="shared" si="42"/>
        <v>Low</v>
      </c>
      <c r="AE127">
        <f t="shared" si="43"/>
        <v>1.354531799669725E-2</v>
      </c>
      <c r="AF127">
        <f t="shared" si="44"/>
        <v>6.9493331980731904E-2</v>
      </c>
      <c r="AG127" t="str">
        <f t="shared" si="50"/>
        <v>No Impact</v>
      </c>
    </row>
    <row r="128" spans="1:33" x14ac:dyDescent="0.3">
      <c r="A128">
        <v>204661</v>
      </c>
      <c r="B128" t="s">
        <v>295</v>
      </c>
      <c r="C128" s="1" t="s">
        <v>668</v>
      </c>
      <c r="D128" t="s">
        <v>670</v>
      </c>
      <c r="E128" s="4">
        <v>5</v>
      </c>
      <c r="F128" s="3">
        <f t="shared" si="25"/>
        <v>0.39999999999999997</v>
      </c>
      <c r="G128">
        <v>66.277079999999998</v>
      </c>
      <c r="H128">
        <f t="shared" si="26"/>
        <v>0.64127053791306587</v>
      </c>
      <c r="I128">
        <v>34.9</v>
      </c>
      <c r="J128" s="3">
        <f t="shared" si="27"/>
        <v>0.1606074551311551</v>
      </c>
      <c r="K128">
        <v>0</v>
      </c>
      <c r="L128" s="3">
        <f t="shared" si="28"/>
        <v>0</v>
      </c>
      <c r="M128">
        <v>2349</v>
      </c>
      <c r="N128">
        <f t="shared" si="29"/>
        <v>9.9832980842476798E-3</v>
      </c>
      <c r="O128" s="15">
        <v>0.494612828</v>
      </c>
      <c r="P128">
        <f t="shared" si="30"/>
        <v>0.50423525886395204</v>
      </c>
      <c r="Q128">
        <v>0.44579999999999997</v>
      </c>
      <c r="R128">
        <f t="shared" si="31"/>
        <v>0.98825094214143194</v>
      </c>
      <c r="S128">
        <f t="shared" si="32"/>
        <v>8.6155170738197673E-2</v>
      </c>
      <c r="T128" s="14">
        <f t="shared" si="33"/>
        <v>0.14713025216868503</v>
      </c>
      <c r="U128" t="str">
        <f t="shared" si="34"/>
        <v>No Impact</v>
      </c>
      <c r="V128">
        <f t="shared" si="35"/>
        <v>0.11409543162948498</v>
      </c>
      <c r="W128">
        <f t="shared" si="36"/>
        <v>0.16788288839848636</v>
      </c>
      <c r="X128" t="s">
        <v>1176</v>
      </c>
      <c r="Y128">
        <f t="shared" si="37"/>
        <v>5.821490984691037E-2</v>
      </c>
      <c r="Z128">
        <f t="shared" si="38"/>
        <v>0.11458151059962447</v>
      </c>
      <c r="AA128" t="str">
        <f t="shared" si="39"/>
        <v>No Impact</v>
      </c>
      <c r="AB128">
        <f t="shared" si="40"/>
        <v>5.7801280719395796E-2</v>
      </c>
      <c r="AC128">
        <f t="shared" si="41"/>
        <v>0.13330714259389359</v>
      </c>
      <c r="AD128" t="str">
        <f t="shared" si="42"/>
        <v>No Impact</v>
      </c>
      <c r="AE128">
        <f t="shared" si="43"/>
        <v>1.1525905571512589E-3</v>
      </c>
      <c r="AF128">
        <f t="shared" si="44"/>
        <v>5.913287399048092E-3</v>
      </c>
      <c r="AG128" t="str">
        <f t="shared" si="50"/>
        <v>No Impact</v>
      </c>
    </row>
    <row r="129" spans="1:33" x14ac:dyDescent="0.3">
      <c r="A129">
        <v>204665</v>
      </c>
      <c r="B129" t="s">
        <v>314</v>
      </c>
      <c r="C129" s="1" t="s">
        <v>668</v>
      </c>
      <c r="D129" t="s">
        <v>671</v>
      </c>
      <c r="E129" s="4">
        <v>6</v>
      </c>
      <c r="F129" s="3">
        <f t="shared" si="25"/>
        <v>0.62222222222222223</v>
      </c>
      <c r="G129">
        <v>63.689040000000006</v>
      </c>
      <c r="H129">
        <f t="shared" si="26"/>
        <v>0.61622969720402243</v>
      </c>
      <c r="I129">
        <v>38.4</v>
      </c>
      <c r="J129" s="3">
        <f t="shared" si="27"/>
        <v>0.1767142199723884</v>
      </c>
      <c r="K129">
        <v>0</v>
      </c>
      <c r="L129" s="3">
        <f t="shared" si="28"/>
        <v>0</v>
      </c>
      <c r="M129">
        <v>8061</v>
      </c>
      <c r="N129">
        <f t="shared" si="29"/>
        <v>3.7009174225111546E-2</v>
      </c>
      <c r="O129" s="15">
        <v>0.303539897</v>
      </c>
      <c r="P129">
        <f t="shared" si="30"/>
        <v>0.30944510509002071</v>
      </c>
      <c r="Q129">
        <v>0.42320000000000002</v>
      </c>
      <c r="R129">
        <f t="shared" si="31"/>
        <v>0.93815118598980274</v>
      </c>
      <c r="S129">
        <f t="shared" si="32"/>
        <v>0.10939163043128931</v>
      </c>
      <c r="T129" s="14">
        <f t="shared" si="33"/>
        <v>0.18681198159779647</v>
      </c>
      <c r="U129" t="str">
        <f t="shared" si="34"/>
        <v>Low</v>
      </c>
      <c r="V129">
        <f t="shared" si="35"/>
        <v>0.16451778281201396</v>
      </c>
      <c r="W129">
        <f t="shared" si="36"/>
        <v>0.24207560440358739</v>
      </c>
      <c r="X129" t="s">
        <v>1175</v>
      </c>
      <c r="Y129">
        <f t="shared" si="37"/>
        <v>5.4265478050564669E-2</v>
      </c>
      <c r="Z129">
        <f t="shared" si="38"/>
        <v>0.10680804049676738</v>
      </c>
      <c r="AA129" t="str">
        <f t="shared" si="39"/>
        <v>No Impact</v>
      </c>
      <c r="AB129">
        <f t="shared" si="40"/>
        <v>7.6132392055902054E-2</v>
      </c>
      <c r="AC129">
        <f t="shared" si="41"/>
        <v>0.17558420016815912</v>
      </c>
      <c r="AD129" t="str">
        <f t="shared" si="42"/>
        <v>Low</v>
      </c>
      <c r="AE129">
        <f t="shared" si="43"/>
        <v>6.4900704472222103E-3</v>
      </c>
      <c r="AF129">
        <f t="shared" si="44"/>
        <v>3.3296864664020549E-2</v>
      </c>
      <c r="AG129" t="str">
        <f t="shared" si="50"/>
        <v>No Impact</v>
      </c>
    </row>
    <row r="130" spans="1:33" x14ac:dyDescent="0.3">
      <c r="A130">
        <v>204667</v>
      </c>
      <c r="B130" t="s">
        <v>318</v>
      </c>
      <c r="C130" s="1" t="s">
        <v>668</v>
      </c>
      <c r="D130" t="s">
        <v>672</v>
      </c>
      <c r="E130" s="4">
        <v>6.2</v>
      </c>
      <c r="F130" s="3">
        <f t="shared" si="25"/>
        <v>0.66666666666666663</v>
      </c>
      <c r="G130">
        <v>66.277079999999998</v>
      </c>
      <c r="H130">
        <f t="shared" si="26"/>
        <v>0.64127053791306587</v>
      </c>
      <c r="I130">
        <v>39</v>
      </c>
      <c r="J130" s="3">
        <f t="shared" si="27"/>
        <v>0.17947537965945698</v>
      </c>
      <c r="K130">
        <v>0</v>
      </c>
      <c r="L130" s="3">
        <f t="shared" si="28"/>
        <v>0</v>
      </c>
      <c r="M130">
        <v>12067</v>
      </c>
      <c r="N130">
        <f t="shared" si="29"/>
        <v>5.5963246322503109E-2</v>
      </c>
      <c r="O130" s="15">
        <v>4.6147929999999997E-2</v>
      </c>
      <c r="P130">
        <f t="shared" si="30"/>
        <v>4.7045713560800596E-2</v>
      </c>
      <c r="Q130">
        <v>0.41760000000000003</v>
      </c>
      <c r="R130">
        <f t="shared" si="31"/>
        <v>0.9257370871203725</v>
      </c>
      <c r="S130">
        <f t="shared" si="32"/>
        <v>9.4814964147282174E-2</v>
      </c>
      <c r="T130" s="14">
        <f t="shared" si="33"/>
        <v>0.16191888965950979</v>
      </c>
      <c r="U130" t="str">
        <f t="shared" si="34"/>
        <v>Low</v>
      </c>
      <c r="V130">
        <f t="shared" si="35"/>
        <v>0.18045904730977075</v>
      </c>
      <c r="W130">
        <f t="shared" si="36"/>
        <v>0.26553198201999006</v>
      </c>
      <c r="X130" t="s">
        <v>1175</v>
      </c>
      <c r="Y130">
        <f t="shared" si="37"/>
        <v>9.1708809847935984E-3</v>
      </c>
      <c r="Z130">
        <f t="shared" si="38"/>
        <v>1.8050588750036376E-2</v>
      </c>
      <c r="AA130" t="str">
        <f t="shared" si="39"/>
        <v>No Impact</v>
      </c>
      <c r="AB130">
        <f t="shared" si="40"/>
        <v>6.9730159581732856E-2</v>
      </c>
      <c r="AC130">
        <f t="shared" si="41"/>
        <v>0.16081872599992081</v>
      </c>
      <c r="AD130" t="str">
        <f t="shared" si="42"/>
        <v>Low</v>
      </c>
      <c r="AE130">
        <f t="shared" si="43"/>
        <v>1.0909224936785721E-2</v>
      </c>
      <c r="AF130">
        <f t="shared" si="44"/>
        <v>5.5969035970169237E-2</v>
      </c>
      <c r="AG130" t="str">
        <f t="shared" si="50"/>
        <v>No Impact</v>
      </c>
    </row>
    <row r="131" spans="1:33" x14ac:dyDescent="0.3">
      <c r="A131">
        <v>204670</v>
      </c>
      <c r="B131" t="s">
        <v>326</v>
      </c>
      <c r="C131" s="1" t="s">
        <v>668</v>
      </c>
      <c r="D131" t="s">
        <v>673</v>
      </c>
      <c r="E131" s="4">
        <v>6.2</v>
      </c>
      <c r="F131" s="3">
        <f t="shared" ref="F131:F194" si="51">(E131-$AJ$5)/$AK$5</f>
        <v>0.66666666666666663</v>
      </c>
      <c r="G131">
        <v>62.491679999999995</v>
      </c>
      <c r="H131">
        <f t="shared" ref="H131:H194" si="52">(G131-$AJ$6)/$AK$6</f>
        <v>0.60464452037855587</v>
      </c>
      <c r="I131">
        <v>45.400000000000006</v>
      </c>
      <c r="J131" s="3">
        <f t="shared" ref="J131:J194" si="53">(I131-$AJ$7)/$AK$7</f>
        <v>0.20892774965485508</v>
      </c>
      <c r="K131">
        <v>0</v>
      </c>
      <c r="L131" s="3">
        <f t="shared" ref="L131:L194" si="54">(K131-$AJ$8)/$AK$8</f>
        <v>0</v>
      </c>
      <c r="M131">
        <v>9838</v>
      </c>
      <c r="N131">
        <f t="shared" ref="N131:N194" si="55">(M131-$AJ$9)/$AK$9</f>
        <v>4.5416909151987435E-2</v>
      </c>
      <c r="O131" s="15">
        <v>0.169536242</v>
      </c>
      <c r="P131">
        <f t="shared" ref="P131:P194" si="56">(O131-$AJ$11)/$AK$11</f>
        <v>0.17283447988472231</v>
      </c>
      <c r="Q131">
        <v>0.41909999999999997</v>
      </c>
      <c r="R131">
        <f t="shared" ref="R131:R194" si="57">(Q131-$AJ$12)/$AK$12</f>
        <v>0.92906229217468406</v>
      </c>
      <c r="S131">
        <f t="shared" ref="S131:S194" si="58">F131*(R131*0.5+P131*0.5)*(H131*0.4+J131*0.2+L131*0.4)</f>
        <v>0.10418190022902654</v>
      </c>
      <c r="T131" s="14">
        <f t="shared" ref="T131:T194" si="59">(S131-$AJ$10)/$AK$10</f>
        <v>0.17791513986650967</v>
      </c>
      <c r="U131" t="str">
        <f t="shared" ref="U131:U194" si="60">IF(T131&gt;0.7,"High",IF(T131&gt;0.3,"Moderate",IF(T131&gt;0.15,"Low","No Impact")))</f>
        <v>Low</v>
      </c>
      <c r="V131">
        <f t="shared" ref="V131:V194" si="61">F131*(R131*1)*(H131*0.4+J131*0.2+L131*0.4)</f>
        <v>0.1756815656134354</v>
      </c>
      <c r="W131">
        <f t="shared" ref="W131:W194" si="62">(V131-$AJ$13)/$AK$13</f>
        <v>0.2585022752648915</v>
      </c>
      <c r="X131" t="s">
        <v>1175</v>
      </c>
      <c r="Y131">
        <f t="shared" ref="Y131:Y194" si="63">F131*(P131*1)*(H131*0.4+J131*0.2+L131*0.4)</f>
        <v>3.2682234844617665E-2</v>
      </c>
      <c r="Z131">
        <f t="shared" ref="Z131:Z194" si="64">(Y131-$AJ$14)/$AK$14</f>
        <v>6.4326816757352093E-2</v>
      </c>
      <c r="AA131" t="str">
        <f t="shared" ref="AA131:AA194" si="65">IF(Z131&gt;0.7,"High",IF(Z131&gt;0.3,"Moderate",IF(Z131&gt;0.15,"Low","No Impact")))</f>
        <v>No Impact</v>
      </c>
      <c r="AB131">
        <f t="shared" ref="AB131:AB194" si="66">F131*(R131*0.35+P131*0.3+N131*0.35)*(H131*0.4+J131*0.2+L131*0.4)</f>
        <v>7.4299066164059305E-2</v>
      </c>
      <c r="AC131">
        <f t="shared" ref="AC131:AC194" si="67">(AB131-$AJ$15)/$AK$15</f>
        <v>0.1713559991137325</v>
      </c>
      <c r="AD131" t="str">
        <f t="shared" ref="AD131:AD194" si="68">IF(AC131&gt;0.7,"High",IF(AC131&gt;0.3,"Moderate",IF(AC131&gt;0.15,"Low","No Impact")))</f>
        <v>Low</v>
      </c>
      <c r="AE131">
        <f t="shared" ref="AE131:AE194" si="69">F131*(N131*1)*(H131*0.4+J131*0.2+L131*0.4)</f>
        <v>8.5881364170617997E-3</v>
      </c>
      <c r="AF131">
        <f t="shared" ref="AF131:AF194" si="70">(AE131-$AJ$16)/$AK$16</f>
        <v>4.4060849311342194E-2</v>
      </c>
      <c r="AG131" t="str">
        <f t="shared" si="50"/>
        <v>No Impact</v>
      </c>
    </row>
    <row r="132" spans="1:33" x14ac:dyDescent="0.3">
      <c r="A132">
        <v>204677</v>
      </c>
      <c r="B132" t="s">
        <v>399</v>
      </c>
      <c r="C132" s="1" t="s">
        <v>668</v>
      </c>
      <c r="D132" t="s">
        <v>674</v>
      </c>
      <c r="E132" s="4">
        <v>6.2</v>
      </c>
      <c r="F132" s="3">
        <f t="shared" si="51"/>
        <v>0.66666666666666663</v>
      </c>
      <c r="G132">
        <v>61.646039999999999</v>
      </c>
      <c r="H132">
        <f t="shared" si="52"/>
        <v>0.59646244570536866</v>
      </c>
      <c r="I132">
        <v>57.3</v>
      </c>
      <c r="J132" s="3">
        <f t="shared" si="53"/>
        <v>0.26369075011504833</v>
      </c>
      <c r="K132">
        <v>0</v>
      </c>
      <c r="L132" s="3">
        <f t="shared" si="54"/>
        <v>0</v>
      </c>
      <c r="M132">
        <v>7474</v>
      </c>
      <c r="N132">
        <f t="shared" si="55"/>
        <v>3.4231830160915626E-2</v>
      </c>
      <c r="O132" s="15">
        <v>0.17171610000000001</v>
      </c>
      <c r="P132">
        <f t="shared" si="56"/>
        <v>0.17505674586872677</v>
      </c>
      <c r="Q132">
        <v>0.43209999999999998</v>
      </c>
      <c r="R132">
        <f t="shared" si="57"/>
        <v>0.9578807359787187</v>
      </c>
      <c r="S132">
        <f t="shared" si="58"/>
        <v>0.11001696379532168</v>
      </c>
      <c r="T132" s="14">
        <f t="shared" si="59"/>
        <v>0.18787988564524075</v>
      </c>
      <c r="U132" t="str">
        <f t="shared" si="60"/>
        <v>Low</v>
      </c>
      <c r="V132">
        <f t="shared" si="61"/>
        <v>0.18603520836571108</v>
      </c>
      <c r="W132">
        <f t="shared" si="62"/>
        <v>0.27373688567718868</v>
      </c>
      <c r="X132" t="s">
        <v>1175</v>
      </c>
      <c r="Y132">
        <f t="shared" si="63"/>
        <v>3.399871922493225E-2</v>
      </c>
      <c r="Z132">
        <f t="shared" si="64"/>
        <v>6.691798746214124E-2</v>
      </c>
      <c r="AA132" t="str">
        <f t="shared" si="65"/>
        <v>No Impact</v>
      </c>
      <c r="AB132">
        <f t="shared" si="66"/>
        <v>7.7638860927165917E-2</v>
      </c>
      <c r="AC132">
        <f t="shared" si="67"/>
        <v>0.17905857059966834</v>
      </c>
      <c r="AD132" t="str">
        <f t="shared" si="68"/>
        <v>Low</v>
      </c>
      <c r="AE132">
        <f t="shared" si="69"/>
        <v>6.6483492333925141E-3</v>
      </c>
      <c r="AF132">
        <f t="shared" si="70"/>
        <v>3.4108903202763025E-2</v>
      </c>
      <c r="AG132" t="str">
        <f t="shared" si="50"/>
        <v>No Impact</v>
      </c>
    </row>
    <row r="133" spans="1:33" x14ac:dyDescent="0.3">
      <c r="A133">
        <v>204680</v>
      </c>
      <c r="B133" t="s">
        <v>429</v>
      </c>
      <c r="C133" s="1" t="s">
        <v>668</v>
      </c>
      <c r="D133" t="s">
        <v>675</v>
      </c>
      <c r="E133" s="4">
        <v>6.2</v>
      </c>
      <c r="F133" s="3">
        <f t="shared" si="51"/>
        <v>0.66666666666666663</v>
      </c>
      <c r="G133">
        <v>66.361680000000007</v>
      </c>
      <c r="H133">
        <f t="shared" si="52"/>
        <v>0.64208909370199696</v>
      </c>
      <c r="I133">
        <v>46.6</v>
      </c>
      <c r="J133" s="3">
        <f t="shared" si="53"/>
        <v>0.21445006902899219</v>
      </c>
      <c r="K133">
        <v>0</v>
      </c>
      <c r="L133" s="3">
        <f t="shared" si="54"/>
        <v>0</v>
      </c>
      <c r="M133">
        <v>11497</v>
      </c>
      <c r="N133">
        <f t="shared" si="55"/>
        <v>5.3266336413488331E-2</v>
      </c>
      <c r="O133" s="16">
        <v>0.27002685100000001</v>
      </c>
      <c r="P133">
        <f t="shared" si="56"/>
        <v>0.27528008051219166</v>
      </c>
      <c r="Q133">
        <v>0.42199999999999999</v>
      </c>
      <c r="R133">
        <f t="shared" si="57"/>
        <v>0.93549102194635336</v>
      </c>
      <c r="S133">
        <f t="shared" si="58"/>
        <v>0.12096638574779291</v>
      </c>
      <c r="T133" s="14">
        <f t="shared" si="59"/>
        <v>0.20657860330971842</v>
      </c>
      <c r="U133" t="str">
        <f t="shared" si="60"/>
        <v>Low</v>
      </c>
      <c r="V133">
        <f t="shared" si="61"/>
        <v>0.1869271038837568</v>
      </c>
      <c r="W133">
        <f t="shared" si="62"/>
        <v>0.27504924317985741</v>
      </c>
      <c r="X133" t="s">
        <v>1175</v>
      </c>
      <c r="Y133">
        <f t="shared" si="63"/>
        <v>5.500566761182904E-2</v>
      </c>
      <c r="Z133">
        <f t="shared" si="64"/>
        <v>0.10826491878246391</v>
      </c>
      <c r="AA133" t="str">
        <f t="shared" si="65"/>
        <v>No Impact</v>
      </c>
      <c r="AB133">
        <f t="shared" si="66"/>
        <v>8.5651420363273126E-2</v>
      </c>
      <c r="AC133">
        <f t="shared" si="67"/>
        <v>0.19753794320174928</v>
      </c>
      <c r="AD133" t="str">
        <f t="shared" si="68"/>
        <v>Low</v>
      </c>
      <c r="AE133">
        <f t="shared" si="69"/>
        <v>1.0643524915455853E-2</v>
      </c>
      <c r="AF133">
        <f t="shared" si="70"/>
        <v>5.4605880096378297E-2</v>
      </c>
      <c r="AG133" t="str">
        <f t="shared" si="50"/>
        <v>No Impact</v>
      </c>
    </row>
    <row r="134" spans="1:33" x14ac:dyDescent="0.3">
      <c r="A134">
        <v>205133</v>
      </c>
      <c r="B134" t="s">
        <v>252</v>
      </c>
      <c r="C134" s="1" t="s">
        <v>677</v>
      </c>
      <c r="D134" t="s">
        <v>676</v>
      </c>
      <c r="E134" s="4">
        <v>6.5</v>
      </c>
      <c r="F134" s="3">
        <f t="shared" si="51"/>
        <v>0.73333333333333328</v>
      </c>
      <c r="G134">
        <v>91.85436</v>
      </c>
      <c r="H134">
        <f t="shared" si="52"/>
        <v>0.88874607702784136</v>
      </c>
      <c r="I134">
        <v>72.3</v>
      </c>
      <c r="J134" s="3">
        <f t="shared" si="53"/>
        <v>0.33271974229176254</v>
      </c>
      <c r="K134">
        <v>1.5</v>
      </c>
      <c r="L134" s="3">
        <f t="shared" si="54"/>
        <v>0.75</v>
      </c>
      <c r="M134">
        <v>17191</v>
      </c>
      <c r="N134">
        <f t="shared" si="55"/>
        <v>8.0207046978278046E-2</v>
      </c>
      <c r="O134" s="15">
        <v>0.32089121399999998</v>
      </c>
      <c r="P134">
        <f t="shared" si="56"/>
        <v>0.32713398278149347</v>
      </c>
      <c r="Q134">
        <v>0.37519999999999998</v>
      </c>
      <c r="R134">
        <f t="shared" si="57"/>
        <v>0.83174462425182882</v>
      </c>
      <c r="S134">
        <f t="shared" si="58"/>
        <v>0.30681180445917883</v>
      </c>
      <c r="T134" s="14">
        <f t="shared" si="59"/>
        <v>0.52395344088610185</v>
      </c>
      <c r="U134" t="str">
        <f t="shared" si="60"/>
        <v>Moderate</v>
      </c>
      <c r="V134">
        <f t="shared" si="61"/>
        <v>0.44040690278889166</v>
      </c>
      <c r="W134">
        <f t="shared" si="62"/>
        <v>0.64802579608037092</v>
      </c>
      <c r="X134" t="str">
        <f t="shared" ref="X134:X186" si="71">IF(W134&gt;0.7,"High",IF(W134&gt;0.3,"Moderate",IF(W134&gt;0.15,"Low","No Impact")))</f>
        <v>Moderate</v>
      </c>
      <c r="Y134">
        <f t="shared" si="63"/>
        <v>0.17321670612946599</v>
      </c>
      <c r="Z134">
        <f t="shared" si="64"/>
        <v>0.34093382436902986</v>
      </c>
      <c r="AA134" t="str">
        <f t="shared" si="65"/>
        <v>Moderate</v>
      </c>
      <c r="AB134">
        <f t="shared" si="66"/>
        <v>0.22097173548710822</v>
      </c>
      <c r="AC134">
        <f t="shared" si="67"/>
        <v>0.509627300384634</v>
      </c>
      <c r="AD134" t="str">
        <f t="shared" si="68"/>
        <v>Moderate</v>
      </c>
      <c r="AE134">
        <f t="shared" si="69"/>
        <v>4.2469450491875414E-2</v>
      </c>
      <c r="AF134">
        <f t="shared" si="70"/>
        <v>0.21788662494234401</v>
      </c>
      <c r="AG134" t="s">
        <v>1175</v>
      </c>
    </row>
    <row r="135" spans="1:33" x14ac:dyDescent="0.3">
      <c r="A135">
        <v>205143</v>
      </c>
      <c r="B135" t="s">
        <v>296</v>
      </c>
      <c r="C135" s="1" t="s">
        <v>677</v>
      </c>
      <c r="D135" t="s">
        <v>678</v>
      </c>
      <c r="E135" s="4">
        <v>6.5</v>
      </c>
      <c r="F135" s="3">
        <f t="shared" si="51"/>
        <v>0.73333333333333328</v>
      </c>
      <c r="G135">
        <v>78.384599999999992</v>
      </c>
      <c r="H135">
        <f t="shared" si="52"/>
        <v>0.75841806256552791</v>
      </c>
      <c r="I135">
        <v>79.900000000000006</v>
      </c>
      <c r="J135" s="3">
        <f t="shared" si="53"/>
        <v>0.36769443166129778</v>
      </c>
      <c r="K135">
        <v>1.5</v>
      </c>
      <c r="L135" s="3">
        <f t="shared" si="54"/>
        <v>0.75</v>
      </c>
      <c r="M135">
        <v>40462</v>
      </c>
      <c r="N135">
        <f t="shared" si="55"/>
        <v>0.19031194257947603</v>
      </c>
      <c r="O135" s="15">
        <v>0.14849758499999999</v>
      </c>
      <c r="P135">
        <f t="shared" si="56"/>
        <v>0.15138652694455937</v>
      </c>
      <c r="Q135">
        <v>0.40550000000000003</v>
      </c>
      <c r="R135">
        <f t="shared" si="57"/>
        <v>0.89891376634892495</v>
      </c>
      <c r="S135">
        <f t="shared" si="58"/>
        <v>0.2606833853403831</v>
      </c>
      <c r="T135" s="14">
        <f t="shared" si="59"/>
        <v>0.4451782973986062</v>
      </c>
      <c r="U135" t="str">
        <f t="shared" si="60"/>
        <v>Moderate</v>
      </c>
      <c r="V135">
        <f t="shared" si="61"/>
        <v>0.44621882948562164</v>
      </c>
      <c r="W135">
        <f t="shared" si="62"/>
        <v>0.65657761123258374</v>
      </c>
      <c r="X135" t="str">
        <f t="shared" si="71"/>
        <v>Moderate</v>
      </c>
      <c r="Y135">
        <f t="shared" si="63"/>
        <v>7.5147941195144424E-2</v>
      </c>
      <c r="Z135">
        <f t="shared" si="64"/>
        <v>0.14790995370833482</v>
      </c>
      <c r="AA135" t="str">
        <f t="shared" si="65"/>
        <v>No Impact</v>
      </c>
      <c r="AB135">
        <f t="shared" si="66"/>
        <v>0.21178562404095863</v>
      </c>
      <c r="AC135">
        <f t="shared" si="67"/>
        <v>0.48844136378955882</v>
      </c>
      <c r="AD135" t="str">
        <f t="shared" si="68"/>
        <v>Moderate</v>
      </c>
      <c r="AE135">
        <f t="shared" si="69"/>
        <v>9.4470432464136445E-2</v>
      </c>
      <c r="AF135">
        <f t="shared" si="70"/>
        <v>0.48467412335349414</v>
      </c>
      <c r="AG135" t="str">
        <f t="shared" ref="AG135:AG194" si="72">IF(AF135&gt;0.7,"High",IF(AF135&gt;0.3,"Moderate",IF(AF135&gt;0.15,"Low","No Impact")))</f>
        <v>Moderate</v>
      </c>
    </row>
    <row r="136" spans="1:33" x14ac:dyDescent="0.3">
      <c r="A136">
        <v>205158</v>
      </c>
      <c r="B136" t="s">
        <v>444</v>
      </c>
      <c r="C136" s="1" t="s">
        <v>677</v>
      </c>
      <c r="D136" t="s">
        <v>679</v>
      </c>
      <c r="E136" s="4">
        <v>5</v>
      </c>
      <c r="F136" s="3">
        <f t="shared" si="51"/>
        <v>0.39999999999999997</v>
      </c>
      <c r="G136">
        <v>75.841200000000001</v>
      </c>
      <c r="H136">
        <f t="shared" si="52"/>
        <v>0.7338091406557502</v>
      </c>
      <c r="I136">
        <v>79.900000000000006</v>
      </c>
      <c r="J136" s="3">
        <f t="shared" si="53"/>
        <v>0.36769443166129778</v>
      </c>
      <c r="K136">
        <v>0.1</v>
      </c>
      <c r="L136" s="3">
        <f t="shared" si="54"/>
        <v>0.05</v>
      </c>
      <c r="M136">
        <v>15111</v>
      </c>
      <c r="N136">
        <f t="shared" si="55"/>
        <v>7.0365691520820617E-2</v>
      </c>
      <c r="O136" s="15">
        <v>0.255421907</v>
      </c>
      <c r="P136">
        <f t="shared" si="56"/>
        <v>0.2603910050542993</v>
      </c>
      <c r="Q136">
        <v>0.41510000000000002</v>
      </c>
      <c r="R136">
        <f t="shared" si="57"/>
        <v>0.92019507869651962</v>
      </c>
      <c r="S136">
        <f t="shared" si="58"/>
        <v>9.1392130265669141E-2</v>
      </c>
      <c r="T136" s="14">
        <f t="shared" si="59"/>
        <v>0.15607359438798679</v>
      </c>
      <c r="U136" t="str">
        <f t="shared" si="60"/>
        <v>Low</v>
      </c>
      <c r="V136">
        <f t="shared" si="61"/>
        <v>0.1424692187373103</v>
      </c>
      <c r="W136">
        <f t="shared" si="62"/>
        <v>0.20963279254832487</v>
      </c>
      <c r="X136" t="s">
        <v>1176</v>
      </c>
      <c r="Y136">
        <f t="shared" si="63"/>
        <v>4.0315041794027964E-2</v>
      </c>
      <c r="Z136">
        <f t="shared" si="64"/>
        <v>7.9350090909603654E-2</v>
      </c>
      <c r="AA136" t="str">
        <f t="shared" si="65"/>
        <v>No Impact</v>
      </c>
      <c r="AB136">
        <f t="shared" si="66"/>
        <v>6.5771768382273263E-2</v>
      </c>
      <c r="AC136">
        <f t="shared" si="67"/>
        <v>0.15168948502980326</v>
      </c>
      <c r="AD136" t="str">
        <f t="shared" si="68"/>
        <v>Low</v>
      </c>
      <c r="AE136">
        <f t="shared" si="69"/>
        <v>1.0894369388589309E-2</v>
      </c>
      <c r="AF136">
        <f t="shared" si="70"/>
        <v>5.5892820591333492E-2</v>
      </c>
      <c r="AG136" t="str">
        <f>IF(AF136&gt;0.7,"High",IF(AF136&gt;0.3,"Moderate",IF(AF136&gt;0.15,"Low","No Impact")))</f>
        <v>No Impact</v>
      </c>
    </row>
    <row r="137" spans="1:33" x14ac:dyDescent="0.3">
      <c r="A137">
        <v>205165</v>
      </c>
      <c r="B137" t="s">
        <v>428</v>
      </c>
      <c r="C137" s="1" t="s">
        <v>677</v>
      </c>
      <c r="D137" t="s">
        <v>680</v>
      </c>
      <c r="E137" s="4">
        <v>6.5</v>
      </c>
      <c r="F137" s="3">
        <f t="shared" si="51"/>
        <v>0.73333333333333328</v>
      </c>
      <c r="G137">
        <v>78.304680000000005</v>
      </c>
      <c r="H137">
        <f t="shared" si="52"/>
        <v>0.75764478858619744</v>
      </c>
      <c r="I137">
        <v>82.100000000000009</v>
      </c>
      <c r="J137" s="3">
        <f t="shared" si="53"/>
        <v>0.3778186838472159</v>
      </c>
      <c r="K137">
        <v>0</v>
      </c>
      <c r="L137" s="3">
        <f t="shared" si="54"/>
        <v>0</v>
      </c>
      <c r="M137">
        <v>18858</v>
      </c>
      <c r="N137">
        <f t="shared" si="55"/>
        <v>8.8094325606923013E-2</v>
      </c>
      <c r="O137" s="15">
        <v>0.35055857899999998</v>
      </c>
      <c r="P137">
        <f t="shared" si="56"/>
        <v>0.35737851067025733</v>
      </c>
      <c r="Q137">
        <v>0.37490000000000001</v>
      </c>
      <c r="R137">
        <f t="shared" si="57"/>
        <v>0.83107958324096654</v>
      </c>
      <c r="S137">
        <f t="shared" si="58"/>
        <v>0.16499118793365694</v>
      </c>
      <c r="T137" s="14">
        <f t="shared" si="59"/>
        <v>0.28176132527269454</v>
      </c>
      <c r="U137" t="str">
        <f t="shared" si="60"/>
        <v>Low</v>
      </c>
      <c r="V137">
        <f t="shared" si="61"/>
        <v>0.23075413160773731</v>
      </c>
      <c r="W137">
        <f t="shared" si="62"/>
        <v>0.33953743432949285</v>
      </c>
      <c r="X137" t="str">
        <f t="shared" si="71"/>
        <v>Moderate</v>
      </c>
      <c r="Y137">
        <f t="shared" si="63"/>
        <v>9.9228244259576562E-2</v>
      </c>
      <c r="Z137">
        <f t="shared" si="64"/>
        <v>0.19530601612731385</v>
      </c>
      <c r="AA137" t="str">
        <f t="shared" si="65"/>
        <v>Low</v>
      </c>
      <c r="AB137">
        <f t="shared" si="66"/>
        <v>0.1190933869124258</v>
      </c>
      <c r="AC137">
        <f t="shared" si="67"/>
        <v>0.27466517892910869</v>
      </c>
      <c r="AD137" t="str">
        <f t="shared" si="68"/>
        <v>Low</v>
      </c>
      <c r="AE137">
        <f t="shared" si="69"/>
        <v>2.4459907348127884E-2</v>
      </c>
      <c r="AF137">
        <f t="shared" si="70"/>
        <v>0.12548988971509245</v>
      </c>
      <c r="AG137" t="s">
        <v>1175</v>
      </c>
    </row>
    <row r="138" spans="1:33" s="17" customFormat="1" x14ac:dyDescent="0.3">
      <c r="A138" s="17">
        <v>205173</v>
      </c>
      <c r="B138" s="17" t="s">
        <v>430</v>
      </c>
      <c r="C138" s="18" t="s">
        <v>677</v>
      </c>
      <c r="D138" s="17" t="s">
        <v>681</v>
      </c>
      <c r="E138" s="19">
        <v>6.5</v>
      </c>
      <c r="F138" s="3">
        <f t="shared" si="51"/>
        <v>0.73333333333333328</v>
      </c>
      <c r="G138" s="17">
        <v>92.752560000000003</v>
      </c>
      <c r="H138">
        <f t="shared" si="52"/>
        <v>0.89743670125500274</v>
      </c>
      <c r="I138" s="17">
        <v>68.7</v>
      </c>
      <c r="J138" s="3">
        <f t="shared" si="53"/>
        <v>0.31615278416935116</v>
      </c>
      <c r="K138" s="17">
        <v>1.5</v>
      </c>
      <c r="L138" s="3">
        <f t="shared" si="54"/>
        <v>0.75</v>
      </c>
      <c r="M138" s="17">
        <v>8289</v>
      </c>
      <c r="N138">
        <f t="shared" si="55"/>
        <v>3.8087938188717453E-2</v>
      </c>
      <c r="O138" s="17">
        <v>0.40593255900000003</v>
      </c>
      <c r="P138">
        <f t="shared" si="56"/>
        <v>0.41382976215220901</v>
      </c>
      <c r="Q138" s="17">
        <v>0.38540000000000002</v>
      </c>
      <c r="R138">
        <f t="shared" si="57"/>
        <v>0.85435601862114829</v>
      </c>
      <c r="S138">
        <f t="shared" si="58"/>
        <v>0.33582648468944665</v>
      </c>
      <c r="T138" s="14">
        <f t="shared" si="59"/>
        <v>0.5735028432295225</v>
      </c>
      <c r="U138" t="str">
        <f t="shared" si="60"/>
        <v>Moderate</v>
      </c>
      <c r="V138">
        <f t="shared" si="61"/>
        <v>0.45248162021158544</v>
      </c>
      <c r="W138">
        <f t="shared" si="62"/>
        <v>0.66579283905979814</v>
      </c>
      <c r="X138" t="str">
        <f t="shared" si="71"/>
        <v>Moderate</v>
      </c>
      <c r="Y138">
        <f t="shared" si="63"/>
        <v>0.21917134916730774</v>
      </c>
      <c r="Z138">
        <f t="shared" si="64"/>
        <v>0.43138406181145511</v>
      </c>
      <c r="AA138" t="str">
        <f t="shared" si="65"/>
        <v>Moderate</v>
      </c>
      <c r="AB138">
        <f t="shared" si="66"/>
        <v>0.23118018099031282</v>
      </c>
      <c r="AC138">
        <f t="shared" si="67"/>
        <v>0.53317104687987449</v>
      </c>
      <c r="AD138" t="str">
        <f t="shared" si="68"/>
        <v>Moderate</v>
      </c>
      <c r="AE138">
        <f t="shared" si="69"/>
        <v>2.0172026188758903E-2</v>
      </c>
      <c r="AF138">
        <f t="shared" si="70"/>
        <v>0.10349120729400714</v>
      </c>
      <c r="AG138" t="s">
        <v>1175</v>
      </c>
    </row>
    <row r="139" spans="1:33" x14ac:dyDescent="0.3">
      <c r="A139">
        <v>207507</v>
      </c>
      <c r="B139" t="s">
        <v>58</v>
      </c>
      <c r="C139" s="1" t="s">
        <v>683</v>
      </c>
      <c r="D139" t="s">
        <v>682</v>
      </c>
      <c r="E139" s="4">
        <v>6.6</v>
      </c>
      <c r="F139" s="3">
        <f t="shared" si="51"/>
        <v>0.75555555555555542</v>
      </c>
      <c r="G139">
        <v>82.536119999999997</v>
      </c>
      <c r="H139">
        <f t="shared" si="52"/>
        <v>0.79858651089724153</v>
      </c>
      <c r="I139">
        <v>76.5</v>
      </c>
      <c r="J139" s="3">
        <f t="shared" si="53"/>
        <v>0.35204786010124256</v>
      </c>
      <c r="K139">
        <v>0.2</v>
      </c>
      <c r="L139" s="3">
        <f t="shared" si="54"/>
        <v>0.1</v>
      </c>
      <c r="M139">
        <v>35521</v>
      </c>
      <c r="N139">
        <f t="shared" si="55"/>
        <v>0.16693399194712163</v>
      </c>
      <c r="O139" s="15">
        <v>0.58295748300000005</v>
      </c>
      <c r="P139">
        <f t="shared" si="56"/>
        <v>0.59429861238290194</v>
      </c>
      <c r="Q139">
        <v>0.33900000000000002</v>
      </c>
      <c r="R139">
        <f t="shared" si="57"/>
        <v>0.75149634227444029</v>
      </c>
      <c r="S139">
        <f t="shared" si="58"/>
        <v>0.21853769123596004</v>
      </c>
      <c r="T139" s="14">
        <f t="shared" si="59"/>
        <v>0.37320459520200894</v>
      </c>
      <c r="U139" t="str">
        <f t="shared" si="60"/>
        <v>Moderate</v>
      </c>
      <c r="V139">
        <f t="shared" si="61"/>
        <v>0.24406433542432213</v>
      </c>
      <c r="W139">
        <f t="shared" si="62"/>
        <v>0.35912240307002352</v>
      </c>
      <c r="X139" t="str">
        <f t="shared" si="71"/>
        <v>Moderate</v>
      </c>
      <c r="Y139">
        <f t="shared" si="63"/>
        <v>0.19301104704759794</v>
      </c>
      <c r="Z139">
        <f t="shared" si="64"/>
        <v>0.3798940407412259</v>
      </c>
      <c r="AA139" t="str">
        <f t="shared" si="65"/>
        <v>Moderate</v>
      </c>
      <c r="AB139">
        <f t="shared" si="66"/>
        <v>0.16230120242191437</v>
      </c>
      <c r="AC139">
        <f t="shared" si="67"/>
        <v>0.37431540037067695</v>
      </c>
      <c r="AD139" t="str">
        <f t="shared" si="68"/>
        <v>Moderate</v>
      </c>
      <c r="AE139">
        <f t="shared" si="69"/>
        <v>5.4215345454634974E-2</v>
      </c>
      <c r="AF139">
        <f t="shared" si="70"/>
        <v>0.27814813953040207</v>
      </c>
      <c r="AG139" t="s">
        <v>1175</v>
      </c>
    </row>
    <row r="140" spans="1:33" x14ac:dyDescent="0.3">
      <c r="A140">
        <v>207510</v>
      </c>
      <c r="B140" t="s">
        <v>103</v>
      </c>
      <c r="C140" s="1" t="s">
        <v>683</v>
      </c>
      <c r="D140" t="s">
        <v>684</v>
      </c>
      <c r="E140" s="4">
        <v>6.5</v>
      </c>
      <c r="F140" s="3">
        <f t="shared" si="51"/>
        <v>0.73333333333333328</v>
      </c>
      <c r="G140">
        <v>82.369800000000012</v>
      </c>
      <c r="H140">
        <f t="shared" si="52"/>
        <v>0.79697726504836452</v>
      </c>
      <c r="I140">
        <v>76.8</v>
      </c>
      <c r="J140" s="3">
        <f t="shared" si="53"/>
        <v>0.3534284399447768</v>
      </c>
      <c r="K140">
        <v>0</v>
      </c>
      <c r="L140" s="3">
        <f t="shared" si="54"/>
        <v>0</v>
      </c>
      <c r="M140">
        <v>14588</v>
      </c>
      <c r="N140">
        <f t="shared" si="55"/>
        <v>6.789115839377724E-2</v>
      </c>
      <c r="O140" s="15">
        <v>0.44027176299999998</v>
      </c>
      <c r="P140">
        <f t="shared" si="56"/>
        <v>0.44883701719679925</v>
      </c>
      <c r="Q140">
        <v>0.38009999999999999</v>
      </c>
      <c r="R140">
        <f t="shared" si="57"/>
        <v>0.84260696076258035</v>
      </c>
      <c r="S140">
        <f t="shared" si="58"/>
        <v>0.18442864069232193</v>
      </c>
      <c r="T140" s="14">
        <f t="shared" si="59"/>
        <v>0.31495535531634167</v>
      </c>
      <c r="U140" t="str">
        <f t="shared" si="60"/>
        <v>Moderate</v>
      </c>
      <c r="V140">
        <f t="shared" si="61"/>
        <v>0.24066217205469712</v>
      </c>
      <c r="W140">
        <f t="shared" si="62"/>
        <v>0.3541163742997307</v>
      </c>
      <c r="X140" t="str">
        <f t="shared" si="71"/>
        <v>Moderate</v>
      </c>
      <c r="Y140">
        <f t="shared" si="63"/>
        <v>0.12819510932994677</v>
      </c>
      <c r="Z140">
        <f t="shared" si="64"/>
        <v>0.25232005541427271</v>
      </c>
      <c r="AA140" t="str">
        <f t="shared" si="65"/>
        <v>Low</v>
      </c>
      <c r="AB140">
        <f t="shared" si="66"/>
        <v>0.12947707741597952</v>
      </c>
      <c r="AC140">
        <f t="shared" si="67"/>
        <v>0.29861309311682338</v>
      </c>
      <c r="AD140" t="str">
        <f t="shared" si="68"/>
        <v>Low</v>
      </c>
      <c r="AE140">
        <f t="shared" si="69"/>
        <v>1.9390812565290062E-2</v>
      </c>
      <c r="AF140">
        <f t="shared" si="70"/>
        <v>9.9483243974369459E-2</v>
      </c>
      <c r="AG140" t="s">
        <v>1175</v>
      </c>
    </row>
    <row r="141" spans="1:33" x14ac:dyDescent="0.3">
      <c r="A141">
        <v>207521</v>
      </c>
      <c r="B141" t="s">
        <v>118</v>
      </c>
      <c r="C141" s="1" t="s">
        <v>683</v>
      </c>
      <c r="D141" t="s">
        <v>1128</v>
      </c>
      <c r="E141" s="4">
        <v>6.4</v>
      </c>
      <c r="F141" s="3">
        <f t="shared" si="51"/>
        <v>0.71111111111111114</v>
      </c>
      <c r="G141">
        <v>96.220079999999996</v>
      </c>
      <c r="H141">
        <f t="shared" si="52"/>
        <v>0.93098703895280588</v>
      </c>
      <c r="I141">
        <v>62.4</v>
      </c>
      <c r="J141" s="3">
        <f t="shared" si="53"/>
        <v>0.28716060745513117</v>
      </c>
      <c r="K141">
        <v>1</v>
      </c>
      <c r="L141" s="3">
        <f t="shared" si="54"/>
        <v>0.5</v>
      </c>
      <c r="M141">
        <v>38608</v>
      </c>
      <c r="N141">
        <f t="shared" si="55"/>
        <v>0.18153988824383852</v>
      </c>
      <c r="O141" s="15">
        <v>0.182490601</v>
      </c>
      <c r="P141">
        <f t="shared" si="56"/>
        <v>0.18604085908478132</v>
      </c>
      <c r="Q141">
        <v>0.36930000000000002</v>
      </c>
      <c r="R141">
        <f t="shared" si="57"/>
        <v>0.8186654843715363</v>
      </c>
      <c r="S141">
        <f t="shared" si="58"/>
        <v>0.22499239785104025</v>
      </c>
      <c r="T141" s="14">
        <f t="shared" si="59"/>
        <v>0.38422752747426292</v>
      </c>
      <c r="U141" t="str">
        <f t="shared" si="60"/>
        <v>Moderate</v>
      </c>
      <c r="V141">
        <f t="shared" si="61"/>
        <v>0.36666138631709272</v>
      </c>
      <c r="W141">
        <f t="shared" si="62"/>
        <v>0.53951478792775076</v>
      </c>
      <c r="X141" t="str">
        <f t="shared" si="71"/>
        <v>Moderate</v>
      </c>
      <c r="Y141">
        <f t="shared" si="63"/>
        <v>8.3323409384987751E-2</v>
      </c>
      <c r="Z141">
        <f t="shared" si="64"/>
        <v>0.1640013209803077</v>
      </c>
      <c r="AA141" t="str">
        <f t="shared" si="65"/>
        <v>Low</v>
      </c>
      <c r="AB141">
        <f t="shared" si="66"/>
        <v>0.18178614295566131</v>
      </c>
      <c r="AC141">
        <f t="shared" si="67"/>
        <v>0.41925353519809661</v>
      </c>
      <c r="AD141" t="str">
        <f t="shared" si="68"/>
        <v>Moderate</v>
      </c>
      <c r="AE141">
        <f t="shared" si="69"/>
        <v>8.1307528369092955E-2</v>
      </c>
      <c r="AF141">
        <f t="shared" si="70"/>
        <v>0.41714273986508638</v>
      </c>
      <c r="AG141" t="str">
        <f t="shared" si="72"/>
        <v>Moderate</v>
      </c>
    </row>
    <row r="142" spans="1:33" x14ac:dyDescent="0.3">
      <c r="A142">
        <v>207536</v>
      </c>
      <c r="B142" t="s">
        <v>207</v>
      </c>
      <c r="C142" s="1" t="s">
        <v>683</v>
      </c>
      <c r="D142" t="s">
        <v>685</v>
      </c>
      <c r="E142" s="4">
        <v>6.5</v>
      </c>
      <c r="F142" s="3">
        <f t="shared" si="51"/>
        <v>0.73333333333333328</v>
      </c>
      <c r="G142">
        <v>103.35276</v>
      </c>
      <c r="H142">
        <f t="shared" si="52"/>
        <v>1</v>
      </c>
      <c r="I142">
        <v>80.400000000000006</v>
      </c>
      <c r="J142" s="3">
        <f t="shared" si="53"/>
        <v>0.36999539806718829</v>
      </c>
      <c r="K142">
        <v>2</v>
      </c>
      <c r="L142" s="3">
        <f t="shared" si="54"/>
        <v>1</v>
      </c>
      <c r="M142">
        <v>64514</v>
      </c>
      <c r="N142">
        <f t="shared" si="55"/>
        <v>0.30411207789811356</v>
      </c>
      <c r="O142" s="15">
        <v>0.33186585699999999</v>
      </c>
      <c r="P142">
        <f t="shared" si="56"/>
        <v>0.33832213165426084</v>
      </c>
      <c r="Q142">
        <v>0.37269999999999998</v>
      </c>
      <c r="R142">
        <f t="shared" si="57"/>
        <v>0.82620261582797605</v>
      </c>
      <c r="S142">
        <f t="shared" si="58"/>
        <v>0.37319097107840016</v>
      </c>
      <c r="T142" s="14">
        <f t="shared" si="59"/>
        <v>0.63731150680080584</v>
      </c>
      <c r="U142" t="str">
        <f t="shared" si="60"/>
        <v>Moderate</v>
      </c>
      <c r="V142">
        <f t="shared" si="61"/>
        <v>0.52954023892576818</v>
      </c>
      <c r="W142">
        <f t="shared" si="62"/>
        <v>0.77917882919957748</v>
      </c>
      <c r="X142" t="str">
        <f t="shared" si="71"/>
        <v>High</v>
      </c>
      <c r="Y142">
        <f t="shared" si="63"/>
        <v>0.21684170323103219</v>
      </c>
      <c r="Z142">
        <f t="shared" si="64"/>
        <v>0.42679873562538534</v>
      </c>
      <c r="AA142" t="str">
        <f t="shared" si="65"/>
        <v>Moderate</v>
      </c>
      <c r="AB142">
        <f t="shared" si="66"/>
        <v>0.318611971480114</v>
      </c>
      <c r="AC142">
        <f t="shared" si="67"/>
        <v>0.73481505920973123</v>
      </c>
      <c r="AD142" t="str">
        <f t="shared" si="68"/>
        <v>High</v>
      </c>
      <c r="AE142">
        <f t="shared" si="69"/>
        <v>0.19491536253367298</v>
      </c>
      <c r="AF142">
        <f t="shared" si="70"/>
        <v>1</v>
      </c>
      <c r="AG142" t="str">
        <f t="shared" si="72"/>
        <v>High</v>
      </c>
    </row>
    <row r="143" spans="1:33" x14ac:dyDescent="0.3">
      <c r="A143">
        <v>207547</v>
      </c>
      <c r="B143" t="s">
        <v>230</v>
      </c>
      <c r="C143" s="1" t="s">
        <v>683</v>
      </c>
      <c r="D143" t="s">
        <v>686</v>
      </c>
      <c r="E143" s="4">
        <v>6.5</v>
      </c>
      <c r="F143" s="3">
        <f t="shared" si="51"/>
        <v>0.73333333333333328</v>
      </c>
      <c r="G143">
        <v>96.220079999999996</v>
      </c>
      <c r="H143">
        <f t="shared" si="52"/>
        <v>0.93098703895280588</v>
      </c>
      <c r="I143">
        <v>62.4</v>
      </c>
      <c r="J143" s="3">
        <f t="shared" si="53"/>
        <v>0.28716060745513117</v>
      </c>
      <c r="K143">
        <v>0.1</v>
      </c>
      <c r="L143" s="3">
        <f t="shared" si="54"/>
        <v>0.05</v>
      </c>
      <c r="M143">
        <v>22882</v>
      </c>
      <c r="N143">
        <f t="shared" si="55"/>
        <v>0.10713356328038873</v>
      </c>
      <c r="O143" s="15">
        <v>0.20355066799999999</v>
      </c>
      <c r="P143">
        <f t="shared" si="56"/>
        <v>0.20751063854516597</v>
      </c>
      <c r="Q143">
        <v>0.38979999999999998</v>
      </c>
      <c r="R143">
        <f t="shared" si="57"/>
        <v>0.86410995344712915</v>
      </c>
      <c r="S143">
        <f t="shared" si="58"/>
        <v>0.17674939648642349</v>
      </c>
      <c r="T143" s="14">
        <f t="shared" si="59"/>
        <v>0.30184123660706469</v>
      </c>
      <c r="U143" t="str">
        <f t="shared" si="60"/>
        <v>Moderate</v>
      </c>
      <c r="V143">
        <f t="shared" si="61"/>
        <v>0.28504661801196457</v>
      </c>
      <c r="W143">
        <f t="shared" si="62"/>
        <v>0.41942476466079548</v>
      </c>
      <c r="X143" t="str">
        <f t="shared" si="71"/>
        <v>Moderate</v>
      </c>
      <c r="Y143">
        <f t="shared" si="63"/>
        <v>6.8452174960882337E-2</v>
      </c>
      <c r="Z143">
        <f t="shared" si="64"/>
        <v>0.13473101017374431</v>
      </c>
      <c r="AA143" t="str">
        <f t="shared" si="65"/>
        <v>No Impact</v>
      </c>
      <c r="AB143">
        <f t="shared" si="66"/>
        <v>0.13267113653364987</v>
      </c>
      <c r="AC143">
        <f t="shared" si="67"/>
        <v>0.30597955436047064</v>
      </c>
      <c r="AD143" t="str">
        <f t="shared" si="68"/>
        <v>Moderate</v>
      </c>
      <c r="AE143">
        <f t="shared" si="69"/>
        <v>3.5340479260564474E-2</v>
      </c>
      <c r="AF143">
        <f t="shared" si="70"/>
        <v>0.1813119232941896</v>
      </c>
      <c r="AG143" t="s">
        <v>1175</v>
      </c>
    </row>
    <row r="144" spans="1:33" x14ac:dyDescent="0.3">
      <c r="A144">
        <v>207580</v>
      </c>
      <c r="B144" t="s">
        <v>467</v>
      </c>
      <c r="C144" s="1" t="s">
        <v>683</v>
      </c>
      <c r="D144" t="s">
        <v>687</v>
      </c>
      <c r="E144" s="4">
        <v>6.6</v>
      </c>
      <c r="F144" s="3">
        <f t="shared" si="51"/>
        <v>0.75555555555555542</v>
      </c>
      <c r="G144">
        <v>82.536119999999997</v>
      </c>
      <c r="H144">
        <f t="shared" si="52"/>
        <v>0.79858651089724153</v>
      </c>
      <c r="I144">
        <v>71.2</v>
      </c>
      <c r="J144" s="3">
        <f t="shared" si="53"/>
        <v>0.32765761619880351</v>
      </c>
      <c r="K144">
        <v>0</v>
      </c>
      <c r="L144" s="3">
        <f t="shared" si="54"/>
        <v>0</v>
      </c>
      <c r="M144">
        <v>19359</v>
      </c>
      <c r="N144">
        <f t="shared" si="55"/>
        <v>9.046476747432021E-2</v>
      </c>
      <c r="O144" s="15">
        <v>0.43192493700000001</v>
      </c>
      <c r="P144">
        <f t="shared" si="56"/>
        <v>0.44032780811336164</v>
      </c>
      <c r="Q144">
        <v>0.36969999999999997</v>
      </c>
      <c r="R144">
        <f t="shared" si="57"/>
        <v>0.81955220571935261</v>
      </c>
      <c r="S144">
        <f t="shared" si="58"/>
        <v>0.18322642695089081</v>
      </c>
      <c r="T144" s="14">
        <f t="shared" si="59"/>
        <v>0.31290229211163961</v>
      </c>
      <c r="U144" t="str">
        <f t="shared" si="60"/>
        <v>Moderate</v>
      </c>
      <c r="V144">
        <f t="shared" si="61"/>
        <v>0.23837765613387529</v>
      </c>
      <c r="W144">
        <f t="shared" si="62"/>
        <v>0.35075488010226469</v>
      </c>
      <c r="X144" t="str">
        <f t="shared" si="71"/>
        <v>Moderate</v>
      </c>
      <c r="Y144">
        <f t="shared" si="63"/>
        <v>0.12807519776790632</v>
      </c>
      <c r="Z144">
        <f t="shared" si="64"/>
        <v>0.25208403945284485</v>
      </c>
      <c r="AA144" t="str">
        <f t="shared" si="65"/>
        <v>Low</v>
      </c>
      <c r="AB144">
        <f t="shared" si="66"/>
        <v>0.13106424714395168</v>
      </c>
      <c r="AC144">
        <f t="shared" si="67"/>
        <v>0.30227358400239118</v>
      </c>
      <c r="AD144" t="str">
        <f t="shared" si="68"/>
        <v>Moderate</v>
      </c>
      <c r="AE144">
        <f t="shared" si="69"/>
        <v>2.6312880476352631E-2</v>
      </c>
      <c r="AF144">
        <f t="shared" si="70"/>
        <v>0.13499644222146368</v>
      </c>
      <c r="AG144" t="s">
        <v>1175</v>
      </c>
    </row>
    <row r="145" spans="1:33" x14ac:dyDescent="0.3">
      <c r="A145">
        <v>207583</v>
      </c>
      <c r="B145" t="s">
        <v>493</v>
      </c>
      <c r="C145" s="1" t="s">
        <v>683</v>
      </c>
      <c r="D145" t="s">
        <v>688</v>
      </c>
      <c r="E145" s="4">
        <v>6.5</v>
      </c>
      <c r="F145" s="3">
        <f t="shared" si="51"/>
        <v>0.73333333333333328</v>
      </c>
      <c r="G145">
        <v>82.536119999999997</v>
      </c>
      <c r="H145">
        <f t="shared" si="52"/>
        <v>0.79858651089724153</v>
      </c>
      <c r="I145">
        <v>76.8</v>
      </c>
      <c r="J145" s="3">
        <f t="shared" si="53"/>
        <v>0.3534284399447768</v>
      </c>
      <c r="K145">
        <v>0</v>
      </c>
      <c r="L145" s="3">
        <f t="shared" si="54"/>
        <v>0</v>
      </c>
      <c r="M145">
        <v>20762</v>
      </c>
      <c r="N145">
        <f t="shared" si="55"/>
        <v>9.7102950987210973E-2</v>
      </c>
      <c r="O145" s="15">
        <v>2.2319696999999999E-2</v>
      </c>
      <c r="P145">
        <f t="shared" si="56"/>
        <v>2.2753914895551338E-2</v>
      </c>
      <c r="Q145">
        <v>0.33700000000000002</v>
      </c>
      <c r="R145">
        <f t="shared" si="57"/>
        <v>0.74706273553535807</v>
      </c>
      <c r="S145">
        <f t="shared" si="58"/>
        <v>0.11011773546412854</v>
      </c>
      <c r="T145" s="14">
        <f t="shared" si="59"/>
        <v>0.18805197701150436</v>
      </c>
      <c r="U145" t="str">
        <f t="shared" si="60"/>
        <v>Low</v>
      </c>
      <c r="V145">
        <f t="shared" si="61"/>
        <v>0.21372584404544262</v>
      </c>
      <c r="W145">
        <f t="shared" si="62"/>
        <v>0.31448158362968898</v>
      </c>
      <c r="X145" t="str">
        <f t="shared" si="71"/>
        <v>Moderate</v>
      </c>
      <c r="Y145">
        <f t="shared" si="63"/>
        <v>6.509626882814464E-3</v>
      </c>
      <c r="Z145">
        <f t="shared" si="64"/>
        <v>1.2812574710401137E-2</v>
      </c>
      <c r="AA145" t="str">
        <f t="shared" si="65"/>
        <v>No Impact</v>
      </c>
      <c r="AB145">
        <f t="shared" si="66"/>
        <v>8.6479936931671525E-2</v>
      </c>
      <c r="AC145">
        <f t="shared" si="67"/>
        <v>0.19944875166395395</v>
      </c>
      <c r="AD145" t="str">
        <f t="shared" si="68"/>
        <v>Low</v>
      </c>
      <c r="AE145">
        <f t="shared" si="69"/>
        <v>2.7780009859777913E-2</v>
      </c>
      <c r="AF145">
        <f t="shared" si="70"/>
        <v>0.14252344965871391</v>
      </c>
      <c r="AG145" t="s">
        <v>1175</v>
      </c>
    </row>
    <row r="146" spans="1:33" x14ac:dyDescent="0.3">
      <c r="A146">
        <v>207585</v>
      </c>
      <c r="B146" t="s">
        <v>501</v>
      </c>
      <c r="C146" s="1" t="s">
        <v>683</v>
      </c>
      <c r="D146" t="s">
        <v>689</v>
      </c>
      <c r="E146" s="4">
        <v>6.5</v>
      </c>
      <c r="F146" s="3">
        <f t="shared" si="51"/>
        <v>0.73333333333333328</v>
      </c>
      <c r="G146">
        <v>102.45923999999999</v>
      </c>
      <c r="H146">
        <f t="shared" si="52"/>
        <v>0.9913546575824389</v>
      </c>
      <c r="I146">
        <v>72.900000000000006</v>
      </c>
      <c r="J146" s="3">
        <f t="shared" si="53"/>
        <v>0.33548090197883118</v>
      </c>
      <c r="K146">
        <v>1.5</v>
      </c>
      <c r="L146" s="3">
        <f t="shared" si="54"/>
        <v>0.75</v>
      </c>
      <c r="M146">
        <v>36232</v>
      </c>
      <c r="N146">
        <f t="shared" si="55"/>
        <v>0.17029803220205059</v>
      </c>
      <c r="O146" s="15">
        <v>6.5754930000000003E-2</v>
      </c>
      <c r="P146">
        <f t="shared" si="56"/>
        <v>6.7034157371533121E-2</v>
      </c>
      <c r="Q146">
        <v>0.3962</v>
      </c>
      <c r="R146">
        <f t="shared" si="57"/>
        <v>0.87829749501219245</v>
      </c>
      <c r="S146">
        <f t="shared" si="58"/>
        <v>0.26469344491977481</v>
      </c>
      <c r="T146" s="14">
        <f t="shared" si="59"/>
        <v>0.45202641889929018</v>
      </c>
      <c r="U146" t="str">
        <f t="shared" si="60"/>
        <v>Moderate</v>
      </c>
      <c r="V146">
        <f t="shared" si="61"/>
        <v>0.49184767913561556</v>
      </c>
      <c r="W146">
        <f t="shared" si="62"/>
        <v>0.72371704849259089</v>
      </c>
      <c r="X146" t="str">
        <f t="shared" si="71"/>
        <v>High</v>
      </c>
      <c r="Y146">
        <f t="shared" si="63"/>
        <v>3.7539210703934074E-2</v>
      </c>
      <c r="Z146">
        <f t="shared" si="64"/>
        <v>7.3886560684979591E-2</v>
      </c>
      <c r="AA146" t="str">
        <f t="shared" si="65"/>
        <v>No Impact</v>
      </c>
      <c r="AB146">
        <f t="shared" si="66"/>
        <v>0.21678693864368395</v>
      </c>
      <c r="AC146">
        <f t="shared" si="67"/>
        <v>0.49997589988641566</v>
      </c>
      <c r="AD146" t="str">
        <f t="shared" si="68"/>
        <v>Moderate</v>
      </c>
      <c r="AE146">
        <f t="shared" si="69"/>
        <v>9.53671078143951E-2</v>
      </c>
      <c r="AF146">
        <f t="shared" si="70"/>
        <v>0.48927445520318991</v>
      </c>
      <c r="AG146" t="str">
        <f t="shared" si="72"/>
        <v>Moderate</v>
      </c>
    </row>
    <row r="147" spans="1:33" x14ac:dyDescent="0.3">
      <c r="A147">
        <v>207587</v>
      </c>
      <c r="B147" t="s">
        <v>387</v>
      </c>
      <c r="C147" s="1" t="s">
        <v>683</v>
      </c>
      <c r="D147" t="s">
        <v>1129</v>
      </c>
      <c r="E147" s="4">
        <v>6.6</v>
      </c>
      <c r="F147" s="3">
        <f t="shared" si="51"/>
        <v>0.75555555555555542</v>
      </c>
      <c r="G147">
        <v>90.353160000000003</v>
      </c>
      <c r="H147">
        <f t="shared" si="52"/>
        <v>0.87422106579446934</v>
      </c>
      <c r="I147">
        <v>76.5</v>
      </c>
      <c r="J147" s="3">
        <f t="shared" si="53"/>
        <v>0.35204786010124256</v>
      </c>
      <c r="K147">
        <v>1</v>
      </c>
      <c r="L147" s="3">
        <f t="shared" si="54"/>
        <v>0.5</v>
      </c>
      <c r="M147">
        <v>46149</v>
      </c>
      <c r="N147">
        <f t="shared" si="55"/>
        <v>0.21721953319801471</v>
      </c>
      <c r="O147" s="15">
        <v>0.19779561400000001</v>
      </c>
      <c r="P147">
        <f t="shared" si="56"/>
        <v>0.20164362301465488</v>
      </c>
      <c r="Q147">
        <v>0.40210000000000001</v>
      </c>
      <c r="R147">
        <f t="shared" si="57"/>
        <v>0.89137663489248509</v>
      </c>
      <c r="S147">
        <f t="shared" si="58"/>
        <v>0.25605009909354232</v>
      </c>
      <c r="T147" s="14">
        <f t="shared" si="59"/>
        <v>0.43726586953123098</v>
      </c>
      <c r="U147" t="str">
        <f t="shared" si="60"/>
        <v>Moderate</v>
      </c>
      <c r="V147">
        <f t="shared" si="61"/>
        <v>0.4176264328913829</v>
      </c>
      <c r="W147">
        <f t="shared" si="62"/>
        <v>0.61450603958487759</v>
      </c>
      <c r="X147" t="str">
        <f t="shared" si="71"/>
        <v>Moderate</v>
      </c>
      <c r="Y147">
        <f t="shared" si="63"/>
        <v>9.4473765295701784E-2</v>
      </c>
      <c r="Z147">
        <f t="shared" si="64"/>
        <v>0.18594801173930531</v>
      </c>
      <c r="AA147" t="str">
        <f t="shared" si="65"/>
        <v>Low</v>
      </c>
      <c r="AB147">
        <f t="shared" si="66"/>
        <v>0.21013135961310647</v>
      </c>
      <c r="AC147">
        <f t="shared" si="67"/>
        <v>0.48462613234092944</v>
      </c>
      <c r="AD147" t="str">
        <f t="shared" si="68"/>
        <v>Moderate</v>
      </c>
      <c r="AE147">
        <f t="shared" si="69"/>
        <v>0.1017713671783198</v>
      </c>
      <c r="AF147">
        <f t="shared" si="70"/>
        <v>0.5221310719453327</v>
      </c>
      <c r="AG147" t="str">
        <f t="shared" si="72"/>
        <v>Moderate</v>
      </c>
    </row>
    <row r="148" spans="1:33" x14ac:dyDescent="0.3">
      <c r="A148">
        <v>208407</v>
      </c>
      <c r="B148" t="s">
        <v>27</v>
      </c>
      <c r="C148" s="1" t="s">
        <v>691</v>
      </c>
      <c r="D148" t="s">
        <v>690</v>
      </c>
      <c r="E148" s="4">
        <v>6.2</v>
      </c>
      <c r="F148" s="3">
        <f t="shared" si="51"/>
        <v>0.66666666666666663</v>
      </c>
      <c r="G148">
        <v>65.476079999999996</v>
      </c>
      <c r="H148">
        <f t="shared" si="52"/>
        <v>0.63352038203914429</v>
      </c>
      <c r="I148">
        <v>47</v>
      </c>
      <c r="J148" s="3">
        <f t="shared" si="53"/>
        <v>0.21629084215370456</v>
      </c>
      <c r="K148">
        <v>0</v>
      </c>
      <c r="L148" s="3">
        <f t="shared" si="54"/>
        <v>0</v>
      </c>
      <c r="M148">
        <v>3903</v>
      </c>
      <c r="N148">
        <f t="shared" si="55"/>
        <v>1.7335926151982702E-2</v>
      </c>
      <c r="O148" s="15">
        <v>0.28577507000000002</v>
      </c>
      <c r="P148">
        <f t="shared" si="56"/>
        <v>0.29133467278029029</v>
      </c>
      <c r="Q148">
        <v>0.44579999999999997</v>
      </c>
      <c r="R148">
        <f t="shared" si="57"/>
        <v>0.98825094214143194</v>
      </c>
      <c r="S148">
        <f t="shared" si="58"/>
        <v>0.12653665236621273</v>
      </c>
      <c r="T148" s="14">
        <f t="shared" si="59"/>
        <v>0.21609114591386835</v>
      </c>
      <c r="U148" t="str">
        <f t="shared" si="60"/>
        <v>Low</v>
      </c>
      <c r="V148">
        <f t="shared" si="61"/>
        <v>0.1954538476489241</v>
      </c>
      <c r="W148">
        <f t="shared" si="62"/>
        <v>0.28759570846322408</v>
      </c>
      <c r="X148" t="s">
        <v>1175</v>
      </c>
      <c r="Y148">
        <f t="shared" si="63"/>
        <v>5.7619457083501351E-2</v>
      </c>
      <c r="Z148">
        <f t="shared" si="64"/>
        <v>0.11340951055184381</v>
      </c>
      <c r="AA148" t="str">
        <f t="shared" si="65"/>
        <v>No Impact</v>
      </c>
      <c r="AB148">
        <f t="shared" si="66"/>
        <v>8.6894713737452348E-2</v>
      </c>
      <c r="AC148">
        <f t="shared" si="67"/>
        <v>0.2004053517618184</v>
      </c>
      <c r="AD148" t="str">
        <f t="shared" si="68"/>
        <v>Low</v>
      </c>
      <c r="AE148">
        <f t="shared" si="69"/>
        <v>3.428656957938629E-3</v>
      </c>
      <c r="AF148">
        <f t="shared" si="70"/>
        <v>1.7590491141232158E-2</v>
      </c>
      <c r="AG148" t="str">
        <f t="shared" si="72"/>
        <v>No Impact</v>
      </c>
    </row>
    <row r="149" spans="1:33" x14ac:dyDescent="0.3">
      <c r="A149">
        <v>208421</v>
      </c>
      <c r="B149" t="s">
        <v>50</v>
      </c>
      <c r="C149" s="1" t="s">
        <v>691</v>
      </c>
      <c r="D149" t="s">
        <v>692</v>
      </c>
      <c r="E149" s="4">
        <v>6.2</v>
      </c>
      <c r="F149" s="3">
        <f t="shared" si="51"/>
        <v>0.66666666666666663</v>
      </c>
      <c r="G149">
        <v>60.151320000000005</v>
      </c>
      <c r="H149">
        <f t="shared" si="52"/>
        <v>0.58200013236221271</v>
      </c>
      <c r="I149">
        <v>37.400000000000006</v>
      </c>
      <c r="J149" s="3">
        <f t="shared" si="53"/>
        <v>0.1721122871606075</v>
      </c>
      <c r="K149">
        <v>0</v>
      </c>
      <c r="L149" s="3">
        <f t="shared" si="54"/>
        <v>0</v>
      </c>
      <c r="M149">
        <v>239</v>
      </c>
      <c r="N149">
        <f t="shared" si="55"/>
        <v>0</v>
      </c>
      <c r="O149" s="15">
        <v>7.9232238999999996E-2</v>
      </c>
      <c r="P149">
        <f t="shared" si="56"/>
        <v>8.0773660287143847E-2</v>
      </c>
      <c r="Q149">
        <v>0.44700000000000001</v>
      </c>
      <c r="R149">
        <f t="shared" si="57"/>
        <v>0.99091110618488143</v>
      </c>
      <c r="S149">
        <f t="shared" si="58"/>
        <v>9.5459431209816883E-2</v>
      </c>
      <c r="T149" s="14">
        <f t="shared" si="59"/>
        <v>0.16301946900504063</v>
      </c>
      <c r="U149" t="str">
        <f t="shared" si="60"/>
        <v>Low</v>
      </c>
      <c r="V149">
        <f t="shared" si="61"/>
        <v>0.17652916890345371</v>
      </c>
      <c r="W149">
        <f t="shared" si="62"/>
        <v>0.25974946006898109</v>
      </c>
      <c r="X149" t="s">
        <v>1175</v>
      </c>
      <c r="Y149">
        <f t="shared" si="63"/>
        <v>1.4389693516180068E-2</v>
      </c>
      <c r="Z149">
        <f t="shared" si="64"/>
        <v>2.8322517796307126E-2</v>
      </c>
      <c r="AA149" t="str">
        <f t="shared" si="65"/>
        <v>No Impact</v>
      </c>
      <c r="AB149">
        <f t="shared" si="66"/>
        <v>6.6102117171062819E-2</v>
      </c>
      <c r="AC149">
        <f t="shared" si="67"/>
        <v>0.1524513687206972</v>
      </c>
      <c r="AD149" t="str">
        <f t="shared" si="68"/>
        <v>Low</v>
      </c>
      <c r="AE149">
        <f t="shared" si="69"/>
        <v>0</v>
      </c>
      <c r="AF149">
        <f t="shared" si="70"/>
        <v>0</v>
      </c>
      <c r="AG149" t="str">
        <f t="shared" si="72"/>
        <v>No Impact</v>
      </c>
    </row>
    <row r="150" spans="1:33" x14ac:dyDescent="0.3">
      <c r="A150">
        <v>208425</v>
      </c>
      <c r="B150" t="s">
        <v>265</v>
      </c>
      <c r="C150" s="1" t="s">
        <v>691</v>
      </c>
      <c r="D150" t="s">
        <v>1130</v>
      </c>
      <c r="E150" s="4">
        <v>6.3</v>
      </c>
      <c r="F150" s="3">
        <f t="shared" si="51"/>
        <v>0.68888888888888877</v>
      </c>
      <c r="G150">
        <v>63.124560000000002</v>
      </c>
      <c r="H150">
        <f t="shared" si="52"/>
        <v>0.61076801432298466</v>
      </c>
      <c r="I150">
        <v>25.3</v>
      </c>
      <c r="J150" s="3">
        <f t="shared" si="53"/>
        <v>0.116428900138058</v>
      </c>
      <c r="K150">
        <v>0</v>
      </c>
      <c r="L150" s="3">
        <f t="shared" si="54"/>
        <v>0</v>
      </c>
      <c r="M150">
        <v>5340</v>
      </c>
      <c r="N150">
        <f t="shared" si="55"/>
        <v>2.4134977975235745E-2</v>
      </c>
      <c r="O150" s="15">
        <v>0.38217277700000002</v>
      </c>
      <c r="P150">
        <f t="shared" si="56"/>
        <v>0.38960774616494664</v>
      </c>
      <c r="Q150">
        <v>0.44450000000000001</v>
      </c>
      <c r="R150">
        <f t="shared" si="57"/>
        <v>0.98536909776102866</v>
      </c>
      <c r="S150">
        <f t="shared" si="58"/>
        <v>0.12673287699323604</v>
      </c>
      <c r="T150" s="14">
        <f t="shared" si="59"/>
        <v>0.21642624569497582</v>
      </c>
      <c r="U150" t="str">
        <f t="shared" si="60"/>
        <v>Low</v>
      </c>
      <c r="V150">
        <f t="shared" si="61"/>
        <v>0.18164474727140573</v>
      </c>
      <c r="W150">
        <f t="shared" si="62"/>
        <v>0.26727665077219465</v>
      </c>
      <c r="X150" t="s">
        <v>1175</v>
      </c>
      <c r="Y150">
        <f t="shared" si="63"/>
        <v>7.1821006715066374E-2</v>
      </c>
      <c r="Z150">
        <f t="shared" si="64"/>
        <v>0.1413617141010626</v>
      </c>
      <c r="AA150" t="str">
        <f t="shared" si="65"/>
        <v>No Impact</v>
      </c>
      <c r="AB150">
        <f t="shared" si="66"/>
        <v>8.6679143701081096E-2</v>
      </c>
      <c r="AC150">
        <f t="shared" si="67"/>
        <v>0.19990818240467176</v>
      </c>
      <c r="AD150" t="str">
        <f t="shared" si="68"/>
        <v>Low</v>
      </c>
      <c r="AE150">
        <f t="shared" si="69"/>
        <v>4.4490861187691157E-3</v>
      </c>
      <c r="AF150">
        <f t="shared" si="70"/>
        <v>2.2825733492404968E-2</v>
      </c>
      <c r="AG150" t="str">
        <f t="shared" si="72"/>
        <v>No Impact</v>
      </c>
    </row>
    <row r="151" spans="1:33" x14ac:dyDescent="0.3">
      <c r="A151">
        <v>208429</v>
      </c>
      <c r="B151" t="s">
        <v>60</v>
      </c>
      <c r="C151" s="1" t="s">
        <v>691</v>
      </c>
      <c r="D151" t="s">
        <v>693</v>
      </c>
      <c r="E151" s="4">
        <v>6.2</v>
      </c>
      <c r="F151" s="3">
        <f t="shared" si="51"/>
        <v>0.66666666666666663</v>
      </c>
      <c r="G151">
        <v>73.718280000000007</v>
      </c>
      <c r="H151">
        <f t="shared" si="52"/>
        <v>0.71326861517776596</v>
      </c>
      <c r="I151">
        <v>20.100000000000001</v>
      </c>
      <c r="J151" s="3">
        <f t="shared" si="53"/>
        <v>9.2498849516797071E-2</v>
      </c>
      <c r="K151">
        <v>0</v>
      </c>
      <c r="L151" s="3">
        <f t="shared" si="54"/>
        <v>0</v>
      </c>
      <c r="M151">
        <v>952</v>
      </c>
      <c r="N151">
        <f t="shared" si="55"/>
        <v>3.3735030967149745E-3</v>
      </c>
      <c r="O151" s="15">
        <v>8.3500000000000002E-4</v>
      </c>
      <c r="P151">
        <f t="shared" si="56"/>
        <v>8.512444831928215E-4</v>
      </c>
      <c r="Q151">
        <v>0.4486</v>
      </c>
      <c r="R151">
        <f t="shared" si="57"/>
        <v>0.99445799157614723</v>
      </c>
      <c r="S151">
        <f t="shared" si="58"/>
        <v>0.10079404268028683</v>
      </c>
      <c r="T151" s="14">
        <f t="shared" si="59"/>
        <v>0.17212957492378173</v>
      </c>
      <c r="U151" t="str">
        <f t="shared" si="60"/>
        <v>Low</v>
      </c>
      <c r="V151">
        <f t="shared" si="61"/>
        <v>0.20141567588287204</v>
      </c>
      <c r="W151">
        <f t="shared" si="62"/>
        <v>0.29636809250837259</v>
      </c>
      <c r="X151" t="s">
        <v>1175</v>
      </c>
      <c r="Y151">
        <f t="shared" si="63"/>
        <v>1.7240947770162267E-4</v>
      </c>
      <c r="Z151">
        <f t="shared" si="64"/>
        <v>3.3934499681772927E-4</v>
      </c>
      <c r="AA151" t="str">
        <f t="shared" si="65"/>
        <v>No Impact</v>
      </c>
      <c r="AB151">
        <f t="shared" si="66"/>
        <v>7.078635147189101E-2</v>
      </c>
      <c r="AC151">
        <f t="shared" si="67"/>
        <v>0.16325462224919857</v>
      </c>
      <c r="AD151" t="str">
        <f t="shared" si="68"/>
        <v>Low</v>
      </c>
      <c r="AE151">
        <f t="shared" si="69"/>
        <v>6.8326305592947701E-4</v>
      </c>
      <c r="AF151">
        <f t="shared" si="70"/>
        <v>3.5054346001662058E-3</v>
      </c>
      <c r="AG151" t="str">
        <f t="shared" si="72"/>
        <v>No Impact</v>
      </c>
    </row>
    <row r="152" spans="1:33" x14ac:dyDescent="0.3">
      <c r="A152">
        <v>208436</v>
      </c>
      <c r="B152" t="s">
        <v>258</v>
      </c>
      <c r="C152" s="1" t="s">
        <v>691</v>
      </c>
      <c r="D152" t="s">
        <v>694</v>
      </c>
      <c r="E152" s="4">
        <v>6.2</v>
      </c>
      <c r="F152" s="3">
        <f t="shared" si="51"/>
        <v>0.66666666666666663</v>
      </c>
      <c r="G152">
        <v>62.593920000000004</v>
      </c>
      <c r="H152">
        <f t="shared" si="52"/>
        <v>0.60563375375751938</v>
      </c>
      <c r="I152">
        <v>18.2</v>
      </c>
      <c r="J152" s="3">
        <f t="shared" si="53"/>
        <v>8.3755177174413262E-2</v>
      </c>
      <c r="K152">
        <v>0</v>
      </c>
      <c r="L152" s="3">
        <f t="shared" si="54"/>
        <v>0</v>
      </c>
      <c r="M152">
        <v>8318</v>
      </c>
      <c r="N152">
        <f t="shared" si="55"/>
        <v>3.8225149394614695E-2</v>
      </c>
      <c r="O152" s="15">
        <v>6.0049420999999999E-2</v>
      </c>
      <c r="P152">
        <f t="shared" si="56"/>
        <v>6.1217650712782228E-2</v>
      </c>
      <c r="Q152">
        <v>0.44540000000000002</v>
      </c>
      <c r="R152">
        <f t="shared" si="57"/>
        <v>0.98736422079361563</v>
      </c>
      <c r="S152">
        <f t="shared" si="58"/>
        <v>9.0529154023660352E-2</v>
      </c>
      <c r="T152" s="14">
        <f t="shared" si="59"/>
        <v>0.15459985913780472</v>
      </c>
      <c r="U152" t="str">
        <f t="shared" si="60"/>
        <v>Low</v>
      </c>
      <c r="V152">
        <f t="shared" si="61"/>
        <v>0.17048787519712758</v>
      </c>
      <c r="W152">
        <f t="shared" si="62"/>
        <v>0.25086014852866234</v>
      </c>
      <c r="X152" t="s">
        <v>1175</v>
      </c>
      <c r="Y152">
        <f t="shared" si="63"/>
        <v>1.0570432850193117E-2</v>
      </c>
      <c r="Z152">
        <f t="shared" si="64"/>
        <v>2.0805257052739418E-2</v>
      </c>
      <c r="AA152" t="str">
        <f t="shared" si="65"/>
        <v>No Impact</v>
      </c>
      <c r="AB152">
        <f t="shared" si="66"/>
        <v>6.5151999834997157E-2</v>
      </c>
      <c r="AC152">
        <f t="shared" si="67"/>
        <v>0.15026011230520855</v>
      </c>
      <c r="AD152" t="str">
        <f t="shared" si="68"/>
        <v>Low</v>
      </c>
      <c r="AE152">
        <f t="shared" si="69"/>
        <v>6.6003247455559064E-3</v>
      </c>
      <c r="AF152">
        <f t="shared" si="70"/>
        <v>3.3862516836843243E-2</v>
      </c>
      <c r="AG152" t="str">
        <f t="shared" si="72"/>
        <v>No Impact</v>
      </c>
    </row>
    <row r="153" spans="1:33" x14ac:dyDescent="0.3">
      <c r="A153">
        <v>208447</v>
      </c>
      <c r="B153" t="s">
        <v>228</v>
      </c>
      <c r="C153" s="1" t="s">
        <v>691</v>
      </c>
      <c r="D153" t="s">
        <v>695</v>
      </c>
      <c r="E153" s="4">
        <v>5</v>
      </c>
      <c r="F153" s="3">
        <f t="shared" si="51"/>
        <v>0.39999999999999997</v>
      </c>
      <c r="G153">
        <v>63.96228</v>
      </c>
      <c r="H153">
        <f t="shared" si="52"/>
        <v>0.61887345824146345</v>
      </c>
      <c r="I153">
        <v>15.7</v>
      </c>
      <c r="J153" s="3">
        <f t="shared" si="53"/>
        <v>7.2250345144960884E-2</v>
      </c>
      <c r="K153">
        <v>0</v>
      </c>
      <c r="L153" s="3">
        <f t="shared" si="54"/>
        <v>0</v>
      </c>
      <c r="M153">
        <v>1297</v>
      </c>
      <c r="N153">
        <f t="shared" si="55"/>
        <v>5.0058433048028655E-3</v>
      </c>
      <c r="O153" s="15">
        <v>0.166668066</v>
      </c>
      <c r="P153">
        <f t="shared" si="56"/>
        <v>0.16991050503822402</v>
      </c>
      <c r="Q153">
        <v>0.44800000000000001</v>
      </c>
      <c r="R153">
        <f t="shared" si="57"/>
        <v>0.99312790955442254</v>
      </c>
      <c r="S153">
        <f t="shared" si="58"/>
        <v>6.0943085531376277E-2</v>
      </c>
      <c r="T153" s="14">
        <f t="shared" si="59"/>
        <v>0.10407467671808258</v>
      </c>
      <c r="U153" t="str">
        <f t="shared" si="60"/>
        <v>No Impact</v>
      </c>
      <c r="V153">
        <f t="shared" si="61"/>
        <v>0.10407958735700176</v>
      </c>
      <c r="W153">
        <f t="shared" si="62"/>
        <v>0.15314532316735241</v>
      </c>
      <c r="X153" t="s">
        <v>1176</v>
      </c>
      <c r="Y153">
        <f t="shared" si="63"/>
        <v>1.7806583705750788E-2</v>
      </c>
      <c r="Z153">
        <f t="shared" si="64"/>
        <v>3.5047812750875013E-2</v>
      </c>
      <c r="AA153" t="str">
        <f t="shared" si="65"/>
        <v>No Impact</v>
      </c>
      <c r="AB153">
        <f t="shared" si="66"/>
        <v>4.1953444635275887E-2</v>
      </c>
      <c r="AC153">
        <f t="shared" si="67"/>
        <v>9.6757264833805992E-2</v>
      </c>
      <c r="AD153" t="str">
        <f t="shared" si="68"/>
        <v>No Impact</v>
      </c>
      <c r="AE153">
        <f t="shared" si="69"/>
        <v>5.2461128171440389E-4</v>
      </c>
      <c r="AF153">
        <f t="shared" si="70"/>
        <v>2.6914824716485529E-3</v>
      </c>
      <c r="AG153" t="str">
        <f t="shared" si="72"/>
        <v>No Impact</v>
      </c>
    </row>
    <row r="154" spans="1:33" x14ac:dyDescent="0.3">
      <c r="A154">
        <v>208458</v>
      </c>
      <c r="B154" t="s">
        <v>302</v>
      </c>
      <c r="C154" s="1" t="s">
        <v>691</v>
      </c>
      <c r="D154" t="s">
        <v>696</v>
      </c>
      <c r="E154" s="4">
        <v>6.3</v>
      </c>
      <c r="F154" s="3">
        <f t="shared" si="51"/>
        <v>0.68888888888888877</v>
      </c>
      <c r="G154">
        <v>60.151320000000005</v>
      </c>
      <c r="H154">
        <f t="shared" si="52"/>
        <v>0.58200013236221271</v>
      </c>
      <c r="I154">
        <v>37.400000000000006</v>
      </c>
      <c r="J154" s="3">
        <f t="shared" si="53"/>
        <v>0.1721122871606075</v>
      </c>
      <c r="K154">
        <v>0</v>
      </c>
      <c r="L154" s="3">
        <f t="shared" si="54"/>
        <v>0</v>
      </c>
      <c r="M154">
        <v>5825</v>
      </c>
      <c r="N154">
        <f t="shared" si="55"/>
        <v>2.6429717108344807E-2</v>
      </c>
      <c r="O154" s="15">
        <v>0.137107169</v>
      </c>
      <c r="P154">
        <f t="shared" si="56"/>
        <v>0.13977451642806688</v>
      </c>
      <c r="Q154">
        <v>0.43319999999999997</v>
      </c>
      <c r="R154">
        <f t="shared" si="57"/>
        <v>0.96031921968521383</v>
      </c>
      <c r="S154">
        <f t="shared" si="58"/>
        <v>0.10125626782489493</v>
      </c>
      <c r="T154" s="14">
        <f t="shared" si="59"/>
        <v>0.17291893325830993</v>
      </c>
      <c r="U154" t="str">
        <f t="shared" si="60"/>
        <v>Low</v>
      </c>
      <c r="V154">
        <f t="shared" si="61"/>
        <v>0.17678191760165995</v>
      </c>
      <c r="W154">
        <f t="shared" si="62"/>
        <v>0.26012136086192095</v>
      </c>
      <c r="X154" t="s">
        <v>1175</v>
      </c>
      <c r="Y154">
        <f t="shared" si="63"/>
        <v>2.57306180481299E-2</v>
      </c>
      <c r="Z154">
        <f t="shared" si="64"/>
        <v>5.0644295290842183E-2</v>
      </c>
      <c r="AA154" t="str">
        <f t="shared" si="65"/>
        <v>No Impact</v>
      </c>
      <c r="AB154">
        <f t="shared" si="66"/>
        <v>7.1295731610432608E-2</v>
      </c>
      <c r="AC154">
        <f t="shared" si="67"/>
        <v>0.16442940609339593</v>
      </c>
      <c r="AD154" t="str">
        <f t="shared" si="68"/>
        <v>Low</v>
      </c>
      <c r="AE154">
        <f t="shared" si="69"/>
        <v>4.8653572440361462E-3</v>
      </c>
      <c r="AF154">
        <f t="shared" si="70"/>
        <v>2.4961384165886988E-2</v>
      </c>
      <c r="AG154" t="str">
        <f t="shared" si="72"/>
        <v>No Impact</v>
      </c>
    </row>
    <row r="155" spans="1:33" x14ac:dyDescent="0.3">
      <c r="A155">
        <v>208475</v>
      </c>
      <c r="B155" t="s">
        <v>369</v>
      </c>
      <c r="C155" s="1" t="s">
        <v>691</v>
      </c>
      <c r="D155" t="s">
        <v>697</v>
      </c>
      <c r="E155" s="4">
        <v>6.2</v>
      </c>
      <c r="F155" s="3">
        <f t="shared" si="51"/>
        <v>0.66666666666666663</v>
      </c>
      <c r="G155">
        <v>63.689040000000006</v>
      </c>
      <c r="H155">
        <f t="shared" si="52"/>
        <v>0.61622969720402243</v>
      </c>
      <c r="I155">
        <v>36.700000000000003</v>
      </c>
      <c r="J155" s="3">
        <f t="shared" si="53"/>
        <v>0.16889093419236081</v>
      </c>
      <c r="K155">
        <v>0</v>
      </c>
      <c r="L155" s="3">
        <f t="shared" si="54"/>
        <v>0</v>
      </c>
      <c r="M155">
        <v>3524</v>
      </c>
      <c r="N155">
        <f t="shared" si="55"/>
        <v>1.5542717633532526E-2</v>
      </c>
      <c r="O155" s="15">
        <v>8.0742115000000003E-2</v>
      </c>
      <c r="P155">
        <f t="shared" si="56"/>
        <v>8.2312910125832764E-2</v>
      </c>
      <c r="Q155">
        <v>0.43309999999999998</v>
      </c>
      <c r="R155">
        <f t="shared" si="57"/>
        <v>0.96009753934825981</v>
      </c>
      <c r="S155">
        <f t="shared" si="58"/>
        <v>9.7385481727134418E-2</v>
      </c>
      <c r="T155" s="14">
        <f t="shared" si="59"/>
        <v>0.16630865404030301</v>
      </c>
      <c r="U155" t="str">
        <f t="shared" si="60"/>
        <v>Low</v>
      </c>
      <c r="V155">
        <f t="shared" si="61"/>
        <v>0.17939106696721663</v>
      </c>
      <c r="W155">
        <f t="shared" si="62"/>
        <v>0.26396052887677363</v>
      </c>
      <c r="X155" t="s">
        <v>1175</v>
      </c>
      <c r="Y155">
        <f t="shared" si="63"/>
        <v>1.5379896487052186E-2</v>
      </c>
      <c r="Z155">
        <f t="shared" si="64"/>
        <v>3.0271485036849625E-2</v>
      </c>
      <c r="AA155" t="str">
        <f t="shared" si="65"/>
        <v>No Impact</v>
      </c>
      <c r="AB155">
        <f t="shared" si="66"/>
        <v>6.841727936625254E-2</v>
      </c>
      <c r="AC155">
        <f t="shared" si="67"/>
        <v>0.1577908292489236</v>
      </c>
      <c r="AD155" t="str">
        <f t="shared" si="68"/>
        <v>Low</v>
      </c>
      <c r="AE155">
        <f t="shared" si="69"/>
        <v>2.9041056617458831E-3</v>
      </c>
      <c r="AF155">
        <f t="shared" si="70"/>
        <v>1.4899316421219383E-2</v>
      </c>
      <c r="AG155" t="str">
        <f t="shared" si="72"/>
        <v>No Impact</v>
      </c>
    </row>
    <row r="156" spans="1:33" x14ac:dyDescent="0.3">
      <c r="A156">
        <v>208478</v>
      </c>
      <c r="B156" t="s">
        <v>423</v>
      </c>
      <c r="C156" s="1" t="s">
        <v>691</v>
      </c>
      <c r="D156" t="s">
        <v>698</v>
      </c>
      <c r="E156" s="4">
        <v>6.3</v>
      </c>
      <c r="F156" s="3">
        <f t="shared" si="51"/>
        <v>0.68888888888888877</v>
      </c>
      <c r="G156">
        <v>63.871200000000002</v>
      </c>
      <c r="H156">
        <f t="shared" si="52"/>
        <v>0.61799220456231652</v>
      </c>
      <c r="I156">
        <v>16.2</v>
      </c>
      <c r="J156" s="3">
        <f t="shared" si="53"/>
        <v>7.455131155085136E-2</v>
      </c>
      <c r="K156">
        <v>0</v>
      </c>
      <c r="L156" s="3">
        <f t="shared" si="54"/>
        <v>0</v>
      </c>
      <c r="M156">
        <v>5481</v>
      </c>
      <c r="N156">
        <f t="shared" si="55"/>
        <v>2.4802108321149926E-2</v>
      </c>
      <c r="O156" s="15">
        <v>2.0702893E-2</v>
      </c>
      <c r="P156">
        <f t="shared" si="56"/>
        <v>2.110565682919914E-2</v>
      </c>
      <c r="Q156">
        <v>0.4446</v>
      </c>
      <c r="R156">
        <f t="shared" si="57"/>
        <v>0.98559077809798268</v>
      </c>
      <c r="S156">
        <f t="shared" si="58"/>
        <v>9.0885912829579515E-2</v>
      </c>
      <c r="T156" s="14">
        <f t="shared" si="59"/>
        <v>0.15520910885118278</v>
      </c>
      <c r="U156" t="str">
        <f t="shared" si="60"/>
        <v>Low</v>
      </c>
      <c r="V156">
        <f t="shared" si="61"/>
        <v>0.17796093129172572</v>
      </c>
      <c r="W156">
        <f t="shared" si="62"/>
        <v>0.26185619126593201</v>
      </c>
      <c r="X156" t="s">
        <v>1175</v>
      </c>
      <c r="Y156">
        <f t="shared" si="63"/>
        <v>3.8108943674333446E-3</v>
      </c>
      <c r="Z156">
        <f t="shared" si="64"/>
        <v>7.500793774385406E-3</v>
      </c>
      <c r="AA156" t="str">
        <f t="shared" si="65"/>
        <v>No Impact</v>
      </c>
      <c r="AB156">
        <f t="shared" si="66"/>
        <v>6.4997011731653037E-2</v>
      </c>
      <c r="AC156">
        <f t="shared" si="67"/>
        <v>0.14990266311142419</v>
      </c>
      <c r="AD156" t="str">
        <f t="shared" si="68"/>
        <v>No Impact</v>
      </c>
      <c r="AE156">
        <f t="shared" si="69"/>
        <v>4.4783356266258614E-3</v>
      </c>
      <c r="AF156">
        <f t="shared" si="70"/>
        <v>2.2975796101511486E-2</v>
      </c>
      <c r="AG156" t="str">
        <f t="shared" si="72"/>
        <v>No Impact</v>
      </c>
    </row>
    <row r="157" spans="1:33" x14ac:dyDescent="0.3">
      <c r="A157">
        <v>208487</v>
      </c>
      <c r="B157" t="s">
        <v>435</v>
      </c>
      <c r="C157" s="1" t="s">
        <v>691</v>
      </c>
      <c r="D157" t="s">
        <v>699</v>
      </c>
      <c r="E157" s="4">
        <v>6.2</v>
      </c>
      <c r="F157" s="3">
        <f t="shared" si="51"/>
        <v>0.66666666666666663</v>
      </c>
      <c r="G157">
        <v>62.232480000000002</v>
      </c>
      <c r="H157">
        <f t="shared" si="52"/>
        <v>0.60213660476991615</v>
      </c>
      <c r="I157">
        <v>36.700000000000003</v>
      </c>
      <c r="J157" s="3">
        <f t="shared" si="53"/>
        <v>0.16889093419236081</v>
      </c>
      <c r="K157">
        <v>0</v>
      </c>
      <c r="L157" s="3">
        <f t="shared" si="54"/>
        <v>0</v>
      </c>
      <c r="M157">
        <v>13916</v>
      </c>
      <c r="N157">
        <f t="shared" si="55"/>
        <v>6.4711643553675605E-2</v>
      </c>
      <c r="O157" s="15">
        <v>7.7630512999999998E-2</v>
      </c>
      <c r="P157">
        <f t="shared" si="56"/>
        <v>7.9140773555303717E-2</v>
      </c>
      <c r="Q157">
        <v>0.44669999999999999</v>
      </c>
      <c r="R157">
        <f t="shared" si="57"/>
        <v>0.99024606517401903</v>
      </c>
      <c r="S157">
        <f t="shared" si="58"/>
        <v>9.7896244181481837E-2</v>
      </c>
      <c r="T157" s="14">
        <f t="shared" si="59"/>
        <v>0.16718090126658719</v>
      </c>
      <c r="U157" t="str">
        <f t="shared" si="60"/>
        <v>Low</v>
      </c>
      <c r="V157">
        <f t="shared" si="61"/>
        <v>0.18130271868918071</v>
      </c>
      <c r="W157">
        <f t="shared" si="62"/>
        <v>0.26677338131189543</v>
      </c>
      <c r="X157" t="s">
        <v>1175</v>
      </c>
      <c r="Y157">
        <f t="shared" si="63"/>
        <v>1.4489769673782935E-2</v>
      </c>
      <c r="Z157">
        <f t="shared" si="64"/>
        <v>2.8519492718080561E-2</v>
      </c>
      <c r="AA157" t="str">
        <f t="shared" si="65"/>
        <v>No Impact</v>
      </c>
      <c r="AB157">
        <f t="shared" si="66"/>
        <v>7.1949668845142783E-2</v>
      </c>
      <c r="AC157">
        <f t="shared" si="67"/>
        <v>0.1659375820907093</v>
      </c>
      <c r="AD157" t="str">
        <f t="shared" si="68"/>
        <v>Low</v>
      </c>
      <c r="AE157">
        <f t="shared" si="69"/>
        <v>1.184796114798478E-2</v>
      </c>
      <c r="AF157">
        <f t="shared" si="70"/>
        <v>6.0785158203925369E-2</v>
      </c>
      <c r="AG157" t="str">
        <f t="shared" si="72"/>
        <v>No Impact</v>
      </c>
    </row>
    <row r="158" spans="1:33" x14ac:dyDescent="0.3">
      <c r="A158">
        <v>302602</v>
      </c>
      <c r="B158" t="s">
        <v>1</v>
      </c>
      <c r="C158" s="1" t="s">
        <v>701</v>
      </c>
      <c r="D158" t="s">
        <v>700</v>
      </c>
      <c r="E158" s="4">
        <v>5.8</v>
      </c>
      <c r="F158" s="3">
        <f t="shared" si="51"/>
        <v>0.57777777777777772</v>
      </c>
      <c r="G158">
        <v>79.270200000000003</v>
      </c>
      <c r="H158">
        <f t="shared" si="52"/>
        <v>0.76698677422838057</v>
      </c>
      <c r="I158">
        <v>107.89999999999999</v>
      </c>
      <c r="J158" s="3">
        <f t="shared" si="53"/>
        <v>0.4965485503911643</v>
      </c>
      <c r="K158">
        <v>0</v>
      </c>
      <c r="L158" s="3">
        <f t="shared" si="54"/>
        <v>0</v>
      </c>
      <c r="M158">
        <v>1837</v>
      </c>
      <c r="N158">
        <f t="shared" si="55"/>
        <v>7.5608105870273905E-3</v>
      </c>
      <c r="O158" s="15">
        <v>7.5355107000000005E-2</v>
      </c>
      <c r="P158">
        <f t="shared" si="56"/>
        <v>7.6821100735514694E-2</v>
      </c>
      <c r="Q158">
        <v>5.7500000000000002E-2</v>
      </c>
      <c r="R158">
        <f t="shared" si="57"/>
        <v>0.12746619374861451</v>
      </c>
      <c r="S158">
        <f t="shared" si="58"/>
        <v>2.396679225569074E-2</v>
      </c>
      <c r="T158" s="14">
        <f t="shared" si="59"/>
        <v>4.0928944345889104E-2</v>
      </c>
      <c r="U158" t="str">
        <f t="shared" si="60"/>
        <v>No Impact</v>
      </c>
      <c r="V158">
        <f t="shared" si="61"/>
        <v>2.9908426688121863E-2</v>
      </c>
      <c r="W158">
        <f t="shared" si="62"/>
        <v>4.4008011435215946E-2</v>
      </c>
      <c r="X158" t="s">
        <v>1176</v>
      </c>
      <c r="Y158">
        <f t="shared" si="63"/>
        <v>1.8025157823259624E-2</v>
      </c>
      <c r="Z158">
        <f t="shared" si="64"/>
        <v>3.5478021311328038E-2</v>
      </c>
      <c r="AA158" t="str">
        <f t="shared" si="65"/>
        <v>No Impact</v>
      </c>
      <c r="AB158">
        <f t="shared" si="66"/>
        <v>1.6496415692876888E-2</v>
      </c>
      <c r="AC158">
        <f t="shared" si="67"/>
        <v>3.8045697460135287E-2</v>
      </c>
      <c r="AD158" t="str">
        <f t="shared" si="68"/>
        <v>No Impact</v>
      </c>
      <c r="AE158">
        <f t="shared" si="69"/>
        <v>1.7740543001609967E-3</v>
      </c>
      <c r="AF158">
        <f t="shared" si="70"/>
        <v>9.1016648308289011E-3</v>
      </c>
      <c r="AG158" t="str">
        <f t="shared" si="72"/>
        <v>No Impact</v>
      </c>
    </row>
    <row r="159" spans="1:33" x14ac:dyDescent="0.3">
      <c r="A159">
        <v>302604</v>
      </c>
      <c r="B159" t="s">
        <v>23</v>
      </c>
      <c r="C159" s="1" t="s">
        <v>701</v>
      </c>
      <c r="D159" t="s">
        <v>702</v>
      </c>
      <c r="E159" s="4">
        <v>5.8</v>
      </c>
      <c r="F159" s="3">
        <f t="shared" si="51"/>
        <v>0.57777777777777772</v>
      </c>
      <c r="G159">
        <v>76.606920000000002</v>
      </c>
      <c r="H159">
        <f t="shared" si="52"/>
        <v>0.74121794134960695</v>
      </c>
      <c r="I159">
        <v>105.5</v>
      </c>
      <c r="J159" s="3">
        <f t="shared" si="53"/>
        <v>0.48550391164289003</v>
      </c>
      <c r="K159">
        <v>0</v>
      </c>
      <c r="L159" s="3">
        <f t="shared" si="54"/>
        <v>0</v>
      </c>
      <c r="M159">
        <v>22100</v>
      </c>
      <c r="N159">
        <f t="shared" si="55"/>
        <v>0.10343359214205618</v>
      </c>
      <c r="O159" s="15">
        <v>5.2105044000000003E-2</v>
      </c>
      <c r="P159">
        <f t="shared" si="56"/>
        <v>5.3118720061699674E-2</v>
      </c>
      <c r="Q159">
        <v>0.1739</v>
      </c>
      <c r="R159">
        <f t="shared" si="57"/>
        <v>0.38550210596320106</v>
      </c>
      <c r="S159">
        <f t="shared" si="58"/>
        <v>4.9872586293781725E-2</v>
      </c>
      <c r="T159" s="14">
        <f t="shared" si="59"/>
        <v>8.5169191063483612E-2</v>
      </c>
      <c r="U159" t="str">
        <f t="shared" si="60"/>
        <v>No Impact</v>
      </c>
      <c r="V159">
        <f t="shared" si="61"/>
        <v>8.7665636948086281E-2</v>
      </c>
      <c r="W159">
        <f t="shared" si="62"/>
        <v>0.12899342360991098</v>
      </c>
      <c r="X159" t="s">
        <v>1176</v>
      </c>
      <c r="Y159">
        <f t="shared" si="63"/>
        <v>1.207953563947717E-2</v>
      </c>
      <c r="Z159">
        <f t="shared" si="64"/>
        <v>2.3775548988276111E-2</v>
      </c>
      <c r="AA159" t="str">
        <f t="shared" si="65"/>
        <v>No Impact</v>
      </c>
      <c r="AB159">
        <f t="shared" si="66"/>
        <v>4.2539344053174409E-2</v>
      </c>
      <c r="AC159">
        <f t="shared" si="67"/>
        <v>9.8108525156680962E-2</v>
      </c>
      <c r="AD159" t="str">
        <f t="shared" si="68"/>
        <v>No Impact</v>
      </c>
      <c r="AE159">
        <f t="shared" si="69"/>
        <v>2.3521458370003023E-2</v>
      </c>
      <c r="AF159">
        <f t="shared" si="70"/>
        <v>0.12067524111107214</v>
      </c>
      <c r="AG159" t="s">
        <v>1175</v>
      </c>
    </row>
    <row r="160" spans="1:33" x14ac:dyDescent="0.3">
      <c r="A160">
        <v>302605</v>
      </c>
      <c r="B160" t="s">
        <v>43</v>
      </c>
      <c r="C160" s="1" t="s">
        <v>701</v>
      </c>
      <c r="D160" t="s">
        <v>703</v>
      </c>
      <c r="E160" s="4">
        <v>5.8</v>
      </c>
      <c r="F160" s="3">
        <f t="shared" si="51"/>
        <v>0.57777777777777772</v>
      </c>
      <c r="G160">
        <v>79.314840000000004</v>
      </c>
      <c r="H160">
        <f t="shared" si="52"/>
        <v>0.76741869302764631</v>
      </c>
      <c r="I160">
        <v>94.100000000000009</v>
      </c>
      <c r="J160" s="3">
        <f t="shared" si="53"/>
        <v>0.43304187758858725</v>
      </c>
      <c r="K160">
        <v>0</v>
      </c>
      <c r="L160" s="3">
        <f t="shared" si="54"/>
        <v>0</v>
      </c>
      <c r="M160">
        <v>763</v>
      </c>
      <c r="N160">
        <f t="shared" si="55"/>
        <v>2.4792645479363908E-3</v>
      </c>
      <c r="O160" s="15">
        <v>0.51935813200000003</v>
      </c>
      <c r="P160">
        <f t="shared" si="56"/>
        <v>0.52946196966027448</v>
      </c>
      <c r="Q160">
        <v>0</v>
      </c>
      <c r="R160">
        <f t="shared" si="57"/>
        <v>0</v>
      </c>
      <c r="S160">
        <f t="shared" si="58"/>
        <v>6.0199662234544399E-2</v>
      </c>
      <c r="T160" s="14">
        <f t="shared" si="59"/>
        <v>0.10280510628842926</v>
      </c>
      <c r="U160" t="str">
        <f t="shared" si="60"/>
        <v>No Impact</v>
      </c>
      <c r="V160">
        <f t="shared" si="61"/>
        <v>0</v>
      </c>
      <c r="W160">
        <f t="shared" si="62"/>
        <v>0</v>
      </c>
      <c r="X160" t="s">
        <v>1176</v>
      </c>
      <c r="Y160">
        <f t="shared" si="63"/>
        <v>0.1203993244690888</v>
      </c>
      <c r="Z160">
        <f t="shared" si="64"/>
        <v>0.23697599994779847</v>
      </c>
      <c r="AA160" t="str">
        <f t="shared" si="65"/>
        <v>Low</v>
      </c>
      <c r="AB160">
        <f t="shared" si="66"/>
        <v>3.6317121469464593E-2</v>
      </c>
      <c r="AC160">
        <f t="shared" si="67"/>
        <v>8.3758207951006775E-2</v>
      </c>
      <c r="AD160" t="str">
        <f t="shared" si="68"/>
        <v>No Impact</v>
      </c>
      <c r="AE160">
        <f t="shared" si="69"/>
        <v>5.6378322496558879E-4</v>
      </c>
      <c r="AF160">
        <f t="shared" si="70"/>
        <v>2.8924514601469209E-3</v>
      </c>
      <c r="AG160" t="str">
        <f t="shared" ref="AG160:AG165" si="73">IF(AF160&gt;0.7,"High",IF(AF160&gt;0.3,"Moderate",IF(AF160&gt;0.15,"Low","No Impact")))</f>
        <v>No Impact</v>
      </c>
    </row>
    <row r="161" spans="1:33" x14ac:dyDescent="0.3">
      <c r="A161">
        <v>302606</v>
      </c>
      <c r="B161" t="s">
        <v>76</v>
      </c>
      <c r="C161" s="1" t="s">
        <v>701</v>
      </c>
      <c r="D161" t="s">
        <v>1131</v>
      </c>
      <c r="E161" s="4">
        <v>5.8</v>
      </c>
      <c r="F161" s="3">
        <f t="shared" si="51"/>
        <v>0.57777777777777772</v>
      </c>
      <c r="G161">
        <v>76.606920000000002</v>
      </c>
      <c r="H161">
        <f t="shared" si="52"/>
        <v>0.74121794134960695</v>
      </c>
      <c r="I161">
        <v>105.5</v>
      </c>
      <c r="J161" s="3">
        <f t="shared" si="53"/>
        <v>0.48550391164289003</v>
      </c>
      <c r="K161">
        <v>0</v>
      </c>
      <c r="L161" s="3">
        <f t="shared" si="54"/>
        <v>0</v>
      </c>
      <c r="M161">
        <v>2282</v>
      </c>
      <c r="N161">
        <f t="shared" si="55"/>
        <v>9.6662928844161184E-3</v>
      </c>
      <c r="O161" s="15">
        <v>0.19495786000000001</v>
      </c>
      <c r="P161">
        <f t="shared" si="56"/>
        <v>0.19875066201207001</v>
      </c>
      <c r="Q161">
        <v>0.2077</v>
      </c>
      <c r="R161">
        <f t="shared" si="57"/>
        <v>0.46043005985369095</v>
      </c>
      <c r="S161">
        <f t="shared" si="58"/>
        <v>7.4950949621760909E-2</v>
      </c>
      <c r="T161" s="14">
        <f t="shared" si="59"/>
        <v>0.12799640490112715</v>
      </c>
      <c r="U161" t="str">
        <f t="shared" si="60"/>
        <v>No Impact</v>
      </c>
      <c r="V161">
        <f t="shared" si="61"/>
        <v>0.10470473142103233</v>
      </c>
      <c r="W161">
        <f t="shared" si="62"/>
        <v>0.15406517586991669</v>
      </c>
      <c r="X161" t="s">
        <v>1176</v>
      </c>
      <c r="Y161">
        <f t="shared" si="63"/>
        <v>4.5197167822489517E-2</v>
      </c>
      <c r="Z161">
        <f t="shared" si="64"/>
        <v>8.8959336663826175E-2</v>
      </c>
      <c r="AA161" t="str">
        <f t="shared" si="65"/>
        <v>No Impact</v>
      </c>
      <c r="AB161">
        <f t="shared" si="66"/>
        <v>5.0975168166873391E-2</v>
      </c>
      <c r="AC161">
        <f t="shared" si="67"/>
        <v>0.11756407344256038</v>
      </c>
      <c r="AD161" t="str">
        <f t="shared" si="68"/>
        <v>No Impact</v>
      </c>
      <c r="AE161">
        <f t="shared" si="69"/>
        <v>2.1981766364720812E-3</v>
      </c>
      <c r="AF161">
        <f t="shared" si="70"/>
        <v>1.1277595608157007E-2</v>
      </c>
      <c r="AG161" t="str">
        <f t="shared" si="73"/>
        <v>No Impact</v>
      </c>
    </row>
    <row r="162" spans="1:33" x14ac:dyDescent="0.3">
      <c r="A162">
        <v>302608</v>
      </c>
      <c r="B162" t="s">
        <v>92</v>
      </c>
      <c r="C162" s="1" t="s">
        <v>701</v>
      </c>
      <c r="D162" t="s">
        <v>704</v>
      </c>
      <c r="E162" s="4">
        <v>5.8</v>
      </c>
      <c r="F162" s="3">
        <f t="shared" si="51"/>
        <v>0.57777777777777772</v>
      </c>
      <c r="G162">
        <v>76.606920000000002</v>
      </c>
      <c r="H162">
        <f t="shared" si="52"/>
        <v>0.74121794134960695</v>
      </c>
      <c r="I162">
        <v>105.5</v>
      </c>
      <c r="J162" s="3">
        <f t="shared" si="53"/>
        <v>0.48550391164289003</v>
      </c>
      <c r="K162">
        <v>0</v>
      </c>
      <c r="L162" s="3">
        <f t="shared" si="54"/>
        <v>0</v>
      </c>
      <c r="M162">
        <v>5168</v>
      </c>
      <c r="N162">
        <f t="shared" si="55"/>
        <v>2.3321173581638301E-2</v>
      </c>
      <c r="O162" s="15">
        <v>1.2114756000000001E-2</v>
      </c>
      <c r="P162">
        <f t="shared" si="56"/>
        <v>1.2350442167936687E-2</v>
      </c>
      <c r="Q162">
        <v>0.23469999999999999</v>
      </c>
      <c r="R162">
        <f t="shared" si="57"/>
        <v>0.52028375083130129</v>
      </c>
      <c r="S162">
        <f t="shared" si="58"/>
        <v>6.0562205844428472E-2</v>
      </c>
      <c r="T162" s="14">
        <f t="shared" si="59"/>
        <v>0.10342423491747554</v>
      </c>
      <c r="U162" t="str">
        <f t="shared" si="60"/>
        <v>No Impact</v>
      </c>
      <c r="V162">
        <f t="shared" si="61"/>
        <v>0.11831584239054545</v>
      </c>
      <c r="W162">
        <f t="shared" si="62"/>
        <v>0.17409290696518753</v>
      </c>
      <c r="X162" t="s">
        <v>1176</v>
      </c>
      <c r="Y162">
        <f t="shared" si="63"/>
        <v>2.8085692983115004E-3</v>
      </c>
      <c r="Z162">
        <f t="shared" si="64"/>
        <v>5.5279672109865589E-3</v>
      </c>
      <c r="AA162" t="str">
        <f t="shared" si="65"/>
        <v>No Impact</v>
      </c>
      <c r="AB162">
        <f t="shared" si="66"/>
        <v>4.4109299876996792E-2</v>
      </c>
      <c r="AC162">
        <f t="shared" si="67"/>
        <v>0.10172931560055389</v>
      </c>
      <c r="AD162" t="str">
        <f t="shared" si="68"/>
        <v>No Impact</v>
      </c>
      <c r="AE162">
        <f t="shared" si="69"/>
        <v>5.3033835737498237E-3</v>
      </c>
      <c r="AF162">
        <f t="shared" si="70"/>
        <v>2.720864843495149E-2</v>
      </c>
      <c r="AG162" t="str">
        <f t="shared" si="73"/>
        <v>No Impact</v>
      </c>
    </row>
    <row r="163" spans="1:33" x14ac:dyDescent="0.3">
      <c r="A163">
        <v>302609</v>
      </c>
      <c r="B163" t="s">
        <v>93</v>
      </c>
      <c r="C163" s="1" t="s">
        <v>701</v>
      </c>
      <c r="D163" t="s">
        <v>1132</v>
      </c>
      <c r="E163" s="4">
        <v>5.8</v>
      </c>
      <c r="F163" s="3">
        <f t="shared" si="51"/>
        <v>0.57777777777777772</v>
      </c>
      <c r="G163">
        <v>79.314840000000004</v>
      </c>
      <c r="H163">
        <f t="shared" si="52"/>
        <v>0.76741869302764631</v>
      </c>
      <c r="I163">
        <v>94.100000000000009</v>
      </c>
      <c r="J163" s="3">
        <f t="shared" si="53"/>
        <v>0.43304187758858725</v>
      </c>
      <c r="K163">
        <v>0</v>
      </c>
      <c r="L163" s="3">
        <f t="shared" si="54"/>
        <v>0</v>
      </c>
      <c r="M163">
        <v>943</v>
      </c>
      <c r="N163">
        <f t="shared" si="55"/>
        <v>3.330920308677899E-3</v>
      </c>
      <c r="O163" s="15">
        <v>0.14727341499999999</v>
      </c>
      <c r="P163">
        <f t="shared" si="56"/>
        <v>0.15013854136493043</v>
      </c>
      <c r="Q163">
        <v>0</v>
      </c>
      <c r="R163">
        <f t="shared" si="57"/>
        <v>0</v>
      </c>
      <c r="S163">
        <f t="shared" si="58"/>
        <v>1.7070705728600939E-2</v>
      </c>
      <c r="T163" s="14">
        <f t="shared" si="59"/>
        <v>2.9152251884899626E-2</v>
      </c>
      <c r="U163" t="str">
        <f t="shared" si="60"/>
        <v>No Impact</v>
      </c>
      <c r="V163">
        <f t="shared" si="61"/>
        <v>0</v>
      </c>
      <c r="W163">
        <f t="shared" si="62"/>
        <v>0</v>
      </c>
      <c r="X163" t="s">
        <v>1176</v>
      </c>
      <c r="Y163">
        <f t="shared" si="63"/>
        <v>3.4141411457201877E-2</v>
      </c>
      <c r="Z163">
        <f t="shared" si="64"/>
        <v>6.7198841483341001E-2</v>
      </c>
      <c r="AA163" t="str">
        <f t="shared" si="65"/>
        <v>No Impact</v>
      </c>
      <c r="AB163">
        <f t="shared" si="66"/>
        <v>1.0507530663556596E-2</v>
      </c>
      <c r="AC163">
        <f t="shared" si="67"/>
        <v>2.4233526853435623E-2</v>
      </c>
      <c r="AD163" t="str">
        <f t="shared" si="68"/>
        <v>No Impact</v>
      </c>
      <c r="AE163">
        <f t="shared" si="69"/>
        <v>7.5744921827437881E-4</v>
      </c>
      <c r="AF163">
        <f t="shared" si="70"/>
        <v>3.8860416563805955E-3</v>
      </c>
      <c r="AG163" t="str">
        <f t="shared" si="73"/>
        <v>No Impact</v>
      </c>
    </row>
    <row r="164" spans="1:33" x14ac:dyDescent="0.3">
      <c r="A164">
        <v>302610</v>
      </c>
      <c r="B164" t="s">
        <v>125</v>
      </c>
      <c r="C164" s="1" t="s">
        <v>701</v>
      </c>
      <c r="D164" t="s">
        <v>705</v>
      </c>
      <c r="E164" s="4">
        <v>5.8</v>
      </c>
      <c r="F164" s="3">
        <f t="shared" si="51"/>
        <v>0.57777777777777772</v>
      </c>
      <c r="G164">
        <v>76.606920000000002</v>
      </c>
      <c r="H164">
        <f t="shared" si="52"/>
        <v>0.74121794134960695</v>
      </c>
      <c r="I164">
        <v>118.9</v>
      </c>
      <c r="J164" s="3">
        <f t="shared" si="53"/>
        <v>0.54716981132075482</v>
      </c>
      <c r="K164">
        <v>0</v>
      </c>
      <c r="L164" s="3">
        <f t="shared" si="54"/>
        <v>0</v>
      </c>
      <c r="M164">
        <v>9039</v>
      </c>
      <c r="N164">
        <f t="shared" si="55"/>
        <v>4.1636503858473735E-2</v>
      </c>
      <c r="O164" s="15">
        <v>0.13191175999999999</v>
      </c>
      <c r="P164">
        <f t="shared" si="56"/>
        <v>0.13447803349491677</v>
      </c>
      <c r="Q164">
        <v>0.24279999999999999</v>
      </c>
      <c r="R164">
        <f t="shared" si="57"/>
        <v>0.5382398581245843</v>
      </c>
      <c r="S164">
        <f t="shared" si="58"/>
        <v>7.8887008101780537E-2</v>
      </c>
      <c r="T164" s="14">
        <f t="shared" si="59"/>
        <v>0.1347181520899958</v>
      </c>
      <c r="U164" t="str">
        <f t="shared" si="60"/>
        <v>No Impact</v>
      </c>
      <c r="V164">
        <f t="shared" si="61"/>
        <v>0.12623458533667584</v>
      </c>
      <c r="W164">
        <f t="shared" si="62"/>
        <v>0.18574474454794623</v>
      </c>
      <c r="X164" t="s">
        <v>1176</v>
      </c>
      <c r="Y164">
        <f t="shared" si="63"/>
        <v>3.1539430866885203E-2</v>
      </c>
      <c r="Z164">
        <f t="shared" si="64"/>
        <v>6.2077492547588764E-2</v>
      </c>
      <c r="AA164" t="str">
        <f t="shared" si="65"/>
        <v>No Impact</v>
      </c>
      <c r="AB164">
        <f t="shared" si="66"/>
        <v>5.7061719622671918E-2</v>
      </c>
      <c r="AC164">
        <f t="shared" si="67"/>
        <v>0.13160149221122339</v>
      </c>
      <c r="AD164" t="str">
        <f t="shared" si="68"/>
        <v>No Impact</v>
      </c>
      <c r="AE164">
        <f t="shared" si="69"/>
        <v>9.765101413628045E-3</v>
      </c>
      <c r="AF164">
        <f t="shared" si="70"/>
        <v>5.0099188112692018E-2</v>
      </c>
      <c r="AG164" t="str">
        <f t="shared" si="73"/>
        <v>No Impact</v>
      </c>
    </row>
    <row r="165" spans="1:33" x14ac:dyDescent="0.3">
      <c r="A165">
        <v>302611</v>
      </c>
      <c r="B165" t="s">
        <v>128</v>
      </c>
      <c r="C165" s="1" t="s">
        <v>701</v>
      </c>
      <c r="D165" t="s">
        <v>706</v>
      </c>
      <c r="E165" s="4">
        <v>5.8</v>
      </c>
      <c r="F165" s="3">
        <f t="shared" si="51"/>
        <v>0.57777777777777772</v>
      </c>
      <c r="G165">
        <v>79.270200000000003</v>
      </c>
      <c r="H165">
        <f t="shared" si="52"/>
        <v>0.76698677422838057</v>
      </c>
      <c r="I165">
        <v>107.89999999999999</v>
      </c>
      <c r="J165" s="3">
        <f t="shared" si="53"/>
        <v>0.4965485503911643</v>
      </c>
      <c r="K165">
        <v>0</v>
      </c>
      <c r="L165" s="3">
        <f t="shared" si="54"/>
        <v>0</v>
      </c>
      <c r="M165">
        <v>3309</v>
      </c>
      <c r="N165">
        <f t="shared" si="55"/>
        <v>1.4525462141535725E-2</v>
      </c>
      <c r="O165" s="15">
        <v>1.5315585E-2</v>
      </c>
      <c r="P165">
        <f t="shared" si="56"/>
        <v>1.5613541602539796E-2</v>
      </c>
      <c r="Q165">
        <v>0.1183</v>
      </c>
      <c r="R165">
        <f t="shared" si="57"/>
        <v>0.26224783861671469</v>
      </c>
      <c r="S165">
        <f t="shared" si="58"/>
        <v>3.259843443720252E-2</v>
      </c>
      <c r="T165" s="14">
        <f t="shared" si="59"/>
        <v>5.5669506983212408E-2</v>
      </c>
      <c r="U165" t="str">
        <f t="shared" si="60"/>
        <v>No Impact</v>
      </c>
      <c r="V165">
        <f t="shared" si="61"/>
        <v>6.1533336994866364E-2</v>
      </c>
      <c r="W165">
        <f t="shared" si="62"/>
        <v>9.0541700048452967E-2</v>
      </c>
      <c r="X165" t="s">
        <v>1176</v>
      </c>
      <c r="Y165">
        <f t="shared" si="63"/>
        <v>3.6635318795386717E-3</v>
      </c>
      <c r="Z165">
        <f t="shared" si="64"/>
        <v>7.2107475214049661E-3</v>
      </c>
      <c r="AA165" t="str">
        <f t="shared" si="65"/>
        <v>No Impact</v>
      </c>
      <c r="AB165">
        <f t="shared" si="66"/>
        <v>2.3828606952317005E-2</v>
      </c>
      <c r="AC165">
        <f t="shared" si="67"/>
        <v>5.4955936361120339E-2</v>
      </c>
      <c r="AD165" t="str">
        <f t="shared" si="68"/>
        <v>No Impact</v>
      </c>
      <c r="AE165">
        <f t="shared" si="69"/>
        <v>3.4082269721490985E-3</v>
      </c>
      <c r="AF165">
        <f t="shared" si="70"/>
        <v>1.7485676489765161E-2</v>
      </c>
      <c r="AG165" t="str">
        <f t="shared" si="73"/>
        <v>No Impact</v>
      </c>
    </row>
    <row r="166" spans="1:33" x14ac:dyDescent="0.3">
      <c r="A166">
        <v>302612</v>
      </c>
      <c r="B166" t="s">
        <v>138</v>
      </c>
      <c r="C166" s="1" t="s">
        <v>701</v>
      </c>
      <c r="D166" t="s">
        <v>707</v>
      </c>
      <c r="E166" s="4">
        <v>5.8</v>
      </c>
      <c r="F166" s="3">
        <f t="shared" si="51"/>
        <v>0.57777777777777772</v>
      </c>
      <c r="G166">
        <v>79.314840000000004</v>
      </c>
      <c r="H166">
        <f t="shared" si="52"/>
        <v>0.76741869302764631</v>
      </c>
      <c r="I166">
        <v>107.6</v>
      </c>
      <c r="J166" s="3">
        <f t="shared" si="53"/>
        <v>0.49516797054763001</v>
      </c>
      <c r="K166">
        <v>0</v>
      </c>
      <c r="L166" s="3">
        <f t="shared" si="54"/>
        <v>0</v>
      </c>
      <c r="M166">
        <v>15140</v>
      </c>
      <c r="N166">
        <f t="shared" si="55"/>
        <v>7.0502902726717859E-2</v>
      </c>
      <c r="O166" s="15">
        <v>4.8367631000000001E-2</v>
      </c>
      <c r="P166">
        <f t="shared" si="56"/>
        <v>4.9308597669288731E-2</v>
      </c>
      <c r="Q166">
        <v>0.18659999999999999</v>
      </c>
      <c r="R166">
        <f t="shared" si="57"/>
        <v>0.4136555087563733</v>
      </c>
      <c r="S166">
        <f t="shared" si="58"/>
        <v>5.4300688922074368E-2</v>
      </c>
      <c r="T166" s="14">
        <f t="shared" si="59"/>
        <v>9.2731219560986913E-2</v>
      </c>
      <c r="U166" t="str">
        <f t="shared" si="60"/>
        <v>No Impact</v>
      </c>
      <c r="V166">
        <f t="shared" si="61"/>
        <v>9.7034646056254975E-2</v>
      </c>
      <c r="W166">
        <f t="shared" si="62"/>
        <v>0.14277921930783982</v>
      </c>
      <c r="X166" t="s">
        <v>1176</v>
      </c>
      <c r="Y166">
        <f t="shared" si="63"/>
        <v>1.1566731787893766E-2</v>
      </c>
      <c r="Z166">
        <f t="shared" si="64"/>
        <v>2.276622268148891E-2</v>
      </c>
      <c r="AA166" t="str">
        <f t="shared" si="65"/>
        <v>No Impact</v>
      </c>
      <c r="AB166">
        <f t="shared" si="66"/>
        <v>4.3220605917127404E-2</v>
      </c>
      <c r="AC166">
        <f t="shared" si="67"/>
        <v>9.9679719969519937E-2</v>
      </c>
      <c r="AD166" t="str">
        <f t="shared" si="68"/>
        <v>No Impact</v>
      </c>
      <c r="AE166">
        <f t="shared" si="69"/>
        <v>1.6538457888771525E-2</v>
      </c>
      <c r="AF166">
        <f t="shared" si="70"/>
        <v>8.4849432460278193E-2</v>
      </c>
      <c r="AG166" t="s">
        <v>1175</v>
      </c>
    </row>
    <row r="167" spans="1:33" x14ac:dyDescent="0.3">
      <c r="A167">
        <v>302614</v>
      </c>
      <c r="B167" t="s">
        <v>142</v>
      </c>
      <c r="C167" s="1" t="s">
        <v>701</v>
      </c>
      <c r="D167" t="s">
        <v>708</v>
      </c>
      <c r="E167" s="4">
        <v>5.6</v>
      </c>
      <c r="F167" s="3">
        <f t="shared" si="51"/>
        <v>0.53333333333333321</v>
      </c>
      <c r="G167">
        <v>84.769199999999998</v>
      </c>
      <c r="H167">
        <f t="shared" si="52"/>
        <v>0.82019290050889782</v>
      </c>
      <c r="I167">
        <v>194.3</v>
      </c>
      <c r="J167" s="3">
        <f t="shared" si="53"/>
        <v>0.89415554532903829</v>
      </c>
      <c r="K167">
        <v>0</v>
      </c>
      <c r="L167" s="3">
        <f t="shared" si="54"/>
        <v>0</v>
      </c>
      <c r="M167">
        <v>70768</v>
      </c>
      <c r="N167">
        <f t="shared" si="55"/>
        <v>0.33370238416298798</v>
      </c>
      <c r="O167" s="15">
        <v>0.304865316</v>
      </c>
      <c r="P167">
        <f t="shared" si="56"/>
        <v>0.31079630941537273</v>
      </c>
      <c r="Q167">
        <v>0.32</v>
      </c>
      <c r="R167">
        <f t="shared" si="57"/>
        <v>0.70937707825315899</v>
      </c>
      <c r="S167">
        <f t="shared" si="58"/>
        <v>0.13790248701272589</v>
      </c>
      <c r="T167" s="14">
        <f t="shared" si="59"/>
        <v>0.23550098636013245</v>
      </c>
      <c r="U167" t="str">
        <f t="shared" si="60"/>
        <v>Low</v>
      </c>
      <c r="V167">
        <f t="shared" si="61"/>
        <v>0.19178085706489012</v>
      </c>
      <c r="W167">
        <f t="shared" si="62"/>
        <v>0.28219117771644953</v>
      </c>
      <c r="X167" t="s">
        <v>1175</v>
      </c>
      <c r="Y167">
        <f t="shared" si="63"/>
        <v>8.4024116960561696E-2</v>
      </c>
      <c r="Z167">
        <f t="shared" si="64"/>
        <v>0.1653804888379751</v>
      </c>
      <c r="AA167" t="str">
        <f t="shared" si="65"/>
        <v>Low</v>
      </c>
      <c r="AB167">
        <f t="shared" si="66"/>
        <v>0.12390641468887606</v>
      </c>
      <c r="AC167">
        <f t="shared" si="67"/>
        <v>0.28576546895933164</v>
      </c>
      <c r="AD167" t="str">
        <f t="shared" si="68"/>
        <v>Low</v>
      </c>
      <c r="AE167">
        <f t="shared" si="69"/>
        <v>9.0216798937131498E-2</v>
      </c>
      <c r="AF167">
        <f t="shared" si="70"/>
        <v>0.46285114607908817</v>
      </c>
      <c r="AG167" t="str">
        <f t="shared" si="72"/>
        <v>Moderate</v>
      </c>
    </row>
    <row r="168" spans="1:33" x14ac:dyDescent="0.3">
      <c r="A168">
        <v>302616</v>
      </c>
      <c r="B168" t="s">
        <v>144</v>
      </c>
      <c r="C168" s="1" t="s">
        <v>701</v>
      </c>
      <c r="D168" t="s">
        <v>709</v>
      </c>
      <c r="E168" s="4">
        <v>5.8</v>
      </c>
      <c r="F168" s="3">
        <f t="shared" si="51"/>
        <v>0.57777777777777772</v>
      </c>
      <c r="G168">
        <v>83.426400000000001</v>
      </c>
      <c r="H168">
        <f t="shared" si="52"/>
        <v>0.80720050436969459</v>
      </c>
      <c r="I168">
        <v>107.89999999999999</v>
      </c>
      <c r="J168" s="3">
        <f t="shared" si="53"/>
        <v>0.4965485503911643</v>
      </c>
      <c r="K168">
        <v>0</v>
      </c>
      <c r="L168" s="3">
        <f t="shared" si="54"/>
        <v>0</v>
      </c>
      <c r="M168">
        <v>1742</v>
      </c>
      <c r="N168">
        <f t="shared" si="55"/>
        <v>7.1113256021915943E-3</v>
      </c>
      <c r="O168" s="15">
        <v>0.13702405400000001</v>
      </c>
      <c r="P168">
        <f t="shared" si="56"/>
        <v>0.13968978446971889</v>
      </c>
      <c r="Q168">
        <v>0</v>
      </c>
      <c r="R168">
        <f t="shared" si="57"/>
        <v>0</v>
      </c>
      <c r="S168">
        <f t="shared" si="58"/>
        <v>1.7037400694391715E-2</v>
      </c>
      <c r="T168" s="14">
        <f t="shared" si="59"/>
        <v>2.9095375692330987E-2</v>
      </c>
      <c r="U168" t="str">
        <f t="shared" si="60"/>
        <v>No Impact</v>
      </c>
      <c r="V168">
        <f t="shared" si="61"/>
        <v>0</v>
      </c>
      <c r="W168">
        <f t="shared" si="62"/>
        <v>0</v>
      </c>
      <c r="X168" t="s">
        <v>1176</v>
      </c>
      <c r="Y168">
        <f t="shared" si="63"/>
        <v>3.4074801388783431E-2</v>
      </c>
      <c r="Z168">
        <f t="shared" si="64"/>
        <v>6.7067736199821704E-2</v>
      </c>
      <c r="AA168" t="str">
        <f t="shared" si="65"/>
        <v>No Impact</v>
      </c>
      <c r="AB168">
        <f t="shared" si="66"/>
        <v>1.0829578246712806E-2</v>
      </c>
      <c r="AC168">
        <f t="shared" si="67"/>
        <v>2.4976265466758726E-2</v>
      </c>
      <c r="AD168" t="str">
        <f t="shared" si="68"/>
        <v>No Impact</v>
      </c>
      <c r="AE168">
        <f t="shared" si="69"/>
        <v>1.7346795145079298E-3</v>
      </c>
      <c r="AF168">
        <f t="shared" si="70"/>
        <v>8.899655173194734E-3</v>
      </c>
      <c r="AG168" t="str">
        <f>IF(AF168&gt;0.7,"High",IF(AF168&gt;0.3,"Moderate",IF(AF168&gt;0.15,"Low","No Impact")))</f>
        <v>No Impact</v>
      </c>
    </row>
    <row r="169" spans="1:33" x14ac:dyDescent="0.3">
      <c r="A169">
        <v>302618</v>
      </c>
      <c r="B169" t="s">
        <v>153</v>
      </c>
      <c r="C169" s="1" t="s">
        <v>701</v>
      </c>
      <c r="D169" t="s">
        <v>710</v>
      </c>
      <c r="E169" s="4">
        <v>5.8</v>
      </c>
      <c r="F169" s="3">
        <f t="shared" si="51"/>
        <v>0.57777777777777772</v>
      </c>
      <c r="G169">
        <v>83.837519999999998</v>
      </c>
      <c r="H169">
        <f t="shared" si="52"/>
        <v>0.81117833718228705</v>
      </c>
      <c r="I169">
        <v>200.3</v>
      </c>
      <c r="J169" s="3">
        <f t="shared" si="53"/>
        <v>0.921767142199724</v>
      </c>
      <c r="K169">
        <v>0</v>
      </c>
      <c r="L169" s="3">
        <f t="shared" si="54"/>
        <v>0</v>
      </c>
      <c r="M169">
        <v>27219</v>
      </c>
      <c r="N169">
        <f t="shared" si="55"/>
        <v>0.12765373569336608</v>
      </c>
      <c r="O169" s="15">
        <v>0.46156508499999999</v>
      </c>
      <c r="P169">
        <f t="shared" si="56"/>
        <v>0.47054458950979128</v>
      </c>
      <c r="Q169">
        <v>0.3039</v>
      </c>
      <c r="R169">
        <f t="shared" si="57"/>
        <v>0.67368654400354688</v>
      </c>
      <c r="S169">
        <f t="shared" si="58"/>
        <v>0.16819490586459293</v>
      </c>
      <c r="T169" s="14">
        <f t="shared" si="59"/>
        <v>0.28723242843478214</v>
      </c>
      <c r="U169" t="str">
        <f t="shared" si="60"/>
        <v>Low</v>
      </c>
      <c r="V169">
        <f t="shared" si="61"/>
        <v>0.19805551786202757</v>
      </c>
      <c r="W169">
        <f t="shared" si="62"/>
        <v>0.29142387146500415</v>
      </c>
      <c r="X169" t="s">
        <v>1175</v>
      </c>
      <c r="Y169">
        <f t="shared" si="63"/>
        <v>0.13833429386715826</v>
      </c>
      <c r="Z169">
        <f t="shared" si="64"/>
        <v>0.27227650786910212</v>
      </c>
      <c r="AA169" t="str">
        <f t="shared" si="65"/>
        <v>Low</v>
      </c>
      <c r="AB169">
        <f t="shared" si="66"/>
        <v>0.12395473663044894</v>
      </c>
      <c r="AC169">
        <f t="shared" si="67"/>
        <v>0.28587691389403719</v>
      </c>
      <c r="AD169" t="str">
        <f t="shared" si="68"/>
        <v>Low</v>
      </c>
      <c r="AE169">
        <f t="shared" si="69"/>
        <v>3.7528620624548058E-2</v>
      </c>
      <c r="AF169">
        <f t="shared" si="70"/>
        <v>0.19253803361992428</v>
      </c>
      <c r="AG169" t="s">
        <v>1175</v>
      </c>
    </row>
    <row r="170" spans="1:33" x14ac:dyDescent="0.3">
      <c r="A170">
        <v>302624</v>
      </c>
      <c r="B170" t="s">
        <v>181</v>
      </c>
      <c r="C170" s="1" t="s">
        <v>701</v>
      </c>
      <c r="D170" t="s">
        <v>711</v>
      </c>
      <c r="E170" s="4">
        <v>5.7</v>
      </c>
      <c r="F170" s="3">
        <f t="shared" si="51"/>
        <v>0.55555555555555558</v>
      </c>
      <c r="G170">
        <v>79.314840000000004</v>
      </c>
      <c r="H170">
        <f t="shared" si="52"/>
        <v>0.76741869302764631</v>
      </c>
      <c r="I170">
        <v>94.100000000000009</v>
      </c>
      <c r="J170" s="3">
        <f t="shared" si="53"/>
        <v>0.43304187758858725</v>
      </c>
      <c r="K170">
        <v>0</v>
      </c>
      <c r="L170" s="3">
        <f t="shared" si="54"/>
        <v>0</v>
      </c>
      <c r="M170">
        <v>1598</v>
      </c>
      <c r="N170">
        <f t="shared" si="55"/>
        <v>6.4300009935983875E-3</v>
      </c>
      <c r="O170" s="15">
        <v>0.15879853499999999</v>
      </c>
      <c r="P170">
        <f t="shared" si="56"/>
        <v>0.16188787647646966</v>
      </c>
      <c r="Q170">
        <v>0</v>
      </c>
      <c r="R170">
        <f t="shared" si="57"/>
        <v>0</v>
      </c>
      <c r="S170">
        <f t="shared" si="58"/>
        <v>1.7698655286299249E-2</v>
      </c>
      <c r="T170" s="14">
        <f t="shared" si="59"/>
        <v>3.0224623699402972E-2</v>
      </c>
      <c r="U170" t="str">
        <f t="shared" si="60"/>
        <v>No Impact</v>
      </c>
      <c r="V170">
        <f t="shared" si="61"/>
        <v>0</v>
      </c>
      <c r="W170">
        <f t="shared" si="62"/>
        <v>0</v>
      </c>
      <c r="X170" t="s">
        <v>1176</v>
      </c>
      <c r="Y170">
        <f t="shared" si="63"/>
        <v>3.5397310572598498E-2</v>
      </c>
      <c r="Z170">
        <f t="shared" si="64"/>
        <v>6.9670765225579939E-2</v>
      </c>
      <c r="AA170" t="str">
        <f t="shared" si="65"/>
        <v>No Impact</v>
      </c>
      <c r="AB170">
        <f t="shared" si="66"/>
        <v>1.1111272390355009E-2</v>
      </c>
      <c r="AC170">
        <f t="shared" si="67"/>
        <v>2.5625936908412011E-2</v>
      </c>
      <c r="AD170" t="str">
        <f t="shared" si="68"/>
        <v>No Impact</v>
      </c>
      <c r="AE170">
        <f t="shared" si="69"/>
        <v>1.4059406245013125E-3</v>
      </c>
      <c r="AF170">
        <f t="shared" si="70"/>
        <v>7.2130826745810074E-3</v>
      </c>
      <c r="AG170" t="str">
        <f t="shared" ref="AG170:AG177" si="74">IF(AF170&gt;0.7,"High",IF(AF170&gt;0.3,"Moderate",IF(AF170&gt;0.15,"Low","No Impact")))</f>
        <v>No Impact</v>
      </c>
    </row>
    <row r="171" spans="1:33" x14ac:dyDescent="0.3">
      <c r="A171">
        <v>302626</v>
      </c>
      <c r="B171" t="s">
        <v>194</v>
      </c>
      <c r="C171" s="1" t="s">
        <v>701</v>
      </c>
      <c r="D171" t="s">
        <v>712</v>
      </c>
      <c r="E171" s="4">
        <v>5.7</v>
      </c>
      <c r="F171" s="3">
        <f t="shared" si="51"/>
        <v>0.55555555555555558</v>
      </c>
      <c r="G171">
        <v>76.606920000000002</v>
      </c>
      <c r="H171">
        <f t="shared" si="52"/>
        <v>0.74121794134960695</v>
      </c>
      <c r="I171">
        <v>105.5</v>
      </c>
      <c r="J171" s="3">
        <f t="shared" si="53"/>
        <v>0.48550391164289003</v>
      </c>
      <c r="K171">
        <v>0</v>
      </c>
      <c r="L171" s="3">
        <f t="shared" si="54"/>
        <v>0</v>
      </c>
      <c r="M171">
        <v>6565</v>
      </c>
      <c r="N171">
        <f t="shared" si="55"/>
        <v>2.9930968569171008E-2</v>
      </c>
      <c r="O171" s="15">
        <v>0.42066021799999997</v>
      </c>
      <c r="P171">
        <f t="shared" si="56"/>
        <v>0.42884393996549652</v>
      </c>
      <c r="Q171">
        <v>0</v>
      </c>
      <c r="R171">
        <f t="shared" si="57"/>
        <v>0</v>
      </c>
      <c r="S171">
        <f t="shared" si="58"/>
        <v>4.68855030566976E-2</v>
      </c>
      <c r="T171" s="14">
        <f t="shared" si="59"/>
        <v>8.0068042680219054E-2</v>
      </c>
      <c r="U171" t="str">
        <f t="shared" si="60"/>
        <v>No Impact</v>
      </c>
      <c r="V171">
        <f t="shared" si="61"/>
        <v>0</v>
      </c>
      <c r="W171">
        <f t="shared" si="62"/>
        <v>0</v>
      </c>
      <c r="X171" t="s">
        <v>1176</v>
      </c>
      <c r="Y171">
        <f t="shared" si="63"/>
        <v>9.37710061133952E-2</v>
      </c>
      <c r="Z171">
        <f t="shared" si="64"/>
        <v>0.18456480580618267</v>
      </c>
      <c r="AA171" t="str">
        <f t="shared" si="65"/>
        <v>Low</v>
      </c>
      <c r="AB171">
        <f t="shared" si="66"/>
        <v>3.0421948550203672E-2</v>
      </c>
      <c r="AC171">
        <f t="shared" si="67"/>
        <v>7.0162165662970247E-2</v>
      </c>
      <c r="AD171" t="str">
        <f t="shared" si="68"/>
        <v>No Impact</v>
      </c>
      <c r="AE171">
        <f t="shared" si="69"/>
        <v>6.5447049033860415E-3</v>
      </c>
      <c r="AF171">
        <f t="shared" si="70"/>
        <v>3.3577163022516496E-2</v>
      </c>
      <c r="AG171" t="str">
        <f t="shared" si="74"/>
        <v>No Impact</v>
      </c>
    </row>
    <row r="172" spans="1:33" x14ac:dyDescent="0.3">
      <c r="A172">
        <v>302628</v>
      </c>
      <c r="B172" t="s">
        <v>208</v>
      </c>
      <c r="C172" s="1" t="s">
        <v>701</v>
      </c>
      <c r="D172" t="s">
        <v>713</v>
      </c>
      <c r="E172" s="4">
        <v>5.9</v>
      </c>
      <c r="F172" s="3">
        <f t="shared" si="51"/>
        <v>0.60000000000000009</v>
      </c>
      <c r="G172">
        <v>83.426400000000001</v>
      </c>
      <c r="H172">
        <f t="shared" si="52"/>
        <v>0.80720050436969459</v>
      </c>
      <c r="I172">
        <v>107.89999999999999</v>
      </c>
      <c r="J172" s="3">
        <f t="shared" si="53"/>
        <v>0.4965485503911643</v>
      </c>
      <c r="K172">
        <v>0</v>
      </c>
      <c r="L172" s="3">
        <f t="shared" si="54"/>
        <v>0</v>
      </c>
      <c r="M172">
        <v>4547</v>
      </c>
      <c r="N172">
        <f t="shared" si="55"/>
        <v>2.0382961207080098E-2</v>
      </c>
      <c r="O172" s="15">
        <v>9.4106771000000006E-2</v>
      </c>
      <c r="P172">
        <f t="shared" si="56"/>
        <v>9.5937568436934378E-2</v>
      </c>
      <c r="Q172">
        <v>0.1268</v>
      </c>
      <c r="R172">
        <f t="shared" si="57"/>
        <v>0.28109066725781423</v>
      </c>
      <c r="S172">
        <f t="shared" si="58"/>
        <v>4.7753255275176015E-2</v>
      </c>
      <c r="T172" s="14">
        <f t="shared" si="59"/>
        <v>8.1549934035441682E-2</v>
      </c>
      <c r="U172" t="str">
        <f t="shared" si="60"/>
        <v>No Impact</v>
      </c>
      <c r="V172">
        <f t="shared" si="61"/>
        <v>7.1204186414831547E-2</v>
      </c>
      <c r="W172">
        <f t="shared" si="62"/>
        <v>0.10477163117455611</v>
      </c>
      <c r="X172" t="s">
        <v>1176</v>
      </c>
      <c r="Y172">
        <f t="shared" si="63"/>
        <v>2.4302324135520473E-2</v>
      </c>
      <c r="Z172">
        <f t="shared" si="64"/>
        <v>4.7833055446661235E-2</v>
      </c>
      <c r="AA172" t="str">
        <f t="shared" si="65"/>
        <v>No Impact</v>
      </c>
      <c r="AB172">
        <f t="shared" si="66"/>
        <v>3.401931341074934E-2</v>
      </c>
      <c r="AC172">
        <f t="shared" si="67"/>
        <v>7.8458771282404277E-2</v>
      </c>
      <c r="AD172" t="str">
        <f t="shared" si="68"/>
        <v>No Impact</v>
      </c>
      <c r="AE172">
        <f t="shared" si="69"/>
        <v>5.16328835686331E-3</v>
      </c>
      <c r="AF172">
        <f t="shared" si="70"/>
        <v>2.6489899460702161E-2</v>
      </c>
      <c r="AG172" t="str">
        <f t="shared" si="74"/>
        <v>No Impact</v>
      </c>
    </row>
    <row r="173" spans="1:33" x14ac:dyDescent="0.3">
      <c r="A173">
        <v>302629</v>
      </c>
      <c r="B173" t="s">
        <v>221</v>
      </c>
      <c r="C173" s="1" t="s">
        <v>701</v>
      </c>
      <c r="D173" t="s">
        <v>714</v>
      </c>
      <c r="E173" s="4">
        <v>5.8</v>
      </c>
      <c r="F173" s="3">
        <f t="shared" si="51"/>
        <v>0.57777777777777772</v>
      </c>
      <c r="G173">
        <v>79.314840000000004</v>
      </c>
      <c r="H173">
        <f t="shared" si="52"/>
        <v>0.76741869302764631</v>
      </c>
      <c r="I173">
        <v>94.100000000000009</v>
      </c>
      <c r="J173" s="3">
        <f t="shared" si="53"/>
        <v>0.43304187758858725</v>
      </c>
      <c r="K173">
        <v>0</v>
      </c>
      <c r="L173" s="3">
        <f t="shared" si="54"/>
        <v>0</v>
      </c>
      <c r="M173">
        <v>7826</v>
      </c>
      <c r="N173">
        <f t="shared" si="55"/>
        <v>3.5897290315254571E-2</v>
      </c>
      <c r="O173" s="15">
        <v>0.118614107</v>
      </c>
      <c r="P173">
        <f t="shared" si="56"/>
        <v>0.12092168169172818</v>
      </c>
      <c r="Q173">
        <v>0.16889999999999999</v>
      </c>
      <c r="R173">
        <f t="shared" si="57"/>
        <v>0.37441808911549546</v>
      </c>
      <c r="S173">
        <f t="shared" si="58"/>
        <v>5.6319978775935184E-2</v>
      </c>
      <c r="T173" s="14">
        <f t="shared" si="59"/>
        <v>9.6179632730557574E-2</v>
      </c>
      <c r="U173" t="str">
        <f t="shared" si="60"/>
        <v>No Impact</v>
      </c>
      <c r="V173">
        <f t="shared" si="61"/>
        <v>8.5142441915965747E-2</v>
      </c>
      <c r="W173">
        <f t="shared" si="62"/>
        <v>0.12528073096362943</v>
      </c>
      <c r="X173" t="s">
        <v>1176</v>
      </c>
      <c r="Y173">
        <f t="shared" si="63"/>
        <v>2.7497515635904617E-2</v>
      </c>
      <c r="Z173">
        <f t="shared" si="64"/>
        <v>5.4121991901804202E-2</v>
      </c>
      <c r="AA173" t="str">
        <f t="shared" si="65"/>
        <v>No Impact</v>
      </c>
      <c r="AB173">
        <f t="shared" si="66"/>
        <v>4.0906166927647328E-2</v>
      </c>
      <c r="AC173">
        <f t="shared" si="67"/>
        <v>9.4341927371233147E-2</v>
      </c>
      <c r="AD173" t="str">
        <f t="shared" si="68"/>
        <v>No Impact</v>
      </c>
      <c r="AE173">
        <f t="shared" si="69"/>
        <v>8.1630216179654994E-3</v>
      </c>
      <c r="AF173">
        <f t="shared" si="70"/>
        <v>4.18798267712494E-2</v>
      </c>
      <c r="AG173" t="str">
        <f t="shared" si="74"/>
        <v>No Impact</v>
      </c>
    </row>
    <row r="174" spans="1:33" x14ac:dyDescent="0.3">
      <c r="A174">
        <v>302630</v>
      </c>
      <c r="B174" t="s">
        <v>234</v>
      </c>
      <c r="C174" s="1" t="s">
        <v>701</v>
      </c>
      <c r="D174" t="s">
        <v>715</v>
      </c>
      <c r="E174" s="4">
        <v>5.8</v>
      </c>
      <c r="F174" s="3">
        <f t="shared" si="51"/>
        <v>0.57777777777777772</v>
      </c>
      <c r="G174">
        <v>79.270200000000003</v>
      </c>
      <c r="H174">
        <f t="shared" si="52"/>
        <v>0.76698677422838057</v>
      </c>
      <c r="I174">
        <v>107.89999999999999</v>
      </c>
      <c r="J174" s="3">
        <f t="shared" si="53"/>
        <v>0.4965485503911643</v>
      </c>
      <c r="K174">
        <v>0</v>
      </c>
      <c r="L174" s="3">
        <f t="shared" si="54"/>
        <v>0</v>
      </c>
      <c r="M174">
        <v>6991</v>
      </c>
      <c r="N174">
        <f t="shared" si="55"/>
        <v>3.1946553869592574E-2</v>
      </c>
      <c r="O174" s="15">
        <v>0.17397475400000001</v>
      </c>
      <c r="P174">
        <f t="shared" si="56"/>
        <v>0.17735934078721949</v>
      </c>
      <c r="Q174">
        <v>0.125</v>
      </c>
      <c r="R174">
        <f t="shared" si="57"/>
        <v>0.27710042119264022</v>
      </c>
      <c r="S174">
        <f t="shared" si="58"/>
        <v>5.3316789629264678E-2</v>
      </c>
      <c r="T174" s="14">
        <f t="shared" si="59"/>
        <v>9.105097971212664E-2</v>
      </c>
      <c r="U174" t="str">
        <f t="shared" si="60"/>
        <v>No Impact</v>
      </c>
      <c r="V174">
        <f t="shared" si="61"/>
        <v>6.5018318887221441E-2</v>
      </c>
      <c r="W174">
        <f t="shared" si="62"/>
        <v>9.5669590076556399E-2</v>
      </c>
      <c r="X174" t="s">
        <v>1176</v>
      </c>
      <c r="Y174">
        <f t="shared" si="63"/>
        <v>4.161526037130793E-2</v>
      </c>
      <c r="Z174">
        <f t="shared" si="64"/>
        <v>8.1909246443576195E-2</v>
      </c>
      <c r="AA174" t="str">
        <f t="shared" si="65"/>
        <v>No Impact</v>
      </c>
      <c r="AB174">
        <f t="shared" si="66"/>
        <v>3.786454737031817E-2</v>
      </c>
      <c r="AC174">
        <f t="shared" si="67"/>
        <v>8.7327037614487776E-2</v>
      </c>
      <c r="AD174" t="str">
        <f t="shared" si="68"/>
        <v>No Impact</v>
      </c>
      <c r="AE174">
        <f t="shared" si="69"/>
        <v>7.4958789954236845E-3</v>
      </c>
      <c r="AF174">
        <f t="shared" si="70"/>
        <v>3.845709695729458E-2</v>
      </c>
      <c r="AG174" t="str">
        <f t="shared" si="74"/>
        <v>No Impact</v>
      </c>
    </row>
    <row r="175" spans="1:33" x14ac:dyDescent="0.3">
      <c r="A175">
        <v>302632</v>
      </c>
      <c r="B175" t="s">
        <v>233</v>
      </c>
      <c r="C175" s="1" t="s">
        <v>701</v>
      </c>
      <c r="D175" t="s">
        <v>716</v>
      </c>
      <c r="E175" s="4">
        <v>5.8</v>
      </c>
      <c r="F175" s="3">
        <f t="shared" si="51"/>
        <v>0.57777777777777772</v>
      </c>
      <c r="G175">
        <v>79.314840000000004</v>
      </c>
      <c r="H175">
        <f t="shared" si="52"/>
        <v>0.76741869302764631</v>
      </c>
      <c r="I175">
        <v>94.100000000000009</v>
      </c>
      <c r="J175" s="3">
        <f t="shared" si="53"/>
        <v>0.43304187758858725</v>
      </c>
      <c r="K175">
        <v>0</v>
      </c>
      <c r="L175" s="3">
        <f t="shared" si="54"/>
        <v>0</v>
      </c>
      <c r="M175">
        <v>4323</v>
      </c>
      <c r="N175">
        <f t="shared" si="55"/>
        <v>1.9323122927046223E-2</v>
      </c>
      <c r="O175" s="15">
        <v>4.7735597999999997E-2</v>
      </c>
      <c r="P175">
        <f t="shared" si="56"/>
        <v>4.8664268801688962E-2</v>
      </c>
      <c r="Q175">
        <v>9.9099999999999994E-2</v>
      </c>
      <c r="R175">
        <f t="shared" si="57"/>
        <v>0.21968521392152515</v>
      </c>
      <c r="S175">
        <f t="shared" si="58"/>
        <v>3.0511253208833203E-2</v>
      </c>
      <c r="T175" s="14">
        <f t="shared" si="59"/>
        <v>5.2105153296480369E-2</v>
      </c>
      <c r="U175" t="str">
        <f t="shared" si="60"/>
        <v>No Impact</v>
      </c>
      <c r="V175">
        <f t="shared" si="61"/>
        <v>4.9956281787283632E-2</v>
      </c>
      <c r="W175">
        <f t="shared" si="62"/>
        <v>7.3506929772028884E-2</v>
      </c>
      <c r="X175" t="s">
        <v>1176</v>
      </c>
      <c r="Y175">
        <f t="shared" si="63"/>
        <v>1.106622463038277E-2</v>
      </c>
      <c r="Z175">
        <f t="shared" si="64"/>
        <v>2.1781099345828916E-2</v>
      </c>
      <c r="AA175" t="str">
        <f t="shared" si="65"/>
        <v>No Impact</v>
      </c>
      <c r="AB175">
        <f t="shared" si="66"/>
        <v>2.2342489185972904E-2</v>
      </c>
      <c r="AC175">
        <f t="shared" si="67"/>
        <v>5.1528501700094327E-2</v>
      </c>
      <c r="AD175" t="str">
        <f t="shared" si="68"/>
        <v>No Impact</v>
      </c>
      <c r="AE175">
        <f t="shared" si="69"/>
        <v>4.3940662037394362E-3</v>
      </c>
      <c r="AF175">
        <f t="shared" si="70"/>
        <v>2.2543457563435159E-2</v>
      </c>
      <c r="AG175" t="str">
        <f t="shared" si="74"/>
        <v>No Impact</v>
      </c>
    </row>
    <row r="176" spans="1:33" x14ac:dyDescent="0.3">
      <c r="A176">
        <v>302633</v>
      </c>
      <c r="B176" t="s">
        <v>238</v>
      </c>
      <c r="C176" s="1" t="s">
        <v>701</v>
      </c>
      <c r="D176" t="s">
        <v>717</v>
      </c>
      <c r="E176" s="4">
        <v>5.7</v>
      </c>
      <c r="F176" s="3">
        <f t="shared" si="51"/>
        <v>0.55555555555555558</v>
      </c>
      <c r="G176">
        <v>79.314840000000004</v>
      </c>
      <c r="H176">
        <f t="shared" si="52"/>
        <v>0.76741869302764631</v>
      </c>
      <c r="I176">
        <v>105.5</v>
      </c>
      <c r="J176" s="3">
        <f t="shared" si="53"/>
        <v>0.48550391164289003</v>
      </c>
      <c r="K176">
        <v>0</v>
      </c>
      <c r="L176" s="3">
        <f t="shared" si="54"/>
        <v>0</v>
      </c>
      <c r="M176">
        <v>731</v>
      </c>
      <c r="N176">
        <f t="shared" si="55"/>
        <v>2.3278590793601225E-3</v>
      </c>
      <c r="O176" s="15">
        <v>0.22219450399999999</v>
      </c>
      <c r="P176">
        <f t="shared" si="56"/>
        <v>0.22651718050989855</v>
      </c>
      <c r="Q176">
        <v>0</v>
      </c>
      <c r="R176">
        <f t="shared" si="57"/>
        <v>0</v>
      </c>
      <c r="S176">
        <f t="shared" si="58"/>
        <v>2.5424556356794553E-2</v>
      </c>
      <c r="T176" s="14">
        <f t="shared" si="59"/>
        <v>4.3418419997322856E-2</v>
      </c>
      <c r="U176" t="str">
        <f t="shared" si="60"/>
        <v>No Impact</v>
      </c>
      <c r="V176">
        <f t="shared" si="61"/>
        <v>0</v>
      </c>
      <c r="W176">
        <f t="shared" si="62"/>
        <v>0</v>
      </c>
      <c r="X176" t="s">
        <v>1176</v>
      </c>
      <c r="Y176">
        <f t="shared" si="63"/>
        <v>5.0849112713589106E-2</v>
      </c>
      <c r="Z176">
        <f t="shared" si="64"/>
        <v>0.10008377858344879</v>
      </c>
      <c r="AA176" t="str">
        <f t="shared" si="65"/>
        <v>No Impact</v>
      </c>
      <c r="AB176">
        <f t="shared" si="66"/>
        <v>1.5437630974258791E-2</v>
      </c>
      <c r="AC176">
        <f t="shared" si="67"/>
        <v>3.5603821368388133E-2</v>
      </c>
      <c r="AD176" t="str">
        <f t="shared" si="68"/>
        <v>No Impact</v>
      </c>
      <c r="AE176">
        <f t="shared" si="69"/>
        <v>5.2256331480588078E-4</v>
      </c>
      <c r="AF176">
        <f t="shared" si="70"/>
        <v>2.6809755168251776E-3</v>
      </c>
      <c r="AG176" t="str">
        <f t="shared" si="74"/>
        <v>No Impact</v>
      </c>
    </row>
    <row r="177" spans="1:33" x14ac:dyDescent="0.3">
      <c r="A177">
        <v>302634</v>
      </c>
      <c r="B177" t="s">
        <v>254</v>
      </c>
      <c r="C177" s="1" t="s">
        <v>701</v>
      </c>
      <c r="D177" t="s">
        <v>718</v>
      </c>
      <c r="E177" s="4">
        <v>3.7</v>
      </c>
      <c r="F177" s="3">
        <f t="shared" si="51"/>
        <v>0.1111111111111111</v>
      </c>
      <c r="G177">
        <v>83.426400000000001</v>
      </c>
      <c r="H177">
        <f t="shared" si="52"/>
        <v>0.80720050436969459</v>
      </c>
      <c r="I177">
        <v>103.4</v>
      </c>
      <c r="J177" s="3">
        <f t="shared" si="53"/>
        <v>0.4758398527381501</v>
      </c>
      <c r="K177">
        <v>0</v>
      </c>
      <c r="L177" s="3">
        <f t="shared" si="54"/>
        <v>0</v>
      </c>
      <c r="M177">
        <v>2173</v>
      </c>
      <c r="N177">
        <f t="shared" si="55"/>
        <v>9.1505680070782056E-3</v>
      </c>
      <c r="O177" s="15">
        <v>2.3544797999999999E-2</v>
      </c>
      <c r="P177">
        <f t="shared" si="56"/>
        <v>2.4002849587292666E-2</v>
      </c>
      <c r="Q177">
        <v>0.11119999999999999</v>
      </c>
      <c r="R177">
        <f t="shared" si="57"/>
        <v>0.24650853469297271</v>
      </c>
      <c r="S177">
        <f t="shared" si="58"/>
        <v>6.2825994324162623E-3</v>
      </c>
      <c r="T177" s="14">
        <f t="shared" si="59"/>
        <v>1.0729018709453019E-2</v>
      </c>
      <c r="U177" t="str">
        <f t="shared" si="60"/>
        <v>No Impact</v>
      </c>
      <c r="V177">
        <f t="shared" si="61"/>
        <v>1.1450271375960115E-2</v>
      </c>
      <c r="W177">
        <f t="shared" si="62"/>
        <v>1.6848217357073616E-2</v>
      </c>
      <c r="X177" t="s">
        <v>1176</v>
      </c>
      <c r="Y177">
        <f t="shared" si="63"/>
        <v>1.1149274888724093E-3</v>
      </c>
      <c r="Z177">
        <f t="shared" si="64"/>
        <v>2.1944563037200465E-3</v>
      </c>
      <c r="AA177" t="str">
        <f t="shared" si="65"/>
        <v>No Impact</v>
      </c>
      <c r="AB177">
        <f t="shared" si="66"/>
        <v>4.4908379372242818E-3</v>
      </c>
      <c r="AC177">
        <f t="shared" si="67"/>
        <v>1.035722333160583E-2</v>
      </c>
      <c r="AD177" t="str">
        <f t="shared" si="68"/>
        <v>No Impact</v>
      </c>
      <c r="AE177">
        <f t="shared" si="69"/>
        <v>4.2504202564719909E-4</v>
      </c>
      <c r="AF177">
        <f t="shared" si="70"/>
        <v>2.1806491808657215E-3</v>
      </c>
      <c r="AG177" t="str">
        <f t="shared" si="74"/>
        <v>No Impact</v>
      </c>
    </row>
    <row r="178" spans="1:33" x14ac:dyDescent="0.3">
      <c r="A178">
        <v>302636</v>
      </c>
      <c r="B178" t="s">
        <v>275</v>
      </c>
      <c r="C178" s="1" t="s">
        <v>701</v>
      </c>
      <c r="D178" t="s">
        <v>719</v>
      </c>
      <c r="E178" s="4">
        <v>5.9</v>
      </c>
      <c r="F178" s="3">
        <f t="shared" si="51"/>
        <v>0.60000000000000009</v>
      </c>
      <c r="G178">
        <v>79.314840000000004</v>
      </c>
      <c r="H178">
        <f t="shared" si="52"/>
        <v>0.76741869302764631</v>
      </c>
      <c r="I178">
        <v>105.5</v>
      </c>
      <c r="J178" s="3">
        <f t="shared" si="53"/>
        <v>0.48550391164289003</v>
      </c>
      <c r="K178">
        <v>0</v>
      </c>
      <c r="L178" s="3">
        <f t="shared" si="54"/>
        <v>0</v>
      </c>
      <c r="M178">
        <v>13317</v>
      </c>
      <c r="N178">
        <f t="shared" si="55"/>
        <v>6.1877522438763585E-2</v>
      </c>
      <c r="O178" s="15">
        <v>0.167702143</v>
      </c>
      <c r="P178">
        <f t="shared" si="56"/>
        <v>0.17096469945911813</v>
      </c>
      <c r="Q178">
        <v>0.1852</v>
      </c>
      <c r="R178">
        <f t="shared" si="57"/>
        <v>0.41055198403901577</v>
      </c>
      <c r="S178">
        <f t="shared" si="58"/>
        <v>7.049173025830581E-2</v>
      </c>
      <c r="T178" s="14">
        <f t="shared" si="59"/>
        <v>0.12038123724724017</v>
      </c>
      <c r="U178" t="str">
        <f t="shared" si="60"/>
        <v>No Impact</v>
      </c>
      <c r="V178">
        <f t="shared" si="61"/>
        <v>9.9534615384713865E-2</v>
      </c>
      <c r="W178">
        <f t="shared" si="62"/>
        <v>0.14645773706946455</v>
      </c>
      <c r="X178" t="s">
        <v>1176</v>
      </c>
      <c r="Y178">
        <f t="shared" si="63"/>
        <v>4.1448845131897748E-2</v>
      </c>
      <c r="Z178">
        <f t="shared" si="64"/>
        <v>8.1581699607747346E-2</v>
      </c>
      <c r="AA178" t="str">
        <f t="shared" si="65"/>
        <v>No Impact</v>
      </c>
      <c r="AB178">
        <f t="shared" si="66"/>
        <v>5.2522344911474936E-2</v>
      </c>
      <c r="AC178">
        <f t="shared" si="67"/>
        <v>0.12113232847676667</v>
      </c>
      <c r="AD178" t="str">
        <f t="shared" si="68"/>
        <v>No Impact</v>
      </c>
      <c r="AE178">
        <f t="shared" si="69"/>
        <v>1.5001645677873605E-2</v>
      </c>
      <c r="AF178">
        <f t="shared" si="70"/>
        <v>7.6964922019843188E-2</v>
      </c>
      <c r="AG178" t="s">
        <v>1175</v>
      </c>
    </row>
    <row r="179" spans="1:33" x14ac:dyDescent="0.3">
      <c r="A179">
        <v>302637</v>
      </c>
      <c r="B179" t="s">
        <v>276</v>
      </c>
      <c r="C179" s="1" t="s">
        <v>701</v>
      </c>
      <c r="D179" t="s">
        <v>720</v>
      </c>
      <c r="E179" s="4">
        <v>5.8</v>
      </c>
      <c r="F179" s="3">
        <f t="shared" si="51"/>
        <v>0.57777777777777772</v>
      </c>
      <c r="G179">
        <v>76.606920000000002</v>
      </c>
      <c r="H179">
        <f t="shared" si="52"/>
        <v>0.74121794134960695</v>
      </c>
      <c r="I179">
        <v>105.5</v>
      </c>
      <c r="J179" s="3">
        <f t="shared" si="53"/>
        <v>0.48550391164289003</v>
      </c>
      <c r="K179">
        <v>0</v>
      </c>
      <c r="L179" s="3">
        <f t="shared" si="54"/>
        <v>0</v>
      </c>
      <c r="M179">
        <v>9630</v>
      </c>
      <c r="N179">
        <f t="shared" si="55"/>
        <v>4.4432773606241691E-2</v>
      </c>
      <c r="O179" s="15">
        <v>0.19431315699999999</v>
      </c>
      <c r="P179">
        <f t="shared" si="56"/>
        <v>0.19809341665632405</v>
      </c>
      <c r="Q179">
        <v>0.21840000000000001</v>
      </c>
      <c r="R179">
        <f t="shared" si="57"/>
        <v>0.48414985590778098</v>
      </c>
      <c r="S179">
        <f t="shared" si="58"/>
        <v>7.757323516228512E-2</v>
      </c>
      <c r="T179" s="14">
        <f t="shared" si="59"/>
        <v>0.13247457527128426</v>
      </c>
      <c r="U179" t="str">
        <f t="shared" si="60"/>
        <v>No Impact</v>
      </c>
      <c r="V179">
        <f t="shared" si="61"/>
        <v>0.11009876428672827</v>
      </c>
      <c r="W179">
        <f t="shared" si="62"/>
        <v>0.16200209152619069</v>
      </c>
      <c r="X179" t="s">
        <v>1176</v>
      </c>
      <c r="Y179">
        <f t="shared" si="63"/>
        <v>4.5047706037841986E-2</v>
      </c>
      <c r="Z179">
        <f t="shared" si="64"/>
        <v>8.8665158469496477E-2</v>
      </c>
      <c r="AA179" t="str">
        <f t="shared" si="65"/>
        <v>No Impact</v>
      </c>
      <c r="AB179">
        <f t="shared" si="66"/>
        <v>5.558538292286181E-2</v>
      </c>
      <c r="AC179">
        <f t="shared" si="67"/>
        <v>0.12819661563221457</v>
      </c>
      <c r="AD179" t="str">
        <f t="shared" si="68"/>
        <v>No Impact</v>
      </c>
      <c r="AE179">
        <f t="shared" si="69"/>
        <v>1.0104296031869466E-2</v>
      </c>
      <c r="AF179">
        <f t="shared" si="70"/>
        <v>5.1839403013314966E-2</v>
      </c>
      <c r="AG179" t="str">
        <f>IF(AF179&gt;0.7,"High",IF(AF179&gt;0.3,"Moderate",IF(AF179&gt;0.15,"Low","No Impact")))</f>
        <v>No Impact</v>
      </c>
    </row>
    <row r="180" spans="1:33" x14ac:dyDescent="0.3">
      <c r="A180">
        <v>302638</v>
      </c>
      <c r="B180" t="s">
        <v>268</v>
      </c>
      <c r="C180" s="1" t="s">
        <v>701</v>
      </c>
      <c r="D180" t="s">
        <v>721</v>
      </c>
      <c r="E180" s="4">
        <v>5.6</v>
      </c>
      <c r="F180" s="3">
        <f t="shared" si="51"/>
        <v>0.53333333333333321</v>
      </c>
      <c r="G180">
        <v>83.837519999999998</v>
      </c>
      <c r="H180">
        <f t="shared" si="52"/>
        <v>0.81117833718228705</v>
      </c>
      <c r="I180">
        <v>138.5</v>
      </c>
      <c r="J180" s="3">
        <f t="shared" si="53"/>
        <v>0.6373676944316613</v>
      </c>
      <c r="K180">
        <v>0</v>
      </c>
      <c r="L180" s="3">
        <f t="shared" si="54"/>
        <v>0</v>
      </c>
      <c r="M180">
        <v>88374</v>
      </c>
      <c r="N180">
        <f t="shared" si="55"/>
        <v>0.41700378040529351</v>
      </c>
      <c r="O180" s="15">
        <v>0.50535112599999998</v>
      </c>
      <c r="P180">
        <f t="shared" si="56"/>
        <v>0.5151824647697969</v>
      </c>
      <c r="Q180">
        <v>0.25929999999999997</v>
      </c>
      <c r="R180">
        <f t="shared" si="57"/>
        <v>0.57481711372201283</v>
      </c>
      <c r="S180">
        <f t="shared" si="58"/>
        <v>0.13136525917309688</v>
      </c>
      <c r="T180" s="14">
        <f t="shared" si="59"/>
        <v>0.22433712965498487</v>
      </c>
      <c r="U180" t="str">
        <f t="shared" si="60"/>
        <v>Low</v>
      </c>
      <c r="V180">
        <f t="shared" si="61"/>
        <v>0.13855234554439991</v>
      </c>
      <c r="W180">
        <f t="shared" si="62"/>
        <v>0.20386940679549453</v>
      </c>
      <c r="X180" t="s">
        <v>1176</v>
      </c>
      <c r="Y180">
        <f t="shared" si="63"/>
        <v>0.1241781728017939</v>
      </c>
      <c r="Z180">
        <f t="shared" si="64"/>
        <v>0.24441371910646179</v>
      </c>
      <c r="AA180" t="str">
        <f t="shared" si="65"/>
        <v>Low</v>
      </c>
      <c r="AB180">
        <f t="shared" si="66"/>
        <v>0.12092648068099261</v>
      </c>
      <c r="AC180">
        <f t="shared" si="67"/>
        <v>0.27889284463742781</v>
      </c>
      <c r="AD180" t="str">
        <f t="shared" si="68"/>
        <v>Low</v>
      </c>
      <c r="AE180">
        <f t="shared" si="69"/>
        <v>0.10051345114261287</v>
      </c>
      <c r="AF180">
        <f t="shared" si="70"/>
        <v>0.51567741934783862</v>
      </c>
      <c r="AG180" t="str">
        <f t="shared" si="72"/>
        <v>Moderate</v>
      </c>
    </row>
    <row r="181" spans="1:33" x14ac:dyDescent="0.3">
      <c r="A181">
        <v>302640</v>
      </c>
      <c r="B181" t="s">
        <v>284</v>
      </c>
      <c r="C181" s="1" t="s">
        <v>701</v>
      </c>
      <c r="D181" t="s">
        <v>1126</v>
      </c>
      <c r="E181" s="4">
        <v>5.7</v>
      </c>
      <c r="F181" s="3">
        <f t="shared" si="51"/>
        <v>0.55555555555555558</v>
      </c>
      <c r="G181">
        <v>79.314840000000004</v>
      </c>
      <c r="H181">
        <f t="shared" si="52"/>
        <v>0.76741869302764631</v>
      </c>
      <c r="I181">
        <v>94.100000000000009</v>
      </c>
      <c r="J181" s="3">
        <f t="shared" si="53"/>
        <v>0.43304187758858725</v>
      </c>
      <c r="K181">
        <v>0</v>
      </c>
      <c r="L181" s="3">
        <f t="shared" si="54"/>
        <v>0</v>
      </c>
      <c r="M181">
        <v>383</v>
      </c>
      <c r="N181">
        <f t="shared" si="55"/>
        <v>6.8132460859320662E-4</v>
      </c>
      <c r="O181" s="15">
        <v>0.14816900599999999</v>
      </c>
      <c r="P181">
        <f t="shared" si="56"/>
        <v>0.15105155561396894</v>
      </c>
      <c r="Q181">
        <v>0.105</v>
      </c>
      <c r="R181">
        <f t="shared" si="57"/>
        <v>0.23276435380181776</v>
      </c>
      <c r="S181">
        <f t="shared" si="58"/>
        <v>4.196129828866358E-2</v>
      </c>
      <c r="T181" s="14">
        <f t="shared" si="59"/>
        <v>7.1658802897587262E-2</v>
      </c>
      <c r="U181" t="str">
        <f t="shared" si="60"/>
        <v>No Impact</v>
      </c>
      <c r="V181">
        <f t="shared" si="61"/>
        <v>5.0894682795784962E-2</v>
      </c>
      <c r="W181">
        <f t="shared" si="62"/>
        <v>7.4887716623292633E-2</v>
      </c>
      <c r="X181" t="s">
        <v>1176</v>
      </c>
      <c r="Y181">
        <f t="shared" si="63"/>
        <v>3.3027913781542198E-2</v>
      </c>
      <c r="Z181">
        <f t="shared" si="64"/>
        <v>6.5007199409827979E-2</v>
      </c>
      <c r="AA181" t="str">
        <f t="shared" si="65"/>
        <v>No Impact</v>
      </c>
      <c r="AB181">
        <f t="shared" si="66"/>
        <v>2.7773653957339758E-2</v>
      </c>
      <c r="AC181">
        <f t="shared" si="67"/>
        <v>6.4054401604325739E-2</v>
      </c>
      <c r="AD181" t="str">
        <f t="shared" si="68"/>
        <v>No Impact</v>
      </c>
      <c r="AE181">
        <f t="shared" si="69"/>
        <v>1.4897384100676157E-4</v>
      </c>
      <c r="AF181">
        <f t="shared" si="70"/>
        <v>7.6430015094898084E-4</v>
      </c>
      <c r="AG181" t="str">
        <f t="shared" si="72"/>
        <v>No Impact</v>
      </c>
    </row>
    <row r="182" spans="1:33" x14ac:dyDescent="0.3">
      <c r="A182">
        <v>302642</v>
      </c>
      <c r="B182" t="s">
        <v>297</v>
      </c>
      <c r="C182" s="1" t="s">
        <v>701</v>
      </c>
      <c r="D182" t="s">
        <v>722</v>
      </c>
      <c r="E182" s="4">
        <v>5.8</v>
      </c>
      <c r="F182" s="3">
        <f t="shared" si="51"/>
        <v>0.57777777777777772</v>
      </c>
      <c r="G182">
        <v>83.426400000000001</v>
      </c>
      <c r="H182">
        <f t="shared" si="52"/>
        <v>0.80720050436969459</v>
      </c>
      <c r="I182">
        <v>103.4</v>
      </c>
      <c r="J182" s="3">
        <f t="shared" si="53"/>
        <v>0.4758398527381501</v>
      </c>
      <c r="K182">
        <v>0</v>
      </c>
      <c r="L182" s="3">
        <f t="shared" si="54"/>
        <v>0</v>
      </c>
      <c r="M182">
        <v>3930</v>
      </c>
      <c r="N182">
        <f t="shared" si="55"/>
        <v>1.7463674516093926E-2</v>
      </c>
      <c r="O182" s="15">
        <v>0.208451261</v>
      </c>
      <c r="P182">
        <f t="shared" si="56"/>
        <v>0.21250656998902628</v>
      </c>
      <c r="Q182">
        <v>0.1075</v>
      </c>
      <c r="R182">
        <f t="shared" si="57"/>
        <v>0.23830636222567059</v>
      </c>
      <c r="S182">
        <f t="shared" si="58"/>
        <v>5.4444439792753895E-2</v>
      </c>
      <c r="T182" s="14">
        <f t="shared" si="59"/>
        <v>9.2976708040335601E-2</v>
      </c>
      <c r="U182" t="str">
        <f t="shared" si="60"/>
        <v>No Impact</v>
      </c>
      <c r="V182">
        <f t="shared" si="61"/>
        <v>5.7560267078792311E-2</v>
      </c>
      <c r="W182">
        <f t="shared" si="62"/>
        <v>8.4695625023418639E-2</v>
      </c>
      <c r="X182" t="s">
        <v>1176</v>
      </c>
      <c r="Y182">
        <f t="shared" si="63"/>
        <v>5.1328612506715471E-2</v>
      </c>
      <c r="Z182">
        <f t="shared" si="64"/>
        <v>0.1010275541690008</v>
      </c>
      <c r="AA182" t="str">
        <f t="shared" si="65"/>
        <v>No Impact</v>
      </c>
      <c r="AB182">
        <f t="shared" si="66"/>
        <v>3.7021032354890883E-2</v>
      </c>
      <c r="AC182">
        <f t="shared" si="67"/>
        <v>8.5381638221219247E-2</v>
      </c>
      <c r="AD182" t="str">
        <f t="shared" si="68"/>
        <v>No Impact</v>
      </c>
      <c r="AE182">
        <f t="shared" si="69"/>
        <v>4.2181575008540953E-3</v>
      </c>
      <c r="AF182">
        <f t="shared" si="70"/>
        <v>2.1640969937017557E-2</v>
      </c>
      <c r="AG182" t="str">
        <f t="shared" si="72"/>
        <v>No Impact</v>
      </c>
    </row>
    <row r="183" spans="1:33" x14ac:dyDescent="0.3">
      <c r="A183">
        <v>302648</v>
      </c>
      <c r="B183" t="s">
        <v>334</v>
      </c>
      <c r="C183" s="1" t="s">
        <v>701</v>
      </c>
      <c r="D183" t="s">
        <v>1133</v>
      </c>
      <c r="E183" s="4">
        <v>5.7</v>
      </c>
      <c r="F183" s="3">
        <f t="shared" si="51"/>
        <v>0.55555555555555558</v>
      </c>
      <c r="G183">
        <v>79.270200000000003</v>
      </c>
      <c r="H183">
        <f t="shared" si="52"/>
        <v>0.76698677422838057</v>
      </c>
      <c r="I183">
        <v>107.89999999999999</v>
      </c>
      <c r="J183" s="3">
        <f t="shared" si="53"/>
        <v>0.4965485503911643</v>
      </c>
      <c r="K183">
        <v>0</v>
      </c>
      <c r="L183" s="3">
        <f t="shared" si="54"/>
        <v>0</v>
      </c>
      <c r="M183">
        <v>5661</v>
      </c>
      <c r="N183">
        <f t="shared" si="55"/>
        <v>2.5653764081891434E-2</v>
      </c>
      <c r="O183" s="15">
        <v>0</v>
      </c>
      <c r="P183">
        <f t="shared" si="56"/>
        <v>0</v>
      </c>
      <c r="Q183">
        <v>0.38569999999999999</v>
      </c>
      <c r="R183">
        <f t="shared" si="57"/>
        <v>0.85502105963201058</v>
      </c>
      <c r="S183">
        <f t="shared" si="58"/>
        <v>9.6452175364620418E-2</v>
      </c>
      <c r="T183" s="14">
        <f t="shared" si="59"/>
        <v>0.16471481353960232</v>
      </c>
      <c r="U183" t="str">
        <f t="shared" si="60"/>
        <v>Low</v>
      </c>
      <c r="V183">
        <f t="shared" si="61"/>
        <v>0.19290435072924084</v>
      </c>
      <c r="W183">
        <f t="shared" si="62"/>
        <v>0.28384431455790615</v>
      </c>
      <c r="X183" t="s">
        <v>1175</v>
      </c>
      <c r="Y183">
        <f t="shared" si="63"/>
        <v>0</v>
      </c>
      <c r="Z183">
        <f t="shared" si="64"/>
        <v>0</v>
      </c>
      <c r="AA183" t="str">
        <f t="shared" si="65"/>
        <v>No Impact</v>
      </c>
      <c r="AB183">
        <f t="shared" si="66"/>
        <v>6.9542265778614193E-2</v>
      </c>
      <c r="AC183">
        <f t="shared" si="67"/>
        <v>0.16038538636292479</v>
      </c>
      <c r="AD183" t="str">
        <f t="shared" si="68"/>
        <v>Low</v>
      </c>
      <c r="AE183">
        <f t="shared" si="69"/>
        <v>5.7878372096568584E-3</v>
      </c>
      <c r="AF183">
        <f t="shared" si="70"/>
        <v>2.9694104838231875E-2</v>
      </c>
      <c r="AG183" t="str">
        <f t="shared" si="72"/>
        <v>No Impact</v>
      </c>
    </row>
    <row r="184" spans="1:33" x14ac:dyDescent="0.3">
      <c r="A184">
        <v>302650</v>
      </c>
      <c r="B184" t="s">
        <v>341</v>
      </c>
      <c r="C184" s="1" t="s">
        <v>701</v>
      </c>
      <c r="D184" t="s">
        <v>1134</v>
      </c>
      <c r="E184" s="4">
        <v>5.8</v>
      </c>
      <c r="F184" s="3">
        <f t="shared" si="51"/>
        <v>0.57777777777777772</v>
      </c>
      <c r="G184">
        <v>79.270200000000003</v>
      </c>
      <c r="H184">
        <f t="shared" si="52"/>
        <v>0.76698677422838057</v>
      </c>
      <c r="I184">
        <v>107.89999999999999</v>
      </c>
      <c r="J184" s="3">
        <f t="shared" si="53"/>
        <v>0.4965485503911643</v>
      </c>
      <c r="K184">
        <v>0</v>
      </c>
      <c r="L184" s="3">
        <f t="shared" si="54"/>
        <v>0</v>
      </c>
      <c r="M184">
        <v>4452</v>
      </c>
      <c r="N184">
        <f t="shared" si="55"/>
        <v>1.9933476222244301E-2</v>
      </c>
      <c r="O184" s="15">
        <v>0.27577230800000002</v>
      </c>
      <c r="P184">
        <f t="shared" si="56"/>
        <v>0.28113731233814565</v>
      </c>
      <c r="Q184">
        <v>0.36940000000000001</v>
      </c>
      <c r="R184">
        <f t="shared" si="57"/>
        <v>0.81888716470849032</v>
      </c>
      <c r="S184">
        <f t="shared" si="58"/>
        <v>0.1290538316840833</v>
      </c>
      <c r="T184" s="14">
        <f t="shared" si="59"/>
        <v>0.22038982264584883</v>
      </c>
      <c r="U184" t="str">
        <f t="shared" si="60"/>
        <v>Low</v>
      </c>
      <c r="V184">
        <f t="shared" si="61"/>
        <v>0.19214213597551677</v>
      </c>
      <c r="W184">
        <f t="shared" si="62"/>
        <v>0.28272277259423939</v>
      </c>
      <c r="X184" t="s">
        <v>1175</v>
      </c>
      <c r="Y184">
        <f t="shared" si="63"/>
        <v>6.5965527392649881E-2</v>
      </c>
      <c r="Z184">
        <f t="shared" si="64"/>
        <v>0.12983666548702691</v>
      </c>
      <c r="AA184" t="str">
        <f t="shared" si="65"/>
        <v>No Impact</v>
      </c>
      <c r="AB184">
        <f t="shared" si="66"/>
        <v>8.8676409418926946E-2</v>
      </c>
      <c r="AC184">
        <f t="shared" si="67"/>
        <v>0.20451447801841982</v>
      </c>
      <c r="AD184" t="str">
        <f t="shared" si="68"/>
        <v>Low</v>
      </c>
      <c r="AE184">
        <f t="shared" si="69"/>
        <v>4.677153170574642E-3</v>
      </c>
      <c r="AF184">
        <f t="shared" si="70"/>
        <v>2.3995815977648407E-2</v>
      </c>
      <c r="AG184" t="str">
        <f t="shared" si="72"/>
        <v>No Impact</v>
      </c>
    </row>
    <row r="185" spans="1:33" x14ac:dyDescent="0.3">
      <c r="A185">
        <v>302654</v>
      </c>
      <c r="B185" t="s">
        <v>348</v>
      </c>
      <c r="C185" s="1" t="s">
        <v>701</v>
      </c>
      <c r="D185" t="s">
        <v>723</v>
      </c>
      <c r="E185" s="4">
        <v>5.8</v>
      </c>
      <c r="F185" s="3">
        <f t="shared" si="51"/>
        <v>0.57777777777777772</v>
      </c>
      <c r="G185">
        <v>79.314840000000004</v>
      </c>
      <c r="H185">
        <f t="shared" si="52"/>
        <v>0.76741869302764631</v>
      </c>
      <c r="I185">
        <v>105.5</v>
      </c>
      <c r="J185" s="3">
        <f t="shared" si="53"/>
        <v>0.48550391164289003</v>
      </c>
      <c r="K185">
        <v>0</v>
      </c>
      <c r="L185" s="3">
        <f t="shared" si="54"/>
        <v>0</v>
      </c>
      <c r="M185">
        <v>2689</v>
      </c>
      <c r="N185">
        <f t="shared" si="55"/>
        <v>1.1591981187870529E-2</v>
      </c>
      <c r="O185" s="15">
        <v>0.314367485</v>
      </c>
      <c r="P185">
        <f t="shared" si="56"/>
        <v>0.32048333808557133</v>
      </c>
      <c r="Q185">
        <v>0</v>
      </c>
      <c r="R185">
        <f t="shared" si="57"/>
        <v>0</v>
      </c>
      <c r="S185">
        <f t="shared" si="58"/>
        <v>3.7410286226932585E-2</v>
      </c>
      <c r="T185" s="14">
        <f t="shared" si="59"/>
        <v>6.3886877585061133E-2</v>
      </c>
      <c r="U185" t="str">
        <f t="shared" si="60"/>
        <v>No Impact</v>
      </c>
      <c r="V185">
        <f t="shared" si="61"/>
        <v>0</v>
      </c>
      <c r="W185">
        <f t="shared" si="62"/>
        <v>0</v>
      </c>
      <c r="X185" t="s">
        <v>1176</v>
      </c>
      <c r="Y185">
        <f t="shared" si="63"/>
        <v>7.482057245386517E-2</v>
      </c>
      <c r="Z185">
        <f t="shared" si="64"/>
        <v>0.14726561010293343</v>
      </c>
      <c r="AA185" t="str">
        <f t="shared" si="65"/>
        <v>No Impact</v>
      </c>
      <c r="AB185">
        <f t="shared" si="66"/>
        <v>2.3393370850273133E-2</v>
      </c>
      <c r="AC185">
        <f t="shared" si="67"/>
        <v>5.3952150970986178E-2</v>
      </c>
      <c r="AD185" t="str">
        <f t="shared" si="68"/>
        <v>No Impact</v>
      </c>
      <c r="AE185">
        <f t="shared" si="69"/>
        <v>2.706283183181675E-3</v>
      </c>
      <c r="AF185">
        <f t="shared" si="70"/>
        <v>1.3884401660306E-2</v>
      </c>
      <c r="AG185" t="str">
        <f t="shared" si="72"/>
        <v>No Impact</v>
      </c>
    </row>
    <row r="186" spans="1:33" x14ac:dyDescent="0.3">
      <c r="A186">
        <v>302662</v>
      </c>
      <c r="B186" t="s">
        <v>377</v>
      </c>
      <c r="C186" s="1" t="s">
        <v>701</v>
      </c>
      <c r="D186" t="s">
        <v>724</v>
      </c>
      <c r="E186" s="4">
        <v>5.6</v>
      </c>
      <c r="F186" s="3">
        <f t="shared" si="51"/>
        <v>0.53333333333333321</v>
      </c>
      <c r="G186">
        <v>83.837519999999998</v>
      </c>
      <c r="H186">
        <f t="shared" si="52"/>
        <v>0.81117833718228705</v>
      </c>
      <c r="I186">
        <v>200.3</v>
      </c>
      <c r="J186" s="3">
        <f t="shared" si="53"/>
        <v>0.921767142199724</v>
      </c>
      <c r="K186">
        <v>0</v>
      </c>
      <c r="L186" s="3">
        <f t="shared" si="54"/>
        <v>0</v>
      </c>
      <c r="M186">
        <v>31650</v>
      </c>
      <c r="N186">
        <f t="shared" si="55"/>
        <v>0.1486186616702862</v>
      </c>
      <c r="O186" s="15">
        <v>0.18754665300000001</v>
      </c>
      <c r="P186">
        <f t="shared" si="56"/>
        <v>0.19119527390123164</v>
      </c>
      <c r="Q186">
        <v>0.39</v>
      </c>
      <c r="R186">
        <f t="shared" si="57"/>
        <v>0.86455331412103753</v>
      </c>
      <c r="S186">
        <f t="shared" si="58"/>
        <v>0.14325094011155112</v>
      </c>
      <c r="T186" s="14">
        <f t="shared" si="59"/>
        <v>0.24463473012037382</v>
      </c>
      <c r="U186" t="str">
        <f t="shared" si="60"/>
        <v>Low</v>
      </c>
      <c r="V186">
        <f t="shared" si="61"/>
        <v>0.23461660556212544</v>
      </c>
      <c r="W186">
        <f t="shared" si="62"/>
        <v>0.34522077567423981</v>
      </c>
      <c r="X186" t="str">
        <f t="shared" si="71"/>
        <v>Moderate</v>
      </c>
      <c r="Y186">
        <f t="shared" si="63"/>
        <v>5.1885274660976817E-2</v>
      </c>
      <c r="Z186">
        <f t="shared" si="64"/>
        <v>0.10212320459080236</v>
      </c>
      <c r="AA186" t="str">
        <f t="shared" si="65"/>
        <v>No Impact</v>
      </c>
      <c r="AB186">
        <f t="shared" si="66"/>
        <v>0.11179728734337831</v>
      </c>
      <c r="AC186">
        <f t="shared" si="67"/>
        <v>0.25783817832419154</v>
      </c>
      <c r="AD186" t="str">
        <f t="shared" si="68"/>
        <v>Low</v>
      </c>
      <c r="AE186">
        <f t="shared" si="69"/>
        <v>4.0331122852403908E-2</v>
      </c>
      <c r="AF186">
        <f t="shared" si="70"/>
        <v>0.20691608053950303</v>
      </c>
      <c r="AG186" t="s">
        <v>1175</v>
      </c>
    </row>
    <row r="187" spans="1:33" x14ac:dyDescent="0.3">
      <c r="A187">
        <v>302663</v>
      </c>
      <c r="B187" t="s">
        <v>383</v>
      </c>
      <c r="C187" s="1" t="s">
        <v>701</v>
      </c>
      <c r="D187" t="s">
        <v>725</v>
      </c>
      <c r="E187" s="4">
        <v>5.8</v>
      </c>
      <c r="F187" s="3">
        <f t="shared" si="51"/>
        <v>0.57777777777777772</v>
      </c>
      <c r="G187">
        <v>83.426400000000001</v>
      </c>
      <c r="H187">
        <f t="shared" si="52"/>
        <v>0.80720050436969459</v>
      </c>
      <c r="I187">
        <v>103.4</v>
      </c>
      <c r="J187" s="3">
        <f t="shared" si="53"/>
        <v>0.4758398527381501</v>
      </c>
      <c r="K187">
        <v>0</v>
      </c>
      <c r="L187" s="3">
        <f t="shared" si="54"/>
        <v>0</v>
      </c>
      <c r="M187">
        <v>580</v>
      </c>
      <c r="N187">
        <f t="shared" si="55"/>
        <v>1.6134145245158573E-3</v>
      </c>
      <c r="O187" s="15">
        <v>0.28136947200000001</v>
      </c>
      <c r="P187">
        <f t="shared" si="56"/>
        <v>0.28684336620224798</v>
      </c>
      <c r="Q187">
        <v>0</v>
      </c>
      <c r="R187">
        <f t="shared" si="57"/>
        <v>0</v>
      </c>
      <c r="S187">
        <f t="shared" si="58"/>
        <v>3.4641921881938459E-2</v>
      </c>
      <c r="T187" s="14">
        <f t="shared" si="59"/>
        <v>5.9159243240147721E-2</v>
      </c>
      <c r="U187" t="str">
        <f t="shared" si="60"/>
        <v>No Impact</v>
      </c>
      <c r="V187">
        <f t="shared" si="61"/>
        <v>0</v>
      </c>
      <c r="W187">
        <f t="shared" si="62"/>
        <v>0</v>
      </c>
      <c r="X187" t="s">
        <v>1176</v>
      </c>
      <c r="Y187">
        <f t="shared" si="63"/>
        <v>6.9283843763876918E-2</v>
      </c>
      <c r="Z187">
        <f t="shared" si="64"/>
        <v>0.13636794249943712</v>
      </c>
      <c r="AA187" t="str">
        <f t="shared" si="65"/>
        <v>No Impact</v>
      </c>
      <c r="AB187">
        <f t="shared" si="66"/>
        <v>2.0921548983329138E-2</v>
      </c>
      <c r="AC187">
        <f t="shared" si="67"/>
        <v>4.8251386109337768E-2</v>
      </c>
      <c r="AD187" t="str">
        <f t="shared" si="68"/>
        <v>No Impact</v>
      </c>
      <c r="AE187">
        <f t="shared" si="69"/>
        <v>3.8970244047446399E-4</v>
      </c>
      <c r="AF187">
        <f t="shared" si="70"/>
        <v>1.9993418446282818E-3</v>
      </c>
      <c r="AG187" t="str">
        <f t="shared" ref="AG187:AG192" si="75">IF(AF187&gt;0.7,"High",IF(AF187&gt;0.3,"Moderate",IF(AF187&gt;0.15,"Low","No Impact")))</f>
        <v>No Impact</v>
      </c>
    </row>
    <row r="188" spans="1:33" x14ac:dyDescent="0.3">
      <c r="A188">
        <v>302664</v>
      </c>
      <c r="B188" t="s">
        <v>395</v>
      </c>
      <c r="C188" s="1" t="s">
        <v>701</v>
      </c>
      <c r="D188" t="s">
        <v>726</v>
      </c>
      <c r="E188" s="4">
        <v>5.4</v>
      </c>
      <c r="F188" s="3">
        <f t="shared" si="51"/>
        <v>0.48888888888888893</v>
      </c>
      <c r="G188">
        <v>79.270200000000003</v>
      </c>
      <c r="H188">
        <f t="shared" si="52"/>
        <v>0.76698677422838057</v>
      </c>
      <c r="I188">
        <v>107.89999999999999</v>
      </c>
      <c r="J188" s="3">
        <f t="shared" si="53"/>
        <v>0.4965485503911643</v>
      </c>
      <c r="K188">
        <v>0</v>
      </c>
      <c r="L188" s="3">
        <f t="shared" si="54"/>
        <v>0</v>
      </c>
      <c r="M188">
        <v>9521</v>
      </c>
      <c r="N188">
        <f t="shared" si="55"/>
        <v>4.3917048728903778E-2</v>
      </c>
      <c r="O188" s="15">
        <v>0.46742842499999998</v>
      </c>
      <c r="P188">
        <f t="shared" si="56"/>
        <v>0.47652199768713716</v>
      </c>
      <c r="Q188">
        <v>0.185</v>
      </c>
      <c r="R188">
        <f t="shared" si="57"/>
        <v>0.41010862336510751</v>
      </c>
      <c r="S188">
        <f t="shared" si="58"/>
        <v>8.8015794511912354E-2</v>
      </c>
      <c r="T188" s="14">
        <f t="shared" si="59"/>
        <v>0.15030770562472373</v>
      </c>
      <c r="U188" t="str">
        <f t="shared" si="60"/>
        <v>Low</v>
      </c>
      <c r="V188">
        <f t="shared" si="61"/>
        <v>8.1422940883381936E-2</v>
      </c>
      <c r="W188">
        <f t="shared" si="62"/>
        <v>0.11980776357279525</v>
      </c>
      <c r="X188" t="s">
        <v>1176</v>
      </c>
      <c r="Y188">
        <f t="shared" si="63"/>
        <v>9.4608648140442786E-2</v>
      </c>
      <c r="Z188">
        <f t="shared" si="64"/>
        <v>0.1862134949315844</v>
      </c>
      <c r="AA188" t="str">
        <f t="shared" si="65"/>
        <v>Low</v>
      </c>
      <c r="AB188">
        <f t="shared" si="66"/>
        <v>5.9932374605955158E-2</v>
      </c>
      <c r="AC188">
        <f t="shared" si="67"/>
        <v>0.13822208622629678</v>
      </c>
      <c r="AD188" t="str">
        <f t="shared" si="68"/>
        <v>No Impact</v>
      </c>
      <c r="AE188">
        <f t="shared" si="69"/>
        <v>8.7192881561104323E-3</v>
      </c>
      <c r="AF188">
        <f t="shared" si="70"/>
        <v>4.4733714381308014E-2</v>
      </c>
      <c r="AG188" t="str">
        <f t="shared" si="75"/>
        <v>No Impact</v>
      </c>
    </row>
    <row r="189" spans="1:33" x14ac:dyDescent="0.3">
      <c r="A189">
        <v>302665</v>
      </c>
      <c r="B189" t="s">
        <v>396</v>
      </c>
      <c r="C189" s="1" t="s">
        <v>701</v>
      </c>
      <c r="D189" t="s">
        <v>727</v>
      </c>
      <c r="E189" s="4">
        <v>5.7</v>
      </c>
      <c r="F189" s="3">
        <f t="shared" si="51"/>
        <v>0.55555555555555558</v>
      </c>
      <c r="G189">
        <v>79.314840000000004</v>
      </c>
      <c r="H189">
        <f t="shared" si="52"/>
        <v>0.76741869302764631</v>
      </c>
      <c r="I189">
        <v>105.5</v>
      </c>
      <c r="J189" s="3">
        <f t="shared" si="53"/>
        <v>0.48550391164289003</v>
      </c>
      <c r="K189">
        <v>0</v>
      </c>
      <c r="L189" s="3">
        <f t="shared" si="54"/>
        <v>0</v>
      </c>
      <c r="M189">
        <v>723</v>
      </c>
      <c r="N189">
        <f t="shared" si="55"/>
        <v>2.2900077122160558E-3</v>
      </c>
      <c r="O189" s="15">
        <v>0.13752594900000001</v>
      </c>
      <c r="P189">
        <f t="shared" si="56"/>
        <v>0.14020144357138603</v>
      </c>
      <c r="Q189">
        <v>0</v>
      </c>
      <c r="R189">
        <f t="shared" si="57"/>
        <v>0</v>
      </c>
      <c r="S189">
        <f t="shared" si="58"/>
        <v>1.5736375913565144E-2</v>
      </c>
      <c r="T189" s="14">
        <f t="shared" si="59"/>
        <v>2.687356935800898E-2</v>
      </c>
      <c r="U189" t="str">
        <f t="shared" si="60"/>
        <v>No Impact</v>
      </c>
      <c r="V189">
        <f t="shared" si="61"/>
        <v>0</v>
      </c>
      <c r="W189">
        <f t="shared" si="62"/>
        <v>0</v>
      </c>
      <c r="X189" t="s">
        <v>1176</v>
      </c>
      <c r="Y189">
        <f t="shared" si="63"/>
        <v>3.1472751827130288E-2</v>
      </c>
      <c r="Z189">
        <f t="shared" si="64"/>
        <v>6.1946251511219519E-2</v>
      </c>
      <c r="AA189" t="str">
        <f t="shared" si="65"/>
        <v>No Impact</v>
      </c>
      <c r="AB189">
        <f t="shared" si="66"/>
        <v>9.6217487707572075E-3</v>
      </c>
      <c r="AC189">
        <f t="shared" si="67"/>
        <v>2.2190647325147351E-2</v>
      </c>
      <c r="AD189" t="str">
        <f t="shared" si="68"/>
        <v>No Impact</v>
      </c>
      <c r="AE189">
        <f t="shared" si="69"/>
        <v>5.140663503374925E-4</v>
      </c>
      <c r="AF189">
        <f t="shared" si="70"/>
        <v>2.6373824189906219E-3</v>
      </c>
      <c r="AG189" t="str">
        <f t="shared" si="75"/>
        <v>No Impact</v>
      </c>
    </row>
    <row r="190" spans="1:33" x14ac:dyDescent="0.3">
      <c r="A190">
        <v>302666</v>
      </c>
      <c r="B190" t="s">
        <v>431</v>
      </c>
      <c r="C190" s="1" t="s">
        <v>701</v>
      </c>
      <c r="D190" t="s">
        <v>728</v>
      </c>
      <c r="E190" s="4">
        <v>5.7</v>
      </c>
      <c r="F190" s="3">
        <f t="shared" si="51"/>
        <v>0.55555555555555558</v>
      </c>
      <c r="G190">
        <v>79.314840000000004</v>
      </c>
      <c r="H190">
        <f t="shared" si="52"/>
        <v>0.76741869302764631</v>
      </c>
      <c r="I190">
        <v>105.5</v>
      </c>
      <c r="J190" s="3">
        <f t="shared" si="53"/>
        <v>0.48550391164289003</v>
      </c>
      <c r="K190">
        <v>0</v>
      </c>
      <c r="L190" s="3">
        <f t="shared" si="54"/>
        <v>0</v>
      </c>
      <c r="M190">
        <v>2576</v>
      </c>
      <c r="N190">
        <f t="shared" si="55"/>
        <v>1.1057330626960583E-2</v>
      </c>
      <c r="O190" s="15">
        <v>0.23872837899999999</v>
      </c>
      <c r="P190">
        <f t="shared" si="56"/>
        <v>0.24337271329977847</v>
      </c>
      <c r="Q190">
        <v>0</v>
      </c>
      <c r="R190">
        <f t="shared" si="57"/>
        <v>0</v>
      </c>
      <c r="S190">
        <f t="shared" si="58"/>
        <v>2.7316441300689016E-2</v>
      </c>
      <c r="T190" s="14">
        <f t="shared" si="59"/>
        <v>4.6649259266566157E-2</v>
      </c>
      <c r="U190" t="str">
        <f t="shared" si="60"/>
        <v>No Impact</v>
      </c>
      <c r="V190">
        <f t="shared" si="61"/>
        <v>0</v>
      </c>
      <c r="W190">
        <f t="shared" si="62"/>
        <v>0</v>
      </c>
      <c r="X190" t="s">
        <v>1176</v>
      </c>
      <c r="Y190">
        <f t="shared" si="63"/>
        <v>5.4632882601378031E-2</v>
      </c>
      <c r="Z190">
        <f t="shared" si="64"/>
        <v>0.10753118459411422</v>
      </c>
      <c r="AA190" t="str">
        <f t="shared" si="65"/>
        <v>No Impact</v>
      </c>
      <c r="AB190">
        <f t="shared" si="66"/>
        <v>1.7258626291278181E-2</v>
      </c>
      <c r="AC190">
        <f t="shared" si="67"/>
        <v>3.9803584407674196E-2</v>
      </c>
      <c r="AD190" t="str">
        <f t="shared" si="68"/>
        <v>No Impact</v>
      </c>
      <c r="AE190">
        <f t="shared" si="69"/>
        <v>2.482175745327934E-3</v>
      </c>
      <c r="AF190">
        <f t="shared" si="70"/>
        <v>1.2734633704919595E-2</v>
      </c>
      <c r="AG190" t="str">
        <f t="shared" si="75"/>
        <v>No Impact</v>
      </c>
    </row>
    <row r="191" spans="1:33" x14ac:dyDescent="0.3">
      <c r="A191">
        <v>302667</v>
      </c>
      <c r="B191" t="s">
        <v>433</v>
      </c>
      <c r="C191" s="1" t="s">
        <v>701</v>
      </c>
      <c r="D191" t="s">
        <v>729</v>
      </c>
      <c r="E191" s="4">
        <v>5.8</v>
      </c>
      <c r="F191" s="3">
        <f t="shared" si="51"/>
        <v>0.57777777777777772</v>
      </c>
      <c r="G191">
        <v>76.606920000000002</v>
      </c>
      <c r="H191">
        <f t="shared" si="52"/>
        <v>0.74121794134960695</v>
      </c>
      <c r="I191">
        <v>105.5</v>
      </c>
      <c r="J191" s="3">
        <f t="shared" si="53"/>
        <v>0.48550391164289003</v>
      </c>
      <c r="K191">
        <v>0</v>
      </c>
      <c r="L191" s="3">
        <f t="shared" si="54"/>
        <v>0</v>
      </c>
      <c r="M191">
        <v>3584</v>
      </c>
      <c r="N191">
        <f t="shared" si="55"/>
        <v>1.5826602887113028E-2</v>
      </c>
      <c r="O191" s="15">
        <v>4.2619629999999999E-2</v>
      </c>
      <c r="P191">
        <f t="shared" si="56"/>
        <v>4.3448772351160805E-2</v>
      </c>
      <c r="Q191">
        <v>6.83E-2</v>
      </c>
      <c r="R191">
        <f t="shared" si="57"/>
        <v>0.15140767013965861</v>
      </c>
      <c r="S191">
        <f t="shared" si="58"/>
        <v>2.2155798736448989E-2</v>
      </c>
      <c r="T191" s="14">
        <f t="shared" si="59"/>
        <v>3.7836246242236471E-2</v>
      </c>
      <c r="U191" t="str">
        <f t="shared" si="60"/>
        <v>No Impact</v>
      </c>
      <c r="V191">
        <f t="shared" si="61"/>
        <v>3.4431069600657241E-2</v>
      </c>
      <c r="W191">
        <f t="shared" si="62"/>
        <v>5.0662741992851763E-2</v>
      </c>
      <c r="X191" t="s">
        <v>1176</v>
      </c>
      <c r="Y191">
        <f t="shared" si="63"/>
        <v>9.8805278722407432E-3</v>
      </c>
      <c r="Z191">
        <f t="shared" si="64"/>
        <v>1.9447351410493044E-2</v>
      </c>
      <c r="AA191" t="str">
        <f t="shared" si="65"/>
        <v>No Impact</v>
      </c>
      <c r="AB191">
        <f t="shared" si="66"/>
        <v>1.6274707365636808E-2</v>
      </c>
      <c r="AC191">
        <f t="shared" si="67"/>
        <v>3.7534371357567993E-2</v>
      </c>
      <c r="AD191" t="str">
        <f t="shared" si="68"/>
        <v>No Impact</v>
      </c>
      <c r="AE191">
        <f t="shared" si="69"/>
        <v>3.5990704106701483E-3</v>
      </c>
      <c r="AF191">
        <f t="shared" si="70"/>
        <v>1.8464785760785706E-2</v>
      </c>
      <c r="AG191" t="str">
        <f t="shared" si="75"/>
        <v>No Impact</v>
      </c>
    </row>
    <row r="192" spans="1:33" x14ac:dyDescent="0.3">
      <c r="A192">
        <v>302668</v>
      </c>
      <c r="B192" t="s">
        <v>449</v>
      </c>
      <c r="C192" s="1" t="s">
        <v>701</v>
      </c>
      <c r="D192" t="s">
        <v>730</v>
      </c>
      <c r="E192" s="4">
        <v>5.8</v>
      </c>
      <c r="F192" s="3">
        <f t="shared" si="51"/>
        <v>0.57777777777777772</v>
      </c>
      <c r="G192">
        <v>79.314840000000004</v>
      </c>
      <c r="H192">
        <f t="shared" si="52"/>
        <v>0.76741869302764631</v>
      </c>
      <c r="I192">
        <v>105.5</v>
      </c>
      <c r="J192" s="3">
        <f t="shared" si="53"/>
        <v>0.48550391164289003</v>
      </c>
      <c r="K192">
        <v>0</v>
      </c>
      <c r="L192" s="3">
        <f t="shared" si="54"/>
        <v>0</v>
      </c>
      <c r="M192">
        <v>8555</v>
      </c>
      <c r="N192">
        <f t="shared" si="55"/>
        <v>3.9346496146257681E-2</v>
      </c>
      <c r="O192" s="15">
        <v>0.19210950500000001</v>
      </c>
      <c r="P192">
        <f t="shared" si="56"/>
        <v>0.19584689377263925</v>
      </c>
      <c r="Q192">
        <v>0.20150000000000001</v>
      </c>
      <c r="R192">
        <f t="shared" si="57"/>
        <v>0.44668587896253603</v>
      </c>
      <c r="S192">
        <f t="shared" si="58"/>
        <v>7.5003384206480617E-2</v>
      </c>
      <c r="T192" s="14">
        <f t="shared" si="59"/>
        <v>0.12808594930810899</v>
      </c>
      <c r="U192" t="str">
        <f t="shared" si="60"/>
        <v>No Impact</v>
      </c>
      <c r="V192">
        <f t="shared" si="61"/>
        <v>0.10428402727792091</v>
      </c>
      <c r="W192">
        <f t="shared" si="62"/>
        <v>0.15344614121008809</v>
      </c>
      <c r="X192" t="s">
        <v>1176</v>
      </c>
      <c r="Y192">
        <f t="shared" si="63"/>
        <v>4.572274113504033E-2</v>
      </c>
      <c r="Z192">
        <f t="shared" si="64"/>
        <v>8.9993796465297746E-2</v>
      </c>
      <c r="AA192" t="str">
        <f t="shared" si="65"/>
        <v>No Impact</v>
      </c>
      <c r="AB192">
        <f t="shared" si="66"/>
        <v>5.3431296309404241E-2</v>
      </c>
      <c r="AC192">
        <f t="shared" si="67"/>
        <v>0.12322864385432579</v>
      </c>
      <c r="AD192" t="str">
        <f t="shared" si="68"/>
        <v>No Impact</v>
      </c>
      <c r="AE192">
        <f t="shared" si="69"/>
        <v>9.1858983474852277E-3</v>
      </c>
      <c r="AF192">
        <f t="shared" si="70"/>
        <v>4.7127626206981507E-2</v>
      </c>
      <c r="AG192" t="str">
        <f t="shared" si="75"/>
        <v>No Impact</v>
      </c>
    </row>
    <row r="193" spans="1:33" x14ac:dyDescent="0.3">
      <c r="A193">
        <v>302672</v>
      </c>
      <c r="B193" t="s">
        <v>466</v>
      </c>
      <c r="C193" s="1" t="s">
        <v>701</v>
      </c>
      <c r="D193" t="s">
        <v>731</v>
      </c>
      <c r="E193" s="4">
        <v>5.7</v>
      </c>
      <c r="F193" s="3">
        <f t="shared" si="51"/>
        <v>0.55555555555555558</v>
      </c>
      <c r="G193">
        <v>83.15316</v>
      </c>
      <c r="H193">
        <f t="shared" si="52"/>
        <v>0.80455674333225347</v>
      </c>
      <c r="I193">
        <v>133.20000000000002</v>
      </c>
      <c r="J193" s="3">
        <f t="shared" si="53"/>
        <v>0.61297745052922237</v>
      </c>
      <c r="K193">
        <v>0</v>
      </c>
      <c r="L193" s="3">
        <f t="shared" si="54"/>
        <v>0</v>
      </c>
      <c r="M193">
        <v>146872</v>
      </c>
      <c r="N193">
        <f t="shared" si="55"/>
        <v>0.69378243980449772</v>
      </c>
      <c r="O193" s="15">
        <v>0.21492941400000001</v>
      </c>
      <c r="P193">
        <f t="shared" si="56"/>
        <v>0.21911075202798322</v>
      </c>
      <c r="Q193">
        <v>0.247</v>
      </c>
      <c r="R193">
        <f t="shared" si="57"/>
        <v>0.54755043227665701</v>
      </c>
      <c r="S193">
        <f t="shared" si="58"/>
        <v>9.4643937196752931E-2</v>
      </c>
      <c r="T193" s="14">
        <f t="shared" si="59"/>
        <v>0.16162682084758123</v>
      </c>
      <c r="U193" t="str">
        <f t="shared" si="60"/>
        <v>Low</v>
      </c>
      <c r="V193">
        <f t="shared" si="61"/>
        <v>0.1351896503576076</v>
      </c>
      <c r="W193">
        <f t="shared" si="62"/>
        <v>0.19892145250232293</v>
      </c>
      <c r="X193" t="s">
        <v>1176</v>
      </c>
      <c r="Y193">
        <f t="shared" si="63"/>
        <v>5.4098224035898229E-2</v>
      </c>
      <c r="Z193">
        <f t="shared" si="64"/>
        <v>0.10647884274133447</v>
      </c>
      <c r="AA193" t="str">
        <f t="shared" si="65"/>
        <v>No Impact</v>
      </c>
      <c r="AB193">
        <f t="shared" si="66"/>
        <v>0.12349880985324382</v>
      </c>
      <c r="AC193">
        <f t="shared" si="67"/>
        <v>0.28482540958228475</v>
      </c>
      <c r="AD193" t="str">
        <f t="shared" si="68"/>
        <v>Low</v>
      </c>
      <c r="AE193">
        <f t="shared" si="69"/>
        <v>0.17129418576374764</v>
      </c>
      <c r="AF193">
        <f t="shared" si="70"/>
        <v>0.87881316042574831</v>
      </c>
      <c r="AG193" t="str">
        <f t="shared" si="72"/>
        <v>High</v>
      </c>
    </row>
    <row r="194" spans="1:33" x14ac:dyDescent="0.3">
      <c r="A194">
        <v>302674</v>
      </c>
      <c r="B194" t="s">
        <v>469</v>
      </c>
      <c r="C194" s="1" t="s">
        <v>701</v>
      </c>
      <c r="D194" t="s">
        <v>732</v>
      </c>
      <c r="E194" s="4">
        <v>5.8</v>
      </c>
      <c r="F194" s="3">
        <f t="shared" si="51"/>
        <v>0.57777777777777772</v>
      </c>
      <c r="G194">
        <v>79.270200000000003</v>
      </c>
      <c r="H194">
        <f t="shared" si="52"/>
        <v>0.76698677422838057</v>
      </c>
      <c r="I194">
        <v>107.89999999999999</v>
      </c>
      <c r="J194" s="3">
        <f t="shared" si="53"/>
        <v>0.4965485503911643</v>
      </c>
      <c r="K194">
        <v>0</v>
      </c>
      <c r="L194" s="3">
        <f t="shared" si="54"/>
        <v>0</v>
      </c>
      <c r="M194">
        <v>2058</v>
      </c>
      <c r="N194">
        <f t="shared" si="55"/>
        <v>8.6064546043822417E-3</v>
      </c>
      <c r="O194" s="15">
        <v>0.15082337900000001</v>
      </c>
      <c r="P194">
        <f t="shared" si="56"/>
        <v>0.15375756803622762</v>
      </c>
      <c r="Q194">
        <v>0.246</v>
      </c>
      <c r="R194">
        <f t="shared" si="57"/>
        <v>0.5453336289071159</v>
      </c>
      <c r="S194">
        <f t="shared" si="58"/>
        <v>8.2016718304647032E-2</v>
      </c>
      <c r="T194" s="14">
        <f t="shared" si="59"/>
        <v>0.14006286962020548</v>
      </c>
      <c r="U194" t="str">
        <f t="shared" si="60"/>
        <v>No Impact</v>
      </c>
      <c r="V194">
        <f t="shared" si="61"/>
        <v>0.12795605157005177</v>
      </c>
      <c r="W194">
        <f t="shared" si="62"/>
        <v>0.18827775327066296</v>
      </c>
      <c r="X194" t="s">
        <v>1176</v>
      </c>
      <c r="Y194">
        <f t="shared" si="63"/>
        <v>3.607738503924228E-2</v>
      </c>
      <c r="Z194">
        <f t="shared" si="64"/>
        <v>7.1009321961529509E-2</v>
      </c>
      <c r="AA194" t="str">
        <f t="shared" si="65"/>
        <v>No Impact</v>
      </c>
      <c r="AB194">
        <f t="shared" si="66"/>
        <v>5.6314624343642178E-2</v>
      </c>
      <c r="AC194">
        <f t="shared" si="67"/>
        <v>0.12987846573753103</v>
      </c>
      <c r="AD194" t="str">
        <f t="shared" si="68"/>
        <v>No Impact</v>
      </c>
      <c r="AE194">
        <f t="shared" si="69"/>
        <v>2.019402235289645E-3</v>
      </c>
      <c r="AF194">
        <f t="shared" si="70"/>
        <v>1.0360405711688217E-2</v>
      </c>
      <c r="AG194" t="str">
        <f t="shared" si="72"/>
        <v>No Impact</v>
      </c>
    </row>
    <row r="195" spans="1:33" x14ac:dyDescent="0.3">
      <c r="A195">
        <v>302675</v>
      </c>
      <c r="B195" t="s">
        <v>471</v>
      </c>
      <c r="C195" s="1" t="s">
        <v>701</v>
      </c>
      <c r="D195" t="s">
        <v>733</v>
      </c>
      <c r="E195" s="4">
        <v>5.8</v>
      </c>
      <c r="F195" s="3">
        <f t="shared" ref="F195:F258" si="76">(E195-$AJ$5)/$AK$5</f>
        <v>0.57777777777777772</v>
      </c>
      <c r="G195">
        <v>79.314840000000004</v>
      </c>
      <c r="H195">
        <f t="shared" ref="H195:H258" si="77">(G195-$AJ$6)/$AK$6</f>
        <v>0.76741869302764631</v>
      </c>
      <c r="I195">
        <v>105.5</v>
      </c>
      <c r="J195" s="3">
        <f t="shared" ref="J195:J258" si="78">(I195-$AJ$7)/$AK$7</f>
        <v>0.48550391164289003</v>
      </c>
      <c r="K195">
        <v>0</v>
      </c>
      <c r="L195" s="3">
        <f t="shared" ref="L195:L258" si="79">(K195-$AJ$8)/$AK$8</f>
        <v>0</v>
      </c>
      <c r="M195">
        <v>1343</v>
      </c>
      <c r="N195">
        <f t="shared" ref="N195:N258" si="80">(M195-$AJ$9)/$AK$9</f>
        <v>5.2234886658812504E-3</v>
      </c>
      <c r="O195" s="15">
        <v>0.27736754000000002</v>
      </c>
      <c r="P195">
        <f t="shared" ref="P195:P258" si="81">(O195-$AJ$11)/$AK$11</f>
        <v>0.28276357873265179</v>
      </c>
      <c r="Q195">
        <v>0</v>
      </c>
      <c r="R195">
        <f t="shared" ref="R195:R258" si="82">(Q195-$AJ$12)/$AK$12</f>
        <v>0</v>
      </c>
      <c r="S195">
        <f t="shared" ref="S195:S258" si="83">F195*(R195*0.5+P195*0.5)*(H195*0.4+J195*0.2+L195*0.4)</f>
        <v>3.3007227390136014E-2</v>
      </c>
      <c r="T195" s="14">
        <f t="shared" ref="T195:T258" si="84">(S195-$AJ$10)/$AK$10</f>
        <v>5.6367617261847379E-2</v>
      </c>
      <c r="U195" t="str">
        <f t="shared" ref="U195:U258" si="85">IF(T195&gt;0.7,"High",IF(T195&gt;0.3,"Moderate",IF(T195&gt;0.15,"Low","No Impact")))</f>
        <v>No Impact</v>
      </c>
      <c r="V195">
        <f t="shared" ref="V195:V258" si="86">F195*(R195*1)*(H195*0.4+J195*0.2+L195*0.4)</f>
        <v>0</v>
      </c>
      <c r="W195">
        <f t="shared" ref="W195:W258" si="87">(V195-$AJ$13)/$AK$13</f>
        <v>0</v>
      </c>
      <c r="X195" t="s">
        <v>1176</v>
      </c>
      <c r="Y195">
        <f t="shared" ref="Y195:Y258" si="88">F195*(P195*1)*(H195*0.4+J195*0.2+L195*0.4)</f>
        <v>6.6014454780272028E-2</v>
      </c>
      <c r="Z195">
        <f t="shared" ref="Z195:Z258" si="89">(Y195-$AJ$14)/$AK$14</f>
        <v>0.1299329668297273</v>
      </c>
      <c r="AA195" t="str">
        <f t="shared" ref="AA195:AA258" si="90">IF(Z195&gt;0.7,"High",IF(Z195&gt;0.3,"Moderate",IF(Z195&gt;0.15,"Low","No Impact")))</f>
        <v>No Impact</v>
      </c>
      <c r="AB195">
        <f t="shared" ref="AB195:AB258" si="91">F195*(R195*0.35+P195*0.3+N195*0.35)*(H195*0.4+J195*0.2+L195*0.4)</f>
        <v>2.0231155953257689E-2</v>
      </c>
      <c r="AC195">
        <f t="shared" ref="AC195:AC258" si="92">(AB195-$AJ$15)/$AK$15</f>
        <v>4.665913208035944E-2</v>
      </c>
      <c r="AD195" t="str">
        <f t="shared" ref="AD195:AD258" si="93">IF(AC195&gt;0.7,"High",IF(AC195&gt;0.3,"Moderate",IF(AC195&gt;0.15,"Low","No Impact")))</f>
        <v>No Impact</v>
      </c>
      <c r="AE195">
        <f t="shared" ref="AE195:AE258" si="94">F195*(N195*1)*(H195*0.4+J195*0.2+L195*0.4)</f>
        <v>1.2194843405030893E-3</v>
      </c>
      <c r="AF195">
        <f t="shared" ref="AF195:AF258" si="95">(AE195-$AJ$16)/$AK$16</f>
        <v>6.256481401215438E-3</v>
      </c>
      <c r="AG195" t="str">
        <f t="shared" ref="AG195:AG200" si="96">IF(AF195&gt;0.7,"High",IF(AF195&gt;0.3,"Moderate",IF(AF195&gt;0.15,"Low","No Impact")))</f>
        <v>No Impact</v>
      </c>
    </row>
    <row r="196" spans="1:33" x14ac:dyDescent="0.3">
      <c r="A196">
        <v>302676</v>
      </c>
      <c r="B196" t="s">
        <v>487</v>
      </c>
      <c r="C196" s="1" t="s">
        <v>701</v>
      </c>
      <c r="D196" t="s">
        <v>734</v>
      </c>
      <c r="E196" s="4">
        <v>5.8</v>
      </c>
      <c r="F196" s="3">
        <f t="shared" si="76"/>
        <v>0.57777777777777772</v>
      </c>
      <c r="G196">
        <v>79.314840000000004</v>
      </c>
      <c r="H196">
        <f t="shared" si="77"/>
        <v>0.76741869302764631</v>
      </c>
      <c r="I196">
        <v>94.100000000000009</v>
      </c>
      <c r="J196" s="3">
        <f t="shared" si="78"/>
        <v>0.43304187758858725</v>
      </c>
      <c r="K196">
        <v>0</v>
      </c>
      <c r="L196" s="3">
        <f t="shared" si="79"/>
        <v>0</v>
      </c>
      <c r="M196">
        <v>2470</v>
      </c>
      <c r="N196">
        <f t="shared" si="80"/>
        <v>1.0555800012301695E-2</v>
      </c>
      <c r="O196" s="15">
        <v>0.32321501000000002</v>
      </c>
      <c r="P196">
        <f t="shared" si="81"/>
        <v>0.32950298700312891</v>
      </c>
      <c r="Q196">
        <v>0</v>
      </c>
      <c r="R196">
        <f t="shared" si="82"/>
        <v>0</v>
      </c>
      <c r="S196">
        <f t="shared" si="83"/>
        <v>3.7464387736081295E-2</v>
      </c>
      <c r="T196" s="14">
        <f t="shared" si="84"/>
        <v>6.3979268658232405E-2</v>
      </c>
      <c r="U196" t="str">
        <f t="shared" si="85"/>
        <v>No Impact</v>
      </c>
      <c r="V196">
        <f t="shared" si="86"/>
        <v>0</v>
      </c>
      <c r="W196">
        <f t="shared" si="87"/>
        <v>0</v>
      </c>
      <c r="X196" t="s">
        <v>1176</v>
      </c>
      <c r="Y196">
        <f t="shared" si="88"/>
        <v>7.492877547216259E-2</v>
      </c>
      <c r="Z196">
        <f t="shared" si="89"/>
        <v>0.14747858072026429</v>
      </c>
      <c r="AA196" t="str">
        <f t="shared" si="90"/>
        <v>No Impact</v>
      </c>
      <c r="AB196">
        <f t="shared" si="91"/>
        <v>2.3318766479844155E-2</v>
      </c>
      <c r="AC196">
        <f t="shared" si="92"/>
        <v>5.3780090848388133E-2</v>
      </c>
      <c r="AD196" t="str">
        <f t="shared" si="93"/>
        <v>No Impact</v>
      </c>
      <c r="AE196">
        <f t="shared" si="94"/>
        <v>2.4003823948439474E-3</v>
      </c>
      <c r="AF196">
        <f t="shared" si="95"/>
        <v>1.2314998487762938E-2</v>
      </c>
      <c r="AG196" t="str">
        <f t="shared" si="96"/>
        <v>No Impact</v>
      </c>
    </row>
    <row r="197" spans="1:33" x14ac:dyDescent="0.3">
      <c r="A197">
        <v>302680</v>
      </c>
      <c r="B197" t="s">
        <v>479</v>
      </c>
      <c r="C197" s="1" t="s">
        <v>701</v>
      </c>
      <c r="D197" t="s">
        <v>1135</v>
      </c>
      <c r="E197" s="4">
        <v>5.8</v>
      </c>
      <c r="F197" s="3">
        <f t="shared" si="76"/>
        <v>0.57777777777777772</v>
      </c>
      <c r="G197">
        <v>79.270200000000003</v>
      </c>
      <c r="H197">
        <f t="shared" si="77"/>
        <v>0.76698677422838057</v>
      </c>
      <c r="I197">
        <v>107.89999999999999</v>
      </c>
      <c r="J197" s="3">
        <f t="shared" si="78"/>
        <v>0.4965485503911643</v>
      </c>
      <c r="K197">
        <v>0</v>
      </c>
      <c r="L197" s="3">
        <f t="shared" si="79"/>
        <v>0</v>
      </c>
      <c r="M197">
        <v>2247</v>
      </c>
      <c r="N197">
        <f t="shared" si="80"/>
        <v>9.5006931531608253E-3</v>
      </c>
      <c r="O197" s="15">
        <v>0.12058303099999999</v>
      </c>
      <c r="P197">
        <f t="shared" si="81"/>
        <v>0.12292891006637002</v>
      </c>
      <c r="Q197">
        <v>0</v>
      </c>
      <c r="R197">
        <f t="shared" si="82"/>
        <v>0</v>
      </c>
      <c r="S197">
        <f t="shared" si="83"/>
        <v>1.4421903512007535E-2</v>
      </c>
      <c r="T197" s="14">
        <f t="shared" si="84"/>
        <v>2.4628798043033185E-2</v>
      </c>
      <c r="U197" t="str">
        <f t="shared" si="85"/>
        <v>No Impact</v>
      </c>
      <c r="V197">
        <f t="shared" si="86"/>
        <v>0</v>
      </c>
      <c r="W197">
        <f t="shared" si="87"/>
        <v>0</v>
      </c>
      <c r="X197" t="s">
        <v>1176</v>
      </c>
      <c r="Y197">
        <f t="shared" si="88"/>
        <v>2.884380702401507E-2</v>
      </c>
      <c r="Z197">
        <f t="shared" si="89"/>
        <v>5.6771830257006051E-2</v>
      </c>
      <c r="AA197" t="str">
        <f t="shared" si="90"/>
        <v>No Impact</v>
      </c>
      <c r="AB197">
        <f t="shared" si="91"/>
        <v>9.4333707443466659E-3</v>
      </c>
      <c r="AC197">
        <f t="shared" si="92"/>
        <v>2.1756190923563856E-2</v>
      </c>
      <c r="AD197" t="str">
        <f t="shared" si="93"/>
        <v>No Impact</v>
      </c>
      <c r="AE197">
        <f t="shared" si="94"/>
        <v>2.2292246775489867E-3</v>
      </c>
      <c r="AF197">
        <f t="shared" si="95"/>
        <v>1.1436885469527178E-2</v>
      </c>
      <c r="AG197" t="str">
        <f t="shared" si="96"/>
        <v>No Impact</v>
      </c>
    </row>
    <row r="198" spans="1:33" x14ac:dyDescent="0.3">
      <c r="A198">
        <v>302688</v>
      </c>
      <c r="B198" t="s">
        <v>506</v>
      </c>
      <c r="C198" s="1" t="s">
        <v>701</v>
      </c>
      <c r="D198" t="s">
        <v>735</v>
      </c>
      <c r="E198" s="4">
        <v>5.7</v>
      </c>
      <c r="F198" s="3">
        <f t="shared" si="76"/>
        <v>0.55555555555555558</v>
      </c>
      <c r="G198">
        <v>79.314840000000004</v>
      </c>
      <c r="H198">
        <f t="shared" si="77"/>
        <v>0.76741869302764631</v>
      </c>
      <c r="I198">
        <v>94.100000000000009</v>
      </c>
      <c r="J198" s="3">
        <f t="shared" si="78"/>
        <v>0.43304187758858725</v>
      </c>
      <c r="K198">
        <v>0</v>
      </c>
      <c r="L198" s="3">
        <f t="shared" si="79"/>
        <v>0</v>
      </c>
      <c r="M198">
        <v>1739</v>
      </c>
      <c r="N198">
        <f t="shared" si="80"/>
        <v>7.0971313395125687E-3</v>
      </c>
      <c r="O198" s="15">
        <v>0</v>
      </c>
      <c r="P198">
        <f t="shared" si="81"/>
        <v>0</v>
      </c>
      <c r="Q198">
        <v>0.04</v>
      </c>
      <c r="R198">
        <f t="shared" si="82"/>
        <v>8.8672134781644874E-2</v>
      </c>
      <c r="S198">
        <f t="shared" si="83"/>
        <v>9.6942252944352339E-3</v>
      </c>
      <c r="T198" s="14">
        <f t="shared" si="84"/>
        <v>1.6555173646913009E-2</v>
      </c>
      <c r="U198" t="str">
        <f t="shared" si="85"/>
        <v>No Impact</v>
      </c>
      <c r="V198">
        <f t="shared" si="86"/>
        <v>1.9388450588870468E-2</v>
      </c>
      <c r="W198">
        <f t="shared" si="87"/>
        <v>2.8528653951730536E-2</v>
      </c>
      <c r="X198" t="s">
        <v>1176</v>
      </c>
      <c r="Y198">
        <f t="shared" si="88"/>
        <v>0</v>
      </c>
      <c r="Z198">
        <f t="shared" si="89"/>
        <v>0</v>
      </c>
      <c r="AA198" t="str">
        <f t="shared" si="90"/>
        <v>No Impact</v>
      </c>
      <c r="AB198">
        <f t="shared" si="91"/>
        <v>7.3290915014418145E-3</v>
      </c>
      <c r="AC198">
        <f t="shared" si="92"/>
        <v>1.6903089926492733E-2</v>
      </c>
      <c r="AD198" t="str">
        <f t="shared" si="93"/>
        <v>No Impact</v>
      </c>
      <c r="AE198">
        <f t="shared" si="94"/>
        <v>1.5518108438204331E-3</v>
      </c>
      <c r="AF198">
        <f t="shared" si="95"/>
        <v>7.9614599057185494E-3</v>
      </c>
      <c r="AG198" t="str">
        <f t="shared" si="96"/>
        <v>No Impact</v>
      </c>
    </row>
    <row r="199" spans="1:33" x14ac:dyDescent="0.3">
      <c r="A199">
        <v>302690</v>
      </c>
      <c r="B199" t="s">
        <v>516</v>
      </c>
      <c r="C199" s="1" t="s">
        <v>701</v>
      </c>
      <c r="D199" t="s">
        <v>736</v>
      </c>
      <c r="E199" s="4">
        <v>5.8</v>
      </c>
      <c r="F199" s="3">
        <f t="shared" si="76"/>
        <v>0.57777777777777772</v>
      </c>
      <c r="G199">
        <v>76.606920000000002</v>
      </c>
      <c r="H199">
        <f t="shared" si="77"/>
        <v>0.74121794134960695</v>
      </c>
      <c r="I199">
        <v>105.5</v>
      </c>
      <c r="J199" s="3">
        <f t="shared" si="78"/>
        <v>0.48550391164289003</v>
      </c>
      <c r="K199">
        <v>0</v>
      </c>
      <c r="L199" s="3">
        <f t="shared" si="79"/>
        <v>0</v>
      </c>
      <c r="M199">
        <v>1906</v>
      </c>
      <c r="N199">
        <f t="shared" si="80"/>
        <v>7.8872786286449687E-3</v>
      </c>
      <c r="O199" s="15">
        <v>0.24861366400000001</v>
      </c>
      <c r="P199">
        <f t="shared" si="81"/>
        <v>0.25345031128904644</v>
      </c>
      <c r="Q199">
        <v>0</v>
      </c>
      <c r="R199">
        <f t="shared" si="82"/>
        <v>0</v>
      </c>
      <c r="S199">
        <f t="shared" si="83"/>
        <v>2.8818108422948477E-2</v>
      </c>
      <c r="T199" s="14">
        <f t="shared" si="84"/>
        <v>4.9213709670162212E-2</v>
      </c>
      <c r="U199" t="str">
        <f t="shared" si="85"/>
        <v>No Impact</v>
      </c>
      <c r="V199">
        <f t="shared" si="86"/>
        <v>0</v>
      </c>
      <c r="W199">
        <f t="shared" si="87"/>
        <v>0</v>
      </c>
      <c r="X199" t="s">
        <v>1176</v>
      </c>
      <c r="Y199">
        <f t="shared" si="88"/>
        <v>5.7636216845896954E-2</v>
      </c>
      <c r="Z199">
        <f t="shared" si="89"/>
        <v>0.11344249795829396</v>
      </c>
      <c r="AA199" t="str">
        <f t="shared" si="90"/>
        <v>No Impact</v>
      </c>
      <c r="AB199">
        <f t="shared" si="91"/>
        <v>1.7918631161722893E-2</v>
      </c>
      <c r="AC199">
        <f t="shared" si="92"/>
        <v>4.1325754198412307E-2</v>
      </c>
      <c r="AD199" t="str">
        <f t="shared" si="93"/>
        <v>No Impact</v>
      </c>
      <c r="AE199">
        <f t="shared" si="94"/>
        <v>1.7936174512966031E-3</v>
      </c>
      <c r="AF199">
        <f t="shared" si="95"/>
        <v>9.2020322461075551E-3</v>
      </c>
      <c r="AG199" t="str">
        <f t="shared" si="96"/>
        <v>No Impact</v>
      </c>
    </row>
    <row r="200" spans="1:33" x14ac:dyDescent="0.3">
      <c r="A200">
        <v>302692</v>
      </c>
      <c r="B200" t="s">
        <v>517</v>
      </c>
      <c r="C200" s="1" t="s">
        <v>701</v>
      </c>
      <c r="D200" t="s">
        <v>737</v>
      </c>
      <c r="E200" s="4">
        <v>5.7</v>
      </c>
      <c r="F200" s="3">
        <f t="shared" si="76"/>
        <v>0.55555555555555558</v>
      </c>
      <c r="G200">
        <v>76.606920000000002</v>
      </c>
      <c r="H200">
        <f t="shared" si="77"/>
        <v>0.74121794134960695</v>
      </c>
      <c r="I200">
        <v>105.5</v>
      </c>
      <c r="J200" s="3">
        <f t="shared" si="78"/>
        <v>0.48550391164289003</v>
      </c>
      <c r="K200">
        <v>0</v>
      </c>
      <c r="L200" s="3">
        <f t="shared" si="79"/>
        <v>0</v>
      </c>
      <c r="M200">
        <v>1942</v>
      </c>
      <c r="N200">
        <f t="shared" si="80"/>
        <v>8.0576097807932706E-3</v>
      </c>
      <c r="O200" s="15">
        <v>0.106315376</v>
      </c>
      <c r="P200">
        <f t="shared" si="81"/>
        <v>0.10838368538750959</v>
      </c>
      <c r="Q200">
        <v>0</v>
      </c>
      <c r="R200">
        <f t="shared" si="82"/>
        <v>0</v>
      </c>
      <c r="S200">
        <f t="shared" si="83"/>
        <v>1.1849587085085274E-2</v>
      </c>
      <c r="T200" s="14">
        <f t="shared" si="84"/>
        <v>2.0235961707060064E-2</v>
      </c>
      <c r="U200" t="str">
        <f t="shared" si="85"/>
        <v>No Impact</v>
      </c>
      <c r="V200">
        <f t="shared" si="86"/>
        <v>0</v>
      </c>
      <c r="W200">
        <f t="shared" si="87"/>
        <v>0</v>
      </c>
      <c r="X200" t="s">
        <v>1176</v>
      </c>
      <c r="Y200">
        <f t="shared" si="88"/>
        <v>2.3699174170170548E-2</v>
      </c>
      <c r="Z200">
        <f t="shared" si="89"/>
        <v>4.6645905379270491E-2</v>
      </c>
      <c r="AA200" t="str">
        <f t="shared" si="90"/>
        <v>No Impact</v>
      </c>
      <c r="AB200">
        <f t="shared" si="91"/>
        <v>7.7264091207418445E-3</v>
      </c>
      <c r="AC200">
        <f t="shared" si="92"/>
        <v>1.7819423887814847E-2</v>
      </c>
      <c r="AD200" t="str">
        <f t="shared" si="93"/>
        <v>No Impact</v>
      </c>
      <c r="AE200">
        <f t="shared" si="94"/>
        <v>1.7618767705448039E-3</v>
      </c>
      <c r="AF200">
        <f t="shared" si="95"/>
        <v>9.0391888440318671E-3</v>
      </c>
      <c r="AG200" t="str">
        <f t="shared" si="96"/>
        <v>No Impact</v>
      </c>
    </row>
    <row r="201" spans="1:33" x14ac:dyDescent="0.3">
      <c r="A201">
        <v>302693</v>
      </c>
      <c r="B201" t="s">
        <v>527</v>
      </c>
      <c r="C201" s="1" t="s">
        <v>701</v>
      </c>
      <c r="D201" t="s">
        <v>738</v>
      </c>
      <c r="E201" s="4">
        <v>5.8</v>
      </c>
      <c r="F201" s="3">
        <f t="shared" si="76"/>
        <v>0.57777777777777772</v>
      </c>
      <c r="G201">
        <v>79.270200000000003</v>
      </c>
      <c r="H201">
        <f t="shared" si="77"/>
        <v>0.76698677422838057</v>
      </c>
      <c r="I201">
        <v>120</v>
      </c>
      <c r="J201" s="3">
        <f t="shared" si="78"/>
        <v>0.55223193741371379</v>
      </c>
      <c r="K201">
        <v>0</v>
      </c>
      <c r="L201" s="3">
        <f t="shared" si="79"/>
        <v>0</v>
      </c>
      <c r="M201">
        <v>15432</v>
      </c>
      <c r="N201">
        <f t="shared" si="80"/>
        <v>7.1884477627476309E-2</v>
      </c>
      <c r="O201" s="15">
        <v>0.16159891300000001</v>
      </c>
      <c r="P201">
        <f t="shared" si="81"/>
        <v>0.16474273434875059</v>
      </c>
      <c r="Q201">
        <v>0.1794</v>
      </c>
      <c r="R201">
        <f t="shared" si="82"/>
        <v>0.39769452449567722</v>
      </c>
      <c r="S201">
        <f t="shared" si="83"/>
        <v>6.7794115702975846E-2</v>
      </c>
      <c r="T201" s="14">
        <f t="shared" si="84"/>
        <v>0.11577442483680822</v>
      </c>
      <c r="U201" t="str">
        <f t="shared" si="85"/>
        <v>No Impact</v>
      </c>
      <c r="V201">
        <f t="shared" si="86"/>
        <v>9.5873266516852559E-2</v>
      </c>
      <c r="W201">
        <f t="shared" si="87"/>
        <v>0.14107033623673712</v>
      </c>
      <c r="X201" t="s">
        <v>1176</v>
      </c>
      <c r="Y201">
        <f t="shared" si="88"/>
        <v>3.9714964889099154E-2</v>
      </c>
      <c r="Z201">
        <f t="shared" si="89"/>
        <v>7.8168989394141297E-2</v>
      </c>
      <c r="AA201" t="str">
        <f t="shared" si="90"/>
        <v>No Impact</v>
      </c>
      <c r="AB201">
        <f t="shared" si="91"/>
        <v>5.1535415873565499E-2</v>
      </c>
      <c r="AC201">
        <f t="shared" si="92"/>
        <v>0.11885617320219159</v>
      </c>
      <c r="AD201" t="str">
        <f t="shared" si="93"/>
        <v>No Impact</v>
      </c>
      <c r="AE201">
        <f t="shared" si="94"/>
        <v>1.7329380359821053E-2</v>
      </c>
      <c r="AF201">
        <f t="shared" si="95"/>
        <v>8.890720636156775E-2</v>
      </c>
      <c r="AG201" t="s">
        <v>1175</v>
      </c>
    </row>
    <row r="202" spans="1:33" x14ac:dyDescent="0.3">
      <c r="A202">
        <v>302695</v>
      </c>
      <c r="B202" t="s">
        <v>532</v>
      </c>
      <c r="C202" s="1" t="s">
        <v>701</v>
      </c>
      <c r="D202" t="s">
        <v>739</v>
      </c>
      <c r="E202" s="4">
        <v>5.7</v>
      </c>
      <c r="F202" s="3">
        <f t="shared" si="76"/>
        <v>0.55555555555555558</v>
      </c>
      <c r="G202">
        <v>76.606920000000002</v>
      </c>
      <c r="H202">
        <f t="shared" si="77"/>
        <v>0.74121794134960695</v>
      </c>
      <c r="I202">
        <v>118.9</v>
      </c>
      <c r="J202" s="3">
        <f t="shared" si="78"/>
        <v>0.54716981132075482</v>
      </c>
      <c r="K202">
        <v>0</v>
      </c>
      <c r="L202" s="3">
        <f t="shared" si="79"/>
        <v>0</v>
      </c>
      <c r="M202">
        <v>7916</v>
      </c>
      <c r="N202">
        <f t="shared" si="80"/>
        <v>3.632311819562533E-2</v>
      </c>
      <c r="O202" s="15">
        <v>0.12751720899999999</v>
      </c>
      <c r="P202">
        <f t="shared" si="81"/>
        <v>0.12999798883041438</v>
      </c>
      <c r="Q202">
        <v>0.13</v>
      </c>
      <c r="R202">
        <f t="shared" si="82"/>
        <v>0.28818443804034583</v>
      </c>
      <c r="S202">
        <f t="shared" si="83"/>
        <v>4.7152524150888019E-2</v>
      </c>
      <c r="T202" s="14">
        <f t="shared" si="84"/>
        <v>8.052404410864146E-2</v>
      </c>
      <c r="U202" t="str">
        <f t="shared" si="85"/>
        <v>No Impact</v>
      </c>
      <c r="V202">
        <f t="shared" si="86"/>
        <v>6.4988975152736758E-2</v>
      </c>
      <c r="W202">
        <f t="shared" si="87"/>
        <v>9.5626412967435279E-2</v>
      </c>
      <c r="X202" t="s">
        <v>1176</v>
      </c>
      <c r="Y202">
        <f t="shared" si="88"/>
        <v>2.9316073149039262E-2</v>
      </c>
      <c r="Z202">
        <f t="shared" si="89"/>
        <v>5.7701368173539901E-2</v>
      </c>
      <c r="AA202" t="str">
        <f t="shared" si="90"/>
        <v>No Impact</v>
      </c>
      <c r="AB202">
        <f t="shared" si="91"/>
        <v>3.4407914651507485E-2</v>
      </c>
      <c r="AC202">
        <f t="shared" si="92"/>
        <v>7.9355002652525583E-2</v>
      </c>
      <c r="AD202" t="str">
        <f t="shared" si="93"/>
        <v>No Impact</v>
      </c>
      <c r="AE202">
        <f t="shared" si="94"/>
        <v>8.1912897238223901E-3</v>
      </c>
      <c r="AF202">
        <f t="shared" si="95"/>
        <v>4.2024854364197631E-2</v>
      </c>
      <c r="AG202" t="str">
        <f>IF(AF202&gt;0.7,"High",IF(AF202&gt;0.3,"Moderate",IF(AF202&gt;0.15,"Low","No Impact")))</f>
        <v>No Impact</v>
      </c>
    </row>
    <row r="203" spans="1:33" x14ac:dyDescent="0.3">
      <c r="A203">
        <v>302696</v>
      </c>
      <c r="B203" t="s">
        <v>531</v>
      </c>
      <c r="C203" s="1" t="s">
        <v>701</v>
      </c>
      <c r="D203" t="s">
        <v>740</v>
      </c>
      <c r="E203" s="4">
        <v>5.8</v>
      </c>
      <c r="F203" s="3">
        <f t="shared" si="76"/>
        <v>0.57777777777777772</v>
      </c>
      <c r="G203">
        <v>76.606920000000002</v>
      </c>
      <c r="H203">
        <f t="shared" si="77"/>
        <v>0.74121794134960695</v>
      </c>
      <c r="I203">
        <v>118.9</v>
      </c>
      <c r="J203" s="3">
        <f t="shared" si="78"/>
        <v>0.54716981132075482</v>
      </c>
      <c r="K203">
        <v>0</v>
      </c>
      <c r="L203" s="3">
        <f t="shared" si="79"/>
        <v>0</v>
      </c>
      <c r="M203">
        <v>14687</v>
      </c>
      <c r="N203">
        <f t="shared" si="80"/>
        <v>6.8359569062185072E-2</v>
      </c>
      <c r="O203" s="15">
        <v>0.26089968600000002</v>
      </c>
      <c r="P203">
        <f t="shared" si="81"/>
        <v>0.2659753513463945</v>
      </c>
      <c r="Q203">
        <v>0.28839999999999999</v>
      </c>
      <c r="R203">
        <f t="shared" si="82"/>
        <v>0.63932609177565947</v>
      </c>
      <c r="S203">
        <f t="shared" si="83"/>
        <v>0.1061611756842009</v>
      </c>
      <c r="T203" s="14">
        <f t="shared" si="84"/>
        <v>0.18129521902294249</v>
      </c>
      <c r="U203" t="str">
        <f t="shared" si="85"/>
        <v>Low</v>
      </c>
      <c r="V203">
        <f t="shared" si="86"/>
        <v>0.14994256347239421</v>
      </c>
      <c r="W203">
        <f t="shared" si="87"/>
        <v>0.22062925999846664</v>
      </c>
      <c r="X203" t="s">
        <v>1176</v>
      </c>
      <c r="Y203">
        <f t="shared" si="88"/>
        <v>6.237978789600758E-2</v>
      </c>
      <c r="Z203">
        <f t="shared" si="89"/>
        <v>0.12277903284235801</v>
      </c>
      <c r="AA203" t="str">
        <f t="shared" si="90"/>
        <v>No Impact</v>
      </c>
      <c r="AB203">
        <f t="shared" si="91"/>
        <v>7.6805215951007769E-2</v>
      </c>
      <c r="AC203">
        <f t="shared" si="92"/>
        <v>0.17713593448631132</v>
      </c>
      <c r="AD203" t="str">
        <f t="shared" si="93"/>
        <v>Low</v>
      </c>
      <c r="AE203">
        <f t="shared" si="94"/>
        <v>1.6032521048192958E-2</v>
      </c>
      <c r="AF203">
        <f t="shared" si="95"/>
        <v>8.2253757937747099E-2</v>
      </c>
      <c r="AG203" t="s">
        <v>1175</v>
      </c>
    </row>
    <row r="204" spans="1:33" x14ac:dyDescent="0.3">
      <c r="A204">
        <v>302903</v>
      </c>
      <c r="B204" t="s">
        <v>9</v>
      </c>
      <c r="C204" s="1" t="s">
        <v>742</v>
      </c>
      <c r="D204" t="s">
        <v>741</v>
      </c>
      <c r="E204" s="4">
        <v>5.4</v>
      </c>
      <c r="F204" s="3">
        <f t="shared" si="76"/>
        <v>0.48888888888888893</v>
      </c>
      <c r="G204">
        <v>65.082960000000014</v>
      </c>
      <c r="H204">
        <f t="shared" si="77"/>
        <v>0.62971671003270746</v>
      </c>
      <c r="I204">
        <v>133.1</v>
      </c>
      <c r="J204" s="3">
        <f t="shared" si="78"/>
        <v>0.61251725724804418</v>
      </c>
      <c r="K204">
        <v>0</v>
      </c>
      <c r="L204" s="3">
        <f t="shared" si="79"/>
        <v>0</v>
      </c>
      <c r="M204">
        <v>9951</v>
      </c>
      <c r="N204">
        <f t="shared" si="80"/>
        <v>4.5951559712897383E-2</v>
      </c>
      <c r="O204" s="15">
        <v>8.6988282E-2</v>
      </c>
      <c r="P204">
        <f t="shared" si="81"/>
        <v>8.8680592999905883E-2</v>
      </c>
      <c r="Q204">
        <v>0.30940000000000001</v>
      </c>
      <c r="R204">
        <f t="shared" si="82"/>
        <v>0.6858789625360231</v>
      </c>
      <c r="S204">
        <f t="shared" si="83"/>
        <v>7.0885822802915721E-2</v>
      </c>
      <c r="T204" s="14">
        <f t="shared" si="84"/>
        <v>0.12105424311525069</v>
      </c>
      <c r="U204" t="str">
        <f t="shared" si="85"/>
        <v>No Impact</v>
      </c>
      <c r="V204">
        <f t="shared" si="86"/>
        <v>0.12553997753971533</v>
      </c>
      <c r="W204">
        <f t="shared" si="87"/>
        <v>0.18472268116124965</v>
      </c>
      <c r="X204" t="s">
        <v>1176</v>
      </c>
      <c r="Y204">
        <f t="shared" si="88"/>
        <v>1.6231668066116117E-2</v>
      </c>
      <c r="Z204">
        <f t="shared" si="89"/>
        <v>3.1947984656476754E-2</v>
      </c>
      <c r="AA204" t="str">
        <f t="shared" si="90"/>
        <v>No Impact</v>
      </c>
      <c r="AB204">
        <f t="shared" si="91"/>
        <v>5.175225571707695E-2</v>
      </c>
      <c r="AC204">
        <f t="shared" si="92"/>
        <v>0.11935627111661927</v>
      </c>
      <c r="AD204" t="str">
        <f t="shared" si="93"/>
        <v>No Impact</v>
      </c>
      <c r="AE204">
        <f t="shared" si="94"/>
        <v>8.4107518809764387E-3</v>
      </c>
      <c r="AF204">
        <f t="shared" si="95"/>
        <v>4.3150790023148755E-2</v>
      </c>
      <c r="AG204" t="str">
        <f>IF(AF204&gt;0.7,"High",IF(AF204&gt;0.3,"Moderate",IF(AF204&gt;0.15,"Low","No Impact")))</f>
        <v>No Impact</v>
      </c>
    </row>
    <row r="205" spans="1:33" x14ac:dyDescent="0.3">
      <c r="A205">
        <v>302910</v>
      </c>
      <c r="B205" t="s">
        <v>67</v>
      </c>
      <c r="C205" s="1" t="s">
        <v>742</v>
      </c>
      <c r="D205" t="s">
        <v>743</v>
      </c>
      <c r="E205" s="4">
        <v>5.4</v>
      </c>
      <c r="F205" s="3">
        <f t="shared" si="76"/>
        <v>0.48888888888888893</v>
      </c>
      <c r="G205">
        <v>66.12660000000001</v>
      </c>
      <c r="H205">
        <f t="shared" si="77"/>
        <v>0.63981455357360562</v>
      </c>
      <c r="I205">
        <v>168.7</v>
      </c>
      <c r="J205" s="3">
        <f t="shared" si="78"/>
        <v>0.77634606534744599</v>
      </c>
      <c r="K205">
        <v>0</v>
      </c>
      <c r="L205" s="3">
        <f t="shared" si="79"/>
        <v>0</v>
      </c>
      <c r="M205">
        <v>18588</v>
      </c>
      <c r="N205">
        <f t="shared" si="80"/>
        <v>8.6816841965810757E-2</v>
      </c>
      <c r="O205" s="15">
        <v>0.26680240199999999</v>
      </c>
      <c r="P205">
        <f t="shared" si="81"/>
        <v>0.27199290156298611</v>
      </c>
      <c r="Q205">
        <v>0.31979999999999997</v>
      </c>
      <c r="R205">
        <f t="shared" si="82"/>
        <v>0.70893371757925061</v>
      </c>
      <c r="S205">
        <f t="shared" si="83"/>
        <v>9.8597193444227446E-2</v>
      </c>
      <c r="T205" s="14">
        <f t="shared" si="84"/>
        <v>0.16837793727616812</v>
      </c>
      <c r="U205" t="str">
        <f t="shared" si="85"/>
        <v>Low</v>
      </c>
      <c r="V205">
        <f t="shared" si="86"/>
        <v>0.14251601195697836</v>
      </c>
      <c r="W205">
        <f t="shared" si="87"/>
        <v>0.20970164526892149</v>
      </c>
      <c r="X205" t="s">
        <v>1176</v>
      </c>
      <c r="Y205">
        <f t="shared" si="88"/>
        <v>5.4678374931476537E-2</v>
      </c>
      <c r="Z205">
        <f t="shared" si="89"/>
        <v>0.10762072488400028</v>
      </c>
      <c r="AA205" t="str">
        <f t="shared" si="90"/>
        <v>No Impact</v>
      </c>
      <c r="AB205">
        <f t="shared" si="91"/>
        <v>7.2392553071487453E-2</v>
      </c>
      <c r="AC205">
        <f t="shared" si="92"/>
        <v>0.16695900635638486</v>
      </c>
      <c r="AD205" t="str">
        <f t="shared" si="93"/>
        <v>Low</v>
      </c>
      <c r="AE205">
        <f t="shared" si="94"/>
        <v>1.7452675448863031E-2</v>
      </c>
      <c r="AF205">
        <f t="shared" si="95"/>
        <v>8.9539763423460067E-2</v>
      </c>
      <c r="AG205" t="s">
        <v>1175</v>
      </c>
    </row>
    <row r="206" spans="1:33" x14ac:dyDescent="0.3">
      <c r="A206">
        <v>302918</v>
      </c>
      <c r="B206" t="s">
        <v>84</v>
      </c>
      <c r="C206" s="1" t="s">
        <v>742</v>
      </c>
      <c r="D206" t="s">
        <v>744</v>
      </c>
      <c r="E206" s="4">
        <v>5.5</v>
      </c>
      <c r="F206" s="3">
        <f t="shared" si="76"/>
        <v>0.51111111111111107</v>
      </c>
      <c r="G206">
        <v>65.082960000000014</v>
      </c>
      <c r="H206">
        <f t="shared" si="77"/>
        <v>0.62971671003270746</v>
      </c>
      <c r="I206">
        <v>170.9</v>
      </c>
      <c r="J206" s="3">
        <f t="shared" si="78"/>
        <v>0.78647031753336405</v>
      </c>
      <c r="K206">
        <v>0</v>
      </c>
      <c r="L206" s="3">
        <f t="shared" si="79"/>
        <v>0</v>
      </c>
      <c r="M206">
        <v>27398</v>
      </c>
      <c r="N206">
        <f t="shared" si="80"/>
        <v>0.12850066003321459</v>
      </c>
      <c r="O206" s="15">
        <v>0.43771666799999998</v>
      </c>
      <c r="P206">
        <f t="shared" si="81"/>
        <v>0.44623221417550157</v>
      </c>
      <c r="Q206">
        <v>0.35360000000000003</v>
      </c>
      <c r="R206">
        <f t="shared" si="82"/>
        <v>0.78386167146974073</v>
      </c>
      <c r="S206">
        <f t="shared" si="83"/>
        <v>0.12862896577666036</v>
      </c>
      <c r="T206" s="14">
        <f t="shared" si="84"/>
        <v>0.21966426401063971</v>
      </c>
      <c r="U206" t="str">
        <f t="shared" si="85"/>
        <v>Low</v>
      </c>
      <c r="V206">
        <f t="shared" si="86"/>
        <v>0.16393434239408217</v>
      </c>
      <c r="W206">
        <f t="shared" si="87"/>
        <v>0.2412171154950315</v>
      </c>
      <c r="X206" t="s">
        <v>1175</v>
      </c>
      <c r="Y206">
        <f t="shared" si="88"/>
        <v>9.332358915923851E-2</v>
      </c>
      <c r="Z206">
        <f t="shared" si="89"/>
        <v>0.18368417727630998</v>
      </c>
      <c r="AA206" t="str">
        <f t="shared" si="90"/>
        <v>Low</v>
      </c>
      <c r="AB206">
        <f t="shared" si="91"/>
        <v>9.4780073671030085E-2</v>
      </c>
      <c r="AC206">
        <f t="shared" si="92"/>
        <v>0.21859136404366894</v>
      </c>
      <c r="AD206" t="str">
        <f t="shared" si="93"/>
        <v>Low</v>
      </c>
      <c r="AE206">
        <f t="shared" si="94"/>
        <v>2.6874220243799408E-2</v>
      </c>
      <c r="AF206">
        <f t="shared" si="95"/>
        <v>0.13787635768913137</v>
      </c>
      <c r="AG206" t="s">
        <v>1175</v>
      </c>
    </row>
    <row r="207" spans="1:33" x14ac:dyDescent="0.3">
      <c r="A207">
        <v>302921</v>
      </c>
      <c r="B207" t="s">
        <v>99</v>
      </c>
      <c r="C207" s="1" t="s">
        <v>742</v>
      </c>
      <c r="D207" t="s">
        <v>745</v>
      </c>
      <c r="E207" s="4">
        <v>5.4</v>
      </c>
      <c r="F207" s="3">
        <f t="shared" si="76"/>
        <v>0.48888888888888893</v>
      </c>
      <c r="G207">
        <v>66.981960000000001</v>
      </c>
      <c r="H207">
        <f t="shared" si="77"/>
        <v>0.64809067508211682</v>
      </c>
      <c r="I207">
        <v>216</v>
      </c>
      <c r="J207" s="3">
        <f t="shared" si="78"/>
        <v>0.99401748734468487</v>
      </c>
      <c r="K207">
        <v>0</v>
      </c>
      <c r="L207" s="3">
        <f t="shared" si="79"/>
        <v>0</v>
      </c>
      <c r="M207">
        <v>8877</v>
      </c>
      <c r="N207">
        <f t="shared" si="80"/>
        <v>4.0870013673806382E-2</v>
      </c>
      <c r="O207" s="15">
        <v>0.57185627100000003</v>
      </c>
      <c r="P207">
        <f t="shared" si="81"/>
        <v>0.58298143217720855</v>
      </c>
      <c r="Q207">
        <v>0.25850000000000001</v>
      </c>
      <c r="R207">
        <f t="shared" si="82"/>
        <v>0.57304367102637999</v>
      </c>
      <c r="S207">
        <f t="shared" si="83"/>
        <v>0.12943467032163486</v>
      </c>
      <c r="T207" s="14">
        <f t="shared" si="84"/>
        <v>0.22104019434494054</v>
      </c>
      <c r="U207" t="str">
        <f t="shared" si="85"/>
        <v>Low</v>
      </c>
      <c r="V207">
        <f t="shared" si="86"/>
        <v>0.12832198614658707</v>
      </c>
      <c r="W207">
        <f t="shared" si="87"/>
        <v>0.18881619861239343</v>
      </c>
      <c r="X207" t="s">
        <v>1176</v>
      </c>
      <c r="Y207">
        <f t="shared" si="88"/>
        <v>0.1305473544966827</v>
      </c>
      <c r="Z207">
        <f t="shared" si="89"/>
        <v>0.25694986254124486</v>
      </c>
      <c r="AA207" t="str">
        <f t="shared" si="90"/>
        <v>Low</v>
      </c>
      <c r="AB207">
        <f t="shared" si="91"/>
        <v>8.7280117167405316E-2</v>
      </c>
      <c r="AC207">
        <f t="shared" si="92"/>
        <v>0.20129420801817596</v>
      </c>
      <c r="AD207" t="str">
        <f t="shared" si="93"/>
        <v>Low</v>
      </c>
      <c r="AE207">
        <f t="shared" si="94"/>
        <v>9.1520447631286642E-3</v>
      </c>
      <c r="AF207">
        <f t="shared" si="95"/>
        <v>4.6953942696782484E-2</v>
      </c>
      <c r="AG207" t="str">
        <f>IF(AF207&gt;0.7,"High",IF(AF207&gt;0.3,"Moderate",IF(AF207&gt;0.15,"Low","No Impact")))</f>
        <v>No Impact</v>
      </c>
    </row>
    <row r="208" spans="1:33" x14ac:dyDescent="0.3">
      <c r="A208">
        <v>302947</v>
      </c>
      <c r="B208" t="s">
        <v>164</v>
      </c>
      <c r="C208" s="1" t="s">
        <v>742</v>
      </c>
      <c r="D208" t="s">
        <v>746</v>
      </c>
      <c r="E208" s="4">
        <v>5.5</v>
      </c>
      <c r="F208" s="3">
        <f t="shared" si="76"/>
        <v>0.51111111111111107</v>
      </c>
      <c r="G208">
        <v>66.547079999999994</v>
      </c>
      <c r="H208">
        <f t="shared" si="77"/>
        <v>0.64388295000539886</v>
      </c>
      <c r="I208">
        <v>216</v>
      </c>
      <c r="J208" s="3">
        <f t="shared" si="78"/>
        <v>0.99401748734468487</v>
      </c>
      <c r="K208">
        <v>0</v>
      </c>
      <c r="L208" s="3">
        <f t="shared" si="79"/>
        <v>0</v>
      </c>
      <c r="M208">
        <v>53061</v>
      </c>
      <c r="N208">
        <f t="shared" si="80"/>
        <v>0.24992311441048862</v>
      </c>
      <c r="O208" s="15">
        <v>0.63880212000000003</v>
      </c>
      <c r="P208">
        <f t="shared" si="81"/>
        <v>0.65122967724775904</v>
      </c>
      <c r="Q208">
        <v>0.32090000000000002</v>
      </c>
      <c r="R208">
        <f t="shared" si="82"/>
        <v>0.71137220128574596</v>
      </c>
      <c r="S208">
        <f t="shared" si="83"/>
        <v>0.15891274131198638</v>
      </c>
      <c r="T208" s="14">
        <f t="shared" si="84"/>
        <v>0.27138094558593273</v>
      </c>
      <c r="U208" t="str">
        <f t="shared" si="85"/>
        <v>Low</v>
      </c>
      <c r="V208">
        <f t="shared" si="86"/>
        <v>0.16592683215896559</v>
      </c>
      <c r="W208">
        <f t="shared" si="87"/>
        <v>0.24414891506014752</v>
      </c>
      <c r="X208" t="s">
        <v>1175</v>
      </c>
      <c r="Y208">
        <f t="shared" si="88"/>
        <v>0.15189865046500717</v>
      </c>
      <c r="Z208">
        <f t="shared" si="89"/>
        <v>0.29897455607325985</v>
      </c>
      <c r="AA208" t="str">
        <f t="shared" si="90"/>
        <v>Low</v>
      </c>
      <c r="AB208">
        <f t="shared" si="91"/>
        <v>0.12404699441804173</v>
      </c>
      <c r="AC208">
        <f t="shared" si="92"/>
        <v>0.28608968810756602</v>
      </c>
      <c r="AD208" t="str">
        <f t="shared" si="93"/>
        <v>Low</v>
      </c>
      <c r="AE208">
        <f t="shared" si="94"/>
        <v>5.8294308636861865E-2</v>
      </c>
      <c r="AF208">
        <f t="shared" si="95"/>
        <v>0.2990749824903674</v>
      </c>
      <c r="AG208" t="s">
        <v>1175</v>
      </c>
    </row>
    <row r="209" spans="1:33" x14ac:dyDescent="0.3">
      <c r="A209">
        <v>302956</v>
      </c>
      <c r="B209" t="s">
        <v>310</v>
      </c>
      <c r="C209" s="1" t="s">
        <v>742</v>
      </c>
      <c r="D209" t="s">
        <v>747</v>
      </c>
      <c r="E209" s="4">
        <v>5.5</v>
      </c>
      <c r="F209" s="3">
        <f t="shared" si="76"/>
        <v>0.51111111111111107</v>
      </c>
      <c r="G209">
        <v>63.345240000000004</v>
      </c>
      <c r="H209">
        <f t="shared" si="77"/>
        <v>0.61290322580645162</v>
      </c>
      <c r="I209">
        <v>134.30000000000001</v>
      </c>
      <c r="J209" s="3">
        <f t="shared" si="78"/>
        <v>0.61803957662218145</v>
      </c>
      <c r="K209">
        <v>0</v>
      </c>
      <c r="L209" s="3">
        <f t="shared" si="79"/>
        <v>0</v>
      </c>
      <c r="M209">
        <v>19899</v>
      </c>
      <c r="N209">
        <f t="shared" si="80"/>
        <v>9.3019734756544736E-2</v>
      </c>
      <c r="O209" s="15">
        <v>0.37834958600000002</v>
      </c>
      <c r="P209">
        <f t="shared" si="81"/>
        <v>0.38571017700693172</v>
      </c>
      <c r="Q209">
        <v>0.35780000000000001</v>
      </c>
      <c r="R209">
        <f t="shared" si="82"/>
        <v>0.79317224562181332</v>
      </c>
      <c r="S209">
        <f t="shared" si="83"/>
        <v>0.11109908105014184</v>
      </c>
      <c r="T209" s="14">
        <f t="shared" si="84"/>
        <v>0.18972785580435722</v>
      </c>
      <c r="U209" t="str">
        <f t="shared" si="85"/>
        <v>Low</v>
      </c>
      <c r="V209">
        <f t="shared" si="86"/>
        <v>0.14949872169026632</v>
      </c>
      <c r="W209">
        <f t="shared" si="87"/>
        <v>0.21997618003451558</v>
      </c>
      <c r="X209" t="s">
        <v>1176</v>
      </c>
      <c r="Y209">
        <f t="shared" si="88"/>
        <v>7.269944041001733E-2</v>
      </c>
      <c r="Z209">
        <f t="shared" si="89"/>
        <v>0.1430906914368307</v>
      </c>
      <c r="AA209" t="str">
        <f t="shared" si="90"/>
        <v>No Impact</v>
      </c>
      <c r="AB209">
        <f t="shared" si="91"/>
        <v>8.0270776942378885E-2</v>
      </c>
      <c r="AC209">
        <f t="shared" si="92"/>
        <v>0.18512856073082845</v>
      </c>
      <c r="AD209" t="str">
        <f t="shared" si="93"/>
        <v>Low</v>
      </c>
      <c r="AE209">
        <f t="shared" si="94"/>
        <v>1.753254922222991E-2</v>
      </c>
      <c r="AF209">
        <f t="shared" si="95"/>
        <v>8.9949550380878984E-2</v>
      </c>
      <c r="AG209" t="s">
        <v>1175</v>
      </c>
    </row>
    <row r="210" spans="1:33" x14ac:dyDescent="0.3">
      <c r="A210">
        <v>302962</v>
      </c>
      <c r="B210" t="s">
        <v>359</v>
      </c>
      <c r="C210" s="1" t="s">
        <v>742</v>
      </c>
      <c r="D210" t="s">
        <v>748</v>
      </c>
      <c r="E210" s="4">
        <v>5.4</v>
      </c>
      <c r="F210" s="3">
        <f t="shared" si="76"/>
        <v>0.48888888888888893</v>
      </c>
      <c r="G210">
        <v>66.12660000000001</v>
      </c>
      <c r="H210">
        <f t="shared" si="77"/>
        <v>0.63981455357360562</v>
      </c>
      <c r="I210">
        <v>192.5</v>
      </c>
      <c r="J210" s="3">
        <f t="shared" si="78"/>
        <v>0.88587206626783255</v>
      </c>
      <c r="K210">
        <v>0</v>
      </c>
      <c r="L210" s="3">
        <f t="shared" si="79"/>
        <v>0</v>
      </c>
      <c r="M210">
        <v>16580</v>
      </c>
      <c r="N210">
        <f t="shared" si="80"/>
        <v>7.7316148812649921E-2</v>
      </c>
      <c r="O210" s="15">
        <v>0.53940567100000003</v>
      </c>
      <c r="P210">
        <f t="shared" si="81"/>
        <v>0.54989952292415822</v>
      </c>
      <c r="Q210">
        <v>0.3054</v>
      </c>
      <c r="R210">
        <f t="shared" si="82"/>
        <v>0.67701174905785855</v>
      </c>
      <c r="S210">
        <f t="shared" si="83"/>
        <v>0.12989180351415652</v>
      </c>
      <c r="T210" s="14">
        <f t="shared" si="84"/>
        <v>0.22182085697161874</v>
      </c>
      <c r="U210" t="str">
        <f t="shared" si="85"/>
        <v>Low</v>
      </c>
      <c r="V210">
        <f t="shared" si="86"/>
        <v>0.14334904095116627</v>
      </c>
      <c r="W210">
        <f t="shared" si="87"/>
        <v>0.21092738508748066</v>
      </c>
      <c r="X210" t="s">
        <v>1176</v>
      </c>
      <c r="Y210">
        <f t="shared" si="88"/>
        <v>0.11643456607714678</v>
      </c>
      <c r="Z210">
        <f t="shared" si="89"/>
        <v>0.2291723632693958</v>
      </c>
      <c r="AA210" t="str">
        <f t="shared" si="90"/>
        <v>Low</v>
      </c>
      <c r="AB210">
        <f t="shared" si="91"/>
        <v>9.0832299598401056E-2</v>
      </c>
      <c r="AC210">
        <f t="shared" si="92"/>
        <v>0.20948660936213745</v>
      </c>
      <c r="AD210" t="str">
        <f t="shared" si="93"/>
        <v>Low</v>
      </c>
      <c r="AE210">
        <f t="shared" si="94"/>
        <v>1.6370758406710945E-2</v>
      </c>
      <c r="AF210">
        <f t="shared" si="95"/>
        <v>8.3989061682517629E-2</v>
      </c>
      <c r="AG210" t="s">
        <v>1175</v>
      </c>
    </row>
    <row r="211" spans="1:33" x14ac:dyDescent="0.3">
      <c r="A211">
        <v>302984</v>
      </c>
      <c r="B211" t="s">
        <v>450</v>
      </c>
      <c r="C211" s="1" t="s">
        <v>742</v>
      </c>
      <c r="D211" t="s">
        <v>749</v>
      </c>
      <c r="E211" s="4">
        <v>5.4</v>
      </c>
      <c r="F211" s="3">
        <f t="shared" si="76"/>
        <v>0.48888888888888893</v>
      </c>
      <c r="G211">
        <v>70.299000000000007</v>
      </c>
      <c r="H211">
        <f t="shared" si="77"/>
        <v>0.68018502844045969</v>
      </c>
      <c r="I211">
        <v>197.7</v>
      </c>
      <c r="J211" s="3">
        <f t="shared" si="78"/>
        <v>0.9098021168890934</v>
      </c>
      <c r="K211">
        <v>0</v>
      </c>
      <c r="L211" s="3">
        <f t="shared" si="79"/>
        <v>0</v>
      </c>
      <c r="M211">
        <v>32677</v>
      </c>
      <c r="N211">
        <f t="shared" si="80"/>
        <v>0.1534778309274058</v>
      </c>
      <c r="O211" s="15">
        <v>0.381362959</v>
      </c>
      <c r="P211">
        <f t="shared" si="81"/>
        <v>0.38878217358423972</v>
      </c>
      <c r="Q211">
        <v>0.3044</v>
      </c>
      <c r="R211">
        <f t="shared" si="82"/>
        <v>0.67479494568831744</v>
      </c>
      <c r="S211">
        <f t="shared" si="83"/>
        <v>0.11804237772951701</v>
      </c>
      <c r="T211" s="14">
        <f t="shared" si="84"/>
        <v>0.20158517072307214</v>
      </c>
      <c r="U211" t="str">
        <f t="shared" si="85"/>
        <v>Low</v>
      </c>
      <c r="V211">
        <f t="shared" si="86"/>
        <v>0.14978584707311041</v>
      </c>
      <c r="W211">
        <f t="shared" si="87"/>
        <v>0.22039866354604587</v>
      </c>
      <c r="X211" t="s">
        <v>1176</v>
      </c>
      <c r="Y211">
        <f t="shared" si="88"/>
        <v>8.6298908385923592E-2</v>
      </c>
      <c r="Z211">
        <f t="shared" si="89"/>
        <v>0.1698578476194707</v>
      </c>
      <c r="AA211" t="str">
        <f t="shared" si="90"/>
        <v>Low</v>
      </c>
      <c r="AB211">
        <f t="shared" si="91"/>
        <v>9.0238463338819963E-2</v>
      </c>
      <c r="AC211">
        <f t="shared" si="92"/>
        <v>0.20811704429457939</v>
      </c>
      <c r="AD211" t="str">
        <f t="shared" si="93"/>
        <v>Low</v>
      </c>
      <c r="AE211">
        <f t="shared" si="94"/>
        <v>3.4067840992726479E-2</v>
      </c>
      <c r="AF211">
        <f t="shared" si="95"/>
        <v>0.17478273928685856</v>
      </c>
      <c r="AG211" t="s">
        <v>1175</v>
      </c>
    </row>
    <row r="212" spans="1:33" x14ac:dyDescent="0.3">
      <c r="A212">
        <v>302990</v>
      </c>
      <c r="B212" t="s">
        <v>455</v>
      </c>
      <c r="C212" s="1" t="s">
        <v>742</v>
      </c>
      <c r="D212" t="s">
        <v>750</v>
      </c>
      <c r="E212" s="4">
        <v>5.4</v>
      </c>
      <c r="F212" s="3">
        <f t="shared" si="76"/>
        <v>0.48888888888888893</v>
      </c>
      <c r="G212">
        <v>64.091880000000003</v>
      </c>
      <c r="H212">
        <f t="shared" si="77"/>
        <v>0.62012741604578336</v>
      </c>
      <c r="I212">
        <v>170.9</v>
      </c>
      <c r="J212" s="3">
        <f t="shared" si="78"/>
        <v>0.78647031753336405</v>
      </c>
      <c r="K212">
        <v>0</v>
      </c>
      <c r="L212" s="3">
        <f t="shared" si="79"/>
        <v>0</v>
      </c>
      <c r="M212">
        <v>15640</v>
      </c>
      <c r="N212">
        <f t="shared" si="80"/>
        <v>7.2868613173222047E-2</v>
      </c>
      <c r="O212" s="15">
        <v>0.51133465300000003</v>
      </c>
      <c r="P212">
        <f t="shared" si="81"/>
        <v>0.52128239812163557</v>
      </c>
      <c r="Q212">
        <v>0.31900000000000001</v>
      </c>
      <c r="R212">
        <f t="shared" si="82"/>
        <v>0.70716027488361788</v>
      </c>
      <c r="S212">
        <f t="shared" si="83"/>
        <v>0.12171943227899756</v>
      </c>
      <c r="T212" s="14">
        <f t="shared" si="84"/>
        <v>0.20786460767929449</v>
      </c>
      <c r="U212" t="str">
        <f t="shared" si="85"/>
        <v>Low</v>
      </c>
      <c r="V212">
        <f t="shared" si="86"/>
        <v>0.14013701913907012</v>
      </c>
      <c r="W212">
        <f t="shared" si="87"/>
        <v>0.20620113538832716</v>
      </c>
      <c r="X212" t="s">
        <v>1176</v>
      </c>
      <c r="Y212">
        <f t="shared" si="88"/>
        <v>0.10330184541892501</v>
      </c>
      <c r="Z212">
        <f t="shared" si="89"/>
        <v>0.20332388260938827</v>
      </c>
      <c r="AA212" t="str">
        <f t="shared" si="90"/>
        <v>Low</v>
      </c>
      <c r="AB212">
        <f t="shared" si="91"/>
        <v>8.5092607267510889E-2</v>
      </c>
      <c r="AC212">
        <f t="shared" si="92"/>
        <v>0.19624915208651861</v>
      </c>
      <c r="AD212" t="str">
        <f t="shared" si="93"/>
        <v>Low</v>
      </c>
      <c r="AE212">
        <f t="shared" si="94"/>
        <v>1.4440276980453838E-2</v>
      </c>
      <c r="AF212">
        <f t="shared" si="95"/>
        <v>7.4084858128918296E-2</v>
      </c>
      <c r="AG212" t="str">
        <f>IF(AF212&gt;0.7,"High",IF(AF212&gt;0.3,"Moderate",IF(AF212&gt;0.15,"Low","No Impact")))</f>
        <v>No Impact</v>
      </c>
    </row>
    <row r="213" spans="1:33" x14ac:dyDescent="0.3">
      <c r="A213">
        <v>303330</v>
      </c>
      <c r="B213" t="s">
        <v>180</v>
      </c>
      <c r="C213" s="1" t="s">
        <v>752</v>
      </c>
      <c r="D213" t="s">
        <v>751</v>
      </c>
      <c r="E213" s="4">
        <v>4.8</v>
      </c>
      <c r="F213" s="3">
        <f t="shared" si="76"/>
        <v>0.35555555555555546</v>
      </c>
      <c r="G213">
        <v>69.16716000000001</v>
      </c>
      <c r="H213">
        <f t="shared" si="77"/>
        <v>0.66923379694939944</v>
      </c>
      <c r="I213">
        <v>131.70000000000002</v>
      </c>
      <c r="J213" s="3">
        <f t="shared" si="78"/>
        <v>0.60607455131155097</v>
      </c>
      <c r="K213">
        <v>0</v>
      </c>
      <c r="L213" s="3">
        <f t="shared" si="79"/>
        <v>0</v>
      </c>
      <c r="M213">
        <v>211592</v>
      </c>
      <c r="N213">
        <f t="shared" si="80"/>
        <v>1</v>
      </c>
      <c r="O213" s="15">
        <v>0.44531337300000001</v>
      </c>
      <c r="P213">
        <f t="shared" si="81"/>
        <v>0.45397670905178106</v>
      </c>
      <c r="Q213">
        <v>0.29870000000000002</v>
      </c>
      <c r="R213">
        <f t="shared" si="82"/>
        <v>0.66215916648193307</v>
      </c>
      <c r="S213">
        <f t="shared" si="83"/>
        <v>7.7168826658011017E-2</v>
      </c>
      <c r="T213" s="14">
        <f t="shared" si="84"/>
        <v>0.13178395247171001</v>
      </c>
      <c r="U213" t="str">
        <f t="shared" si="85"/>
        <v>No Impact</v>
      </c>
      <c r="V213">
        <f t="shared" si="86"/>
        <v>9.1562411097704882E-2</v>
      </c>
      <c r="W213">
        <f t="shared" si="87"/>
        <v>0.13472723512481011</v>
      </c>
      <c r="X213" t="s">
        <v>1176</v>
      </c>
      <c r="Y213">
        <f t="shared" si="88"/>
        <v>6.2775242218317151E-2</v>
      </c>
      <c r="Z213">
        <f t="shared" si="89"/>
        <v>0.12355738590933929</v>
      </c>
      <c r="AA213" t="str">
        <f t="shared" si="90"/>
        <v>No Impact</v>
      </c>
      <c r="AB213">
        <f t="shared" si="91"/>
        <v>9.9276909941593869E-2</v>
      </c>
      <c r="AC213">
        <f t="shared" si="92"/>
        <v>0.22896242133652722</v>
      </c>
      <c r="AD213" t="str">
        <f t="shared" si="93"/>
        <v>Low</v>
      </c>
      <c r="AE213">
        <f t="shared" si="94"/>
        <v>0.13827855254829149</v>
      </c>
      <c r="AF213">
        <f t="shared" si="95"/>
        <v>0.7094287015186036</v>
      </c>
      <c r="AG213" t="str">
        <f t="shared" ref="AG213:AG246" si="97">IF(AF213&gt;0.7,"High",IF(AF213&gt;0.3,"Moderate",IF(AF213&gt;0.15,"Low","No Impact")))</f>
        <v>High</v>
      </c>
    </row>
    <row r="214" spans="1:33" x14ac:dyDescent="0.3">
      <c r="A214">
        <v>303332</v>
      </c>
      <c r="B214" t="s">
        <v>242</v>
      </c>
      <c r="C214" s="1" t="s">
        <v>752</v>
      </c>
      <c r="D214" t="s">
        <v>753</v>
      </c>
      <c r="E214" s="4">
        <v>4.8</v>
      </c>
      <c r="F214" s="3">
        <f t="shared" si="76"/>
        <v>0.35555555555555546</v>
      </c>
      <c r="G214">
        <v>69.16716000000001</v>
      </c>
      <c r="H214">
        <f t="shared" si="77"/>
        <v>0.66923379694939944</v>
      </c>
      <c r="I214">
        <v>131.70000000000002</v>
      </c>
      <c r="J214" s="3">
        <f t="shared" si="78"/>
        <v>0.60607455131155097</v>
      </c>
      <c r="K214">
        <v>0</v>
      </c>
      <c r="L214" s="3">
        <f t="shared" si="79"/>
        <v>0</v>
      </c>
      <c r="M214">
        <v>85598</v>
      </c>
      <c r="N214">
        <f t="shared" si="80"/>
        <v>0.40386935600630225</v>
      </c>
      <c r="O214" s="15">
        <v>0.64582246200000004</v>
      </c>
      <c r="P214">
        <f t="shared" si="81"/>
        <v>0.65838659628683305</v>
      </c>
      <c r="Q214">
        <v>0.30359999999999998</v>
      </c>
      <c r="R214">
        <f t="shared" si="82"/>
        <v>0.67302150299268448</v>
      </c>
      <c r="S214">
        <f t="shared" si="83"/>
        <v>9.2052592409721842E-2</v>
      </c>
      <c r="T214" s="14">
        <f t="shared" si="84"/>
        <v>0.15720148910364617</v>
      </c>
      <c r="U214" t="str">
        <f t="shared" si="85"/>
        <v>Low</v>
      </c>
      <c r="V214">
        <f t="shared" si="86"/>
        <v>9.3064439267704052E-2</v>
      </c>
      <c r="W214">
        <f t="shared" si="87"/>
        <v>0.13693735716067071</v>
      </c>
      <c r="X214" t="s">
        <v>1176</v>
      </c>
      <c r="Y214">
        <f t="shared" si="88"/>
        <v>9.1040745551739619E-2</v>
      </c>
      <c r="Z214">
        <f t="shared" si="89"/>
        <v>0.17919096978534618</v>
      </c>
      <c r="AA214" t="str">
        <f t="shared" si="90"/>
        <v>Low</v>
      </c>
      <c r="AB214">
        <f t="shared" si="91"/>
        <v>7.9431041897725041E-2</v>
      </c>
      <c r="AC214">
        <f t="shared" si="92"/>
        <v>0.18319187908735068</v>
      </c>
      <c r="AD214" t="str">
        <f t="shared" si="93"/>
        <v>Low</v>
      </c>
      <c r="AE214">
        <f t="shared" si="94"/>
        <v>5.5846469967162117E-2</v>
      </c>
      <c r="AF214">
        <f t="shared" si="95"/>
        <v>0.28651651281470569</v>
      </c>
      <c r="AG214" t="s">
        <v>1175</v>
      </c>
    </row>
    <row r="215" spans="1:33" x14ac:dyDescent="0.3">
      <c r="A215">
        <v>303334</v>
      </c>
      <c r="B215" t="s">
        <v>243</v>
      </c>
      <c r="C215" s="1" t="s">
        <v>752</v>
      </c>
      <c r="D215" t="s">
        <v>1136</v>
      </c>
      <c r="E215" s="4">
        <v>4.8</v>
      </c>
      <c r="F215" s="3">
        <f t="shared" si="76"/>
        <v>0.35555555555555546</v>
      </c>
      <c r="G215">
        <v>76.606920000000002</v>
      </c>
      <c r="H215">
        <f t="shared" si="77"/>
        <v>0.74121794134960695</v>
      </c>
      <c r="I215">
        <v>130.30000000000001</v>
      </c>
      <c r="J215" s="3">
        <f t="shared" si="78"/>
        <v>0.59963184537505765</v>
      </c>
      <c r="K215">
        <v>0</v>
      </c>
      <c r="L215" s="3">
        <f t="shared" si="79"/>
        <v>0</v>
      </c>
      <c r="M215">
        <v>42892</v>
      </c>
      <c r="N215">
        <f t="shared" si="80"/>
        <v>0.20180929534948641</v>
      </c>
      <c r="O215" s="15">
        <v>0.33199858799999998</v>
      </c>
      <c r="P215">
        <f t="shared" si="81"/>
        <v>0.33845744486563645</v>
      </c>
      <c r="Q215">
        <v>0.3594</v>
      </c>
      <c r="R215">
        <f t="shared" si="82"/>
        <v>0.79671913101307912</v>
      </c>
      <c r="S215">
        <f t="shared" si="83"/>
        <v>8.4036071619659647E-2</v>
      </c>
      <c r="T215" s="14">
        <f t="shared" si="84"/>
        <v>0.14351139116464426</v>
      </c>
      <c r="U215" t="str">
        <f t="shared" si="85"/>
        <v>No Impact</v>
      </c>
      <c r="V215">
        <f t="shared" si="86"/>
        <v>0.11796076025043266</v>
      </c>
      <c r="W215">
        <f t="shared" si="87"/>
        <v>0.1735704301714239</v>
      </c>
      <c r="X215" t="s">
        <v>1176</v>
      </c>
      <c r="Y215">
        <f t="shared" si="88"/>
        <v>5.0111382988886656E-2</v>
      </c>
      <c r="Z215">
        <f t="shared" si="89"/>
        <v>9.8631741871669218E-2</v>
      </c>
      <c r="AA215" t="str">
        <f t="shared" si="90"/>
        <v>No Impact</v>
      </c>
      <c r="AB215">
        <f t="shared" si="91"/>
        <v>6.6777509775457058E-2</v>
      </c>
      <c r="AC215">
        <f t="shared" si="92"/>
        <v>0.15400902725525337</v>
      </c>
      <c r="AD215" t="str">
        <f t="shared" si="93"/>
        <v>Low</v>
      </c>
      <c r="AE215">
        <f t="shared" si="94"/>
        <v>2.9879510831827535E-2</v>
      </c>
      <c r="AF215">
        <f t="shared" si="95"/>
        <v>0.15329479648719654</v>
      </c>
      <c r="AG215" t="s">
        <v>1175</v>
      </c>
    </row>
    <row r="216" spans="1:33" x14ac:dyDescent="0.3">
      <c r="A216">
        <v>303336</v>
      </c>
      <c r="B216" t="s">
        <v>257</v>
      </c>
      <c r="C216" s="1" t="s">
        <v>752</v>
      </c>
      <c r="D216" t="s">
        <v>754</v>
      </c>
      <c r="E216" s="4">
        <v>4.8</v>
      </c>
      <c r="F216" s="3">
        <f t="shared" si="76"/>
        <v>0.35555555555555546</v>
      </c>
      <c r="G216">
        <v>64.302840000000003</v>
      </c>
      <c r="H216">
        <f t="shared" si="77"/>
        <v>0.62216858069392633</v>
      </c>
      <c r="I216">
        <v>133.30000000000001</v>
      </c>
      <c r="J216" s="3">
        <f t="shared" si="78"/>
        <v>0.61343764381040045</v>
      </c>
      <c r="K216">
        <v>0</v>
      </c>
      <c r="L216" s="3">
        <f t="shared" si="79"/>
        <v>0</v>
      </c>
      <c r="M216">
        <v>53557</v>
      </c>
      <c r="N216">
        <f t="shared" si="80"/>
        <v>0.2522698991734208</v>
      </c>
      <c r="O216" s="15">
        <v>0.50528845300000003</v>
      </c>
      <c r="P216">
        <f t="shared" si="81"/>
        <v>0.51511857249974291</v>
      </c>
      <c r="Q216">
        <v>0.36570000000000003</v>
      </c>
      <c r="R216">
        <f t="shared" si="82"/>
        <v>0.81068499224118828</v>
      </c>
      <c r="S216">
        <f t="shared" si="83"/>
        <v>8.7574914105519375E-2</v>
      </c>
      <c r="T216" s="14">
        <f t="shared" si="84"/>
        <v>0.14955479845951197</v>
      </c>
      <c r="U216" t="str">
        <f t="shared" si="85"/>
        <v>No Impact</v>
      </c>
      <c r="V216">
        <f t="shared" si="86"/>
        <v>0.10709832202937035</v>
      </c>
      <c r="W216">
        <f t="shared" si="87"/>
        <v>0.15758716530658604</v>
      </c>
      <c r="X216" t="s">
        <v>1176</v>
      </c>
      <c r="Y216">
        <f t="shared" si="88"/>
        <v>6.80515061816684E-2</v>
      </c>
      <c r="Z216">
        <f t="shared" si="89"/>
        <v>0.1339423937506807</v>
      </c>
      <c r="AA216" t="str">
        <f t="shared" si="90"/>
        <v>No Impact</v>
      </c>
      <c r="AB216">
        <f t="shared" si="91"/>
        <v>6.9564307727660105E-2</v>
      </c>
      <c r="AC216">
        <f t="shared" si="92"/>
        <v>0.16043622172864574</v>
      </c>
      <c r="AD216" t="str">
        <f t="shared" si="93"/>
        <v>Low</v>
      </c>
      <c r="AE216">
        <f t="shared" si="94"/>
        <v>3.3326980465371352E-2</v>
      </c>
      <c r="AF216">
        <f t="shared" si="95"/>
        <v>0.17098180478008185</v>
      </c>
      <c r="AG216" t="s">
        <v>1175</v>
      </c>
    </row>
    <row r="217" spans="1:33" x14ac:dyDescent="0.3">
      <c r="A217">
        <v>303386</v>
      </c>
      <c r="B217" t="s">
        <v>499</v>
      </c>
      <c r="C217" s="1" t="s">
        <v>752</v>
      </c>
      <c r="D217" t="s">
        <v>1137</v>
      </c>
      <c r="E217" s="4">
        <v>4.7</v>
      </c>
      <c r="F217" s="3">
        <f t="shared" si="76"/>
        <v>0.33333333333333331</v>
      </c>
      <c r="G217">
        <v>64.302840000000003</v>
      </c>
      <c r="H217">
        <f t="shared" si="77"/>
        <v>0.62216858069392633</v>
      </c>
      <c r="I217">
        <v>133.30000000000001</v>
      </c>
      <c r="J217" s="3">
        <f t="shared" si="78"/>
        <v>0.61343764381040045</v>
      </c>
      <c r="K217">
        <v>0</v>
      </c>
      <c r="L217" s="3">
        <f t="shared" si="79"/>
        <v>0</v>
      </c>
      <c r="M217">
        <v>93377</v>
      </c>
      <c r="N217">
        <f t="shared" si="80"/>
        <v>0.44067507913301446</v>
      </c>
      <c r="O217" s="15">
        <v>0.63427642299999998</v>
      </c>
      <c r="P217">
        <f t="shared" si="81"/>
        <v>0.64661593520721727</v>
      </c>
      <c r="Q217">
        <v>0.37569999999999998</v>
      </c>
      <c r="R217">
        <f t="shared" si="82"/>
        <v>0.83285302593659938</v>
      </c>
      <c r="S217">
        <f t="shared" si="83"/>
        <v>9.1617338702860526E-2</v>
      </c>
      <c r="T217" s="14">
        <f t="shared" si="84"/>
        <v>0.15645819085353349</v>
      </c>
      <c r="U217" t="str">
        <f t="shared" si="85"/>
        <v>Low</v>
      </c>
      <c r="V217">
        <f t="shared" si="86"/>
        <v>0.10315022453454277</v>
      </c>
      <c r="W217">
        <f t="shared" si="87"/>
        <v>0.15177783533040501</v>
      </c>
      <c r="X217" t="s">
        <v>1176</v>
      </c>
      <c r="Y217">
        <f t="shared" si="88"/>
        <v>8.0084452871178283E-2</v>
      </c>
      <c r="Z217">
        <f t="shared" si="89"/>
        <v>0.15762624402674477</v>
      </c>
      <c r="AA217" t="str">
        <f t="shared" si="90"/>
        <v>Low</v>
      </c>
      <c r="AB217">
        <f t="shared" si="91"/>
        <v>7.923033249859153E-2</v>
      </c>
      <c r="AC217">
        <f t="shared" si="92"/>
        <v>0.18272898283043007</v>
      </c>
      <c r="AD217" t="str">
        <f t="shared" si="93"/>
        <v>Low</v>
      </c>
      <c r="AE217">
        <f t="shared" si="94"/>
        <v>5.4578337286137375E-2</v>
      </c>
      <c r="AF217">
        <f t="shared" si="95"/>
        <v>0.28001044441383416</v>
      </c>
      <c r="AG217" t="s">
        <v>1175</v>
      </c>
    </row>
    <row r="218" spans="1:33" x14ac:dyDescent="0.3">
      <c r="A218">
        <v>303532</v>
      </c>
      <c r="B218" t="s">
        <v>190</v>
      </c>
      <c r="C218" s="1" t="s">
        <v>756</v>
      </c>
      <c r="D218" t="s">
        <v>755</v>
      </c>
      <c r="E218" s="4">
        <v>6</v>
      </c>
      <c r="F218" s="3">
        <f t="shared" si="76"/>
        <v>0.62222222222222223</v>
      </c>
      <c r="G218">
        <v>70.227000000000004</v>
      </c>
      <c r="H218">
        <f t="shared" si="77"/>
        <v>0.67948838521583754</v>
      </c>
      <c r="I218">
        <v>117</v>
      </c>
      <c r="J218" s="3">
        <f t="shared" si="78"/>
        <v>0.53842613897837099</v>
      </c>
      <c r="K218">
        <v>0</v>
      </c>
      <c r="L218" s="3">
        <f t="shared" si="79"/>
        <v>0</v>
      </c>
      <c r="M218">
        <v>31655</v>
      </c>
      <c r="N218">
        <f t="shared" si="80"/>
        <v>0.14864231877475126</v>
      </c>
      <c r="O218" s="15">
        <v>0.51428426699999996</v>
      </c>
      <c r="P218">
        <f t="shared" si="81"/>
        <v>0.52428939530133412</v>
      </c>
      <c r="Q218">
        <v>0.30080000000000001</v>
      </c>
      <c r="R218">
        <f t="shared" si="82"/>
        <v>0.66681445355796942</v>
      </c>
      <c r="S218">
        <f t="shared" si="83"/>
        <v>0.140622465401298</v>
      </c>
      <c r="T218" s="14">
        <f t="shared" si="84"/>
        <v>0.24014599028473799</v>
      </c>
      <c r="U218" t="str">
        <f t="shared" si="85"/>
        <v>Low</v>
      </c>
      <c r="V218">
        <f t="shared" si="86"/>
        <v>0.15744906292485208</v>
      </c>
      <c r="W218">
        <f t="shared" si="87"/>
        <v>0.2316745121338257</v>
      </c>
      <c r="X218" t="s">
        <v>1176</v>
      </c>
      <c r="Y218">
        <f t="shared" si="88"/>
        <v>0.12379586787774394</v>
      </c>
      <c r="Z218">
        <f t="shared" si="89"/>
        <v>0.24366124734583353</v>
      </c>
      <c r="AA218" t="str">
        <f t="shared" si="90"/>
        <v>Low</v>
      </c>
      <c r="AB218">
        <f t="shared" si="91"/>
        <v>0.10453009597558031</v>
      </c>
      <c r="AC218">
        <f t="shared" si="92"/>
        <v>0.24107784872825788</v>
      </c>
      <c r="AD218" t="str">
        <f t="shared" si="93"/>
        <v>Low</v>
      </c>
      <c r="AE218">
        <f t="shared" si="94"/>
        <v>3.5097610253025421E-2</v>
      </c>
      <c r="AF218">
        <f t="shared" si="95"/>
        <v>0.18006590038259332</v>
      </c>
      <c r="AG218" t="s">
        <v>1175</v>
      </c>
    </row>
    <row r="219" spans="1:33" x14ac:dyDescent="0.3">
      <c r="A219">
        <v>303543</v>
      </c>
      <c r="B219" t="s">
        <v>261</v>
      </c>
      <c r="C219" s="1" t="s">
        <v>756</v>
      </c>
      <c r="D219" t="s">
        <v>757</v>
      </c>
      <c r="E219" s="4">
        <v>6</v>
      </c>
      <c r="F219" s="3">
        <f t="shared" si="76"/>
        <v>0.62222222222222223</v>
      </c>
      <c r="G219">
        <v>69.34320000000001</v>
      </c>
      <c r="H219">
        <f t="shared" si="77"/>
        <v>0.67093708963360055</v>
      </c>
      <c r="I219">
        <v>113.5</v>
      </c>
      <c r="J219" s="3">
        <f t="shared" si="78"/>
        <v>0.52231937413713769</v>
      </c>
      <c r="K219">
        <v>0</v>
      </c>
      <c r="L219" s="3">
        <f t="shared" si="79"/>
        <v>0</v>
      </c>
      <c r="M219">
        <v>27057</v>
      </c>
      <c r="N219">
        <f t="shared" si="80"/>
        <v>0.1268872455086987</v>
      </c>
      <c r="O219" s="15">
        <v>0.41751793100000001</v>
      </c>
      <c r="P219">
        <f t="shared" si="81"/>
        <v>0.4256405214345283</v>
      </c>
      <c r="Q219">
        <v>0.33439999999999998</v>
      </c>
      <c r="R219">
        <f t="shared" si="82"/>
        <v>0.74129904677455105</v>
      </c>
      <c r="S219">
        <f t="shared" si="83"/>
        <v>0.13535829814999695</v>
      </c>
      <c r="T219" s="14">
        <f t="shared" si="84"/>
        <v>0.23115618446686537</v>
      </c>
      <c r="U219" t="str">
        <f t="shared" si="85"/>
        <v>Low</v>
      </c>
      <c r="V219">
        <f t="shared" si="86"/>
        <v>0.17197287695988084</v>
      </c>
      <c r="W219">
        <f t="shared" si="87"/>
        <v>0.25304521748056796</v>
      </c>
      <c r="X219" t="s">
        <v>1175</v>
      </c>
      <c r="Y219">
        <f t="shared" si="88"/>
        <v>9.8743719340113126E-2</v>
      </c>
      <c r="Z219">
        <f t="shared" si="89"/>
        <v>0.19435234983561506</v>
      </c>
      <c r="AA219" t="str">
        <f t="shared" si="90"/>
        <v>Low</v>
      </c>
      <c r="AB219">
        <f t="shared" si="91"/>
        <v>0.10011635773287306</v>
      </c>
      <c r="AC219">
        <f t="shared" si="92"/>
        <v>0.23089844048730415</v>
      </c>
      <c r="AD219" t="str">
        <f t="shared" si="93"/>
        <v>Low</v>
      </c>
      <c r="AE219">
        <f t="shared" si="94"/>
        <v>2.9436385699659527E-2</v>
      </c>
      <c r="AF219">
        <f t="shared" si="95"/>
        <v>0.15102137315920489</v>
      </c>
      <c r="AG219" t="s">
        <v>1175</v>
      </c>
    </row>
    <row r="220" spans="1:33" x14ac:dyDescent="0.3">
      <c r="A220">
        <v>303551</v>
      </c>
      <c r="B220" t="s">
        <v>281</v>
      </c>
      <c r="C220" s="1" t="s">
        <v>756</v>
      </c>
      <c r="D220" t="s">
        <v>1138</v>
      </c>
      <c r="E220" s="4">
        <v>5.9</v>
      </c>
      <c r="F220" s="3">
        <f t="shared" si="76"/>
        <v>0.60000000000000009</v>
      </c>
      <c r="G220">
        <v>71.157600000000002</v>
      </c>
      <c r="H220">
        <f t="shared" si="77"/>
        <v>0.68849249889407893</v>
      </c>
      <c r="I220">
        <v>116.3</v>
      </c>
      <c r="J220" s="3">
        <f t="shared" si="78"/>
        <v>0.53520478601012433</v>
      </c>
      <c r="K220">
        <v>0</v>
      </c>
      <c r="L220" s="3">
        <f t="shared" si="79"/>
        <v>0</v>
      </c>
      <c r="M220">
        <v>16777</v>
      </c>
      <c r="N220">
        <f t="shared" si="80"/>
        <v>7.8248238728572575E-2</v>
      </c>
      <c r="O220" s="15">
        <v>0.79675858700000002</v>
      </c>
      <c r="P220">
        <f t="shared" si="81"/>
        <v>0.81225910373683563</v>
      </c>
      <c r="Q220">
        <v>0.29770000000000002</v>
      </c>
      <c r="R220">
        <f t="shared" si="82"/>
        <v>0.65994236311239196</v>
      </c>
      <c r="S220">
        <f t="shared" si="83"/>
        <v>0.16890771627611634</v>
      </c>
      <c r="T220" s="14">
        <f t="shared" si="84"/>
        <v>0.28844972015038434</v>
      </c>
      <c r="U220" t="str">
        <f t="shared" si="85"/>
        <v>Low</v>
      </c>
      <c r="V220">
        <f t="shared" si="86"/>
        <v>0.15143220535670548</v>
      </c>
      <c r="W220">
        <f t="shared" si="87"/>
        <v>0.22282115654196427</v>
      </c>
      <c r="X220" t="s">
        <v>1176</v>
      </c>
      <c r="Y220">
        <f t="shared" si="88"/>
        <v>0.18638322719552719</v>
      </c>
      <c r="Z220">
        <f t="shared" si="89"/>
        <v>0.3668488326900663</v>
      </c>
      <c r="AA220" t="str">
        <f t="shared" si="90"/>
        <v>Moderate</v>
      </c>
      <c r="AB220">
        <f t="shared" si="91"/>
        <v>0.11520051030677846</v>
      </c>
      <c r="AC220">
        <f t="shared" si="92"/>
        <v>0.26568703432209267</v>
      </c>
      <c r="AD220" t="str">
        <f t="shared" si="93"/>
        <v>Low</v>
      </c>
      <c r="AE220">
        <f t="shared" si="94"/>
        <v>1.7955057923638273E-2</v>
      </c>
      <c r="AF220">
        <f t="shared" si="95"/>
        <v>9.211720251417542E-2</v>
      </c>
      <c r="AG220" t="s">
        <v>1175</v>
      </c>
    </row>
    <row r="221" spans="1:33" x14ac:dyDescent="0.3">
      <c r="A221">
        <v>303558</v>
      </c>
      <c r="B221" t="s">
        <v>350</v>
      </c>
      <c r="C221" s="1" t="s">
        <v>756</v>
      </c>
      <c r="D221" t="s">
        <v>758</v>
      </c>
      <c r="E221" s="4">
        <v>6</v>
      </c>
      <c r="F221" s="3">
        <f t="shared" si="76"/>
        <v>0.62222222222222223</v>
      </c>
      <c r="G221">
        <v>67.31280000000001</v>
      </c>
      <c r="H221">
        <f t="shared" si="77"/>
        <v>0.65129175069925571</v>
      </c>
      <c r="I221">
        <v>140.4</v>
      </c>
      <c r="J221" s="3">
        <f t="shared" si="78"/>
        <v>0.64611136677404513</v>
      </c>
      <c r="K221">
        <v>0</v>
      </c>
      <c r="L221" s="3">
        <f t="shared" si="79"/>
        <v>0</v>
      </c>
      <c r="M221">
        <v>27947</v>
      </c>
      <c r="N221">
        <f t="shared" si="80"/>
        <v>0.13109821010347616</v>
      </c>
      <c r="O221" s="15">
        <v>0.67635819799999997</v>
      </c>
      <c r="P221">
        <f t="shared" si="81"/>
        <v>0.68951638887393774</v>
      </c>
      <c r="Q221">
        <v>0.34239999999999998</v>
      </c>
      <c r="R221">
        <f t="shared" si="82"/>
        <v>0.75903347373088004</v>
      </c>
      <c r="S221">
        <f t="shared" si="83"/>
        <v>0.17563974919867106</v>
      </c>
      <c r="T221" s="14">
        <f t="shared" si="84"/>
        <v>0.2999462524306486</v>
      </c>
      <c r="U221" t="str">
        <f t="shared" si="85"/>
        <v>Low</v>
      </c>
      <c r="V221">
        <f t="shared" si="86"/>
        <v>0.18406884347046909</v>
      </c>
      <c r="W221">
        <f t="shared" si="87"/>
        <v>0.27084352690248642</v>
      </c>
      <c r="X221" t="s">
        <v>1175</v>
      </c>
      <c r="Y221">
        <f t="shared" si="88"/>
        <v>0.16721065492687304</v>
      </c>
      <c r="Z221">
        <f t="shared" si="89"/>
        <v>0.32911241261486707</v>
      </c>
      <c r="AA221" t="str">
        <f t="shared" si="90"/>
        <v>Moderate</v>
      </c>
      <c r="AB221">
        <f t="shared" si="91"/>
        <v>0.12571444729584372</v>
      </c>
      <c r="AC221">
        <f t="shared" si="92"/>
        <v>0.28993533608946548</v>
      </c>
      <c r="AD221" t="str">
        <f t="shared" si="93"/>
        <v>Low</v>
      </c>
      <c r="AE221">
        <f t="shared" si="94"/>
        <v>3.1791873151764648E-2</v>
      </c>
      <c r="AF221">
        <f t="shared" si="95"/>
        <v>0.16310604119915065</v>
      </c>
      <c r="AG221" t="s">
        <v>1175</v>
      </c>
    </row>
    <row r="222" spans="1:33" x14ac:dyDescent="0.3">
      <c r="A222">
        <v>303591</v>
      </c>
      <c r="B222" t="s">
        <v>526</v>
      </c>
      <c r="C222" s="1" t="s">
        <v>756</v>
      </c>
      <c r="D222" t="s">
        <v>1139</v>
      </c>
      <c r="E222" s="4">
        <v>6</v>
      </c>
      <c r="F222" s="3">
        <f t="shared" si="76"/>
        <v>0.62222222222222223</v>
      </c>
      <c r="G222">
        <v>71.157600000000002</v>
      </c>
      <c r="H222">
        <f t="shared" si="77"/>
        <v>0.68849249889407893</v>
      </c>
      <c r="I222">
        <v>112.5</v>
      </c>
      <c r="J222" s="3">
        <f t="shared" si="78"/>
        <v>0.51771744132535669</v>
      </c>
      <c r="K222">
        <v>0</v>
      </c>
      <c r="L222" s="3">
        <f t="shared" si="79"/>
        <v>0</v>
      </c>
      <c r="M222">
        <v>5557</v>
      </c>
      <c r="N222">
        <f t="shared" si="80"/>
        <v>2.5161696309018561E-2</v>
      </c>
      <c r="O222" s="15">
        <v>0.84881352899999996</v>
      </c>
      <c r="P222">
        <f t="shared" si="81"/>
        <v>0.86532674709063473</v>
      </c>
      <c r="Q222">
        <v>0.3085</v>
      </c>
      <c r="R222">
        <f t="shared" si="82"/>
        <v>0.68388383950343601</v>
      </c>
      <c r="S222">
        <f t="shared" si="83"/>
        <v>0.18264045813192756</v>
      </c>
      <c r="T222" s="14">
        <f t="shared" si="84"/>
        <v>0.31190161229917623</v>
      </c>
      <c r="U222" t="str">
        <f t="shared" si="85"/>
        <v>Moderate</v>
      </c>
      <c r="V222">
        <f t="shared" si="86"/>
        <v>0.16124968269230811</v>
      </c>
      <c r="W222">
        <f t="shared" si="87"/>
        <v>0.23726683967185494</v>
      </c>
      <c r="X222" t="s">
        <v>1175</v>
      </c>
      <c r="Y222">
        <f t="shared" si="88"/>
        <v>0.20403123357154709</v>
      </c>
      <c r="Z222">
        <f t="shared" si="89"/>
        <v>0.4015845255727632</v>
      </c>
      <c r="AA222" t="str">
        <f t="shared" si="90"/>
        <v>Moderate</v>
      </c>
      <c r="AB222">
        <f t="shared" si="91"/>
        <v>0.11972322340584095</v>
      </c>
      <c r="AC222">
        <f t="shared" si="92"/>
        <v>0.27611777136639631</v>
      </c>
      <c r="AD222" t="str">
        <f t="shared" si="93"/>
        <v>Low</v>
      </c>
      <c r="AE222">
        <f t="shared" si="94"/>
        <v>5.9327554059114117E-3</v>
      </c>
      <c r="AF222">
        <f t="shared" si="95"/>
        <v>3.0437597779838864E-2</v>
      </c>
      <c r="AG222" t="str">
        <f t="shared" ref="AG222:AG223" si="98">IF(AF222&gt;0.7,"High",IF(AF222&gt;0.3,"Moderate",IF(AF222&gt;0.15,"Low","No Impact")))</f>
        <v>No Impact</v>
      </c>
    </row>
    <row r="223" spans="1:33" x14ac:dyDescent="0.3">
      <c r="A223">
        <v>304802</v>
      </c>
      <c r="B223" t="s">
        <v>19</v>
      </c>
      <c r="C223" s="1" t="s">
        <v>760</v>
      </c>
      <c r="D223" t="s">
        <v>759</v>
      </c>
      <c r="E223" s="4">
        <v>6.2</v>
      </c>
      <c r="F223" s="3">
        <f t="shared" si="76"/>
        <v>0.66666666666666663</v>
      </c>
      <c r="G223">
        <v>64.951920000000001</v>
      </c>
      <c r="H223">
        <f t="shared" si="77"/>
        <v>0.62844881936389507</v>
      </c>
      <c r="I223">
        <v>131.70000000000002</v>
      </c>
      <c r="J223" s="3">
        <f t="shared" si="78"/>
        <v>0.60607455131155097</v>
      </c>
      <c r="K223">
        <v>0</v>
      </c>
      <c r="L223" s="3">
        <f t="shared" si="79"/>
        <v>0</v>
      </c>
      <c r="M223">
        <v>7200</v>
      </c>
      <c r="N223">
        <f t="shared" si="80"/>
        <v>3.2935420836231327E-2</v>
      </c>
      <c r="O223" s="15">
        <v>0.70447377700000002</v>
      </c>
      <c r="P223">
        <f t="shared" si="81"/>
        <v>0.71817894158713769</v>
      </c>
      <c r="Q223">
        <v>0.1208</v>
      </c>
      <c r="R223">
        <f t="shared" si="82"/>
        <v>0.26778984704056752</v>
      </c>
      <c r="S223">
        <f t="shared" si="83"/>
        <v>0.12245549556401281</v>
      </c>
      <c r="T223" s="14">
        <f t="shared" si="84"/>
        <v>0.20912160915475428</v>
      </c>
      <c r="U223" t="str">
        <f t="shared" si="85"/>
        <v>Low</v>
      </c>
      <c r="V223">
        <f t="shared" si="86"/>
        <v>6.6518005041528827E-2</v>
      </c>
      <c r="W223">
        <f t="shared" si="87"/>
        <v>9.7876266011610036E-2</v>
      </c>
      <c r="X223" t="s">
        <v>1176</v>
      </c>
      <c r="Y223">
        <f t="shared" si="88"/>
        <v>0.17839298608649679</v>
      </c>
      <c r="Z223">
        <f t="shared" si="89"/>
        <v>0.35112203866538205</v>
      </c>
      <c r="AA223" t="str">
        <f t="shared" si="90"/>
        <v>Moderate</v>
      </c>
      <c r="AB223">
        <f t="shared" si="91"/>
        <v>7.9662560334457386E-2</v>
      </c>
      <c r="AC223">
        <f t="shared" si="92"/>
        <v>0.1837258302537344</v>
      </c>
      <c r="AD223" t="str">
        <f t="shared" si="93"/>
        <v>Low</v>
      </c>
      <c r="AE223">
        <f t="shared" si="94"/>
        <v>8.1810364113521633E-3</v>
      </c>
      <c r="AF223">
        <f t="shared" si="95"/>
        <v>4.1972250442490561E-2</v>
      </c>
      <c r="AG223" t="str">
        <f t="shared" si="98"/>
        <v>No Impact</v>
      </c>
    </row>
    <row r="224" spans="1:33" x14ac:dyDescent="0.3">
      <c r="A224">
        <v>304806</v>
      </c>
      <c r="B224" t="s">
        <v>31</v>
      </c>
      <c r="C224" s="1" t="s">
        <v>760</v>
      </c>
      <c r="D224" t="s">
        <v>761</v>
      </c>
      <c r="E224" s="4">
        <v>6.3</v>
      </c>
      <c r="F224" s="3">
        <f t="shared" si="76"/>
        <v>0.68888888888888877</v>
      </c>
      <c r="G224">
        <v>65.607119999999995</v>
      </c>
      <c r="H224">
        <f t="shared" si="77"/>
        <v>0.63478827270795668</v>
      </c>
      <c r="I224">
        <v>131.70000000000002</v>
      </c>
      <c r="J224" s="3">
        <f t="shared" si="78"/>
        <v>0.60607455131155097</v>
      </c>
      <c r="K224">
        <v>0</v>
      </c>
      <c r="L224" s="3">
        <f t="shared" si="79"/>
        <v>0</v>
      </c>
      <c r="M224">
        <v>27557</v>
      </c>
      <c r="N224">
        <f t="shared" si="80"/>
        <v>0.12925295595520292</v>
      </c>
      <c r="O224" s="15">
        <v>0.88928440200000003</v>
      </c>
      <c r="P224">
        <f t="shared" si="81"/>
        <v>0.90658495951129026</v>
      </c>
      <c r="Q224">
        <v>0.34250000000000003</v>
      </c>
      <c r="R224">
        <f t="shared" si="82"/>
        <v>0.75925515406783428</v>
      </c>
      <c r="S224">
        <f t="shared" si="83"/>
        <v>0.21524573314716874</v>
      </c>
      <c r="T224" s="14">
        <f t="shared" si="84"/>
        <v>0.36758280118102787</v>
      </c>
      <c r="U224" t="str">
        <f t="shared" si="85"/>
        <v>Moderate</v>
      </c>
      <c r="V224">
        <f t="shared" si="86"/>
        <v>0.1962090250449898</v>
      </c>
      <c r="W224">
        <f t="shared" si="87"/>
        <v>0.28870689548179351</v>
      </c>
      <c r="X224" t="s">
        <v>1175</v>
      </c>
      <c r="Y224">
        <f t="shared" si="88"/>
        <v>0.23428244124934766</v>
      </c>
      <c r="Z224">
        <f t="shared" si="89"/>
        <v>0.46112647251214006</v>
      </c>
      <c r="AA224" t="str">
        <f t="shared" si="90"/>
        <v>Moderate</v>
      </c>
      <c r="AB224">
        <f t="shared" si="91"/>
        <v>0.15064857077268481</v>
      </c>
      <c r="AC224">
        <f t="shared" si="92"/>
        <v>0.34744092614580552</v>
      </c>
      <c r="AD224" t="str">
        <f t="shared" si="93"/>
        <v>Moderate</v>
      </c>
      <c r="AE224">
        <f t="shared" si="94"/>
        <v>3.3401941806097471E-2</v>
      </c>
      <c r="AF224">
        <f t="shared" si="95"/>
        <v>0.1713663888362163</v>
      </c>
      <c r="AG224" t="s">
        <v>1175</v>
      </c>
    </row>
    <row r="225" spans="1:33" x14ac:dyDescent="0.3">
      <c r="A225">
        <v>304811</v>
      </c>
      <c r="B225" t="s">
        <v>64</v>
      </c>
      <c r="C225" s="1" t="s">
        <v>760</v>
      </c>
      <c r="D225" t="s">
        <v>762</v>
      </c>
      <c r="E225" s="4">
        <v>6.2</v>
      </c>
      <c r="F225" s="3">
        <f t="shared" si="76"/>
        <v>0.66666666666666663</v>
      </c>
      <c r="G225">
        <v>68.799599999999998</v>
      </c>
      <c r="H225">
        <f t="shared" si="77"/>
        <v>0.66567743328770312</v>
      </c>
      <c r="I225">
        <v>121.7</v>
      </c>
      <c r="J225" s="3">
        <f t="shared" si="78"/>
        <v>0.56005522319374146</v>
      </c>
      <c r="K225">
        <v>0</v>
      </c>
      <c r="L225" s="3">
        <f t="shared" si="79"/>
        <v>0</v>
      </c>
      <c r="M225">
        <v>22574</v>
      </c>
      <c r="N225">
        <f t="shared" si="80"/>
        <v>0.10567628564534215</v>
      </c>
      <c r="O225" s="15">
        <v>0.880468425</v>
      </c>
      <c r="P225">
        <f t="shared" si="81"/>
        <v>0.89759747234338028</v>
      </c>
      <c r="Q225">
        <v>0.29480000000000001</v>
      </c>
      <c r="R225">
        <f t="shared" si="82"/>
        <v>0.65351363334072265</v>
      </c>
      <c r="S225">
        <f t="shared" si="83"/>
        <v>0.19558581304292605</v>
      </c>
      <c r="T225" s="14">
        <f t="shared" si="84"/>
        <v>0.33400885573156475</v>
      </c>
      <c r="U225" t="str">
        <f t="shared" si="85"/>
        <v>Moderate</v>
      </c>
      <c r="V225">
        <f t="shared" si="86"/>
        <v>0.1648083039869784</v>
      </c>
      <c r="W225">
        <f t="shared" si="87"/>
        <v>0.24250308456907149</v>
      </c>
      <c r="X225" t="s">
        <v>1175</v>
      </c>
      <c r="Y225">
        <f t="shared" si="88"/>
        <v>0.22636332209887372</v>
      </c>
      <c r="Z225">
        <f t="shared" si="89"/>
        <v>0.44553966429984709</v>
      </c>
      <c r="AA225" t="str">
        <f t="shared" si="90"/>
        <v>Moderate</v>
      </c>
      <c r="AB225">
        <f t="shared" si="91"/>
        <v>0.13491950536132113</v>
      </c>
      <c r="AC225">
        <f t="shared" si="92"/>
        <v>0.31116496928871573</v>
      </c>
      <c r="AD225" t="str">
        <f t="shared" si="93"/>
        <v>Moderate</v>
      </c>
      <c r="AE225">
        <f t="shared" si="94"/>
        <v>2.6650292389190224E-2</v>
      </c>
      <c r="AF225">
        <f t="shared" si="95"/>
        <v>0.13672751107335729</v>
      </c>
      <c r="AG225" t="s">
        <v>1175</v>
      </c>
    </row>
    <row r="226" spans="1:33" x14ac:dyDescent="0.3">
      <c r="A226">
        <v>304827</v>
      </c>
      <c r="B226" t="s">
        <v>211</v>
      </c>
      <c r="C226" s="1" t="s">
        <v>760</v>
      </c>
      <c r="D226" t="s">
        <v>763</v>
      </c>
      <c r="E226" s="4">
        <v>6.3</v>
      </c>
      <c r="F226" s="3">
        <f t="shared" si="76"/>
        <v>0.68888888888888877</v>
      </c>
      <c r="G226">
        <v>61.353360000000002</v>
      </c>
      <c r="H226">
        <f t="shared" si="77"/>
        <v>0.59363059099727966</v>
      </c>
      <c r="I226">
        <v>136.4</v>
      </c>
      <c r="J226" s="3">
        <f t="shared" si="78"/>
        <v>0.62770363552692143</v>
      </c>
      <c r="K226">
        <v>0</v>
      </c>
      <c r="L226" s="3">
        <f t="shared" si="79"/>
        <v>0</v>
      </c>
      <c r="M226">
        <v>17728</v>
      </c>
      <c r="N226">
        <f t="shared" si="80"/>
        <v>8.2747819997823546E-2</v>
      </c>
      <c r="O226" s="15">
        <v>0.77096836899999999</v>
      </c>
      <c r="P226">
        <f t="shared" si="81"/>
        <v>0.7859671506915179</v>
      </c>
      <c r="Q226">
        <v>0.38890000000000002</v>
      </c>
      <c r="R226">
        <f t="shared" si="82"/>
        <v>0.86211483041454229</v>
      </c>
      <c r="S226">
        <f t="shared" si="83"/>
        <v>0.20606118927790365</v>
      </c>
      <c r="T226" s="14">
        <f t="shared" si="84"/>
        <v>0.35189802864838865</v>
      </c>
      <c r="U226" t="str">
        <f t="shared" si="85"/>
        <v>Moderate</v>
      </c>
      <c r="V226">
        <f t="shared" si="86"/>
        <v>0.21558200294152291</v>
      </c>
      <c r="W226">
        <f t="shared" si="87"/>
        <v>0.31721278252477231</v>
      </c>
      <c r="X226" t="str">
        <f t="shared" ref="X226:X236" si="99">IF(W226&gt;0.7,"High",IF(W226&gt;0.3,"Moderate",IF(W226&gt;0.15,"Low","No Impact")))</f>
        <v>Moderate</v>
      </c>
      <c r="Y226">
        <f t="shared" si="88"/>
        <v>0.19654037561428434</v>
      </c>
      <c r="Z226">
        <f t="shared" si="89"/>
        <v>0.38684064255915862</v>
      </c>
      <c r="AA226" t="str">
        <f t="shared" si="90"/>
        <v>Moderate</v>
      </c>
      <c r="AB226">
        <f t="shared" si="91"/>
        <v>0.14165803835802168</v>
      </c>
      <c r="AC226">
        <f t="shared" si="92"/>
        <v>0.32670605363640881</v>
      </c>
      <c r="AD226" t="str">
        <f t="shared" si="93"/>
        <v>Moderate</v>
      </c>
      <c r="AE226">
        <f t="shared" si="94"/>
        <v>2.0692070412009579E-2</v>
      </c>
      <c r="AF226">
        <f t="shared" si="95"/>
        <v>0.10615925878307761</v>
      </c>
      <c r="AG226" t="s">
        <v>1175</v>
      </c>
    </row>
    <row r="227" spans="1:33" x14ac:dyDescent="0.3">
      <c r="A227">
        <v>304833</v>
      </c>
      <c r="B227" t="s">
        <v>215</v>
      </c>
      <c r="C227" s="1" t="s">
        <v>760</v>
      </c>
      <c r="D227" t="s">
        <v>764</v>
      </c>
      <c r="E227" s="4">
        <v>5.8</v>
      </c>
      <c r="F227" s="3">
        <f t="shared" si="76"/>
        <v>0.57777777777777772</v>
      </c>
      <c r="G227">
        <v>66.633480000000006</v>
      </c>
      <c r="H227">
        <f t="shared" si="77"/>
        <v>0.64471892187494562</v>
      </c>
      <c r="I227">
        <v>133.20000000000002</v>
      </c>
      <c r="J227" s="3">
        <f t="shared" si="78"/>
        <v>0.61297745052922237</v>
      </c>
      <c r="K227">
        <v>0</v>
      </c>
      <c r="L227" s="3">
        <f t="shared" si="79"/>
        <v>0</v>
      </c>
      <c r="M227">
        <v>5943</v>
      </c>
      <c r="N227">
        <f t="shared" si="80"/>
        <v>2.6988024773719796E-2</v>
      </c>
      <c r="O227" s="15">
        <v>0.32453590599999999</v>
      </c>
      <c r="P227">
        <f t="shared" si="81"/>
        <v>0.33084958033590911</v>
      </c>
      <c r="Q227">
        <v>0.1051</v>
      </c>
      <c r="R227">
        <f t="shared" si="82"/>
        <v>0.23298603413877189</v>
      </c>
      <c r="S227">
        <f t="shared" si="83"/>
        <v>6.1975304238518381E-2</v>
      </c>
      <c r="T227" s="14">
        <f t="shared" si="84"/>
        <v>0.10583743335095545</v>
      </c>
      <c r="U227" t="str">
        <f t="shared" si="85"/>
        <v>No Impact</v>
      </c>
      <c r="V227">
        <f t="shared" si="86"/>
        <v>5.1218404720777412E-2</v>
      </c>
      <c r="W227">
        <f t="shared" si="87"/>
        <v>7.5364049207599246E-2</v>
      </c>
      <c r="X227" t="s">
        <v>1176</v>
      </c>
      <c r="Y227">
        <f t="shared" si="88"/>
        <v>7.2732203756259342E-2</v>
      </c>
      <c r="Z227">
        <f t="shared" si="89"/>
        <v>0.14315517790111587</v>
      </c>
      <c r="AA227" t="str">
        <f t="shared" si="90"/>
        <v>No Impact</v>
      </c>
      <c r="AB227">
        <f t="shared" si="91"/>
        <v>4.1822618881089291E-2</v>
      </c>
      <c r="AC227">
        <f t="shared" si="92"/>
        <v>9.6455541286312799E-2</v>
      </c>
      <c r="AD227" t="str">
        <f t="shared" si="93"/>
        <v>No Impact</v>
      </c>
      <c r="AE227">
        <f t="shared" si="94"/>
        <v>5.9329031483982752E-3</v>
      </c>
      <c r="AF227">
        <f t="shared" si="95"/>
        <v>3.0438355762611197E-2</v>
      </c>
      <c r="AG227" t="str">
        <f t="shared" ref="AG227:AG228" si="100">IF(AF227&gt;0.7,"High",IF(AF227&gt;0.3,"Moderate",IF(AF227&gt;0.15,"Low","No Impact")))</f>
        <v>No Impact</v>
      </c>
    </row>
    <row r="228" spans="1:33" x14ac:dyDescent="0.3">
      <c r="A228">
        <v>304842</v>
      </c>
      <c r="B228" t="s">
        <v>259</v>
      </c>
      <c r="C228" s="1" t="s">
        <v>760</v>
      </c>
      <c r="D228" t="s">
        <v>765</v>
      </c>
      <c r="E228" s="4">
        <v>5.7</v>
      </c>
      <c r="F228" s="3">
        <f t="shared" si="76"/>
        <v>0.55555555555555558</v>
      </c>
      <c r="G228">
        <v>64.951920000000001</v>
      </c>
      <c r="H228">
        <f t="shared" si="77"/>
        <v>0.62844881936389507</v>
      </c>
      <c r="I228">
        <v>136.5</v>
      </c>
      <c r="J228" s="3">
        <f t="shared" si="78"/>
        <v>0.6281638288080994</v>
      </c>
      <c r="K228">
        <v>0</v>
      </c>
      <c r="L228" s="3">
        <f t="shared" si="79"/>
        <v>0</v>
      </c>
      <c r="M228">
        <v>9163</v>
      </c>
      <c r="N228">
        <f t="shared" si="80"/>
        <v>4.222320004920678E-2</v>
      </c>
      <c r="O228" s="15">
        <v>0.30050213100000001</v>
      </c>
      <c r="P228">
        <f t="shared" si="81"/>
        <v>0.30634824095980423</v>
      </c>
      <c r="Q228">
        <v>0.32800000000000001</v>
      </c>
      <c r="R228">
        <f t="shared" si="82"/>
        <v>0.72711150520948797</v>
      </c>
      <c r="S228">
        <f t="shared" si="83"/>
        <v>0.10822973031961967</v>
      </c>
      <c r="T228" s="14">
        <f t="shared" si="84"/>
        <v>0.18482776341379159</v>
      </c>
      <c r="U228" t="str">
        <f t="shared" si="85"/>
        <v>Low</v>
      </c>
      <c r="V228">
        <f t="shared" si="86"/>
        <v>0.15229443123026967</v>
      </c>
      <c r="W228">
        <f t="shared" si="87"/>
        <v>0.22408985738334361</v>
      </c>
      <c r="X228" t="s">
        <v>1176</v>
      </c>
      <c r="Y228">
        <f t="shared" si="88"/>
        <v>6.4165029408969662E-2</v>
      </c>
      <c r="Z228">
        <f t="shared" si="89"/>
        <v>0.12629283488857401</v>
      </c>
      <c r="AA228" t="str">
        <f t="shared" si="90"/>
        <v>No Impact</v>
      </c>
      <c r="AB228">
        <f t="shared" si="91"/>
        <v>7.5647855820739365E-2</v>
      </c>
      <c r="AC228">
        <f t="shared" si="92"/>
        <v>0.17446671383932996</v>
      </c>
      <c r="AD228" t="str">
        <f t="shared" si="93"/>
        <v>Low</v>
      </c>
      <c r="AE228">
        <f t="shared" si="94"/>
        <v>8.843703049868798E-3</v>
      </c>
      <c r="AF228">
        <f t="shared" si="95"/>
        <v>4.5372016525075019E-2</v>
      </c>
      <c r="AG228" t="str">
        <f t="shared" si="100"/>
        <v>No Impact</v>
      </c>
    </row>
    <row r="229" spans="1:33" x14ac:dyDescent="0.3">
      <c r="A229">
        <v>304845</v>
      </c>
      <c r="B229" t="s">
        <v>262</v>
      </c>
      <c r="C229" s="1" t="s">
        <v>760</v>
      </c>
      <c r="D229" t="s">
        <v>766</v>
      </c>
      <c r="E229" s="4">
        <v>6.3</v>
      </c>
      <c r="F229" s="3">
        <f t="shared" si="76"/>
        <v>0.68888888888888877</v>
      </c>
      <c r="G229">
        <v>65.607119999999995</v>
      </c>
      <c r="H229">
        <f t="shared" si="77"/>
        <v>0.63478827270795668</v>
      </c>
      <c r="I229">
        <v>133.20000000000002</v>
      </c>
      <c r="J229" s="3">
        <f t="shared" si="78"/>
        <v>0.61297745052922237</v>
      </c>
      <c r="K229">
        <v>0</v>
      </c>
      <c r="L229" s="3">
        <f t="shared" si="79"/>
        <v>0</v>
      </c>
      <c r="M229">
        <v>30895</v>
      </c>
      <c r="N229">
        <f t="shared" si="80"/>
        <v>0.14504643889606489</v>
      </c>
      <c r="O229" s="15">
        <v>0.50003864099999995</v>
      </c>
      <c r="P229">
        <f t="shared" si="81"/>
        <v>0.50976662818501284</v>
      </c>
      <c r="Q229">
        <v>0.3619</v>
      </c>
      <c r="R229">
        <f t="shared" si="82"/>
        <v>0.80226113943693189</v>
      </c>
      <c r="S229">
        <f t="shared" si="83"/>
        <v>0.17015301470790598</v>
      </c>
      <c r="T229" s="14">
        <f t="shared" si="84"/>
        <v>0.29057636061461412</v>
      </c>
      <c r="U229" t="str">
        <f t="shared" si="85"/>
        <v>Low</v>
      </c>
      <c r="V229">
        <f t="shared" si="86"/>
        <v>0.20808576590663691</v>
      </c>
      <c r="W229">
        <f t="shared" si="87"/>
        <v>0.30618263076880015</v>
      </c>
      <c r="X229" t="str">
        <f t="shared" si="99"/>
        <v>Moderate</v>
      </c>
      <c r="Y229">
        <f t="shared" si="88"/>
        <v>0.1322202635091751</v>
      </c>
      <c r="Z229">
        <f t="shared" si="89"/>
        <v>0.26024256611583058</v>
      </c>
      <c r="AA229" t="str">
        <f t="shared" si="90"/>
        <v>Low</v>
      </c>
      <c r="AB229">
        <f t="shared" si="91"/>
        <v>0.12566354877156066</v>
      </c>
      <c r="AC229">
        <f t="shared" si="92"/>
        <v>0.28981794877987699</v>
      </c>
      <c r="AD229" t="str">
        <f t="shared" si="93"/>
        <v>Low</v>
      </c>
      <c r="AE229">
        <f t="shared" si="94"/>
        <v>3.7621290432814952E-2</v>
      </c>
      <c r="AF229">
        <f t="shared" si="95"/>
        <v>0.19301346976339853</v>
      </c>
      <c r="AG229" t="s">
        <v>1175</v>
      </c>
    </row>
    <row r="230" spans="1:33" x14ac:dyDescent="0.3">
      <c r="A230">
        <v>304849</v>
      </c>
      <c r="B230" t="s">
        <v>280</v>
      </c>
      <c r="C230" s="1" t="s">
        <v>760</v>
      </c>
      <c r="D230" t="s">
        <v>767</v>
      </c>
      <c r="E230" s="4">
        <v>6.3</v>
      </c>
      <c r="F230" s="3">
        <f t="shared" si="76"/>
        <v>0.68888888888888877</v>
      </c>
      <c r="G230">
        <v>64.150919999999999</v>
      </c>
      <c r="H230">
        <f t="shared" si="77"/>
        <v>0.62069866348997349</v>
      </c>
      <c r="I230">
        <v>136.5</v>
      </c>
      <c r="J230" s="3">
        <f t="shared" si="78"/>
        <v>0.6281638288080994</v>
      </c>
      <c r="K230">
        <v>0</v>
      </c>
      <c r="L230" s="3">
        <f t="shared" si="79"/>
        <v>0</v>
      </c>
      <c r="M230">
        <v>49962</v>
      </c>
      <c r="N230">
        <f t="shared" si="80"/>
        <v>0.23526044106305566</v>
      </c>
      <c r="O230" s="15">
        <v>0.84896934800000001</v>
      </c>
      <c r="P230">
        <f t="shared" si="81"/>
        <v>0.86548559746683429</v>
      </c>
      <c r="Q230">
        <v>0.36770000000000003</v>
      </c>
      <c r="R230">
        <f t="shared" si="82"/>
        <v>0.8151185989802705</v>
      </c>
      <c r="S230">
        <f t="shared" si="83"/>
        <v>0.21644836009308574</v>
      </c>
      <c r="T230" s="14">
        <f t="shared" si="84"/>
        <v>0.36963657002974043</v>
      </c>
      <c r="U230" t="str">
        <f t="shared" si="85"/>
        <v>Moderate</v>
      </c>
      <c r="V230">
        <f t="shared" si="86"/>
        <v>0.20996149409080228</v>
      </c>
      <c r="W230">
        <f t="shared" si="87"/>
        <v>0.30894262440667647</v>
      </c>
      <c r="X230" t="str">
        <f t="shared" si="99"/>
        <v>Moderate</v>
      </c>
      <c r="Y230">
        <f t="shared" si="88"/>
        <v>0.22293522609536923</v>
      </c>
      <c r="Z230">
        <f t="shared" si="89"/>
        <v>0.43879231349925268</v>
      </c>
      <c r="AA230" t="str">
        <f t="shared" si="90"/>
        <v>Moderate</v>
      </c>
      <c r="AB230">
        <f t="shared" si="91"/>
        <v>0.16157685314190182</v>
      </c>
      <c r="AC230">
        <f t="shared" si="92"/>
        <v>0.37264483301374962</v>
      </c>
      <c r="AD230" t="str">
        <f t="shared" si="93"/>
        <v>Moderate</v>
      </c>
      <c r="AE230">
        <f t="shared" si="94"/>
        <v>6.0599321090029371E-2</v>
      </c>
      <c r="AF230">
        <f t="shared" si="95"/>
        <v>0.31090069198399084</v>
      </c>
      <c r="AG230" t="str">
        <f t="shared" si="97"/>
        <v>Moderate</v>
      </c>
    </row>
    <row r="231" spans="1:33" x14ac:dyDescent="0.3">
      <c r="A231">
        <v>304854</v>
      </c>
      <c r="B231" t="s">
        <v>288</v>
      </c>
      <c r="C231" s="1" t="s">
        <v>760</v>
      </c>
      <c r="D231" t="s">
        <v>768</v>
      </c>
      <c r="E231" s="4">
        <v>6.3</v>
      </c>
      <c r="F231" s="3">
        <f t="shared" si="76"/>
        <v>0.68888888888888877</v>
      </c>
      <c r="G231">
        <v>68.646240000000006</v>
      </c>
      <c r="H231">
        <f t="shared" si="77"/>
        <v>0.66419358321925803</v>
      </c>
      <c r="I231">
        <v>123.2</v>
      </c>
      <c r="J231" s="3">
        <f t="shared" si="78"/>
        <v>0.56695812241141286</v>
      </c>
      <c r="K231">
        <v>0</v>
      </c>
      <c r="L231" s="3">
        <f t="shared" si="79"/>
        <v>0</v>
      </c>
      <c r="M231">
        <v>20678</v>
      </c>
      <c r="N231">
        <f t="shared" si="80"/>
        <v>9.670551163219826E-2</v>
      </c>
      <c r="O231" s="15">
        <v>0.72744119200000001</v>
      </c>
      <c r="P231">
        <f t="shared" si="81"/>
        <v>0.74159317549366477</v>
      </c>
      <c r="Q231">
        <v>0.39200000000000002</v>
      </c>
      <c r="R231">
        <f t="shared" si="82"/>
        <v>0.86898692086011975</v>
      </c>
      <c r="S231">
        <f t="shared" si="83"/>
        <v>0.21029059408028425</v>
      </c>
      <c r="T231" s="14">
        <f t="shared" si="84"/>
        <v>0.35912073379499704</v>
      </c>
      <c r="U231" t="str">
        <f t="shared" si="85"/>
        <v>Moderate</v>
      </c>
      <c r="V231">
        <f t="shared" si="86"/>
        <v>0.22692417005447754</v>
      </c>
      <c r="W231">
        <f t="shared" si="87"/>
        <v>0.33390193254968065</v>
      </c>
      <c r="X231" t="str">
        <f t="shared" si="99"/>
        <v>Moderate</v>
      </c>
      <c r="Y231">
        <f t="shared" si="88"/>
        <v>0.1936570181060909</v>
      </c>
      <c r="Z231">
        <f t="shared" si="89"/>
        <v>0.38116547343570922</v>
      </c>
      <c r="AA231" t="str">
        <f t="shared" si="90"/>
        <v>Moderate</v>
      </c>
      <c r="AB231">
        <f t="shared" si="91"/>
        <v>0.14635923225878469</v>
      </c>
      <c r="AC231">
        <f t="shared" si="92"/>
        <v>0.33754842110457917</v>
      </c>
      <c r="AD231" t="str">
        <f t="shared" si="93"/>
        <v>Moderate</v>
      </c>
      <c r="AE231">
        <f t="shared" si="94"/>
        <v>2.5253335165400785E-2</v>
      </c>
      <c r="AF231">
        <f t="shared" si="95"/>
        <v>0.12956051712464736</v>
      </c>
      <c r="AG231" t="s">
        <v>1175</v>
      </c>
    </row>
    <row r="232" spans="1:33" x14ac:dyDescent="0.3">
      <c r="A232">
        <v>304859</v>
      </c>
      <c r="B232" t="s">
        <v>340</v>
      </c>
      <c r="C232" s="1" t="s">
        <v>760</v>
      </c>
      <c r="D232" t="s">
        <v>769</v>
      </c>
      <c r="E232" s="4">
        <v>5.9</v>
      </c>
      <c r="F232" s="3">
        <f t="shared" si="76"/>
        <v>0.60000000000000009</v>
      </c>
      <c r="G232">
        <v>64.951920000000001</v>
      </c>
      <c r="H232">
        <f t="shared" si="77"/>
        <v>0.62844881936389507</v>
      </c>
      <c r="I232">
        <v>133.20000000000002</v>
      </c>
      <c r="J232" s="3">
        <f t="shared" si="78"/>
        <v>0.61297745052922237</v>
      </c>
      <c r="K232">
        <v>0</v>
      </c>
      <c r="L232" s="3">
        <f t="shared" si="79"/>
        <v>0</v>
      </c>
      <c r="M232">
        <v>2267</v>
      </c>
      <c r="N232">
        <f t="shared" si="80"/>
        <v>9.595321571020993E-3</v>
      </c>
      <c r="O232" s="15">
        <v>0.67398765100000002</v>
      </c>
      <c r="P232">
        <f t="shared" si="81"/>
        <v>0.6870997241363338</v>
      </c>
      <c r="Q232">
        <v>0.10970000000000001</v>
      </c>
      <c r="R232">
        <f t="shared" si="82"/>
        <v>0.24318332963866107</v>
      </c>
      <c r="S232">
        <f t="shared" si="83"/>
        <v>0.10437078649270831</v>
      </c>
      <c r="T232" s="14">
        <f t="shared" si="84"/>
        <v>0.17823770766329516</v>
      </c>
      <c r="U232" t="str">
        <f t="shared" si="85"/>
        <v>Low</v>
      </c>
      <c r="V232">
        <f t="shared" si="86"/>
        <v>5.4566694025669077E-2</v>
      </c>
      <c r="W232">
        <f t="shared" si="87"/>
        <v>8.0290806323733491E-2</v>
      </c>
      <c r="X232" t="s">
        <v>1176</v>
      </c>
      <c r="Y232">
        <f t="shared" si="88"/>
        <v>0.15417487895974752</v>
      </c>
      <c r="Z232">
        <f t="shared" si="89"/>
        <v>0.30345474336691247</v>
      </c>
      <c r="AA232" t="str">
        <f t="shared" si="90"/>
        <v>Moderate</v>
      </c>
      <c r="AB232">
        <f t="shared" si="91"/>
        <v>6.6104372813629048E-2</v>
      </c>
      <c r="AC232">
        <f t="shared" si="92"/>
        <v>0.15245657091105483</v>
      </c>
      <c r="AD232" t="str">
        <f t="shared" si="93"/>
        <v>Low</v>
      </c>
      <c r="AE232">
        <f t="shared" si="94"/>
        <v>2.1530463334875146E-3</v>
      </c>
      <c r="AF232">
        <f t="shared" si="95"/>
        <v>1.1046057660619547E-2</v>
      </c>
      <c r="AG232" t="str">
        <f t="shared" ref="AG232:AG233" si="101">IF(AF232&gt;0.7,"High",IF(AF232&gt;0.3,"Moderate",IF(AF232&gt;0.15,"Low","No Impact")))</f>
        <v>No Impact</v>
      </c>
    </row>
    <row r="233" spans="1:33" x14ac:dyDescent="0.3">
      <c r="A233">
        <v>304876</v>
      </c>
      <c r="B233" t="s">
        <v>385</v>
      </c>
      <c r="C233" s="1" t="s">
        <v>760</v>
      </c>
      <c r="D233" t="s">
        <v>770</v>
      </c>
      <c r="E233" s="4">
        <v>6.2</v>
      </c>
      <c r="F233" s="3">
        <f t="shared" si="76"/>
        <v>0.66666666666666663</v>
      </c>
      <c r="G233">
        <v>64.951920000000001</v>
      </c>
      <c r="H233">
        <f t="shared" si="77"/>
        <v>0.62844881936389507</v>
      </c>
      <c r="I233">
        <v>133.20000000000002</v>
      </c>
      <c r="J233" s="3">
        <f t="shared" si="78"/>
        <v>0.61297745052922237</v>
      </c>
      <c r="K233">
        <v>0</v>
      </c>
      <c r="L233" s="3">
        <f t="shared" si="79"/>
        <v>0</v>
      </c>
      <c r="M233">
        <v>6692</v>
      </c>
      <c r="N233">
        <f t="shared" si="80"/>
        <v>3.0531859022583072E-2</v>
      </c>
      <c r="O233" s="15">
        <v>0.60405493200000004</v>
      </c>
      <c r="P233">
        <f t="shared" si="81"/>
        <v>0.61580650109031732</v>
      </c>
      <c r="Q233">
        <v>0.16750000000000001</v>
      </c>
      <c r="R233">
        <f t="shared" si="82"/>
        <v>0.37131456439813793</v>
      </c>
      <c r="S233">
        <f t="shared" si="83"/>
        <v>0.12305287269584683</v>
      </c>
      <c r="T233" s="14">
        <f t="shared" si="84"/>
        <v>0.2101417713492397</v>
      </c>
      <c r="U233" t="str">
        <f t="shared" si="85"/>
        <v>Low</v>
      </c>
      <c r="V233">
        <f t="shared" si="86"/>
        <v>9.2574913899519592E-2</v>
      </c>
      <c r="W233">
        <f t="shared" si="87"/>
        <v>0.13621705721893404</v>
      </c>
      <c r="X233" t="s">
        <v>1176</v>
      </c>
      <c r="Y233">
        <f t="shared" si="88"/>
        <v>0.15353083149217409</v>
      </c>
      <c r="Z233">
        <f t="shared" si="89"/>
        <v>0.30218709678072875</v>
      </c>
      <c r="AA233" t="str">
        <f t="shared" si="90"/>
        <v>Moderate</v>
      </c>
      <c r="AB233">
        <f t="shared" si="91"/>
        <v>8.1124704901185715E-2</v>
      </c>
      <c r="AC233">
        <f t="shared" si="92"/>
        <v>0.18709797550421731</v>
      </c>
      <c r="AD233" t="str">
        <f t="shared" si="93"/>
        <v>Low</v>
      </c>
      <c r="AE233">
        <f t="shared" si="94"/>
        <v>7.6121016820046728E-3</v>
      </c>
      <c r="AF233">
        <f t="shared" si="95"/>
        <v>3.905336953976437E-2</v>
      </c>
      <c r="AG233" t="str">
        <f t="shared" si="101"/>
        <v>No Impact</v>
      </c>
    </row>
    <row r="234" spans="1:33" x14ac:dyDescent="0.3">
      <c r="A234">
        <v>304879</v>
      </c>
      <c r="B234" t="s">
        <v>392</v>
      </c>
      <c r="C234" s="1" t="s">
        <v>760</v>
      </c>
      <c r="D234" t="s">
        <v>771</v>
      </c>
      <c r="E234" s="4">
        <v>6.3</v>
      </c>
      <c r="F234" s="3">
        <f t="shared" si="76"/>
        <v>0.68888888888888877</v>
      </c>
      <c r="G234">
        <v>64.126800000000003</v>
      </c>
      <c r="H234">
        <f t="shared" si="77"/>
        <v>0.62046528800972511</v>
      </c>
      <c r="I234">
        <v>130.20000000000002</v>
      </c>
      <c r="J234" s="3">
        <f t="shared" si="78"/>
        <v>0.59917165209387957</v>
      </c>
      <c r="K234">
        <v>0</v>
      </c>
      <c r="L234" s="3">
        <f t="shared" si="79"/>
        <v>0</v>
      </c>
      <c r="M234">
        <v>22012</v>
      </c>
      <c r="N234">
        <f t="shared" si="80"/>
        <v>0.10301722710347144</v>
      </c>
      <c r="O234" s="15">
        <v>0.92952056199999999</v>
      </c>
      <c r="P234">
        <f t="shared" si="81"/>
        <v>0.94760389271471979</v>
      </c>
      <c r="Q234">
        <v>0.37980000000000003</v>
      </c>
      <c r="R234">
        <f t="shared" si="82"/>
        <v>0.84194191975171806</v>
      </c>
      <c r="S234">
        <f t="shared" si="83"/>
        <v>0.22684747631498114</v>
      </c>
      <c r="T234" s="14">
        <f t="shared" si="84"/>
        <v>0.3873955110073895</v>
      </c>
      <c r="U234" t="str">
        <f t="shared" si="85"/>
        <v>Moderate</v>
      </c>
      <c r="V234">
        <f t="shared" si="86"/>
        <v>0.21345349011907411</v>
      </c>
      <c r="W234">
        <f t="shared" si="87"/>
        <v>0.31408083521082242</v>
      </c>
      <c r="X234" t="str">
        <f t="shared" si="99"/>
        <v>Moderate</v>
      </c>
      <c r="Y234">
        <f t="shared" si="88"/>
        <v>0.24024146251088815</v>
      </c>
      <c r="Z234">
        <f t="shared" si="89"/>
        <v>0.47285531757327914</v>
      </c>
      <c r="AA234" t="str">
        <f t="shared" si="90"/>
        <v>Moderate</v>
      </c>
      <c r="AB234">
        <f t="shared" si="91"/>
        <v>0.15592227223285182</v>
      </c>
      <c r="AC234">
        <f t="shared" si="92"/>
        <v>0.35960366828228213</v>
      </c>
      <c r="AD234" t="str">
        <f t="shared" si="93"/>
        <v>Moderate</v>
      </c>
      <c r="AE234">
        <f t="shared" si="94"/>
        <v>2.6117462679741316E-2</v>
      </c>
      <c r="AF234">
        <f t="shared" si="95"/>
        <v>0.13399386451762799</v>
      </c>
      <c r="AG234" t="s">
        <v>1175</v>
      </c>
    </row>
    <row r="235" spans="1:33" x14ac:dyDescent="0.3">
      <c r="A235">
        <v>304892</v>
      </c>
      <c r="B235" t="s">
        <v>513</v>
      </c>
      <c r="C235" s="1" t="s">
        <v>760</v>
      </c>
      <c r="D235" t="s">
        <v>772</v>
      </c>
      <c r="E235" s="4">
        <v>6.3</v>
      </c>
      <c r="F235" s="3">
        <f t="shared" si="76"/>
        <v>0.68888888888888877</v>
      </c>
      <c r="G235">
        <v>64.150919999999999</v>
      </c>
      <c r="H235">
        <f t="shared" si="77"/>
        <v>0.62069866348997349</v>
      </c>
      <c r="I235">
        <v>136.5</v>
      </c>
      <c r="J235" s="3">
        <f t="shared" si="78"/>
        <v>0.6281638288080994</v>
      </c>
      <c r="K235">
        <v>0</v>
      </c>
      <c r="L235" s="3">
        <f t="shared" si="79"/>
        <v>0</v>
      </c>
      <c r="M235">
        <v>17053</v>
      </c>
      <c r="N235">
        <f t="shared" si="80"/>
        <v>7.9554110895042884E-2</v>
      </c>
      <c r="O235" s="15">
        <v>0.91965582199999996</v>
      </c>
      <c r="P235">
        <f t="shared" si="81"/>
        <v>0.93754723941755613</v>
      </c>
      <c r="Q235">
        <v>0.2944</v>
      </c>
      <c r="R235">
        <f t="shared" si="82"/>
        <v>0.65262691199290623</v>
      </c>
      <c r="S235">
        <f t="shared" si="83"/>
        <v>0.20480169457082623</v>
      </c>
      <c r="T235" s="14">
        <f t="shared" si="84"/>
        <v>0.34974714469946661</v>
      </c>
      <c r="U235" t="str">
        <f t="shared" si="85"/>
        <v>Moderate</v>
      </c>
      <c r="V235">
        <f t="shared" si="86"/>
        <v>0.16810623840177369</v>
      </c>
      <c r="W235">
        <f t="shared" si="87"/>
        <v>0.24735574823313991</v>
      </c>
      <c r="X235" t="s">
        <v>1175</v>
      </c>
      <c r="Y235">
        <f t="shared" si="88"/>
        <v>0.24149715073987879</v>
      </c>
      <c r="Z235">
        <f t="shared" si="89"/>
        <v>0.47532682623829769</v>
      </c>
      <c r="AA235" t="str">
        <f t="shared" si="90"/>
        <v>Moderate</v>
      </c>
      <c r="AB235">
        <f t="shared" si="91"/>
        <v>0.13845848128174884</v>
      </c>
      <c r="AC235">
        <f t="shared" si="92"/>
        <v>0.3193269124461881</v>
      </c>
      <c r="AD235" t="str">
        <f t="shared" si="93"/>
        <v>Moderate</v>
      </c>
      <c r="AE235">
        <f t="shared" si="94"/>
        <v>2.0491864626184134E-2</v>
      </c>
      <c r="AF235">
        <f t="shared" si="95"/>
        <v>0.10513211662648717</v>
      </c>
      <c r="AG235" t="s">
        <v>1175</v>
      </c>
    </row>
    <row r="236" spans="1:33" x14ac:dyDescent="0.3">
      <c r="A236">
        <v>305440</v>
      </c>
      <c r="B236" t="s">
        <v>248</v>
      </c>
      <c r="C236" s="1" t="s">
        <v>774</v>
      </c>
      <c r="D236" t="s">
        <v>773</v>
      </c>
      <c r="E236" s="4">
        <v>6.4</v>
      </c>
      <c r="F236" s="3">
        <f t="shared" si="76"/>
        <v>0.71111111111111114</v>
      </c>
      <c r="G236">
        <v>69.032879999999992</v>
      </c>
      <c r="H236">
        <f t="shared" si="77"/>
        <v>0.66793455733547891</v>
      </c>
      <c r="I236">
        <v>123.89999999999999</v>
      </c>
      <c r="J236" s="3">
        <f t="shared" si="78"/>
        <v>0.57017947537965952</v>
      </c>
      <c r="K236">
        <v>0</v>
      </c>
      <c r="L236" s="3">
        <f t="shared" si="79"/>
        <v>0</v>
      </c>
      <c r="M236">
        <v>17400</v>
      </c>
      <c r="N236">
        <f t="shared" si="80"/>
        <v>8.1195913944916792E-2</v>
      </c>
      <c r="O236" s="15">
        <v>0.25754939999999998</v>
      </c>
      <c r="P236">
        <f t="shared" si="81"/>
        <v>0.26255988730493562</v>
      </c>
      <c r="Q236">
        <v>0.3478</v>
      </c>
      <c r="R236">
        <f t="shared" si="82"/>
        <v>0.77100421192640212</v>
      </c>
      <c r="S236">
        <f t="shared" si="83"/>
        <v>0.14009055246697441</v>
      </c>
      <c r="T236" s="14">
        <f t="shared" si="84"/>
        <v>0.23923762363084755</v>
      </c>
      <c r="U236" t="str">
        <f t="shared" si="85"/>
        <v>Low</v>
      </c>
      <c r="V236">
        <f t="shared" si="86"/>
        <v>0.20900572317374669</v>
      </c>
      <c r="W236">
        <f t="shared" si="87"/>
        <v>0.30753627903499114</v>
      </c>
      <c r="X236" t="str">
        <f t="shared" si="99"/>
        <v>Moderate</v>
      </c>
      <c r="Y236">
        <f t="shared" si="88"/>
        <v>7.1175381760202175E-2</v>
      </c>
      <c r="Z236">
        <f t="shared" si="89"/>
        <v>0.14009096262513157</v>
      </c>
      <c r="AA236" t="str">
        <f t="shared" si="90"/>
        <v>No Impact</v>
      </c>
      <c r="AB236">
        <f t="shared" si="91"/>
        <v>0.10220839364632485</v>
      </c>
      <c r="AC236">
        <f t="shared" si="92"/>
        <v>0.23572330468330599</v>
      </c>
      <c r="AD236" t="str">
        <f t="shared" si="93"/>
        <v>Low</v>
      </c>
      <c r="AE236">
        <f t="shared" si="94"/>
        <v>2.2010788592722479E-2</v>
      </c>
      <c r="AF236">
        <f t="shared" si="95"/>
        <v>0.11292485264685057</v>
      </c>
      <c r="AG236" t="s">
        <v>1175</v>
      </c>
    </row>
    <row r="237" spans="1:33" x14ac:dyDescent="0.3">
      <c r="A237">
        <v>305454</v>
      </c>
      <c r="B237" t="s">
        <v>308</v>
      </c>
      <c r="C237" s="1" t="s">
        <v>774</v>
      </c>
      <c r="D237" t="s">
        <v>775</v>
      </c>
      <c r="E237" s="4">
        <v>6.4</v>
      </c>
      <c r="F237" s="3">
        <f t="shared" si="76"/>
        <v>0.71111111111111114</v>
      </c>
      <c r="G237">
        <v>69.010559999999998</v>
      </c>
      <c r="H237">
        <f t="shared" si="77"/>
        <v>0.66771859793584609</v>
      </c>
      <c r="I237">
        <v>147.19999999999999</v>
      </c>
      <c r="J237" s="3">
        <f t="shared" si="78"/>
        <v>0.67740450989415557</v>
      </c>
      <c r="K237">
        <v>0</v>
      </c>
      <c r="L237" s="3">
        <f t="shared" si="79"/>
        <v>0</v>
      </c>
      <c r="M237">
        <v>27938</v>
      </c>
      <c r="N237">
        <f t="shared" si="80"/>
        <v>0.1310556273154391</v>
      </c>
      <c r="O237" s="15">
        <v>0.90913469499999999</v>
      </c>
      <c r="P237">
        <f t="shared" si="81"/>
        <v>0.9268214294586089</v>
      </c>
      <c r="Q237">
        <v>0.30809999999999998</v>
      </c>
      <c r="R237">
        <f t="shared" si="82"/>
        <v>0.68299711815561959</v>
      </c>
      <c r="S237">
        <f t="shared" si="83"/>
        <v>0.23042203814068077</v>
      </c>
      <c r="T237" s="14">
        <f t="shared" si="84"/>
        <v>0.39349991749049995</v>
      </c>
      <c r="U237" t="str">
        <f t="shared" si="85"/>
        <v>Moderate</v>
      </c>
      <c r="V237">
        <f t="shared" si="86"/>
        <v>0.19552214532857112</v>
      </c>
      <c r="W237">
        <f t="shared" si="87"/>
        <v>0.28769620338722152</v>
      </c>
      <c r="X237" t="s">
        <v>1175</v>
      </c>
      <c r="Y237">
        <f t="shared" si="88"/>
        <v>0.26532193095279044</v>
      </c>
      <c r="Z237">
        <f t="shared" si="89"/>
        <v>0.52221995574203328</v>
      </c>
      <c r="AA237" t="str">
        <f t="shared" si="90"/>
        <v>Moderate</v>
      </c>
      <c r="AB237">
        <f t="shared" si="91"/>
        <v>0.16116042083208681</v>
      </c>
      <c r="AC237">
        <f t="shared" si="92"/>
        <v>0.37168441482553144</v>
      </c>
      <c r="AD237" t="str">
        <f t="shared" si="93"/>
        <v>Moderate</v>
      </c>
      <c r="AE237">
        <f t="shared" si="94"/>
        <v>3.7517401946427976E-2</v>
      </c>
      <c r="AF237">
        <f t="shared" si="95"/>
        <v>0.19248047695546106</v>
      </c>
      <c r="AG237" t="s">
        <v>1175</v>
      </c>
    </row>
    <row r="238" spans="1:33" x14ac:dyDescent="0.3">
      <c r="A238">
        <v>305480</v>
      </c>
      <c r="B238" t="s">
        <v>426</v>
      </c>
      <c r="C238" s="1" t="s">
        <v>774</v>
      </c>
      <c r="D238" t="s">
        <v>776</v>
      </c>
      <c r="E238" s="4">
        <v>6.4</v>
      </c>
      <c r="F238" s="3">
        <f t="shared" si="76"/>
        <v>0.71111111111111114</v>
      </c>
      <c r="G238">
        <v>67.907520000000005</v>
      </c>
      <c r="H238">
        <f t="shared" si="77"/>
        <v>0.65704602373463472</v>
      </c>
      <c r="I238">
        <v>140.4</v>
      </c>
      <c r="J238" s="3">
        <f t="shared" si="78"/>
        <v>0.64611136677404513</v>
      </c>
      <c r="K238">
        <v>0</v>
      </c>
      <c r="L238" s="3">
        <f t="shared" si="79"/>
        <v>0</v>
      </c>
      <c r="M238">
        <v>12683</v>
      </c>
      <c r="N238">
        <f t="shared" si="80"/>
        <v>5.8877801592596271E-2</v>
      </c>
      <c r="O238" s="15">
        <v>0.60908996400000004</v>
      </c>
      <c r="P238">
        <f t="shared" si="81"/>
        <v>0.62093948697378953</v>
      </c>
      <c r="Q238">
        <v>0.31830000000000003</v>
      </c>
      <c r="R238">
        <f t="shared" si="82"/>
        <v>0.70560851252493906</v>
      </c>
      <c r="S238">
        <f t="shared" si="83"/>
        <v>0.18491050081955884</v>
      </c>
      <c r="T238" s="14">
        <f t="shared" si="84"/>
        <v>0.31577824500970481</v>
      </c>
      <c r="U238" t="str">
        <f t="shared" si="85"/>
        <v>Moderate</v>
      </c>
      <c r="V238">
        <f t="shared" si="86"/>
        <v>0.19671270618603126</v>
      </c>
      <c r="W238">
        <f t="shared" si="87"/>
        <v>0.28944802458382879</v>
      </c>
      <c r="X238" t="s">
        <v>1175</v>
      </c>
      <c r="Y238">
        <f t="shared" si="88"/>
        <v>0.17310829545308648</v>
      </c>
      <c r="Z238">
        <f t="shared" si="89"/>
        <v>0.34072044502862792</v>
      </c>
      <c r="AA238" t="str">
        <f t="shared" si="90"/>
        <v>Moderate</v>
      </c>
      <c r="AB238">
        <f t="shared" si="91"/>
        <v>0.12652691197123872</v>
      </c>
      <c r="AC238">
        <f t="shared" si="92"/>
        <v>0.29180912405726461</v>
      </c>
      <c r="AD238" t="str">
        <f t="shared" si="93"/>
        <v>Low</v>
      </c>
      <c r="AE238">
        <f t="shared" si="94"/>
        <v>1.6414217629148114E-2</v>
      </c>
      <c r="AF238">
        <f t="shared" si="95"/>
        <v>8.4212026265053599E-2</v>
      </c>
      <c r="AG238" t="s">
        <v>1175</v>
      </c>
    </row>
    <row r="239" spans="1:33" x14ac:dyDescent="0.3">
      <c r="A239">
        <v>305487</v>
      </c>
      <c r="B239" t="s">
        <v>482</v>
      </c>
      <c r="C239" s="1" t="s">
        <v>774</v>
      </c>
      <c r="D239" t="s">
        <v>777</v>
      </c>
      <c r="E239" s="4">
        <v>6.4</v>
      </c>
      <c r="F239" s="3">
        <f t="shared" si="76"/>
        <v>0.71111111111111114</v>
      </c>
      <c r="G239">
        <v>74.314800000000005</v>
      </c>
      <c r="H239">
        <f t="shared" si="77"/>
        <v>0.71904030429376053</v>
      </c>
      <c r="I239">
        <v>168.7</v>
      </c>
      <c r="J239" s="3">
        <f t="shared" si="78"/>
        <v>0.77634606534744599</v>
      </c>
      <c r="K239">
        <v>0</v>
      </c>
      <c r="L239" s="3">
        <f t="shared" si="79"/>
        <v>0</v>
      </c>
      <c r="M239">
        <v>29231</v>
      </c>
      <c r="N239">
        <f t="shared" si="80"/>
        <v>0.13717335453009893</v>
      </c>
      <c r="O239" s="15">
        <v>0.55598404000000001</v>
      </c>
      <c r="P239">
        <f t="shared" si="81"/>
        <v>0.5668004153212659</v>
      </c>
      <c r="Q239">
        <v>0.28539999999999999</v>
      </c>
      <c r="R239">
        <f t="shared" si="82"/>
        <v>0.63267568166703614</v>
      </c>
      <c r="S239">
        <f t="shared" si="83"/>
        <v>0.18888191032307924</v>
      </c>
      <c r="T239" s="14">
        <f t="shared" si="84"/>
        <v>0.32256036239989189</v>
      </c>
      <c r="U239" t="str">
        <f t="shared" si="85"/>
        <v>Moderate</v>
      </c>
      <c r="V239">
        <f t="shared" si="86"/>
        <v>0.19925531099498281</v>
      </c>
      <c r="W239">
        <f t="shared" si="87"/>
        <v>0.29318927726403121</v>
      </c>
      <c r="X239" t="s">
        <v>1175</v>
      </c>
      <c r="Y239">
        <f t="shared" si="88"/>
        <v>0.17850850965117565</v>
      </c>
      <c r="Z239">
        <f t="shared" si="89"/>
        <v>0.35134941794992558</v>
      </c>
      <c r="AA239" t="str">
        <f t="shared" si="90"/>
        <v>Moderate</v>
      </c>
      <c r="AB239">
        <f t="shared" si="91"/>
        <v>0.13841242620810956</v>
      </c>
      <c r="AC239">
        <f t="shared" si="92"/>
        <v>0.31922069559091443</v>
      </c>
      <c r="AD239" t="str">
        <f t="shared" si="93"/>
        <v>Moderate</v>
      </c>
      <c r="AE239">
        <f t="shared" si="94"/>
        <v>4.3201469898608222E-2</v>
      </c>
      <c r="AF239">
        <f t="shared" si="95"/>
        <v>0.2216422006815644</v>
      </c>
      <c r="AG239" t="s">
        <v>1175</v>
      </c>
    </row>
    <row r="240" spans="1:33" x14ac:dyDescent="0.3">
      <c r="A240">
        <v>305610</v>
      </c>
      <c r="B240" t="s">
        <v>132</v>
      </c>
      <c r="C240" t="s">
        <v>778</v>
      </c>
      <c r="D240" t="s">
        <v>1140</v>
      </c>
      <c r="E240" s="4">
        <v>5.5</v>
      </c>
      <c r="F240" s="3">
        <f t="shared" si="76"/>
        <v>0.51111111111111107</v>
      </c>
      <c r="G240">
        <v>46.938960000000002</v>
      </c>
      <c r="H240">
        <f t="shared" si="77"/>
        <v>0.45416261742792358</v>
      </c>
      <c r="I240">
        <v>121.39999999999999</v>
      </c>
      <c r="J240" s="3">
        <f t="shared" si="78"/>
        <v>0.55867464335020711</v>
      </c>
      <c r="K240">
        <v>0</v>
      </c>
      <c r="L240" s="3">
        <f t="shared" si="79"/>
        <v>0</v>
      </c>
      <c r="M240">
        <v>80319</v>
      </c>
      <c r="N240">
        <f t="shared" si="80"/>
        <v>0.37889218511211104</v>
      </c>
      <c r="O240" s="15">
        <v>0.84775803900000002</v>
      </c>
      <c r="P240">
        <f t="shared" si="81"/>
        <v>0.86425072309115547</v>
      </c>
      <c r="Q240">
        <v>0.23100000000000001</v>
      </c>
      <c r="R240">
        <f t="shared" si="82"/>
        <v>0.51208157836399915</v>
      </c>
      <c r="S240">
        <f t="shared" si="83"/>
        <v>0.10319738739540606</v>
      </c>
      <c r="T240" s="14">
        <f t="shared" si="84"/>
        <v>0.17623385225216492</v>
      </c>
      <c r="U240" t="str">
        <f t="shared" si="85"/>
        <v>Low</v>
      </c>
      <c r="V240">
        <f t="shared" si="86"/>
        <v>7.6791747116025197E-2</v>
      </c>
      <c r="W240">
        <f t="shared" si="87"/>
        <v>0.11299330855656134</v>
      </c>
      <c r="X240" t="s">
        <v>1176</v>
      </c>
      <c r="Y240">
        <f t="shared" si="88"/>
        <v>0.12960302767478687</v>
      </c>
      <c r="Z240">
        <f t="shared" si="89"/>
        <v>0.25509119104218891</v>
      </c>
      <c r="AA240" t="str">
        <f t="shared" si="90"/>
        <v>Low</v>
      </c>
      <c r="AB240">
        <f t="shared" si="91"/>
        <v>8.5644553369810097E-2</v>
      </c>
      <c r="AC240">
        <f t="shared" si="92"/>
        <v>0.19752210584891949</v>
      </c>
      <c r="AD240" t="str">
        <f t="shared" si="93"/>
        <v>Low</v>
      </c>
      <c r="AE240">
        <f t="shared" si="94"/>
        <v>5.6818667362186367E-2</v>
      </c>
      <c r="AF240">
        <f t="shared" si="95"/>
        <v>0.29150430537444449</v>
      </c>
      <c r="AG240" t="s">
        <v>1175</v>
      </c>
    </row>
    <row r="241" spans="1:33" x14ac:dyDescent="0.3">
      <c r="A241">
        <v>305622</v>
      </c>
      <c r="B241" t="s">
        <v>183</v>
      </c>
      <c r="C241" s="1" t="s">
        <v>778</v>
      </c>
      <c r="D241" t="s">
        <v>779</v>
      </c>
      <c r="E241" s="4">
        <v>5.9</v>
      </c>
      <c r="F241" s="3">
        <f t="shared" si="76"/>
        <v>0.60000000000000009</v>
      </c>
      <c r="G241">
        <v>76.21848</v>
      </c>
      <c r="H241">
        <f t="shared" si="77"/>
        <v>0.7374595511527704</v>
      </c>
      <c r="I241">
        <v>217.29999999999998</v>
      </c>
      <c r="J241" s="3">
        <f t="shared" si="78"/>
        <v>1</v>
      </c>
      <c r="K241">
        <v>0</v>
      </c>
      <c r="L241" s="3">
        <f t="shared" si="79"/>
        <v>0</v>
      </c>
      <c r="M241">
        <v>22617</v>
      </c>
      <c r="N241">
        <f t="shared" si="80"/>
        <v>0.10587973674374151</v>
      </c>
      <c r="O241" s="15">
        <v>0.30612339900000002</v>
      </c>
      <c r="P241">
        <f t="shared" si="81"/>
        <v>0.31207886775447297</v>
      </c>
      <c r="Q241">
        <v>0.25940000000000002</v>
      </c>
      <c r="R241">
        <f t="shared" si="82"/>
        <v>0.57503879405896696</v>
      </c>
      <c r="S241">
        <f t="shared" si="83"/>
        <v>0.13173266683288259</v>
      </c>
      <c r="T241" s="14">
        <f t="shared" si="84"/>
        <v>0.22496456479520693</v>
      </c>
      <c r="U241" t="str">
        <f t="shared" si="85"/>
        <v>Low</v>
      </c>
      <c r="V241">
        <f t="shared" si="86"/>
        <v>0.17078093951799353</v>
      </c>
      <c r="W241">
        <f t="shared" si="87"/>
        <v>0.25129137074300384</v>
      </c>
      <c r="X241" t="s">
        <v>1175</v>
      </c>
      <c r="Y241">
        <f t="shared" si="88"/>
        <v>9.2684394147771604E-2</v>
      </c>
      <c r="Z241">
        <f t="shared" si="89"/>
        <v>0.18242608153804937</v>
      </c>
      <c r="AA241" t="str">
        <f t="shared" si="90"/>
        <v>Low</v>
      </c>
      <c r="AB241">
        <f t="shared" si="91"/>
        <v>9.8584485962224258E-2</v>
      </c>
      <c r="AC241">
        <f t="shared" si="92"/>
        <v>0.2273654833274654</v>
      </c>
      <c r="AD241" t="str">
        <f t="shared" si="93"/>
        <v>Low</v>
      </c>
      <c r="AE241">
        <f t="shared" si="94"/>
        <v>3.1445253961700129E-2</v>
      </c>
      <c r="AF241">
        <f t="shared" si="95"/>
        <v>0.16132773503816428</v>
      </c>
      <c r="AG241" t="s">
        <v>1175</v>
      </c>
    </row>
    <row r="242" spans="1:33" x14ac:dyDescent="0.3">
      <c r="A242">
        <v>305628</v>
      </c>
      <c r="B242" t="s">
        <v>204</v>
      </c>
      <c r="C242" s="1" t="s">
        <v>778</v>
      </c>
      <c r="D242" t="s">
        <v>780</v>
      </c>
      <c r="E242" s="4">
        <v>5.9</v>
      </c>
      <c r="F242" s="3">
        <f t="shared" si="76"/>
        <v>0.60000000000000009</v>
      </c>
      <c r="G242">
        <v>84.769199999999998</v>
      </c>
      <c r="H242">
        <f t="shared" si="77"/>
        <v>0.82019290050889782</v>
      </c>
      <c r="I242">
        <v>217.29999999999998</v>
      </c>
      <c r="J242" s="3">
        <f t="shared" si="78"/>
        <v>1</v>
      </c>
      <c r="K242">
        <v>0</v>
      </c>
      <c r="L242" s="3">
        <f t="shared" si="79"/>
        <v>0</v>
      </c>
      <c r="M242">
        <v>12495</v>
      </c>
      <c r="N242">
        <f t="shared" si="80"/>
        <v>5.7988294464710696E-2</v>
      </c>
      <c r="O242" s="15">
        <v>0.577930834</v>
      </c>
      <c r="P242">
        <f t="shared" si="81"/>
        <v>0.58917417258625904</v>
      </c>
      <c r="Q242">
        <v>0.26229999999999998</v>
      </c>
      <c r="R242">
        <f t="shared" si="82"/>
        <v>0.58146752383063616</v>
      </c>
      <c r="S242">
        <f t="shared" si="83"/>
        <v>0.18545674279791335</v>
      </c>
      <c r="T242" s="14">
        <f t="shared" si="84"/>
        <v>0.3167110818821966</v>
      </c>
      <c r="U242" t="str">
        <f t="shared" si="85"/>
        <v>Moderate</v>
      </c>
      <c r="V242">
        <f t="shared" si="86"/>
        <v>0.18423583124104667</v>
      </c>
      <c r="W242">
        <f t="shared" si="87"/>
        <v>0.27108923690902575</v>
      </c>
      <c r="X242" t="s">
        <v>1175</v>
      </c>
      <c r="Y242">
        <f t="shared" si="88"/>
        <v>0.18667765435478006</v>
      </c>
      <c r="Z242">
        <f t="shared" si="89"/>
        <v>0.36742833901855615</v>
      </c>
      <c r="AA242" t="str">
        <f t="shared" si="90"/>
        <v>Moderate</v>
      </c>
      <c r="AB242">
        <f t="shared" si="91"/>
        <v>0.12691651895265449</v>
      </c>
      <c r="AC242">
        <f t="shared" si="92"/>
        <v>0.29270767496791494</v>
      </c>
      <c r="AD242" t="str">
        <f t="shared" si="93"/>
        <v>Low</v>
      </c>
      <c r="AE242">
        <f t="shared" si="94"/>
        <v>1.8373376319583318E-2</v>
      </c>
      <c r="AF242">
        <f t="shared" si="95"/>
        <v>9.4263356570517584E-2</v>
      </c>
      <c r="AG242" t="s">
        <v>1175</v>
      </c>
    </row>
    <row r="243" spans="1:33" x14ac:dyDescent="0.3">
      <c r="A243">
        <v>305646</v>
      </c>
      <c r="B243" t="s">
        <v>319</v>
      </c>
      <c r="C243" s="1" t="s">
        <v>778</v>
      </c>
      <c r="D243" t="s">
        <v>781</v>
      </c>
      <c r="E243" s="4">
        <v>5.9</v>
      </c>
      <c r="F243" s="3">
        <f t="shared" si="76"/>
        <v>0.60000000000000009</v>
      </c>
      <c r="G243">
        <v>84.769199999999998</v>
      </c>
      <c r="H243">
        <f t="shared" si="77"/>
        <v>0.82019290050889782</v>
      </c>
      <c r="I243">
        <v>217.29999999999998</v>
      </c>
      <c r="J243" s="3">
        <f t="shared" si="78"/>
        <v>1</v>
      </c>
      <c r="K243">
        <v>0</v>
      </c>
      <c r="L243" s="3">
        <f t="shared" si="79"/>
        <v>0</v>
      </c>
      <c r="M243">
        <v>45062</v>
      </c>
      <c r="N243">
        <f t="shared" si="80"/>
        <v>0.21207647868731458</v>
      </c>
      <c r="O243" s="15">
        <v>0.69185575899999996</v>
      </c>
      <c r="P243">
        <f t="shared" si="81"/>
        <v>0.70531544672327218</v>
      </c>
      <c r="Q243">
        <v>0.27750000000000002</v>
      </c>
      <c r="R243">
        <f t="shared" si="82"/>
        <v>0.61516293504766129</v>
      </c>
      <c r="S243">
        <f t="shared" si="83"/>
        <v>0.2091943421867358</v>
      </c>
      <c r="T243" s="14">
        <f t="shared" si="84"/>
        <v>0.35724862541013519</v>
      </c>
      <c r="U243" t="str">
        <f t="shared" si="85"/>
        <v>Moderate</v>
      </c>
      <c r="V243">
        <f t="shared" si="86"/>
        <v>0.19491209748147334</v>
      </c>
      <c r="W243">
        <f t="shared" si="87"/>
        <v>0.28679856363802769</v>
      </c>
      <c r="X243" t="s">
        <v>1175</v>
      </c>
      <c r="Y243">
        <f t="shared" si="88"/>
        <v>0.22347658689199826</v>
      </c>
      <c r="Z243">
        <f t="shared" si="89"/>
        <v>0.43985784702013753</v>
      </c>
      <c r="AA243" t="str">
        <f t="shared" si="90"/>
        <v>Moderate</v>
      </c>
      <c r="AB243">
        <f t="shared" si="91"/>
        <v>0.15878068655446034</v>
      </c>
      <c r="AC243">
        <f t="shared" si="92"/>
        <v>0.36619603164898568</v>
      </c>
      <c r="AD243" t="str">
        <f t="shared" si="93"/>
        <v>Moderate</v>
      </c>
      <c r="AE243">
        <f t="shared" si="94"/>
        <v>6.7195646766700659E-2</v>
      </c>
      <c r="AF243">
        <f t="shared" si="95"/>
        <v>0.34474269187012979</v>
      </c>
      <c r="AG243" t="str">
        <f t="shared" si="97"/>
        <v>Moderate</v>
      </c>
    </row>
    <row r="244" spans="1:33" x14ac:dyDescent="0.3">
      <c r="A244">
        <v>305670</v>
      </c>
      <c r="B244" t="s">
        <v>465</v>
      </c>
      <c r="C244" s="1" t="s">
        <v>778</v>
      </c>
      <c r="D244" t="s">
        <v>782</v>
      </c>
      <c r="E244" s="4">
        <v>5.9</v>
      </c>
      <c r="F244" s="3">
        <f t="shared" si="76"/>
        <v>0.60000000000000009</v>
      </c>
      <c r="G244">
        <v>73.339560000000006</v>
      </c>
      <c r="H244">
        <f t="shared" si="77"/>
        <v>0.70960427181625341</v>
      </c>
      <c r="I244">
        <v>122</v>
      </c>
      <c r="J244" s="3">
        <f t="shared" si="78"/>
        <v>0.56143580303727569</v>
      </c>
      <c r="K244">
        <v>0</v>
      </c>
      <c r="L244" s="3">
        <f t="shared" si="79"/>
        <v>0</v>
      </c>
      <c r="M244">
        <v>15842</v>
      </c>
      <c r="N244">
        <f t="shared" si="80"/>
        <v>7.3824360193609745E-2</v>
      </c>
      <c r="O244" s="15">
        <v>0.48888394400000001</v>
      </c>
      <c r="P244">
        <f t="shared" si="81"/>
        <v>0.49839492245694406</v>
      </c>
      <c r="Q244">
        <v>0.31630000000000003</v>
      </c>
      <c r="R244">
        <f t="shared" si="82"/>
        <v>0.70117490578585684</v>
      </c>
      <c r="S244">
        <f t="shared" si="83"/>
        <v>0.14255527192468478</v>
      </c>
      <c r="T244" s="14">
        <f t="shared" si="84"/>
        <v>0.24344671279207669</v>
      </c>
      <c r="U244" t="str">
        <f t="shared" si="85"/>
        <v>Low</v>
      </c>
      <c r="V244">
        <f t="shared" si="86"/>
        <v>0.166653373580577</v>
      </c>
      <c r="W244">
        <f t="shared" si="87"/>
        <v>0.24521796638550966</v>
      </c>
      <c r="X244" t="s">
        <v>1175</v>
      </c>
      <c r="Y244">
        <f t="shared" si="88"/>
        <v>0.11845717026879253</v>
      </c>
      <c r="Z244">
        <f t="shared" si="89"/>
        <v>0.23315335446621036</v>
      </c>
      <c r="AA244" t="str">
        <f t="shared" si="90"/>
        <v>Low</v>
      </c>
      <c r="AB244">
        <f t="shared" si="91"/>
        <v>0.10000706350372715</v>
      </c>
      <c r="AC244">
        <f t="shared" si="92"/>
        <v>0.23064637511421712</v>
      </c>
      <c r="AD244" t="str">
        <f t="shared" si="93"/>
        <v>Low</v>
      </c>
      <c r="AE244">
        <f t="shared" si="94"/>
        <v>1.7546376199678429E-2</v>
      </c>
      <c r="AF244">
        <f t="shared" si="95"/>
        <v>9.0020488747505331E-2</v>
      </c>
      <c r="AG244" t="s">
        <v>1175</v>
      </c>
    </row>
    <row r="245" spans="1:33" x14ac:dyDescent="0.3">
      <c r="A245">
        <v>305678</v>
      </c>
      <c r="B245" t="s">
        <v>483</v>
      </c>
      <c r="C245" s="1" t="s">
        <v>778</v>
      </c>
      <c r="D245" t="s">
        <v>783</v>
      </c>
      <c r="E245" s="4">
        <v>5.9</v>
      </c>
      <c r="F245" s="3">
        <f t="shared" si="76"/>
        <v>0.60000000000000009</v>
      </c>
      <c r="G245">
        <v>76.21848</v>
      </c>
      <c r="H245">
        <f t="shared" si="77"/>
        <v>0.7374595511527704</v>
      </c>
      <c r="I245">
        <v>217.29999999999998</v>
      </c>
      <c r="J245" s="3">
        <f t="shared" si="78"/>
        <v>1</v>
      </c>
      <c r="K245">
        <v>0</v>
      </c>
      <c r="L245" s="3">
        <f t="shared" si="79"/>
        <v>0</v>
      </c>
      <c r="M245">
        <v>16520</v>
      </c>
      <c r="N245">
        <f t="shared" si="80"/>
        <v>7.7032263559069419E-2</v>
      </c>
      <c r="O245" s="15">
        <v>0.40370789299999998</v>
      </c>
      <c r="P245">
        <f t="shared" si="81"/>
        <v>0.41156181645227291</v>
      </c>
      <c r="Q245">
        <v>0.23849999999999999</v>
      </c>
      <c r="R245">
        <f t="shared" si="82"/>
        <v>0.52870760363555747</v>
      </c>
      <c r="S245">
        <f t="shared" si="83"/>
        <v>0.13962544494534751</v>
      </c>
      <c r="T245" s="14">
        <f t="shared" si="84"/>
        <v>0.23844334295847258</v>
      </c>
      <c r="U245" t="str">
        <f t="shared" si="85"/>
        <v>Low</v>
      </c>
      <c r="V245">
        <f t="shared" si="86"/>
        <v>0.15702102573261933</v>
      </c>
      <c r="W245">
        <f t="shared" si="87"/>
        <v>0.23104468744104245</v>
      </c>
      <c r="X245" t="s">
        <v>1176</v>
      </c>
      <c r="Y245">
        <f t="shared" si="88"/>
        <v>0.12222986415807567</v>
      </c>
      <c r="Z245">
        <f t="shared" si="89"/>
        <v>0.2405789601400973</v>
      </c>
      <c r="AA245" t="str">
        <f t="shared" si="90"/>
        <v>Low</v>
      </c>
      <c r="AB245">
        <f t="shared" si="91"/>
        <v>9.9633560318038841E-2</v>
      </c>
      <c r="AC245">
        <f t="shared" si="92"/>
        <v>0.22978496440126872</v>
      </c>
      <c r="AD245" t="str">
        <f t="shared" si="93"/>
        <v>Low</v>
      </c>
      <c r="AE245">
        <f t="shared" si="94"/>
        <v>2.2877834469141115E-2</v>
      </c>
      <c r="AF245">
        <f t="shared" si="95"/>
        <v>0.11737317249782613</v>
      </c>
      <c r="AG245" t="s">
        <v>1175</v>
      </c>
    </row>
    <row r="246" spans="1:33" x14ac:dyDescent="0.3">
      <c r="A246">
        <v>305682</v>
      </c>
      <c r="B246" t="s">
        <v>488</v>
      </c>
      <c r="C246" s="1" t="s">
        <v>778</v>
      </c>
      <c r="D246" t="s">
        <v>784</v>
      </c>
      <c r="E246" s="4">
        <v>5.9</v>
      </c>
      <c r="F246" s="3">
        <f t="shared" si="76"/>
        <v>0.60000000000000009</v>
      </c>
      <c r="G246">
        <v>84.769199999999998</v>
      </c>
      <c r="H246">
        <f t="shared" si="77"/>
        <v>0.82019290050889782</v>
      </c>
      <c r="I246">
        <v>200.3</v>
      </c>
      <c r="J246" s="3">
        <f t="shared" si="78"/>
        <v>0.921767142199724</v>
      </c>
      <c r="K246">
        <v>0</v>
      </c>
      <c r="L246" s="3">
        <f t="shared" si="79"/>
        <v>0</v>
      </c>
      <c r="M246">
        <v>54363</v>
      </c>
      <c r="N246">
        <f t="shared" si="80"/>
        <v>0.25608342441318555</v>
      </c>
      <c r="O246" s="15">
        <v>0.625180281</v>
      </c>
      <c r="P246">
        <f t="shared" si="81"/>
        <v>0.6373428325774706</v>
      </c>
      <c r="Q246">
        <v>0.29210000000000003</v>
      </c>
      <c r="R246">
        <f t="shared" si="82"/>
        <v>0.64752826424296173</v>
      </c>
      <c r="S246">
        <f t="shared" si="83"/>
        <v>0.19752217574241568</v>
      </c>
      <c r="T246" s="14">
        <f t="shared" si="84"/>
        <v>0.33731565124743312</v>
      </c>
      <c r="U246" t="str">
        <f t="shared" si="85"/>
        <v>Moderate</v>
      </c>
      <c r="V246">
        <f t="shared" si="86"/>
        <v>0.19908797376559639</v>
      </c>
      <c r="W246">
        <f t="shared" si="87"/>
        <v>0.29294305305500928</v>
      </c>
      <c r="X246" t="s">
        <v>1175</v>
      </c>
      <c r="Y246">
        <f t="shared" si="88"/>
        <v>0.19595637771923491</v>
      </c>
      <c r="Z246">
        <f t="shared" si="89"/>
        <v>0.38569118855883922</v>
      </c>
      <c r="AA246" t="str">
        <f t="shared" si="90"/>
        <v>Moderate</v>
      </c>
      <c r="AB246">
        <f t="shared" si="91"/>
        <v>0.15602494991564672</v>
      </c>
      <c r="AC246">
        <f t="shared" si="92"/>
        <v>0.35984047390892554</v>
      </c>
      <c r="AD246" t="str">
        <f t="shared" si="93"/>
        <v>Moderate</v>
      </c>
      <c r="AE246">
        <f t="shared" si="94"/>
        <v>7.8734987948335763E-2</v>
      </c>
      <c r="AF246">
        <f t="shared" si="95"/>
        <v>0.40394449634381052</v>
      </c>
      <c r="AG246" t="str">
        <f t="shared" si="97"/>
        <v>Moderate</v>
      </c>
    </row>
    <row r="247" spans="1:33" x14ac:dyDescent="0.3">
      <c r="A247">
        <v>305924</v>
      </c>
      <c r="B247" t="s">
        <v>179</v>
      </c>
      <c r="C247" s="1" t="s">
        <v>786</v>
      </c>
      <c r="D247" t="s">
        <v>785</v>
      </c>
      <c r="E247" s="4">
        <v>5.2</v>
      </c>
      <c r="F247" s="3">
        <f t="shared" si="76"/>
        <v>0.44444444444444442</v>
      </c>
      <c r="G247">
        <v>72.871200000000002</v>
      </c>
      <c r="H247">
        <f t="shared" si="77"/>
        <v>0.70507260764008628</v>
      </c>
      <c r="I247">
        <v>100.9</v>
      </c>
      <c r="J247" s="3">
        <f t="shared" si="78"/>
        <v>0.4643350207086977</v>
      </c>
      <c r="K247">
        <v>0</v>
      </c>
      <c r="L247" s="3">
        <f t="shared" si="79"/>
        <v>0</v>
      </c>
      <c r="M247">
        <v>21467</v>
      </c>
      <c r="N247">
        <f t="shared" si="80"/>
        <v>0.10043860271678187</v>
      </c>
      <c r="O247" s="15">
        <v>0.60924045900000001</v>
      </c>
      <c r="P247">
        <f t="shared" si="81"/>
        <v>0.62109290977438603</v>
      </c>
      <c r="Q247">
        <v>0.28189999999999998</v>
      </c>
      <c r="R247">
        <f t="shared" si="82"/>
        <v>0.62491686987364214</v>
      </c>
      <c r="S247">
        <f t="shared" si="83"/>
        <v>0.10380536470218117</v>
      </c>
      <c r="T247" s="14">
        <f t="shared" si="84"/>
        <v>0.17727211674276039</v>
      </c>
      <c r="U247" t="str">
        <f t="shared" si="85"/>
        <v>Low</v>
      </c>
      <c r="V247">
        <f t="shared" si="86"/>
        <v>0.10412393970792631</v>
      </c>
      <c r="W247">
        <f t="shared" si="87"/>
        <v>0.15321058433227491</v>
      </c>
      <c r="X247" t="s">
        <v>1176</v>
      </c>
      <c r="Y247">
        <f t="shared" si="88"/>
        <v>0.10348678969643602</v>
      </c>
      <c r="Z247">
        <f t="shared" si="89"/>
        <v>0.20368789922900846</v>
      </c>
      <c r="AA247" t="str">
        <f t="shared" si="90"/>
        <v>Low</v>
      </c>
      <c r="AB247">
        <f t="shared" si="91"/>
        <v>7.3346710162529985E-2</v>
      </c>
      <c r="AC247">
        <f t="shared" si="92"/>
        <v>0.16915957966219225</v>
      </c>
      <c r="AD247" t="str">
        <f t="shared" si="93"/>
        <v>Low</v>
      </c>
      <c r="AE247">
        <f t="shared" si="94"/>
        <v>1.6735126730928505E-2</v>
      </c>
      <c r="AF247">
        <f t="shared" si="95"/>
        <v>8.5858428568129905E-2</v>
      </c>
      <c r="AG247" t="s">
        <v>1175</v>
      </c>
    </row>
    <row r="248" spans="1:33" x14ac:dyDescent="0.3">
      <c r="A248">
        <v>305944</v>
      </c>
      <c r="B248" t="s">
        <v>305</v>
      </c>
      <c r="C248" s="1" t="s">
        <v>786</v>
      </c>
      <c r="D248" t="s">
        <v>787</v>
      </c>
      <c r="E248" s="4">
        <v>5.2</v>
      </c>
      <c r="F248" s="3">
        <f t="shared" si="76"/>
        <v>0.44444444444444442</v>
      </c>
      <c r="G248">
        <v>83.533680000000004</v>
      </c>
      <c r="H248">
        <f t="shared" si="77"/>
        <v>0.8082385027743817</v>
      </c>
      <c r="I248">
        <v>160</v>
      </c>
      <c r="J248" s="3">
        <f t="shared" si="78"/>
        <v>0.73630924988495172</v>
      </c>
      <c r="K248">
        <v>0</v>
      </c>
      <c r="L248" s="3">
        <f t="shared" si="79"/>
        <v>0</v>
      </c>
      <c r="M248">
        <v>27501</v>
      </c>
      <c r="N248">
        <f t="shared" si="80"/>
        <v>0.12898799638519443</v>
      </c>
      <c r="O248" s="15">
        <v>0.28230792300000002</v>
      </c>
      <c r="P248">
        <f t="shared" si="81"/>
        <v>0.28780007426990883</v>
      </c>
      <c r="Q248">
        <v>0.2928</v>
      </c>
      <c r="R248">
        <f t="shared" si="82"/>
        <v>0.64908002660164044</v>
      </c>
      <c r="S248">
        <f t="shared" si="83"/>
        <v>9.7967938858663728E-2</v>
      </c>
      <c r="T248" s="14">
        <f t="shared" si="84"/>
        <v>0.16730333681912041</v>
      </c>
      <c r="U248" t="str">
        <f t="shared" si="85"/>
        <v>Low</v>
      </c>
      <c r="V248">
        <f t="shared" si="86"/>
        <v>0.13574636135687909</v>
      </c>
      <c r="W248">
        <f t="shared" si="87"/>
        <v>0.19974061107183003</v>
      </c>
      <c r="X248" t="s">
        <v>1176</v>
      </c>
      <c r="Y248">
        <f t="shared" si="88"/>
        <v>6.0189516360448343E-2</v>
      </c>
      <c r="Z248">
        <f t="shared" si="89"/>
        <v>0.11846803035471858</v>
      </c>
      <c r="AA248" t="str">
        <f t="shared" si="90"/>
        <v>No Impact</v>
      </c>
      <c r="AB248">
        <f t="shared" si="91"/>
        <v>7.5009718250051663E-2</v>
      </c>
      <c r="AC248">
        <f t="shared" si="92"/>
        <v>0.17299497662051017</v>
      </c>
      <c r="AD248" t="str">
        <f t="shared" si="93"/>
        <v>Low</v>
      </c>
      <c r="AE248">
        <f t="shared" si="94"/>
        <v>2.6976105334312814E-2</v>
      </c>
      <c r="AF248">
        <f t="shared" si="95"/>
        <v>0.13839907221090644</v>
      </c>
      <c r="AG248" t="s">
        <v>1175</v>
      </c>
    </row>
    <row r="249" spans="1:33" x14ac:dyDescent="0.3">
      <c r="A249">
        <v>305956</v>
      </c>
      <c r="B249" t="s">
        <v>353</v>
      </c>
      <c r="C249" s="1" t="s">
        <v>786</v>
      </c>
      <c r="D249" t="s">
        <v>788</v>
      </c>
      <c r="E249" s="4">
        <v>5.3</v>
      </c>
      <c r="F249" s="3">
        <f t="shared" si="76"/>
        <v>0.46666666666666656</v>
      </c>
      <c r="G249">
        <v>83.533680000000004</v>
      </c>
      <c r="H249">
        <f t="shared" si="77"/>
        <v>0.8082385027743817</v>
      </c>
      <c r="I249">
        <v>94.3</v>
      </c>
      <c r="J249" s="3">
        <f t="shared" si="78"/>
        <v>0.43396226415094341</v>
      </c>
      <c r="K249">
        <v>0</v>
      </c>
      <c r="L249" s="3">
        <f t="shared" si="79"/>
        <v>0</v>
      </c>
      <c r="M249">
        <v>39821</v>
      </c>
      <c r="N249">
        <f t="shared" si="80"/>
        <v>0.18727910178705767</v>
      </c>
      <c r="O249" s="15">
        <v>0.53216020100000005</v>
      </c>
      <c r="P249">
        <f t="shared" si="81"/>
        <v>0.5425130961389617</v>
      </c>
      <c r="Q249">
        <v>0.29459999999999997</v>
      </c>
      <c r="R249">
        <f t="shared" si="82"/>
        <v>0.65307027266681439</v>
      </c>
      <c r="S249">
        <f t="shared" si="83"/>
        <v>0.11440198418129743</v>
      </c>
      <c r="T249" s="14">
        <f t="shared" si="84"/>
        <v>0.19536834106382417</v>
      </c>
      <c r="U249" t="str">
        <f t="shared" si="85"/>
        <v>Low</v>
      </c>
      <c r="V249">
        <f t="shared" si="86"/>
        <v>0.12498088707528957</v>
      </c>
      <c r="W249">
        <f t="shared" si="87"/>
        <v>0.18390002138685432</v>
      </c>
      <c r="X249" t="s">
        <v>1176</v>
      </c>
      <c r="Y249">
        <f t="shared" si="88"/>
        <v>0.10382308128730527</v>
      </c>
      <c r="Z249">
        <f t="shared" si="89"/>
        <v>0.20434980523530619</v>
      </c>
      <c r="AA249" t="str">
        <f t="shared" si="90"/>
        <v>Low</v>
      </c>
      <c r="AB249">
        <f t="shared" si="91"/>
        <v>8.743437940268646E-2</v>
      </c>
      <c r="AC249">
        <f t="shared" si="92"/>
        <v>0.20164998314183297</v>
      </c>
      <c r="AD249" t="str">
        <f t="shared" si="93"/>
        <v>Low</v>
      </c>
      <c r="AE249">
        <f t="shared" si="94"/>
        <v>3.5840412971838674E-2</v>
      </c>
      <c r="AF249">
        <f t="shared" si="95"/>
        <v>0.18387679917044505</v>
      </c>
      <c r="AG249" t="s">
        <v>1175</v>
      </c>
    </row>
    <row r="250" spans="1:33" x14ac:dyDescent="0.3">
      <c r="A250">
        <v>305974</v>
      </c>
      <c r="B250" t="s">
        <v>468</v>
      </c>
      <c r="C250" s="1" t="s">
        <v>786</v>
      </c>
      <c r="D250" t="s">
        <v>789</v>
      </c>
      <c r="E250" s="4">
        <v>5.2</v>
      </c>
      <c r="F250" s="3">
        <f t="shared" si="76"/>
        <v>0.44444444444444442</v>
      </c>
      <c r="G250">
        <v>83.837519999999998</v>
      </c>
      <c r="H250">
        <f t="shared" si="77"/>
        <v>0.81117833718228705</v>
      </c>
      <c r="I250">
        <v>157.4</v>
      </c>
      <c r="J250" s="3">
        <f t="shared" si="78"/>
        <v>0.72434422457432135</v>
      </c>
      <c r="K250">
        <v>0</v>
      </c>
      <c r="L250" s="3">
        <f t="shared" si="79"/>
        <v>0</v>
      </c>
      <c r="M250">
        <v>40362</v>
      </c>
      <c r="N250">
        <f t="shared" si="80"/>
        <v>0.18983880049017521</v>
      </c>
      <c r="O250" s="15">
        <v>0.55912915399999996</v>
      </c>
      <c r="P250">
        <f t="shared" si="81"/>
        <v>0.57000671585002327</v>
      </c>
      <c r="Q250">
        <v>0.29099999999999998</v>
      </c>
      <c r="R250">
        <f t="shared" si="82"/>
        <v>0.64508978053646637</v>
      </c>
      <c r="S250">
        <f t="shared" si="83"/>
        <v>0.12673191290523012</v>
      </c>
      <c r="T250" s="14">
        <f t="shared" si="84"/>
        <v>0.21642459928756685</v>
      </c>
      <c r="U250" t="str">
        <f t="shared" si="85"/>
        <v>Low</v>
      </c>
      <c r="V250">
        <f t="shared" si="86"/>
        <v>0.1345629127005529</v>
      </c>
      <c r="W250">
        <f t="shared" si="87"/>
        <v>0.19799925494689291</v>
      </c>
      <c r="X250" t="s">
        <v>1176</v>
      </c>
      <c r="Y250">
        <f t="shared" si="88"/>
        <v>0.1189009131099073</v>
      </c>
      <c r="Z250">
        <f t="shared" si="89"/>
        <v>0.23402675142218618</v>
      </c>
      <c r="AA250" t="str">
        <f t="shared" si="90"/>
        <v>Low</v>
      </c>
      <c r="AB250">
        <f t="shared" si="91"/>
        <v>9.6627134206372048E-2</v>
      </c>
      <c r="AC250">
        <f t="shared" si="92"/>
        <v>0.22285124131801037</v>
      </c>
      <c r="AD250" t="str">
        <f t="shared" si="93"/>
        <v>Low</v>
      </c>
      <c r="AE250">
        <f t="shared" si="94"/>
        <v>3.9599545223446733E-2</v>
      </c>
      <c r="AF250">
        <f t="shared" si="95"/>
        <v>0.20316277131108965</v>
      </c>
      <c r="AG250" t="s">
        <v>1175</v>
      </c>
    </row>
    <row r="251" spans="1:33" x14ac:dyDescent="0.3">
      <c r="A251">
        <v>305984</v>
      </c>
      <c r="B251" t="s">
        <v>498</v>
      </c>
      <c r="C251" s="1" t="s">
        <v>786</v>
      </c>
      <c r="D251" t="s">
        <v>790</v>
      </c>
      <c r="E251" s="4">
        <v>5.2</v>
      </c>
      <c r="F251" s="3">
        <f t="shared" si="76"/>
        <v>0.44444444444444442</v>
      </c>
      <c r="G251">
        <v>83.837519999999998</v>
      </c>
      <c r="H251">
        <f t="shared" si="77"/>
        <v>0.81117833718228705</v>
      </c>
      <c r="I251">
        <v>160</v>
      </c>
      <c r="J251" s="3">
        <f t="shared" si="78"/>
        <v>0.73630924988495172</v>
      </c>
      <c r="K251">
        <v>0</v>
      </c>
      <c r="L251" s="3">
        <f t="shared" si="79"/>
        <v>0</v>
      </c>
      <c r="M251">
        <v>39492</v>
      </c>
      <c r="N251">
        <f t="shared" si="80"/>
        <v>0.18572246431325792</v>
      </c>
      <c r="O251" s="15">
        <v>0.53890206299999999</v>
      </c>
      <c r="P251">
        <f t="shared" si="81"/>
        <v>0.54938611749698241</v>
      </c>
      <c r="Q251">
        <v>0.30709999999999998</v>
      </c>
      <c r="R251">
        <f t="shared" si="82"/>
        <v>0.68078031478607848</v>
      </c>
      <c r="S251">
        <f t="shared" si="83"/>
        <v>0.12895785088807413</v>
      </c>
      <c r="T251" s="14">
        <f t="shared" si="84"/>
        <v>0.22022591282361551</v>
      </c>
      <c r="U251" t="str">
        <f t="shared" si="85"/>
        <v>Low</v>
      </c>
      <c r="V251">
        <f t="shared" si="86"/>
        <v>0.14273185158984791</v>
      </c>
      <c r="W251">
        <f t="shared" si="87"/>
        <v>0.21001923713460358</v>
      </c>
      <c r="X251" t="s">
        <v>1176</v>
      </c>
      <c r="Y251">
        <f t="shared" si="88"/>
        <v>0.11518385018630034</v>
      </c>
      <c r="Z251">
        <f t="shared" si="89"/>
        <v>0.2267106414101504</v>
      </c>
      <c r="AA251" t="str">
        <f t="shared" si="90"/>
        <v>Low</v>
      </c>
      <c r="AB251">
        <f t="shared" si="91"/>
        <v>9.8139750826129343E-2</v>
      </c>
      <c r="AC251">
        <f t="shared" si="92"/>
        <v>0.22633979030706791</v>
      </c>
      <c r="AD251" t="str">
        <f t="shared" si="93"/>
        <v>Low</v>
      </c>
      <c r="AE251">
        <f t="shared" si="94"/>
        <v>3.8938422039407117E-2</v>
      </c>
      <c r="AF251">
        <f t="shared" si="95"/>
        <v>0.19977092381663983</v>
      </c>
      <c r="AG251" t="s">
        <v>1175</v>
      </c>
    </row>
    <row r="252" spans="1:33" x14ac:dyDescent="0.3">
      <c r="A252">
        <v>305994</v>
      </c>
      <c r="B252" t="s">
        <v>524</v>
      </c>
      <c r="C252" s="1" t="s">
        <v>786</v>
      </c>
      <c r="D252" t="s">
        <v>791</v>
      </c>
      <c r="E252" s="4">
        <v>5.2</v>
      </c>
      <c r="F252" s="3">
        <f t="shared" si="76"/>
        <v>0.44444444444444442</v>
      </c>
      <c r="G252">
        <v>83.533680000000004</v>
      </c>
      <c r="H252">
        <f t="shared" si="77"/>
        <v>0.8082385027743817</v>
      </c>
      <c r="I252">
        <v>94.3</v>
      </c>
      <c r="J252" s="3">
        <f t="shared" si="78"/>
        <v>0.43396226415094341</v>
      </c>
      <c r="K252">
        <v>0</v>
      </c>
      <c r="L252" s="3">
        <f t="shared" si="79"/>
        <v>0</v>
      </c>
      <c r="M252">
        <v>26166</v>
      </c>
      <c r="N252">
        <f t="shared" si="80"/>
        <v>0.12267154949302825</v>
      </c>
      <c r="O252" s="15">
        <v>0.40489400199999998</v>
      </c>
      <c r="P252">
        <f t="shared" si="81"/>
        <v>0.41277100057528526</v>
      </c>
      <c r="Q252">
        <v>0.30030000000000001</v>
      </c>
      <c r="R252">
        <f t="shared" si="82"/>
        <v>0.66570605187319887</v>
      </c>
      <c r="S252">
        <f t="shared" si="83"/>
        <v>9.8282297769349436E-2</v>
      </c>
      <c r="T252" s="14">
        <f t="shared" si="84"/>
        <v>0.16784017872198434</v>
      </c>
      <c r="U252" t="str">
        <f t="shared" si="85"/>
        <v>Low</v>
      </c>
      <c r="V252">
        <f t="shared" si="86"/>
        <v>0.12133242940778285</v>
      </c>
      <c r="W252">
        <f t="shared" si="87"/>
        <v>0.17853158899063259</v>
      </c>
      <c r="X252" t="s">
        <v>1176</v>
      </c>
      <c r="Y252">
        <f t="shared" si="88"/>
        <v>7.5232166130916017E-2</v>
      </c>
      <c r="Z252">
        <f t="shared" si="89"/>
        <v>0.14807572945884692</v>
      </c>
      <c r="AA252" t="str">
        <f t="shared" si="90"/>
        <v>No Impact</v>
      </c>
      <c r="AB252">
        <f t="shared" si="91"/>
        <v>7.2861395405278417E-2</v>
      </c>
      <c r="AC252">
        <f t="shared" si="92"/>
        <v>0.16804029782721128</v>
      </c>
      <c r="AD252" t="str">
        <f t="shared" si="93"/>
        <v>Low</v>
      </c>
      <c r="AE252">
        <f t="shared" si="94"/>
        <v>2.2358272209370339E-2</v>
      </c>
      <c r="AF252">
        <f t="shared" si="95"/>
        <v>0.11470759368958305</v>
      </c>
      <c r="AG252" t="s">
        <v>1175</v>
      </c>
    </row>
    <row r="253" spans="1:33" x14ac:dyDescent="0.3">
      <c r="A253">
        <v>306702</v>
      </c>
      <c r="B253" t="s">
        <v>12</v>
      </c>
      <c r="C253" s="1" t="s">
        <v>793</v>
      </c>
      <c r="D253" t="s">
        <v>792</v>
      </c>
      <c r="E253" s="4">
        <v>4.4000000000000004</v>
      </c>
      <c r="F253" s="3">
        <f t="shared" si="76"/>
        <v>0.26666666666666672</v>
      </c>
      <c r="G253">
        <v>70.606080000000006</v>
      </c>
      <c r="H253">
        <f t="shared" si="77"/>
        <v>0.68315621179347319</v>
      </c>
      <c r="I253">
        <v>113.8</v>
      </c>
      <c r="J253" s="3">
        <f t="shared" si="78"/>
        <v>0.52369995398067193</v>
      </c>
      <c r="K253">
        <v>0</v>
      </c>
      <c r="L253" s="3">
        <f t="shared" si="79"/>
        <v>0</v>
      </c>
      <c r="M253">
        <v>60872</v>
      </c>
      <c r="N253">
        <f t="shared" si="80"/>
        <v>0.28688024300577708</v>
      </c>
      <c r="O253" s="15">
        <v>0.70161208200000003</v>
      </c>
      <c r="P253">
        <f t="shared" si="81"/>
        <v>0.71526157382506528</v>
      </c>
      <c r="Q253">
        <v>0.29599999999999999</v>
      </c>
      <c r="R253">
        <f t="shared" si="82"/>
        <v>0.65617379738417203</v>
      </c>
      <c r="S253">
        <f t="shared" si="83"/>
        <v>6.9120795376520008E-2</v>
      </c>
      <c r="T253" s="14">
        <f t="shared" si="84"/>
        <v>0.11804004294473079</v>
      </c>
      <c r="U253" t="str">
        <f t="shared" si="85"/>
        <v>No Impact</v>
      </c>
      <c r="V253">
        <f t="shared" si="86"/>
        <v>6.6142751940887035E-2</v>
      </c>
      <c r="W253">
        <f t="shared" si="87"/>
        <v>9.7324109159083155E-2</v>
      </c>
      <c r="X253" t="s">
        <v>1176</v>
      </c>
      <c r="Y253">
        <f t="shared" si="88"/>
        <v>7.2098838812152982E-2</v>
      </c>
      <c r="Z253">
        <f t="shared" si="89"/>
        <v>0.14190855719436915</v>
      </c>
      <c r="AA253" t="str">
        <f t="shared" si="90"/>
        <v>No Impact</v>
      </c>
      <c r="AB253">
        <f t="shared" si="91"/>
        <v>5.4900816079286159E-2</v>
      </c>
      <c r="AC253">
        <f t="shared" si="92"/>
        <v>0.12661779854207753</v>
      </c>
      <c r="AD253" t="str">
        <f t="shared" si="93"/>
        <v>No Impact</v>
      </c>
      <c r="AE253">
        <f t="shared" si="94"/>
        <v>2.8917717875227997E-2</v>
      </c>
      <c r="AF253">
        <f t="shared" si="95"/>
        <v>0.14836038319058745</v>
      </c>
      <c r="AG253" t="s">
        <v>1175</v>
      </c>
    </row>
    <row r="254" spans="1:33" x14ac:dyDescent="0.3">
      <c r="A254">
        <v>306704</v>
      </c>
      <c r="B254" t="s">
        <v>494</v>
      </c>
      <c r="C254" s="1" t="s">
        <v>793</v>
      </c>
      <c r="D254" t="s">
        <v>794</v>
      </c>
      <c r="E254" s="4">
        <v>4.3</v>
      </c>
      <c r="F254" s="3">
        <f t="shared" si="76"/>
        <v>0.24444444444444435</v>
      </c>
      <c r="G254">
        <v>72.871200000000002</v>
      </c>
      <c r="H254">
        <f t="shared" si="77"/>
        <v>0.70507260764008628</v>
      </c>
      <c r="I254">
        <v>110.39999999999999</v>
      </c>
      <c r="J254" s="3">
        <f t="shared" si="78"/>
        <v>0.50805338242061671</v>
      </c>
      <c r="K254">
        <v>0</v>
      </c>
      <c r="L254" s="3">
        <f t="shared" si="79"/>
        <v>0</v>
      </c>
      <c r="M254">
        <v>54149</v>
      </c>
      <c r="N254">
        <f t="shared" si="80"/>
        <v>0.25507090034208174</v>
      </c>
      <c r="O254" s="15">
        <v>0.50891207000000005</v>
      </c>
      <c r="P254">
        <f t="shared" si="81"/>
        <v>0.5188126850511845</v>
      </c>
      <c r="Q254">
        <v>0.28599999999999998</v>
      </c>
      <c r="R254">
        <f t="shared" si="82"/>
        <v>0.63400576368876072</v>
      </c>
      <c r="S254">
        <f t="shared" si="83"/>
        <v>5.4054848998982614E-2</v>
      </c>
      <c r="T254" s="14">
        <f t="shared" si="84"/>
        <v>9.2311389972493246E-2</v>
      </c>
      <c r="U254" t="str">
        <f t="shared" si="85"/>
        <v>No Impact</v>
      </c>
      <c r="V254">
        <f t="shared" si="86"/>
        <v>5.9456171712275477E-2</v>
      </c>
      <c r="W254">
        <f t="shared" si="87"/>
        <v>8.7485306796400097E-2</v>
      </c>
      <c r="X254" t="s">
        <v>1176</v>
      </c>
      <c r="Y254">
        <f t="shared" si="88"/>
        <v>4.8653526285689759E-2</v>
      </c>
      <c r="Z254">
        <f t="shared" si="89"/>
        <v>9.5762315057655964E-2</v>
      </c>
      <c r="AA254" t="str">
        <f t="shared" si="90"/>
        <v>No Impact</v>
      </c>
      <c r="AB254">
        <f t="shared" si="91"/>
        <v>4.3777784993444528E-2</v>
      </c>
      <c r="AC254">
        <f t="shared" si="92"/>
        <v>0.10096474254432279</v>
      </c>
      <c r="AD254" t="str">
        <f t="shared" si="93"/>
        <v>No Impact</v>
      </c>
      <c r="AE254">
        <f t="shared" si="94"/>
        <v>2.3920191452689102E-2</v>
      </c>
      <c r="AF254">
        <f t="shared" si="95"/>
        <v>0.12272091405087028</v>
      </c>
      <c r="AG254" t="s">
        <v>1175</v>
      </c>
    </row>
    <row r="255" spans="1:33" x14ac:dyDescent="0.3">
      <c r="A255">
        <v>306706</v>
      </c>
      <c r="B255" t="s">
        <v>41</v>
      </c>
      <c r="C255" s="1" t="s">
        <v>793</v>
      </c>
      <c r="D255" t="s">
        <v>795</v>
      </c>
      <c r="E255" s="4">
        <v>4.4000000000000004</v>
      </c>
      <c r="F255" s="3">
        <f t="shared" si="76"/>
        <v>0.26666666666666672</v>
      </c>
      <c r="G255">
        <v>72.871200000000002</v>
      </c>
      <c r="H255">
        <f t="shared" si="77"/>
        <v>0.70507260764008628</v>
      </c>
      <c r="I255">
        <v>107.6</v>
      </c>
      <c r="J255" s="3">
        <f t="shared" si="78"/>
        <v>0.49516797054763001</v>
      </c>
      <c r="K255">
        <v>0</v>
      </c>
      <c r="L255" s="3">
        <f t="shared" si="79"/>
        <v>0</v>
      </c>
      <c r="M255">
        <v>35234</v>
      </c>
      <c r="N255">
        <f t="shared" si="80"/>
        <v>0.16557607415082823</v>
      </c>
      <c r="O255" s="15">
        <v>0.52486074599999999</v>
      </c>
      <c r="P255">
        <f t="shared" si="81"/>
        <v>0.53507163410415415</v>
      </c>
      <c r="Q255">
        <v>0.25850000000000001</v>
      </c>
      <c r="R255">
        <f t="shared" si="82"/>
        <v>0.57304367102637999</v>
      </c>
      <c r="S255">
        <f t="shared" si="83"/>
        <v>5.6301512060874831E-2</v>
      </c>
      <c r="T255" s="14">
        <f t="shared" si="84"/>
        <v>9.6148096463839303E-2</v>
      </c>
      <c r="U255" t="str">
        <f t="shared" si="85"/>
        <v>No Impact</v>
      </c>
      <c r="V255">
        <f t="shared" si="86"/>
        <v>5.823080866462569E-2</v>
      </c>
      <c r="W255">
        <f t="shared" si="87"/>
        <v>8.5682276781629069E-2</v>
      </c>
      <c r="X255" t="s">
        <v>1176</v>
      </c>
      <c r="Y255">
        <f t="shared" si="88"/>
        <v>5.4372215457123979E-2</v>
      </c>
      <c r="Z255">
        <f t="shared" si="89"/>
        <v>0.10701812642343486</v>
      </c>
      <c r="AA255" t="str">
        <f t="shared" si="90"/>
        <v>No Impact</v>
      </c>
      <c r="AB255">
        <f t="shared" si="91"/>
        <v>4.2581300846716783E-2</v>
      </c>
      <c r="AC255">
        <f t="shared" si="92"/>
        <v>9.8205290145102042E-2</v>
      </c>
      <c r="AD255" t="str">
        <f t="shared" si="93"/>
        <v>No Impact</v>
      </c>
      <c r="AE255">
        <f t="shared" si="94"/>
        <v>1.6825294791316007E-2</v>
      </c>
      <c r="AF255">
        <f t="shared" si="95"/>
        <v>8.6321029664397642E-2</v>
      </c>
      <c r="AG255" t="s">
        <v>1175</v>
      </c>
    </row>
    <row r="256" spans="1:33" x14ac:dyDescent="0.3">
      <c r="A256">
        <v>306758</v>
      </c>
      <c r="B256" t="s">
        <v>372</v>
      </c>
      <c r="C256" s="1" t="s">
        <v>793</v>
      </c>
      <c r="D256" t="s">
        <v>796</v>
      </c>
      <c r="E256" s="4">
        <v>4.4000000000000004</v>
      </c>
      <c r="F256" s="3">
        <f t="shared" si="76"/>
        <v>0.26666666666666672</v>
      </c>
      <c r="G256">
        <v>83.533680000000004</v>
      </c>
      <c r="H256">
        <f t="shared" si="77"/>
        <v>0.8082385027743817</v>
      </c>
      <c r="I256">
        <v>107.6</v>
      </c>
      <c r="J256" s="3">
        <f t="shared" si="78"/>
        <v>0.49516797054763001</v>
      </c>
      <c r="K256">
        <v>0</v>
      </c>
      <c r="L256" s="3">
        <f t="shared" si="79"/>
        <v>0</v>
      </c>
      <c r="M256">
        <v>84610</v>
      </c>
      <c r="N256">
        <f t="shared" si="80"/>
        <v>0.39919471216400998</v>
      </c>
      <c r="O256" s="15">
        <v>0.46695383899999998</v>
      </c>
      <c r="P256">
        <f t="shared" si="81"/>
        <v>0.47603817886761551</v>
      </c>
      <c r="Q256">
        <v>0.19969999999999999</v>
      </c>
      <c r="R256">
        <f t="shared" si="82"/>
        <v>0.44269563289736197</v>
      </c>
      <c r="S256">
        <f t="shared" si="83"/>
        <v>5.1734390346224124E-2</v>
      </c>
      <c r="T256" s="14">
        <f t="shared" si="84"/>
        <v>8.8348660123523229E-2</v>
      </c>
      <c r="U256" t="str">
        <f t="shared" si="85"/>
        <v>No Impact</v>
      </c>
      <c r="V256">
        <f t="shared" si="86"/>
        <v>4.9856853821201481E-2</v>
      </c>
      <c r="W256">
        <f t="shared" si="87"/>
        <v>7.3360628961426186E-2</v>
      </c>
      <c r="X256" t="s">
        <v>1176</v>
      </c>
      <c r="Y256">
        <f t="shared" si="88"/>
        <v>5.3611926871246766E-2</v>
      </c>
      <c r="Z256">
        <f t="shared" si="89"/>
        <v>0.10552168822760921</v>
      </c>
      <c r="AA256" t="str">
        <f t="shared" si="90"/>
        <v>No Impact</v>
      </c>
      <c r="AB256">
        <f t="shared" si="91"/>
        <v>4.9268683722734921E-2</v>
      </c>
      <c r="AC256">
        <f t="shared" si="92"/>
        <v>0.11362840692621808</v>
      </c>
      <c r="AD256" t="str">
        <f t="shared" si="93"/>
        <v>No Impact</v>
      </c>
      <c r="AE256">
        <f t="shared" si="94"/>
        <v>4.4957733782686811E-2</v>
      </c>
      <c r="AF256">
        <f t="shared" si="95"/>
        <v>0.23065259299363872</v>
      </c>
      <c r="AG256" t="s">
        <v>1175</v>
      </c>
    </row>
    <row r="257" spans="1:33" x14ac:dyDescent="0.3">
      <c r="A257">
        <v>306768</v>
      </c>
      <c r="B257" t="s">
        <v>447</v>
      </c>
      <c r="C257" s="1" t="s">
        <v>793</v>
      </c>
      <c r="D257" t="s">
        <v>797</v>
      </c>
      <c r="E257" s="4">
        <v>4.4000000000000004</v>
      </c>
      <c r="F257" s="3">
        <f t="shared" si="76"/>
        <v>0.26666666666666672</v>
      </c>
      <c r="G257">
        <v>79.314840000000004</v>
      </c>
      <c r="H257">
        <f t="shared" si="77"/>
        <v>0.76741869302764631</v>
      </c>
      <c r="I257">
        <v>119.1</v>
      </c>
      <c r="J257" s="3">
        <f t="shared" si="78"/>
        <v>0.54809019788311097</v>
      </c>
      <c r="K257">
        <v>0</v>
      </c>
      <c r="L257" s="3">
        <f t="shared" si="79"/>
        <v>0</v>
      </c>
      <c r="M257">
        <v>72027</v>
      </c>
      <c r="N257">
        <f t="shared" si="80"/>
        <v>0.33965924306728551</v>
      </c>
      <c r="O257" s="15">
        <v>0.206893675</v>
      </c>
      <c r="P257">
        <f t="shared" si="81"/>
        <v>0.21091868197753122</v>
      </c>
      <c r="Q257">
        <v>0.25769999999999998</v>
      </c>
      <c r="R257">
        <f t="shared" si="82"/>
        <v>0.57127022833074703</v>
      </c>
      <c r="S257">
        <f t="shared" si="83"/>
        <v>4.3446476190182264E-2</v>
      </c>
      <c r="T257" s="14">
        <f t="shared" si="84"/>
        <v>7.4195094071912812E-2</v>
      </c>
      <c r="U257" t="str">
        <f t="shared" si="85"/>
        <v>No Impact</v>
      </c>
      <c r="V257">
        <f t="shared" si="86"/>
        <v>6.3462107545221511E-2</v>
      </c>
      <c r="W257">
        <f t="shared" si="87"/>
        <v>9.3379741558327761E-2</v>
      </c>
      <c r="X257" t="s">
        <v>1176</v>
      </c>
      <c r="Y257">
        <f t="shared" si="88"/>
        <v>2.3430844835143027E-2</v>
      </c>
      <c r="Z257">
        <f t="shared" si="89"/>
        <v>4.6117766099719966E-2</v>
      </c>
      <c r="AA257" t="str">
        <f t="shared" si="90"/>
        <v>No Impact</v>
      </c>
      <c r="AB257">
        <f t="shared" si="91"/>
        <v>4.2447389079827542E-2</v>
      </c>
      <c r="AC257">
        <f t="shared" si="92"/>
        <v>9.7896449323903525E-2</v>
      </c>
      <c r="AD257" t="str">
        <f t="shared" si="93"/>
        <v>No Impact</v>
      </c>
      <c r="AE257">
        <f t="shared" si="94"/>
        <v>3.7732565681306035E-2</v>
      </c>
      <c r="AF257">
        <f t="shared" si="95"/>
        <v>0.19358435985150976</v>
      </c>
      <c r="AG257" t="s">
        <v>1175</v>
      </c>
    </row>
    <row r="258" spans="1:33" x14ac:dyDescent="0.3">
      <c r="A258">
        <v>306807</v>
      </c>
      <c r="B258" t="s">
        <v>59</v>
      </c>
      <c r="C258" s="1" t="s">
        <v>799</v>
      </c>
      <c r="D258" t="s">
        <v>798</v>
      </c>
      <c r="E258" s="4">
        <v>4.4000000000000004</v>
      </c>
      <c r="F258" s="3">
        <f t="shared" si="76"/>
        <v>0.26666666666666672</v>
      </c>
      <c r="G258">
        <v>68.646240000000006</v>
      </c>
      <c r="H258">
        <f t="shared" si="77"/>
        <v>0.66419358321925803</v>
      </c>
      <c r="I258">
        <v>123.2</v>
      </c>
      <c r="J258" s="3">
        <f t="shared" si="78"/>
        <v>0.56695812241141286</v>
      </c>
      <c r="K258">
        <v>0</v>
      </c>
      <c r="L258" s="3">
        <f t="shared" si="79"/>
        <v>0</v>
      </c>
      <c r="M258">
        <v>27160</v>
      </c>
      <c r="N258">
        <f t="shared" si="80"/>
        <v>0.12737458186067857</v>
      </c>
      <c r="O258" s="15">
        <v>0.289853113</v>
      </c>
      <c r="P258">
        <f t="shared" si="81"/>
        <v>0.29549205194912037</v>
      </c>
      <c r="Q258">
        <v>0.38819999999999999</v>
      </c>
      <c r="R258">
        <f t="shared" si="82"/>
        <v>0.86056306805586347</v>
      </c>
      <c r="S258">
        <f t="shared" si="83"/>
        <v>5.8429963342727612E-2</v>
      </c>
      <c r="T258" s="14">
        <f t="shared" si="84"/>
        <v>9.978292849010699E-2</v>
      </c>
      <c r="U258" t="str">
        <f t="shared" si="85"/>
        <v>No Impact</v>
      </c>
      <c r="V258">
        <f t="shared" si="86"/>
        <v>8.699008836255584E-2</v>
      </c>
      <c r="W258">
        <f t="shared" si="87"/>
        <v>0.12799940442638519</v>
      </c>
      <c r="X258" t="s">
        <v>1176</v>
      </c>
      <c r="Y258">
        <f t="shared" si="88"/>
        <v>2.9869838322899408E-2</v>
      </c>
      <c r="Z258">
        <f t="shared" si="89"/>
        <v>5.8791316612955495E-2</v>
      </c>
      <c r="AA258" t="str">
        <f t="shared" si="90"/>
        <v>No Impact</v>
      </c>
      <c r="AB258">
        <f t="shared" si="91"/>
        <v>4.3913966945209874E-2</v>
      </c>
      <c r="AC258">
        <f t="shared" si="92"/>
        <v>0.1012788190948205</v>
      </c>
      <c r="AD258" t="str">
        <f t="shared" si="93"/>
        <v>No Impact</v>
      </c>
      <c r="AE258">
        <f t="shared" si="94"/>
        <v>1.2875670061272895E-2</v>
      </c>
      <c r="AF258">
        <f t="shared" si="95"/>
        <v>6.6057748829564597E-2</v>
      </c>
      <c r="AG258" t="str">
        <f t="shared" ref="AG258:AG259" si="102">IF(AF258&gt;0.7,"High",IF(AF258&gt;0.3,"Moderate",IF(AF258&gt;0.15,"Low","No Impact")))</f>
        <v>No Impact</v>
      </c>
    </row>
    <row r="259" spans="1:33" x14ac:dyDescent="0.3">
      <c r="A259">
        <v>306852</v>
      </c>
      <c r="B259" t="s">
        <v>321</v>
      </c>
      <c r="C259" s="1" t="s">
        <v>799</v>
      </c>
      <c r="D259" t="s">
        <v>800</v>
      </c>
      <c r="E259" s="4">
        <v>4.5</v>
      </c>
      <c r="F259" s="3">
        <f t="shared" ref="F259:F322" si="103">(E259-$AJ$5)/$AK$5</f>
        <v>0.28888888888888886</v>
      </c>
      <c r="G259">
        <v>65.607119999999995</v>
      </c>
      <c r="H259">
        <f t="shared" ref="H259:H322" si="104">(G259-$AJ$6)/$AK$6</f>
        <v>0.63478827270795668</v>
      </c>
      <c r="I259">
        <v>129.20000000000002</v>
      </c>
      <c r="J259" s="3">
        <f t="shared" ref="J259:J322" si="105">(I259-$AJ$7)/$AK$7</f>
        <v>0.59456971928209856</v>
      </c>
      <c r="K259">
        <v>0</v>
      </c>
      <c r="L259" s="3">
        <f t="shared" ref="L259:L322" si="106">(K259-$AJ$8)/$AK$8</f>
        <v>0</v>
      </c>
      <c r="M259">
        <v>22807</v>
      </c>
      <c r="N259">
        <f t="shared" ref="N259:N322" si="107">(M259-$AJ$9)/$AK$9</f>
        <v>0.10677870671341311</v>
      </c>
      <c r="O259" s="15">
        <v>0.27752891600000001</v>
      </c>
      <c r="P259">
        <f t="shared" ref="P259:P322" si="108">(O259-$AJ$11)/$AK$11</f>
        <v>0.2829280942173461</v>
      </c>
      <c r="Q259">
        <v>0.3841</v>
      </c>
      <c r="R259">
        <f t="shared" ref="R259:R322" si="109">(Q259-$AJ$12)/$AK$12</f>
        <v>0.85147417424074479</v>
      </c>
      <c r="S259">
        <f t="shared" ref="S259:S322" si="110">F259*(R259*0.5+P259*0.5)*(H259*0.4+J259*0.2+L259*0.4)</f>
        <v>6.109109504076516E-2</v>
      </c>
      <c r="T259" s="14">
        <f t="shared" ref="T259:T322" si="111">(S259-$AJ$10)/$AK$10</f>
        <v>0.10432743782636154</v>
      </c>
      <c r="U259" t="str">
        <f t="shared" ref="U259:U322" si="112">IF(T259&gt;0.7,"High",IF(T259&gt;0.3,"Moderate",IF(T259&gt;0.15,"Low","No Impact")))</f>
        <v>No Impact</v>
      </c>
      <c r="V259">
        <f t="shared" ref="V259:V322" si="113">F259*(R259*1)*(H259*0.4+J259*0.2+L259*0.4)</f>
        <v>9.1709072080756487E-2</v>
      </c>
      <c r="W259">
        <f t="shared" ref="W259:W322" si="114">(V259-$AJ$13)/$AK$13</f>
        <v>0.1349430357848227</v>
      </c>
      <c r="X259" t="s">
        <v>1176</v>
      </c>
      <c r="Y259">
        <f t="shared" ref="Y259:Y322" si="115">F259*(P259*1)*(H259*0.4+J259*0.2+L259*0.4)</f>
        <v>3.0473118000773812E-2</v>
      </c>
      <c r="Z259">
        <f t="shared" ref="Z259:Z322" si="116">(Y259-$AJ$14)/$AK$14</f>
        <v>5.9978721987054388E-2</v>
      </c>
      <c r="AA259" t="str">
        <f t="shared" ref="AA259:AA322" si="117">IF(Z259&gt;0.7,"High",IF(Z259&gt;0.3,"Moderate",IF(Z259&gt;0.15,"Low","No Impact")))</f>
        <v>No Impact</v>
      </c>
      <c r="AB259">
        <f t="shared" ref="AB259:AB322" si="118">F259*(R259*0.35+P259*0.3+N259*0.35)*(H259*0.4+J259*0.2+L259*0.4)</f>
        <v>4.5265366757716356E-2</v>
      </c>
      <c r="AC259">
        <f t="shared" ref="AC259:AC322" si="119">(AB259-$AJ$15)/$AK$15</f>
        <v>0.10439555362500733</v>
      </c>
      <c r="AD259" t="str">
        <f t="shared" ref="AD259:AD322" si="120">IF(AC259&gt;0.7,"High",IF(AC259&gt;0.3,"Moderate",IF(AC259&gt;0.15,"Low","No Impact")))</f>
        <v>No Impact</v>
      </c>
      <c r="AE259">
        <f t="shared" ref="AE259:AE322" si="121">F259*(N259*1)*(H259*0.4+J259*0.2+L259*0.4)</f>
        <v>1.150073179776985E-2</v>
      </c>
      <c r="AF259">
        <f t="shared" ref="AF259:AF322" si="122">(AE259-$AJ$16)/$AK$16</f>
        <v>5.9003721657819655E-2</v>
      </c>
      <c r="AG259" t="str">
        <f t="shared" si="102"/>
        <v>No Impact</v>
      </c>
    </row>
    <row r="260" spans="1:33" x14ac:dyDescent="0.3">
      <c r="A260">
        <v>306860</v>
      </c>
      <c r="B260" t="s">
        <v>374</v>
      </c>
      <c r="C260" s="1" t="s">
        <v>799</v>
      </c>
      <c r="D260" t="s">
        <v>801</v>
      </c>
      <c r="E260" s="4">
        <v>4.4000000000000004</v>
      </c>
      <c r="F260" s="3">
        <f t="shared" si="103"/>
        <v>0.26666666666666672</v>
      </c>
      <c r="G260">
        <v>70.606080000000006</v>
      </c>
      <c r="H260">
        <f t="shared" si="104"/>
        <v>0.68315621179347319</v>
      </c>
      <c r="I260">
        <v>119.1</v>
      </c>
      <c r="J260" s="3">
        <f t="shared" si="105"/>
        <v>0.54809019788311097</v>
      </c>
      <c r="K260">
        <v>0</v>
      </c>
      <c r="L260" s="3">
        <f t="shared" si="106"/>
        <v>0</v>
      </c>
      <c r="M260">
        <v>70583</v>
      </c>
      <c r="N260">
        <f t="shared" si="107"/>
        <v>0.33282707129778144</v>
      </c>
      <c r="O260" s="15">
        <v>0.43781994899999999</v>
      </c>
      <c r="P260">
        <f t="shared" si="108"/>
        <v>0.44633750445270953</v>
      </c>
      <c r="Q260">
        <v>0.27639999999999998</v>
      </c>
      <c r="R260">
        <f t="shared" si="109"/>
        <v>0.61272445134116604</v>
      </c>
      <c r="S260">
        <f t="shared" si="110"/>
        <v>5.406589291922672E-2</v>
      </c>
      <c r="T260" s="14">
        <f t="shared" si="111"/>
        <v>9.233025006825446E-2</v>
      </c>
      <c r="U260" t="str">
        <f t="shared" si="112"/>
        <v>No Impact</v>
      </c>
      <c r="V260">
        <f t="shared" si="113"/>
        <v>6.2560069113937661E-2</v>
      </c>
      <c r="W260">
        <f t="shared" si="114"/>
        <v>9.2052459517955182E-2</v>
      </c>
      <c r="X260" t="s">
        <v>1176</v>
      </c>
      <c r="Y260">
        <f t="shared" si="115"/>
        <v>4.5571716724515772E-2</v>
      </c>
      <c r="Z260">
        <f t="shared" si="116"/>
        <v>8.9696542632201934E-2</v>
      </c>
      <c r="AA260" t="str">
        <f t="shared" si="117"/>
        <v>No Impact</v>
      </c>
      <c r="AB260">
        <f t="shared" si="118"/>
        <v>4.7461286205954835E-2</v>
      </c>
      <c r="AC260">
        <f t="shared" si="119"/>
        <v>0.10946000450512082</v>
      </c>
      <c r="AD260" t="str">
        <f t="shared" si="120"/>
        <v>No Impact</v>
      </c>
      <c r="AE260">
        <f t="shared" si="121"/>
        <v>3.3982134282062641E-2</v>
      </c>
      <c r="AF260">
        <f t="shared" si="122"/>
        <v>0.17434302684167335</v>
      </c>
      <c r="AG260" t="s">
        <v>1175</v>
      </c>
    </row>
    <row r="261" spans="1:33" x14ac:dyDescent="0.3">
      <c r="A261">
        <v>306863</v>
      </c>
      <c r="B261" t="s">
        <v>393</v>
      </c>
      <c r="C261" s="1" t="s">
        <v>799</v>
      </c>
      <c r="D261" t="s">
        <v>802</v>
      </c>
      <c r="E261" s="4">
        <v>4</v>
      </c>
      <c r="F261" s="3">
        <f t="shared" si="103"/>
        <v>0.17777777777777773</v>
      </c>
      <c r="G261">
        <v>65.003039999999999</v>
      </c>
      <c r="H261">
        <f t="shared" si="104"/>
        <v>0.62894343605337677</v>
      </c>
      <c r="I261">
        <v>122.80000000000001</v>
      </c>
      <c r="J261" s="3">
        <f t="shared" si="105"/>
        <v>0.56511734928670054</v>
      </c>
      <c r="K261">
        <v>0</v>
      </c>
      <c r="L261" s="3">
        <f t="shared" si="106"/>
        <v>0</v>
      </c>
      <c r="M261">
        <v>31340</v>
      </c>
      <c r="N261">
        <f t="shared" si="107"/>
        <v>0.14715192119345361</v>
      </c>
      <c r="O261" s="15">
        <v>0.48290787200000002</v>
      </c>
      <c r="P261">
        <f t="shared" si="108"/>
        <v>0.49230258913818586</v>
      </c>
      <c r="Q261">
        <v>0.32990000000000003</v>
      </c>
      <c r="R261">
        <f t="shared" si="109"/>
        <v>0.73132343161161606</v>
      </c>
      <c r="S261">
        <f t="shared" si="110"/>
        <v>3.9656451577489114E-2</v>
      </c>
      <c r="T261" s="14">
        <f t="shared" si="111"/>
        <v>6.772273411704087E-2</v>
      </c>
      <c r="U261" t="str">
        <f t="shared" si="112"/>
        <v>No Impact</v>
      </c>
      <c r="V261">
        <f t="shared" si="113"/>
        <v>4.7402869441135032E-2</v>
      </c>
      <c r="W261">
        <f t="shared" si="114"/>
        <v>6.974977460970945E-2</v>
      </c>
      <c r="X261" t="s">
        <v>1176</v>
      </c>
      <c r="Y261">
        <f t="shared" si="115"/>
        <v>3.1910033713843197E-2</v>
      </c>
      <c r="Z261">
        <f t="shared" si="116"/>
        <v>6.2806931692107548E-2</v>
      </c>
      <c r="AA261" t="str">
        <f t="shared" si="117"/>
        <v>No Impact</v>
      </c>
      <c r="AB261">
        <f t="shared" si="118"/>
        <v>2.9502343333488456E-2</v>
      </c>
      <c r="AC261">
        <f t="shared" si="119"/>
        <v>6.8041279374137412E-2</v>
      </c>
      <c r="AD261" t="str">
        <f t="shared" si="120"/>
        <v>No Impact</v>
      </c>
      <c r="AE261">
        <f t="shared" si="121"/>
        <v>9.5380826141092528E-3</v>
      </c>
      <c r="AF261">
        <f t="shared" si="122"/>
        <v>4.8934483614453343E-2</v>
      </c>
      <c r="AG261" t="str">
        <f>IF(AF261&gt;0.7,"High",IF(AF261&gt;0.3,"Moderate",IF(AF261&gt;0.15,"Low","No Impact")))</f>
        <v>No Impact</v>
      </c>
    </row>
    <row r="262" spans="1:33" x14ac:dyDescent="0.3">
      <c r="A262">
        <v>306864</v>
      </c>
      <c r="B262" t="s">
        <v>445</v>
      </c>
      <c r="C262" s="1" t="s">
        <v>799</v>
      </c>
      <c r="D262" t="s">
        <v>803</v>
      </c>
      <c r="E262" s="4">
        <v>4.5</v>
      </c>
      <c r="F262" s="3">
        <f t="shared" si="103"/>
        <v>0.28888888888888886</v>
      </c>
      <c r="G262">
        <v>68.646240000000006</v>
      </c>
      <c r="H262">
        <f t="shared" si="104"/>
        <v>0.66419358321925803</v>
      </c>
      <c r="I262">
        <v>114.6</v>
      </c>
      <c r="J262" s="3">
        <f t="shared" si="105"/>
        <v>0.52738150023009667</v>
      </c>
      <c r="K262">
        <v>0</v>
      </c>
      <c r="L262" s="3">
        <f t="shared" si="106"/>
        <v>0</v>
      </c>
      <c r="M262">
        <v>38383</v>
      </c>
      <c r="N262">
        <f t="shared" si="107"/>
        <v>0.18047531854291163</v>
      </c>
      <c r="O262" s="15">
        <v>0.67332836799999995</v>
      </c>
      <c r="P262">
        <f t="shared" si="108"/>
        <v>0.68642761513440231</v>
      </c>
      <c r="Q262">
        <v>0.32250000000000001</v>
      </c>
      <c r="R262">
        <f t="shared" si="109"/>
        <v>0.71491908667701176</v>
      </c>
      <c r="S262">
        <f t="shared" si="110"/>
        <v>7.5127730899318512E-2</v>
      </c>
      <c r="T262" s="14">
        <f t="shared" si="111"/>
        <v>0.12829830058217442</v>
      </c>
      <c r="U262" t="str">
        <f t="shared" si="112"/>
        <v>No Impact</v>
      </c>
      <c r="V262">
        <f t="shared" si="113"/>
        <v>7.6655189881604552E-2</v>
      </c>
      <c r="W262">
        <f t="shared" si="114"/>
        <v>0.11279237480646435</v>
      </c>
      <c r="X262" t="s">
        <v>1176</v>
      </c>
      <c r="Y262">
        <f t="shared" si="115"/>
        <v>7.3600271917032487E-2</v>
      </c>
      <c r="Z262">
        <f t="shared" si="116"/>
        <v>0.14486375327169346</v>
      </c>
      <c r="AA262" t="str">
        <f t="shared" si="117"/>
        <v>No Impact</v>
      </c>
      <c r="AB262">
        <f t="shared" si="118"/>
        <v>5.5682233623574995E-2</v>
      </c>
      <c r="AC262">
        <f t="shared" si="119"/>
        <v>0.12841998248515626</v>
      </c>
      <c r="AD262" t="str">
        <f t="shared" si="120"/>
        <v>No Impact</v>
      </c>
      <c r="AE262">
        <f t="shared" si="121"/>
        <v>1.9350958828296173E-2</v>
      </c>
      <c r="AF262">
        <f t="shared" si="122"/>
        <v>9.927877708948242E-2</v>
      </c>
      <c r="AG262" t="s">
        <v>1175</v>
      </c>
    </row>
    <row r="263" spans="1:33" x14ac:dyDescent="0.3">
      <c r="A263">
        <v>306876</v>
      </c>
      <c r="B263" t="s">
        <v>486</v>
      </c>
      <c r="C263" s="1" t="s">
        <v>799</v>
      </c>
      <c r="D263" t="s">
        <v>804</v>
      </c>
      <c r="E263" s="4">
        <v>4.4000000000000004</v>
      </c>
      <c r="F263" s="3">
        <f t="shared" si="103"/>
        <v>0.26666666666666672</v>
      </c>
      <c r="G263">
        <v>65.036519999999996</v>
      </c>
      <c r="H263">
        <f t="shared" si="104"/>
        <v>0.62926737515282605</v>
      </c>
      <c r="I263">
        <v>122.80000000000001</v>
      </c>
      <c r="J263" s="3">
        <f t="shared" si="105"/>
        <v>0.56511734928670054</v>
      </c>
      <c r="K263">
        <v>0</v>
      </c>
      <c r="L263" s="3">
        <f t="shared" si="106"/>
        <v>0</v>
      </c>
      <c r="M263">
        <v>46047</v>
      </c>
      <c r="N263">
        <f t="shared" si="107"/>
        <v>0.21673692826692784</v>
      </c>
      <c r="O263" s="15">
        <v>0.59562827200000001</v>
      </c>
      <c r="P263">
        <f t="shared" si="108"/>
        <v>0.60721590487865074</v>
      </c>
      <c r="Q263">
        <v>0.37740000000000001</v>
      </c>
      <c r="R263">
        <f t="shared" si="109"/>
        <v>0.83662159166481931</v>
      </c>
      <c r="S263">
        <f t="shared" si="110"/>
        <v>7.0214860854444422E-2</v>
      </c>
      <c r="T263" s="14">
        <f t="shared" si="111"/>
        <v>0.1199084175097957</v>
      </c>
      <c r="U263" t="str">
        <f t="shared" si="112"/>
        <v>No Impact</v>
      </c>
      <c r="V263">
        <f t="shared" si="113"/>
        <v>8.1371025184205012E-2</v>
      </c>
      <c r="W263">
        <f t="shared" si="114"/>
        <v>0.11973137350698304</v>
      </c>
      <c r="X263" t="s">
        <v>1176</v>
      </c>
      <c r="Y263">
        <f t="shared" si="115"/>
        <v>5.9058696524683832E-2</v>
      </c>
      <c r="Z263">
        <f t="shared" si="116"/>
        <v>0.11624229393532612</v>
      </c>
      <c r="AA263" t="str">
        <f t="shared" si="117"/>
        <v>No Impact</v>
      </c>
      <c r="AB263">
        <f t="shared" si="118"/>
        <v>5.3575519185349606E-2</v>
      </c>
      <c r="AC263">
        <f t="shared" si="119"/>
        <v>0.12356126519505845</v>
      </c>
      <c r="AD263" t="str">
        <f t="shared" si="120"/>
        <v>No Impact</v>
      </c>
      <c r="AE263">
        <f t="shared" si="121"/>
        <v>2.1080146895636274E-2</v>
      </c>
      <c r="AF263">
        <f t="shared" si="122"/>
        <v>0.10815025876677388</v>
      </c>
      <c r="AG263" t="s">
        <v>1175</v>
      </c>
    </row>
    <row r="264" spans="1:33" x14ac:dyDescent="0.3">
      <c r="A264">
        <v>308207</v>
      </c>
      <c r="B264" t="s">
        <v>36</v>
      </c>
      <c r="C264" s="1" t="s">
        <v>805</v>
      </c>
      <c r="D264" t="s">
        <v>1051</v>
      </c>
      <c r="E264" s="4">
        <v>5.4</v>
      </c>
      <c r="F264" s="3">
        <f t="shared" si="103"/>
        <v>0.48888888888888893</v>
      </c>
      <c r="G264">
        <v>60.818039999999996</v>
      </c>
      <c r="H264">
        <f t="shared" si="104"/>
        <v>0.58845104862221376</v>
      </c>
      <c r="I264">
        <v>134.30000000000001</v>
      </c>
      <c r="J264" s="3">
        <f t="shared" si="105"/>
        <v>0.61803957662218145</v>
      </c>
      <c r="K264">
        <v>0</v>
      </c>
      <c r="L264" s="3">
        <f t="shared" si="106"/>
        <v>0</v>
      </c>
      <c r="M264">
        <v>27077</v>
      </c>
      <c r="N264">
        <f t="shared" si="107"/>
        <v>0.12698187392655888</v>
      </c>
      <c r="O264" s="15">
        <v>0.75463143300000002</v>
      </c>
      <c r="P264">
        <f t="shared" si="108"/>
        <v>0.7693123882456806</v>
      </c>
      <c r="Q264">
        <v>0.35949999999999999</v>
      </c>
      <c r="R264">
        <f t="shared" si="109"/>
        <v>0.79694081135003325</v>
      </c>
      <c r="S264">
        <f t="shared" si="110"/>
        <v>0.1374429535004173</v>
      </c>
      <c r="T264" s="14">
        <f t="shared" si="111"/>
        <v>0.23471622462190345</v>
      </c>
      <c r="U264" t="str">
        <f t="shared" si="112"/>
        <v>Low</v>
      </c>
      <c r="V264">
        <f t="shared" si="113"/>
        <v>0.13986742233661925</v>
      </c>
      <c r="W264">
        <f t="shared" si="114"/>
        <v>0.20580444387095398</v>
      </c>
      <c r="X264" t="s">
        <v>1176</v>
      </c>
      <c r="Y264">
        <f t="shared" si="115"/>
        <v>0.13501848466421534</v>
      </c>
      <c r="Z264">
        <f t="shared" si="116"/>
        <v>0.26575016559128273</v>
      </c>
      <c r="AA264" t="str">
        <f t="shared" si="117"/>
        <v>Low</v>
      </c>
      <c r="AB264">
        <f t="shared" si="118"/>
        <v>9.7259245179262294E-2</v>
      </c>
      <c r="AC264">
        <f t="shared" si="119"/>
        <v>0.22430907938923444</v>
      </c>
      <c r="AD264" t="str">
        <f t="shared" si="120"/>
        <v>Low</v>
      </c>
      <c r="AE264">
        <f t="shared" si="121"/>
        <v>2.2286005606231285E-2</v>
      </c>
      <c r="AF264">
        <f t="shared" si="122"/>
        <v>0.1143368348012139</v>
      </c>
      <c r="AG264" t="s">
        <v>1175</v>
      </c>
    </row>
    <row r="265" spans="1:33" x14ac:dyDescent="0.3">
      <c r="A265">
        <v>308229</v>
      </c>
      <c r="B265" t="s">
        <v>185</v>
      </c>
      <c r="C265" s="1" t="s">
        <v>805</v>
      </c>
      <c r="D265" t="s">
        <v>1141</v>
      </c>
      <c r="E265" s="4">
        <v>5.4</v>
      </c>
      <c r="F265" s="3">
        <f t="shared" si="103"/>
        <v>0.48888888888888893</v>
      </c>
      <c r="G265">
        <v>66.547079999999994</v>
      </c>
      <c r="H265">
        <f t="shared" si="104"/>
        <v>0.64388295000539886</v>
      </c>
      <c r="I265">
        <v>183.5</v>
      </c>
      <c r="J265" s="3">
        <f t="shared" si="105"/>
        <v>0.84445467096180404</v>
      </c>
      <c r="K265">
        <v>0</v>
      </c>
      <c r="L265" s="3">
        <f t="shared" si="106"/>
        <v>0</v>
      </c>
      <c r="M265">
        <v>14728</v>
      </c>
      <c r="N265">
        <f t="shared" si="107"/>
        <v>6.8553557318798405E-2</v>
      </c>
      <c r="O265" s="15">
        <v>0.44506938200000001</v>
      </c>
      <c r="P265">
        <f t="shared" si="108"/>
        <v>0.4537279713359742</v>
      </c>
      <c r="Q265">
        <v>0.2452</v>
      </c>
      <c r="R265">
        <f t="shared" si="109"/>
        <v>0.54356018621148305</v>
      </c>
      <c r="S265">
        <f t="shared" si="110"/>
        <v>0.10395920698582482</v>
      </c>
      <c r="T265" s="14">
        <f t="shared" si="111"/>
        <v>0.17753483868727929</v>
      </c>
      <c r="U265" t="str">
        <f t="shared" si="112"/>
        <v>Low</v>
      </c>
      <c r="V265">
        <f t="shared" si="113"/>
        <v>0.11332348725884482</v>
      </c>
      <c r="W265">
        <f t="shared" si="114"/>
        <v>0.16674703003172131</v>
      </c>
      <c r="X265" t="s">
        <v>1176</v>
      </c>
      <c r="Y265">
        <f t="shared" si="115"/>
        <v>9.4594926712804839E-2</v>
      </c>
      <c r="Z265">
        <f t="shared" si="116"/>
        <v>0.18618648772826701</v>
      </c>
      <c r="AA265" t="str">
        <f t="shared" si="117"/>
        <v>Low</v>
      </c>
      <c r="AB265">
        <f t="shared" si="118"/>
        <v>7.3044005441056617E-2</v>
      </c>
      <c r="AC265">
        <f t="shared" si="119"/>
        <v>0.16846145150712258</v>
      </c>
      <c r="AD265" t="str">
        <f t="shared" si="120"/>
        <v>Low</v>
      </c>
      <c r="AE265">
        <f t="shared" si="121"/>
        <v>1.4292305390341372E-2</v>
      </c>
      <c r="AF265">
        <f t="shared" si="122"/>
        <v>7.3325699957961385E-2</v>
      </c>
      <c r="AG265" t="str">
        <f t="shared" ref="AG265:AG266" si="123">IF(AF265&gt;0.7,"High",IF(AF265&gt;0.3,"Moderate",IF(AF265&gt;0.15,"Low","No Impact")))</f>
        <v>No Impact</v>
      </c>
    </row>
    <row r="266" spans="1:33" x14ac:dyDescent="0.3">
      <c r="A266">
        <v>308247</v>
      </c>
      <c r="B266" t="s">
        <v>250</v>
      </c>
      <c r="C266" s="1" t="s">
        <v>805</v>
      </c>
      <c r="D266" t="s">
        <v>806</v>
      </c>
      <c r="E266" s="4">
        <v>5.6</v>
      </c>
      <c r="F266" s="3">
        <f t="shared" si="103"/>
        <v>0.53333333333333321</v>
      </c>
      <c r="G266">
        <v>58.479120000000002</v>
      </c>
      <c r="H266">
        <f t="shared" si="104"/>
        <v>0.56582059347036306</v>
      </c>
      <c r="I266">
        <v>96.199999999999989</v>
      </c>
      <c r="J266" s="3">
        <f t="shared" si="105"/>
        <v>0.44270593649332718</v>
      </c>
      <c r="K266">
        <v>0</v>
      </c>
      <c r="L266" s="3">
        <f t="shared" si="106"/>
        <v>0</v>
      </c>
      <c r="M266">
        <v>15025</v>
      </c>
      <c r="N266">
        <f t="shared" si="107"/>
        <v>6.99587893240219E-2</v>
      </c>
      <c r="O266" s="15">
        <v>0.32738331500000001</v>
      </c>
      <c r="P266">
        <f t="shared" si="108"/>
        <v>0.3337523841714104</v>
      </c>
      <c r="Q266">
        <v>0.31709999999999999</v>
      </c>
      <c r="R266">
        <f t="shared" si="109"/>
        <v>0.70294834848148968</v>
      </c>
      <c r="S266">
        <f t="shared" si="110"/>
        <v>8.704676353675031E-2</v>
      </c>
      <c r="T266" s="14">
        <f t="shared" si="111"/>
        <v>0.14865285693121813</v>
      </c>
      <c r="U266" t="str">
        <f t="shared" si="112"/>
        <v>No Impact</v>
      </c>
      <c r="V266">
        <f t="shared" si="113"/>
        <v>0.1180463691044855</v>
      </c>
      <c r="W266">
        <f t="shared" si="114"/>
        <v>0.17369639719293925</v>
      </c>
      <c r="X266" t="s">
        <v>1176</v>
      </c>
      <c r="Y266">
        <f t="shared" si="115"/>
        <v>5.6047157969015139E-2</v>
      </c>
      <c r="Z266">
        <f t="shared" si="116"/>
        <v>0.11031483243371144</v>
      </c>
      <c r="AA266" t="str">
        <f t="shared" si="117"/>
        <v>No Impact</v>
      </c>
      <c r="AB266">
        <f t="shared" si="118"/>
        <v>6.2242248209906023E-2</v>
      </c>
      <c r="AC266">
        <f t="shared" si="119"/>
        <v>0.14354934967207755</v>
      </c>
      <c r="AD266" t="str">
        <f t="shared" si="120"/>
        <v>No Impact</v>
      </c>
      <c r="AE266">
        <f t="shared" si="121"/>
        <v>1.1748204664661633E-2</v>
      </c>
      <c r="AF266">
        <f t="shared" si="122"/>
        <v>6.0273364356450095E-2</v>
      </c>
      <c r="AG266" t="str">
        <f t="shared" si="123"/>
        <v>No Impact</v>
      </c>
    </row>
    <row r="267" spans="1:33" x14ac:dyDescent="0.3">
      <c r="A267">
        <v>308273</v>
      </c>
      <c r="B267" t="s">
        <v>401</v>
      </c>
      <c r="C267" s="1" t="s">
        <v>805</v>
      </c>
      <c r="D267" t="s">
        <v>807</v>
      </c>
      <c r="E267" s="4">
        <v>5.6</v>
      </c>
      <c r="F267" s="3">
        <f t="shared" si="103"/>
        <v>0.53333333333333321</v>
      </c>
      <c r="G267">
        <v>56.906280000000002</v>
      </c>
      <c r="H267">
        <f t="shared" si="104"/>
        <v>0.55060242222849198</v>
      </c>
      <c r="I267">
        <v>79.600000000000009</v>
      </c>
      <c r="J267" s="3">
        <f t="shared" si="105"/>
        <v>0.36631385181776355</v>
      </c>
      <c r="K267">
        <v>0</v>
      </c>
      <c r="L267" s="3">
        <f t="shared" si="106"/>
        <v>0</v>
      </c>
      <c r="M267">
        <v>21428</v>
      </c>
      <c r="N267">
        <f t="shared" si="107"/>
        <v>0.10025407730195456</v>
      </c>
      <c r="O267" s="15">
        <v>0.51867957399999998</v>
      </c>
      <c r="P267">
        <f t="shared" si="108"/>
        <v>0.52877021067341656</v>
      </c>
      <c r="Q267">
        <v>0.34350000000000003</v>
      </c>
      <c r="R267">
        <f t="shared" si="109"/>
        <v>0.76147195743737539</v>
      </c>
      <c r="S267">
        <f t="shared" si="110"/>
        <v>0.10098424023598149</v>
      </c>
      <c r="T267" s="14">
        <f t="shared" si="111"/>
        <v>0.17245438206061925</v>
      </c>
      <c r="U267" t="str">
        <f t="shared" si="112"/>
        <v>Low</v>
      </c>
      <c r="V267">
        <f t="shared" si="113"/>
        <v>0.11919726231768286</v>
      </c>
      <c r="W267">
        <f t="shared" si="114"/>
        <v>0.17538985041985933</v>
      </c>
      <c r="X267" t="s">
        <v>1176</v>
      </c>
      <c r="Y267">
        <f t="shared" si="115"/>
        <v>8.2771218154280068E-2</v>
      </c>
      <c r="Z267">
        <f t="shared" si="116"/>
        <v>0.16291447045488841</v>
      </c>
      <c r="AA267" t="str">
        <f t="shared" si="117"/>
        <v>Low</v>
      </c>
      <c r="AB267">
        <f t="shared" si="118"/>
        <v>7.2043063949359665E-2</v>
      </c>
      <c r="AC267">
        <f t="shared" si="119"/>
        <v>0.1661529792985299</v>
      </c>
      <c r="AD267" t="str">
        <f t="shared" si="120"/>
        <v>Low</v>
      </c>
      <c r="AE267">
        <f t="shared" si="121"/>
        <v>1.5693304833961821E-2</v>
      </c>
      <c r="AF267">
        <f t="shared" si="122"/>
        <v>8.0513432240368915E-2</v>
      </c>
      <c r="AG267" t="s">
        <v>1175</v>
      </c>
    </row>
    <row r="268" spans="1:33" x14ac:dyDescent="0.3">
      <c r="A268">
        <v>308276</v>
      </c>
      <c r="B268" t="s">
        <v>424</v>
      </c>
      <c r="C268" s="1" t="s">
        <v>805</v>
      </c>
      <c r="D268" t="s">
        <v>808</v>
      </c>
      <c r="E268" s="4">
        <v>5.6</v>
      </c>
      <c r="F268" s="3">
        <f t="shared" si="103"/>
        <v>0.53333333333333321</v>
      </c>
      <c r="G268">
        <v>66.547079999999994</v>
      </c>
      <c r="H268">
        <f t="shared" si="104"/>
        <v>0.64388295000539886</v>
      </c>
      <c r="I268">
        <v>183.5</v>
      </c>
      <c r="J268" s="3">
        <f t="shared" si="105"/>
        <v>0.84445467096180404</v>
      </c>
      <c r="K268">
        <v>0</v>
      </c>
      <c r="L268" s="3">
        <f t="shared" si="106"/>
        <v>0</v>
      </c>
      <c r="M268">
        <v>45411</v>
      </c>
      <c r="N268">
        <f t="shared" si="107"/>
        <v>0.2137277445789745</v>
      </c>
      <c r="O268" s="15">
        <v>0.28073603800000002</v>
      </c>
      <c r="P268">
        <f t="shared" si="108"/>
        <v>0.28619760907893449</v>
      </c>
      <c r="Q268">
        <v>0.35649999999999998</v>
      </c>
      <c r="R268">
        <f t="shared" si="109"/>
        <v>0.79029040124140981</v>
      </c>
      <c r="S268">
        <f t="shared" si="110"/>
        <v>0.12241652693388819</v>
      </c>
      <c r="T268" s="14">
        <f t="shared" si="111"/>
        <v>0.20905506103781854</v>
      </c>
      <c r="U268" t="str">
        <f t="shared" si="112"/>
        <v>Low</v>
      </c>
      <c r="V268">
        <f t="shared" si="113"/>
        <v>0.17974116806070667</v>
      </c>
      <c r="W268">
        <f t="shared" si="114"/>
        <v>0.26447567643322839</v>
      </c>
      <c r="X268" t="s">
        <v>1175</v>
      </c>
      <c r="Y268">
        <f t="shared" si="115"/>
        <v>6.509188580706976E-2</v>
      </c>
      <c r="Z268">
        <f t="shared" si="116"/>
        <v>0.12811712022170457</v>
      </c>
      <c r="AA268" t="str">
        <f t="shared" si="117"/>
        <v>No Impact</v>
      </c>
      <c r="AB268">
        <f t="shared" si="118"/>
        <v>9.9450323123645976E-2</v>
      </c>
      <c r="AC268">
        <f t="shared" si="119"/>
        <v>0.22936236430491413</v>
      </c>
      <c r="AD268" t="str">
        <f t="shared" si="120"/>
        <v>Low</v>
      </c>
      <c r="AE268">
        <f t="shared" si="121"/>
        <v>4.8609567315079177E-2</v>
      </c>
      <c r="AF268">
        <f t="shared" si="122"/>
        <v>0.24938807635894547</v>
      </c>
      <c r="AG268" t="s">
        <v>1175</v>
      </c>
    </row>
    <row r="269" spans="1:33" x14ac:dyDescent="0.3">
      <c r="A269">
        <v>308614</v>
      </c>
      <c r="B269" t="s">
        <v>69</v>
      </c>
      <c r="C269" s="1" t="s">
        <v>810</v>
      </c>
      <c r="D269" t="s">
        <v>809</v>
      </c>
      <c r="E269" s="4">
        <v>6.5</v>
      </c>
      <c r="F269" s="3">
        <f t="shared" si="103"/>
        <v>0.73333333333333328</v>
      </c>
      <c r="G269">
        <v>79.946280000000002</v>
      </c>
      <c r="H269">
        <f t="shared" si="104"/>
        <v>0.77352825410758264</v>
      </c>
      <c r="I269">
        <v>98.100000000000009</v>
      </c>
      <c r="J269" s="3">
        <f t="shared" si="105"/>
        <v>0.45144960883571106</v>
      </c>
      <c r="K269">
        <v>0</v>
      </c>
      <c r="L269" s="3">
        <f t="shared" si="106"/>
        <v>0</v>
      </c>
      <c r="M269">
        <v>19841</v>
      </c>
      <c r="N269">
        <f t="shared" si="107"/>
        <v>9.2745312344750253E-2</v>
      </c>
      <c r="O269" s="15">
        <v>0.22992965100000001</v>
      </c>
      <c r="P269">
        <f t="shared" si="108"/>
        <v>0.23440281070203692</v>
      </c>
      <c r="Q269">
        <v>0.29859999999999998</v>
      </c>
      <c r="R269">
        <f t="shared" si="109"/>
        <v>0.66193748614497894</v>
      </c>
      <c r="S269">
        <f t="shared" si="110"/>
        <v>0.13136504818858372</v>
      </c>
      <c r="T269" s="14">
        <f t="shared" si="111"/>
        <v>0.22433676934922073</v>
      </c>
      <c r="U269" t="str">
        <f t="shared" si="112"/>
        <v>Low</v>
      </c>
      <c r="V269">
        <f t="shared" si="113"/>
        <v>0.1940232968910163</v>
      </c>
      <c r="W269">
        <f t="shared" si="114"/>
        <v>0.28549076008967206</v>
      </c>
      <c r="X269" t="s">
        <v>1175</v>
      </c>
      <c r="Y269">
        <f t="shared" si="115"/>
        <v>6.8706799486151118E-2</v>
      </c>
      <c r="Z269">
        <f t="shared" si="116"/>
        <v>0.13523217495812226</v>
      </c>
      <c r="AA269" t="str">
        <f t="shared" si="117"/>
        <v>No Impact</v>
      </c>
      <c r="AB269">
        <f t="shared" si="118"/>
        <v>9.8034933558871606E-2</v>
      </c>
      <c r="AC269">
        <f t="shared" si="119"/>
        <v>0.22609805015496881</v>
      </c>
      <c r="AD269" t="str">
        <f t="shared" si="120"/>
        <v>Low</v>
      </c>
      <c r="AE269">
        <f t="shared" si="121"/>
        <v>2.7184970860487372E-2</v>
      </c>
      <c r="AF269">
        <f t="shared" si="122"/>
        <v>0.13947064257590769</v>
      </c>
      <c r="AG269" t="s">
        <v>1175</v>
      </c>
    </row>
    <row r="270" spans="1:33" x14ac:dyDescent="0.3">
      <c r="A270">
        <v>308625</v>
      </c>
      <c r="B270" t="s">
        <v>126</v>
      </c>
      <c r="C270" s="1" t="s">
        <v>810</v>
      </c>
      <c r="D270" t="s">
        <v>811</v>
      </c>
      <c r="E270" s="4">
        <v>6.5</v>
      </c>
      <c r="F270" s="3">
        <f t="shared" si="103"/>
        <v>0.73333333333333328</v>
      </c>
      <c r="G270">
        <v>72.644040000000004</v>
      </c>
      <c r="H270">
        <f t="shared" si="104"/>
        <v>0.70287469826640336</v>
      </c>
      <c r="I270">
        <v>118.6</v>
      </c>
      <c r="J270" s="3">
        <f t="shared" si="105"/>
        <v>0.54578923147722047</v>
      </c>
      <c r="K270">
        <v>0</v>
      </c>
      <c r="L270" s="3">
        <f t="shared" si="106"/>
        <v>0</v>
      </c>
      <c r="M270">
        <v>5388</v>
      </c>
      <c r="N270">
        <f t="shared" si="107"/>
        <v>2.4362086178100144E-2</v>
      </c>
      <c r="O270" s="15">
        <v>0.59127578000000003</v>
      </c>
      <c r="P270">
        <f t="shared" si="108"/>
        <v>0.60277873744973942</v>
      </c>
      <c r="Q270">
        <v>0.33250000000000002</v>
      </c>
      <c r="R270">
        <f t="shared" si="109"/>
        <v>0.73708712037242297</v>
      </c>
      <c r="S270">
        <f t="shared" si="110"/>
        <v>0.19175199837872767</v>
      </c>
      <c r="T270" s="14">
        <f t="shared" si="111"/>
        <v>0.32746171394682422</v>
      </c>
      <c r="U270" t="str">
        <f t="shared" si="112"/>
        <v>Moderate</v>
      </c>
      <c r="V270">
        <f t="shared" si="113"/>
        <v>0.21097325151693413</v>
      </c>
      <c r="W270">
        <f t="shared" si="114"/>
        <v>0.31043134973626924</v>
      </c>
      <c r="X270" t="str">
        <f t="shared" ref="X270:X321" si="124">IF(W270&gt;0.7,"High",IF(W270&gt;0.3,"Moderate",IF(W270&gt;0.15,"Low","No Impact")))</f>
        <v>Moderate</v>
      </c>
      <c r="Y270">
        <f t="shared" si="115"/>
        <v>0.17253074524052123</v>
      </c>
      <c r="Z270">
        <f t="shared" si="116"/>
        <v>0.33958368168094105</v>
      </c>
      <c r="AA270" t="str">
        <f t="shared" si="117"/>
        <v>Moderate</v>
      </c>
      <c r="AB270">
        <f t="shared" si="118"/>
        <v>0.12804043061783754</v>
      </c>
      <c r="AC270">
        <f t="shared" si="119"/>
        <v>0.29529975339158937</v>
      </c>
      <c r="AD270" t="str">
        <f t="shared" si="120"/>
        <v>Low</v>
      </c>
      <c r="AE270">
        <f t="shared" si="121"/>
        <v>6.9730543278691687E-3</v>
      </c>
      <c r="AF270">
        <f t="shared" si="122"/>
        <v>3.5774780587982259E-2</v>
      </c>
      <c r="AG270" t="str">
        <f t="shared" ref="AG270:AG271" si="125">IF(AF270&gt;0.7,"High",IF(AF270&gt;0.3,"Moderate",IF(AF270&gt;0.15,"Low","No Impact")))</f>
        <v>No Impact</v>
      </c>
    </row>
    <row r="271" spans="1:33" x14ac:dyDescent="0.3">
      <c r="A271">
        <v>308636</v>
      </c>
      <c r="B271" t="s">
        <v>192</v>
      </c>
      <c r="C271" s="1" t="s">
        <v>810</v>
      </c>
      <c r="D271" t="s">
        <v>812</v>
      </c>
      <c r="E271" s="4">
        <v>6.4</v>
      </c>
      <c r="F271" s="3">
        <f t="shared" si="103"/>
        <v>0.71111111111111114</v>
      </c>
      <c r="G271">
        <v>72.644040000000004</v>
      </c>
      <c r="H271">
        <f t="shared" si="104"/>
        <v>0.70287469826640336</v>
      </c>
      <c r="I271">
        <v>103.3</v>
      </c>
      <c r="J271" s="3">
        <f t="shared" si="105"/>
        <v>0.47537965945697197</v>
      </c>
      <c r="K271">
        <v>0</v>
      </c>
      <c r="L271" s="3">
        <f t="shared" si="106"/>
        <v>0</v>
      </c>
      <c r="M271">
        <v>3568</v>
      </c>
      <c r="N271">
        <f t="shared" si="107"/>
        <v>1.5750900152824893E-2</v>
      </c>
      <c r="O271" s="15">
        <v>0.45405647599999999</v>
      </c>
      <c r="P271">
        <f t="shared" si="108"/>
        <v>0.46288990449457934</v>
      </c>
      <c r="Q271">
        <v>0.3266</v>
      </c>
      <c r="R271">
        <f t="shared" si="109"/>
        <v>0.72400798049213033</v>
      </c>
      <c r="S271">
        <f t="shared" si="110"/>
        <v>0.15877035363138237</v>
      </c>
      <c r="T271" s="14">
        <f t="shared" si="111"/>
        <v>0.27113778507480518</v>
      </c>
      <c r="U271" t="str">
        <f t="shared" si="112"/>
        <v>Low</v>
      </c>
      <c r="V271">
        <f t="shared" si="113"/>
        <v>0.1936999038396057</v>
      </c>
      <c r="W271">
        <f t="shared" si="114"/>
        <v>0.28501491141822721</v>
      </c>
      <c r="X271" t="s">
        <v>1175</v>
      </c>
      <c r="Y271">
        <f t="shared" si="115"/>
        <v>0.12384080342315903</v>
      </c>
      <c r="Z271">
        <f t="shared" si="116"/>
        <v>0.24374969174412978</v>
      </c>
      <c r="AA271" t="str">
        <f t="shared" si="117"/>
        <v>Low</v>
      </c>
      <c r="AB271">
        <f t="shared" si="118"/>
        <v>0.10642209683959769</v>
      </c>
      <c r="AC271">
        <f t="shared" si="119"/>
        <v>0.24544137192062029</v>
      </c>
      <c r="AD271" t="str">
        <f t="shared" si="120"/>
        <v>Low</v>
      </c>
      <c r="AE271">
        <f t="shared" si="121"/>
        <v>4.2139699108227919E-3</v>
      </c>
      <c r="AF271">
        <f t="shared" si="122"/>
        <v>2.1619485791402406E-2</v>
      </c>
      <c r="AG271" t="str">
        <f t="shared" si="125"/>
        <v>No Impact</v>
      </c>
    </row>
    <row r="272" spans="1:33" x14ac:dyDescent="0.3">
      <c r="A272">
        <v>308665</v>
      </c>
      <c r="B272" t="s">
        <v>373</v>
      </c>
      <c r="C272" s="1" t="s">
        <v>810</v>
      </c>
      <c r="D272" t="s">
        <v>813</v>
      </c>
      <c r="E272" s="4">
        <v>6.5</v>
      </c>
      <c r="F272" s="3">
        <f t="shared" si="103"/>
        <v>0.73333333333333328</v>
      </c>
      <c r="G272">
        <v>79.946280000000002</v>
      </c>
      <c r="H272">
        <f t="shared" si="104"/>
        <v>0.77352825410758264</v>
      </c>
      <c r="I272">
        <v>122.7</v>
      </c>
      <c r="J272" s="3">
        <f t="shared" si="105"/>
        <v>0.56465715600552235</v>
      </c>
      <c r="K272">
        <v>0</v>
      </c>
      <c r="L272" s="3">
        <f t="shared" si="106"/>
        <v>0</v>
      </c>
      <c r="M272">
        <v>22687</v>
      </c>
      <c r="N272">
        <f t="shared" si="107"/>
        <v>0.1062109362062521</v>
      </c>
      <c r="O272" s="15">
        <v>0.61494416500000004</v>
      </c>
      <c r="P272">
        <f t="shared" si="108"/>
        <v>0.62690757835672595</v>
      </c>
      <c r="Q272">
        <v>0.30120000000000002</v>
      </c>
      <c r="R272">
        <f t="shared" si="109"/>
        <v>0.66770117490578595</v>
      </c>
      <c r="S272">
        <f t="shared" si="110"/>
        <v>0.20048181956617139</v>
      </c>
      <c r="T272" s="14">
        <f t="shared" si="111"/>
        <v>0.34236994036772161</v>
      </c>
      <c r="U272" t="str">
        <f t="shared" si="112"/>
        <v>Moderate</v>
      </c>
      <c r="V272">
        <f t="shared" si="113"/>
        <v>0.20679907521749749</v>
      </c>
      <c r="W272">
        <f t="shared" si="114"/>
        <v>0.30428936171952176</v>
      </c>
      <c r="X272" t="str">
        <f t="shared" si="124"/>
        <v>Moderate</v>
      </c>
      <c r="Y272">
        <f t="shared" si="115"/>
        <v>0.1941645639148453</v>
      </c>
      <c r="Z272">
        <f t="shared" si="116"/>
        <v>0.38216445059840726</v>
      </c>
      <c r="AA272" t="str">
        <f t="shared" si="117"/>
        <v>Moderate</v>
      </c>
      <c r="AB272">
        <f t="shared" si="118"/>
        <v>0.14214244921143362</v>
      </c>
      <c r="AC272">
        <f t="shared" si="119"/>
        <v>0.32782325079720021</v>
      </c>
      <c r="AD272" t="str">
        <f t="shared" si="120"/>
        <v>Moderate</v>
      </c>
      <c r="AE272">
        <f t="shared" si="121"/>
        <v>3.2895439173874101E-2</v>
      </c>
      <c r="AF272">
        <f t="shared" si="122"/>
        <v>0.16876781155816381</v>
      </c>
      <c r="AG272" t="s">
        <v>1175</v>
      </c>
    </row>
    <row r="273" spans="1:37" s="17" customFormat="1" x14ac:dyDescent="0.3">
      <c r="A273">
        <v>308669</v>
      </c>
      <c r="B273" t="s">
        <v>477</v>
      </c>
      <c r="C273" s="1" t="s">
        <v>810</v>
      </c>
      <c r="D273" t="s">
        <v>814</v>
      </c>
      <c r="E273" s="4">
        <v>6.4</v>
      </c>
      <c r="F273" s="3">
        <f t="shared" si="103"/>
        <v>0.71111111111111114</v>
      </c>
      <c r="G273">
        <v>70.60284</v>
      </c>
      <c r="H273">
        <f t="shared" si="104"/>
        <v>0.68312486284836516</v>
      </c>
      <c r="I273">
        <v>147.19999999999999</v>
      </c>
      <c r="J273" s="3">
        <f t="shared" si="105"/>
        <v>0.67740450989415557</v>
      </c>
      <c r="K273">
        <v>0</v>
      </c>
      <c r="L273" s="3">
        <f t="shared" si="106"/>
        <v>0</v>
      </c>
      <c r="M273">
        <v>23823</v>
      </c>
      <c r="N273">
        <f t="shared" si="107"/>
        <v>0.11158583034070962</v>
      </c>
      <c r="O273" s="15">
        <v>0.54228625500000005</v>
      </c>
      <c r="P273">
        <f t="shared" si="108"/>
        <v>0.55283614716173135</v>
      </c>
      <c r="Q273">
        <v>0.32900000000000001</v>
      </c>
      <c r="R273">
        <f t="shared" si="109"/>
        <v>0.72932830857902908</v>
      </c>
      <c r="S273">
        <f t="shared" si="110"/>
        <v>0.18633250280524008</v>
      </c>
      <c r="T273" s="14">
        <f t="shared" si="111"/>
        <v>0.31820664842351049</v>
      </c>
      <c r="U273" t="str">
        <f t="shared" si="112"/>
        <v>Moderate</v>
      </c>
      <c r="V273">
        <f t="shared" si="113"/>
        <v>0.21198149503486144</v>
      </c>
      <c r="W273">
        <f t="shared" si="114"/>
        <v>0.31191490461293042</v>
      </c>
      <c r="X273" t="str">
        <f t="shared" si="124"/>
        <v>Moderate</v>
      </c>
      <c r="Y273">
        <f t="shared" si="115"/>
        <v>0.16068351057561867</v>
      </c>
      <c r="Z273">
        <f t="shared" si="116"/>
        <v>0.31626535914290804</v>
      </c>
      <c r="AA273" t="str">
        <f t="shared" si="117"/>
        <v>Moderate</v>
      </c>
      <c r="AB273">
        <f t="shared" si="118"/>
        <v>0.13375004298531568</v>
      </c>
      <c r="AC273">
        <f t="shared" si="119"/>
        <v>0.30846783722215859</v>
      </c>
      <c r="AD273" t="str">
        <f t="shared" si="120"/>
        <v>Moderate</v>
      </c>
      <c r="AE273">
        <f t="shared" si="121"/>
        <v>3.2432761572653117E-2</v>
      </c>
      <c r="AF273">
        <f t="shared" si="122"/>
        <v>0.16639407561859129</v>
      </c>
      <c r="AG273" t="s">
        <v>1175</v>
      </c>
      <c r="AH273"/>
      <c r="AI273"/>
      <c r="AJ273"/>
      <c r="AK273"/>
    </row>
    <row r="274" spans="1:37" x14ac:dyDescent="0.3">
      <c r="A274" s="17">
        <v>308694</v>
      </c>
      <c r="B274" s="17" t="s">
        <v>535</v>
      </c>
      <c r="C274" s="18" t="s">
        <v>810</v>
      </c>
      <c r="D274" s="17" t="s">
        <v>815</v>
      </c>
      <c r="E274" s="19">
        <v>6.4</v>
      </c>
      <c r="F274" s="3">
        <f t="shared" si="103"/>
        <v>0.71111111111111114</v>
      </c>
      <c r="G274" s="17">
        <v>79.946280000000002</v>
      </c>
      <c r="H274">
        <f t="shared" si="104"/>
        <v>0.77352825410758264</v>
      </c>
      <c r="I274" s="17">
        <v>160</v>
      </c>
      <c r="J274" s="3">
        <f t="shared" si="105"/>
        <v>0.73630924988495172</v>
      </c>
      <c r="K274" s="17">
        <v>0</v>
      </c>
      <c r="L274" s="3">
        <f t="shared" si="106"/>
        <v>0</v>
      </c>
      <c r="M274" s="17">
        <v>35519</v>
      </c>
      <c r="N274">
        <f t="shared" si="107"/>
        <v>0.16692452910533562</v>
      </c>
      <c r="O274" s="17">
        <v>0.42197394199999999</v>
      </c>
      <c r="P274">
        <f t="shared" si="108"/>
        <v>0.43018322177081153</v>
      </c>
      <c r="Q274" s="17">
        <v>0.24229999999999999</v>
      </c>
      <c r="R274">
        <f t="shared" si="109"/>
        <v>0.53713145643981375</v>
      </c>
      <c r="S274">
        <f t="shared" si="110"/>
        <v>0.15706547296240178</v>
      </c>
      <c r="T274" s="14">
        <f t="shared" si="111"/>
        <v>0.26822629966313022</v>
      </c>
      <c r="U274" t="str">
        <f t="shared" si="112"/>
        <v>Low</v>
      </c>
      <c r="V274">
        <f t="shared" si="113"/>
        <v>0.17443094403315421</v>
      </c>
      <c r="W274">
        <f t="shared" si="114"/>
        <v>0.25666207920977768</v>
      </c>
      <c r="X274" t="s">
        <v>1175</v>
      </c>
      <c r="Y274">
        <f t="shared" si="115"/>
        <v>0.13970000189164941</v>
      </c>
      <c r="Z274">
        <f t="shared" si="116"/>
        <v>0.2749645630236276</v>
      </c>
      <c r="AA274" t="str">
        <f t="shared" si="117"/>
        <v>Low</v>
      </c>
      <c r="AB274">
        <f t="shared" si="118"/>
        <v>0.12193361873108291</v>
      </c>
      <c r="AC274">
        <f t="shared" si="119"/>
        <v>0.28121560797388223</v>
      </c>
      <c r="AD274" t="str">
        <f t="shared" si="120"/>
        <v>Low</v>
      </c>
      <c r="AE274">
        <f t="shared" si="121"/>
        <v>5.4207965005668941E-2</v>
      </c>
      <c r="AF274">
        <f t="shared" si="122"/>
        <v>0.27811027463935351</v>
      </c>
      <c r="AG274" t="s">
        <v>1175</v>
      </c>
      <c r="AH274" s="17"/>
      <c r="AI274" s="17"/>
      <c r="AJ274" s="17"/>
      <c r="AK274" s="17"/>
    </row>
    <row r="275" spans="1:37" x14ac:dyDescent="0.3">
      <c r="A275">
        <v>309309</v>
      </c>
      <c r="B275" t="s">
        <v>53</v>
      </c>
      <c r="C275" s="1" t="s">
        <v>817</v>
      </c>
      <c r="D275" t="s">
        <v>816</v>
      </c>
      <c r="E275" s="4">
        <v>5.9</v>
      </c>
      <c r="F275" s="3">
        <f t="shared" si="103"/>
        <v>0.60000000000000009</v>
      </c>
      <c r="G275">
        <v>59.988239999999998</v>
      </c>
      <c r="H275">
        <f t="shared" si="104"/>
        <v>0.5804222354584434</v>
      </c>
      <c r="I275">
        <v>121.89999999999999</v>
      </c>
      <c r="J275" s="3">
        <f t="shared" si="105"/>
        <v>0.56097560975609762</v>
      </c>
      <c r="K275">
        <v>0</v>
      </c>
      <c r="L275" s="3">
        <f t="shared" si="106"/>
        <v>0</v>
      </c>
      <c r="M275">
        <v>14864</v>
      </c>
      <c r="N275">
        <f t="shared" si="107"/>
        <v>6.9197030560247549E-2</v>
      </c>
      <c r="O275" s="15">
        <v>0.525519819</v>
      </c>
      <c r="P275">
        <f t="shared" si="108"/>
        <v>0.53574352902064681</v>
      </c>
      <c r="Q275">
        <v>0.2621</v>
      </c>
      <c r="R275">
        <f t="shared" si="109"/>
        <v>0.581024163156728</v>
      </c>
      <c r="S275">
        <f t="shared" si="110"/>
        <v>0.11537238227026983</v>
      </c>
      <c r="T275" s="14">
        <f t="shared" si="111"/>
        <v>0.19702552442625257</v>
      </c>
      <c r="U275" t="str">
        <f t="shared" si="112"/>
        <v>Low</v>
      </c>
      <c r="V275">
        <f t="shared" si="113"/>
        <v>0.12005028857753651</v>
      </c>
      <c r="W275">
        <f t="shared" si="114"/>
        <v>0.17664501471819025</v>
      </c>
      <c r="X275" t="s">
        <v>1176</v>
      </c>
      <c r="Y275">
        <f t="shared" si="115"/>
        <v>0.11069447596300316</v>
      </c>
      <c r="Z275">
        <f t="shared" si="116"/>
        <v>0.21787442949287458</v>
      </c>
      <c r="AA275" t="str">
        <f t="shared" si="117"/>
        <v>Low</v>
      </c>
      <c r="AB275">
        <f t="shared" si="118"/>
        <v>8.0230026934184934E-2</v>
      </c>
      <c r="AC275">
        <f t="shared" si="119"/>
        <v>0.18503457895247677</v>
      </c>
      <c r="AD275" t="str">
        <f t="shared" si="120"/>
        <v>Low</v>
      </c>
      <c r="AE275">
        <f t="shared" si="121"/>
        <v>1.4297380408989171E-2</v>
      </c>
      <c r="AF275">
        <f t="shared" si="122"/>
        <v>7.335173699568806E-2</v>
      </c>
      <c r="AG275" t="str">
        <f t="shared" ref="AG275:AG276" si="126">IF(AF275&gt;0.7,"High",IF(AF275&gt;0.3,"Moderate",IF(AF275&gt;0.15,"Low","No Impact")))</f>
        <v>No Impact</v>
      </c>
    </row>
    <row r="276" spans="1:37" x14ac:dyDescent="0.3">
      <c r="A276">
        <v>309319</v>
      </c>
      <c r="B276" t="s">
        <v>73</v>
      </c>
      <c r="C276" s="1" t="s">
        <v>817</v>
      </c>
      <c r="D276" t="s">
        <v>818</v>
      </c>
      <c r="E276" s="4">
        <v>5.9</v>
      </c>
      <c r="F276" s="3">
        <f t="shared" si="103"/>
        <v>0.60000000000000009</v>
      </c>
      <c r="G276">
        <v>55.064520000000002</v>
      </c>
      <c r="H276">
        <f t="shared" si="104"/>
        <v>0.53278228854265719</v>
      </c>
      <c r="I276">
        <v>140.19999999999999</v>
      </c>
      <c r="J276" s="3">
        <f t="shared" si="105"/>
        <v>0.64519098021168886</v>
      </c>
      <c r="K276">
        <v>0</v>
      </c>
      <c r="L276" s="3">
        <f t="shared" si="106"/>
        <v>0</v>
      </c>
      <c r="M276">
        <v>8293</v>
      </c>
      <c r="N276">
        <f t="shared" si="107"/>
        <v>3.8106863872289488E-2</v>
      </c>
      <c r="O276" s="15">
        <v>0.294315995</v>
      </c>
      <c r="P276">
        <f t="shared" si="108"/>
        <v>0.30004175695707308</v>
      </c>
      <c r="Q276">
        <v>0.24229999999999999</v>
      </c>
      <c r="R276">
        <f t="shared" si="109"/>
        <v>0.53713145643981375</v>
      </c>
      <c r="S276">
        <f t="shared" si="110"/>
        <v>8.593192363433487E-2</v>
      </c>
      <c r="T276" s="14">
        <f t="shared" si="111"/>
        <v>0.14674900514188643</v>
      </c>
      <c r="U276" t="str">
        <f t="shared" si="112"/>
        <v>No Impact</v>
      </c>
      <c r="V276">
        <f t="shared" si="113"/>
        <v>0.11026807489241339</v>
      </c>
      <c r="W276">
        <f t="shared" si="114"/>
        <v>0.1622512194107428</v>
      </c>
      <c r="X276" t="s">
        <v>1176</v>
      </c>
      <c r="Y276">
        <f t="shared" si="115"/>
        <v>6.1595772376256366E-2</v>
      </c>
      <c r="Z276">
        <f t="shared" si="116"/>
        <v>0.12123589410310921</v>
      </c>
      <c r="AA276" t="str">
        <f t="shared" si="117"/>
        <v>No Impact</v>
      </c>
      <c r="AB276">
        <f t="shared" si="118"/>
        <v>5.9810602149130136E-2</v>
      </c>
      <c r="AC276">
        <f t="shared" si="119"/>
        <v>0.13794124230616311</v>
      </c>
      <c r="AD276" t="str">
        <f t="shared" si="120"/>
        <v>No Impact</v>
      </c>
      <c r="AE276">
        <f t="shared" si="121"/>
        <v>7.8229834968815588E-3</v>
      </c>
      <c r="AF276">
        <f t="shared" si="122"/>
        <v>4.013528433670837E-2</v>
      </c>
      <c r="AG276" t="str">
        <f t="shared" si="126"/>
        <v>No Impact</v>
      </c>
    </row>
    <row r="277" spans="1:37" x14ac:dyDescent="0.3">
      <c r="A277">
        <v>309323</v>
      </c>
      <c r="B277" t="s">
        <v>137</v>
      </c>
      <c r="C277" s="1" t="s">
        <v>817</v>
      </c>
      <c r="D277" t="s">
        <v>819</v>
      </c>
      <c r="E277" s="4">
        <v>5.9</v>
      </c>
      <c r="F277" s="3">
        <f t="shared" si="103"/>
        <v>0.60000000000000009</v>
      </c>
      <c r="G277">
        <v>61.877880000000005</v>
      </c>
      <c r="H277">
        <f t="shared" si="104"/>
        <v>0.59870563688865208</v>
      </c>
      <c r="I277">
        <v>122.30000000000001</v>
      </c>
      <c r="J277" s="3">
        <f t="shared" si="105"/>
        <v>0.56281638288081004</v>
      </c>
      <c r="K277">
        <v>0</v>
      </c>
      <c r="L277" s="3">
        <f t="shared" si="106"/>
        <v>0</v>
      </c>
      <c r="M277">
        <v>27551</v>
      </c>
      <c r="N277">
        <f t="shared" si="107"/>
        <v>0.12922456742984487</v>
      </c>
      <c r="O277" s="15">
        <v>0.71449663600000002</v>
      </c>
      <c r="P277">
        <f t="shared" si="108"/>
        <v>0.72839679000578383</v>
      </c>
      <c r="Q277">
        <v>0.31790000000000002</v>
      </c>
      <c r="R277">
        <f t="shared" si="109"/>
        <v>0.70472179117712264</v>
      </c>
      <c r="S277">
        <f t="shared" si="110"/>
        <v>0.15135689771212738</v>
      </c>
      <c r="T277" s="14">
        <f t="shared" si="111"/>
        <v>0.25847756248461506</v>
      </c>
      <c r="U277" t="str">
        <f t="shared" si="112"/>
        <v>Low</v>
      </c>
      <c r="V277">
        <f t="shared" si="113"/>
        <v>0.14885649444955387</v>
      </c>
      <c r="W277">
        <f t="shared" si="114"/>
        <v>0.21903119071602009</v>
      </c>
      <c r="X277" t="s">
        <v>1176</v>
      </c>
      <c r="Y277">
        <f t="shared" si="115"/>
        <v>0.15385730097470085</v>
      </c>
      <c r="Z277">
        <f t="shared" si="116"/>
        <v>0.30282967041986975</v>
      </c>
      <c r="AA277" t="str">
        <f t="shared" si="117"/>
        <v>Moderate</v>
      </c>
      <c r="AB277">
        <f t="shared" si="118"/>
        <v>0.10781047896516126</v>
      </c>
      <c r="AC277">
        <f t="shared" si="119"/>
        <v>0.24864339879067907</v>
      </c>
      <c r="AD277" t="str">
        <f t="shared" si="120"/>
        <v>Low</v>
      </c>
      <c r="AE277">
        <f t="shared" si="121"/>
        <v>2.7295758901163321E-2</v>
      </c>
      <c r="AF277">
        <f t="shared" si="122"/>
        <v>0.14003903307748658</v>
      </c>
      <c r="AG277" t="s">
        <v>1175</v>
      </c>
    </row>
    <row r="278" spans="1:37" x14ac:dyDescent="0.3">
      <c r="A278">
        <v>309325</v>
      </c>
      <c r="B278" t="s">
        <v>143</v>
      </c>
      <c r="C278" s="1" t="s">
        <v>817</v>
      </c>
      <c r="D278" t="s">
        <v>820</v>
      </c>
      <c r="E278" s="4">
        <v>5</v>
      </c>
      <c r="F278" s="3">
        <f t="shared" si="103"/>
        <v>0.39999999999999997</v>
      </c>
      <c r="G278">
        <v>43.804079999999999</v>
      </c>
      <c r="H278">
        <f t="shared" si="104"/>
        <v>0.42383077142787479</v>
      </c>
      <c r="I278">
        <v>142.5</v>
      </c>
      <c r="J278" s="3">
        <f t="shared" si="105"/>
        <v>0.65577542567878511</v>
      </c>
      <c r="K278">
        <v>0</v>
      </c>
      <c r="L278" s="3">
        <f t="shared" si="106"/>
        <v>0</v>
      </c>
      <c r="M278">
        <v>20219</v>
      </c>
      <c r="N278">
        <f t="shared" si="107"/>
        <v>9.453378944230742E-2</v>
      </c>
      <c r="O278" s="15">
        <v>0.579214652</v>
      </c>
      <c r="P278">
        <f t="shared" si="108"/>
        <v>0.59048296658616761</v>
      </c>
      <c r="Q278">
        <v>0.3785</v>
      </c>
      <c r="R278">
        <f t="shared" si="109"/>
        <v>0.83906007537131455</v>
      </c>
      <c r="S278">
        <f t="shared" si="110"/>
        <v>8.596911429560776E-2</v>
      </c>
      <c r="T278" s="14">
        <f t="shared" si="111"/>
        <v>0.14681251695811889</v>
      </c>
      <c r="U278" t="str">
        <f t="shared" si="112"/>
        <v>No Impact</v>
      </c>
      <c r="V278">
        <f t="shared" si="113"/>
        <v>0.10091791489076857</v>
      </c>
      <c r="W278">
        <f t="shared" si="114"/>
        <v>0.1484931587623402</v>
      </c>
      <c r="X278" t="s">
        <v>1176</v>
      </c>
      <c r="Y278">
        <f t="shared" si="115"/>
        <v>7.1020313700446938E-2</v>
      </c>
      <c r="Z278">
        <f t="shared" si="116"/>
        <v>0.13978574987844464</v>
      </c>
      <c r="AA278" t="str">
        <f t="shared" si="117"/>
        <v>No Impact</v>
      </c>
      <c r="AB278">
        <f t="shared" si="118"/>
        <v>6.0606880948953369E-2</v>
      </c>
      <c r="AC278">
        <f t="shared" si="119"/>
        <v>0.13977770077544599</v>
      </c>
      <c r="AD278" t="str">
        <f t="shared" si="120"/>
        <v>No Impact</v>
      </c>
      <c r="AE278">
        <f t="shared" si="121"/>
        <v>1.1370047505857971E-2</v>
      </c>
      <c r="AF278">
        <f t="shared" si="122"/>
        <v>5.8333254793570807E-2</v>
      </c>
      <c r="AG278" t="str">
        <f>IF(AF278&gt;0.7,"High",IF(AF278&gt;0.3,"Moderate",IF(AF278&gt;0.15,"Low","No Impact")))</f>
        <v>No Impact</v>
      </c>
    </row>
    <row r="279" spans="1:37" x14ac:dyDescent="0.3">
      <c r="A279">
        <v>309328</v>
      </c>
      <c r="B279" t="s">
        <v>182</v>
      </c>
      <c r="C279" s="1" t="s">
        <v>817</v>
      </c>
      <c r="D279" t="s">
        <v>821</v>
      </c>
      <c r="E279" s="4">
        <v>5.9</v>
      </c>
      <c r="F279" s="3">
        <f t="shared" si="103"/>
        <v>0.60000000000000009</v>
      </c>
      <c r="G279">
        <v>58.643639999999998</v>
      </c>
      <c r="H279">
        <f t="shared" si="104"/>
        <v>0.56741242323862462</v>
      </c>
      <c r="I279">
        <v>140.19999999999999</v>
      </c>
      <c r="J279" s="3">
        <f t="shared" si="105"/>
        <v>0.64519098021168886</v>
      </c>
      <c r="K279">
        <v>0</v>
      </c>
      <c r="L279" s="3">
        <f t="shared" si="106"/>
        <v>0</v>
      </c>
      <c r="M279">
        <v>34950</v>
      </c>
      <c r="N279">
        <f t="shared" si="107"/>
        <v>0.16423235061721386</v>
      </c>
      <c r="O279" s="15">
        <v>0.59510824799999995</v>
      </c>
      <c r="P279">
        <f t="shared" si="108"/>
        <v>0.60668576408688069</v>
      </c>
      <c r="Q279">
        <v>0.36299999999999999</v>
      </c>
      <c r="R279">
        <f t="shared" si="109"/>
        <v>0.80469962314342713</v>
      </c>
      <c r="S279">
        <f t="shared" si="110"/>
        <v>0.15073729960964666</v>
      </c>
      <c r="T279" s="14">
        <f t="shared" si="111"/>
        <v>0.25741945274749617</v>
      </c>
      <c r="U279" t="str">
        <f t="shared" si="112"/>
        <v>Low</v>
      </c>
      <c r="V279">
        <f t="shared" si="113"/>
        <v>0.17188536779111097</v>
      </c>
      <c r="W279">
        <f t="shared" si="114"/>
        <v>0.25291645428817178</v>
      </c>
      <c r="X279" t="s">
        <v>1175</v>
      </c>
      <c r="Y279">
        <f t="shared" si="115"/>
        <v>0.12958923142818229</v>
      </c>
      <c r="Z279">
        <f t="shared" si="116"/>
        <v>0.25506403657642207</v>
      </c>
      <c r="AA279" t="str">
        <f t="shared" si="117"/>
        <v>Low</v>
      </c>
      <c r="AB279">
        <f t="shared" si="118"/>
        <v>0.11131476785616815</v>
      </c>
      <c r="AC279">
        <f t="shared" si="119"/>
        <v>0.25672534322287049</v>
      </c>
      <c r="AD279" t="str">
        <f t="shared" si="120"/>
        <v>Low</v>
      </c>
      <c r="AE279">
        <f t="shared" si="121"/>
        <v>3.5080342002356102E-2</v>
      </c>
      <c r="AF279">
        <f t="shared" si="122"/>
        <v>0.17997730679794791</v>
      </c>
      <c r="AG279" t="s">
        <v>1175</v>
      </c>
    </row>
    <row r="280" spans="1:37" x14ac:dyDescent="0.3">
      <c r="A280">
        <v>309338</v>
      </c>
      <c r="B280" t="s">
        <v>191</v>
      </c>
      <c r="C280" s="1" t="s">
        <v>817</v>
      </c>
      <c r="D280" t="s">
        <v>822</v>
      </c>
      <c r="E280" s="4">
        <v>5.9</v>
      </c>
      <c r="F280" s="3">
        <f t="shared" si="103"/>
        <v>0.60000000000000009</v>
      </c>
      <c r="G280">
        <v>49.6008</v>
      </c>
      <c r="H280">
        <f t="shared" si="104"/>
        <v>0.47991751744220473</v>
      </c>
      <c r="I280">
        <v>142.5</v>
      </c>
      <c r="J280" s="3">
        <f t="shared" si="105"/>
        <v>0.65577542567878511</v>
      </c>
      <c r="K280">
        <v>0</v>
      </c>
      <c r="L280" s="3">
        <f t="shared" si="106"/>
        <v>0</v>
      </c>
      <c r="M280">
        <v>19705</v>
      </c>
      <c r="N280">
        <f t="shared" si="107"/>
        <v>9.2101839103301109E-2</v>
      </c>
      <c r="O280" s="15">
        <v>0.91572158599999998</v>
      </c>
      <c r="P280">
        <f t="shared" si="108"/>
        <v>0.93353646493782139</v>
      </c>
      <c r="Q280">
        <v>0.34639999999999999</v>
      </c>
      <c r="R280">
        <f t="shared" si="109"/>
        <v>0.76790068720904447</v>
      </c>
      <c r="S280">
        <f t="shared" si="110"/>
        <v>0.16493157965995969</v>
      </c>
      <c r="T280" s="14">
        <f t="shared" si="111"/>
        <v>0.2816595301016645</v>
      </c>
      <c r="U280" t="str">
        <f t="shared" si="112"/>
        <v>Low</v>
      </c>
      <c r="V280">
        <f t="shared" si="113"/>
        <v>0.14887540595143178</v>
      </c>
      <c r="W280">
        <f t="shared" si="114"/>
        <v>0.21905901757563992</v>
      </c>
      <c r="X280" t="s">
        <v>1176</v>
      </c>
      <c r="Y280">
        <f t="shared" si="115"/>
        <v>0.18098775336848766</v>
      </c>
      <c r="Z280">
        <f t="shared" si="116"/>
        <v>0.35622919000525094</v>
      </c>
      <c r="AA280" t="str">
        <f t="shared" si="117"/>
        <v>Moderate</v>
      </c>
      <c r="AB280">
        <f t="shared" si="118"/>
        <v>0.11265234727062828</v>
      </c>
      <c r="AC280">
        <f t="shared" si="119"/>
        <v>0.25981020375735792</v>
      </c>
      <c r="AD280" t="str">
        <f t="shared" si="120"/>
        <v>Low</v>
      </c>
      <c r="AE280">
        <f t="shared" si="121"/>
        <v>1.785608336308819E-2</v>
      </c>
      <c r="AF280">
        <f t="shared" si="122"/>
        <v>9.1609420268263506E-2</v>
      </c>
      <c r="AG280" t="s">
        <v>1175</v>
      </c>
    </row>
    <row r="281" spans="1:37" x14ac:dyDescent="0.3">
      <c r="A281">
        <v>309347</v>
      </c>
      <c r="B281" t="s">
        <v>247</v>
      </c>
      <c r="C281" s="1" t="s">
        <v>817</v>
      </c>
      <c r="D281" t="s">
        <v>823</v>
      </c>
      <c r="E281" s="4">
        <v>5.9</v>
      </c>
      <c r="F281" s="3">
        <f t="shared" si="103"/>
        <v>0.60000000000000009</v>
      </c>
      <c r="G281">
        <v>54.367560000000005</v>
      </c>
      <c r="H281">
        <f t="shared" si="104"/>
        <v>0.52603878212831479</v>
      </c>
      <c r="I281">
        <v>131</v>
      </c>
      <c r="J281" s="3">
        <f t="shared" si="105"/>
        <v>0.6028531983433042</v>
      </c>
      <c r="K281">
        <v>0</v>
      </c>
      <c r="L281" s="3">
        <f t="shared" si="106"/>
        <v>0</v>
      </c>
      <c r="M281">
        <v>36750</v>
      </c>
      <c r="N281">
        <f t="shared" si="107"/>
        <v>0.17274890822462893</v>
      </c>
      <c r="O281" s="15">
        <v>0.74610422700000001</v>
      </c>
      <c r="P281">
        <f t="shared" si="108"/>
        <v>0.7606192899647839</v>
      </c>
      <c r="Q281">
        <v>0.31900000000000001</v>
      </c>
      <c r="R281">
        <f t="shared" si="109"/>
        <v>0.70716027488361788</v>
      </c>
      <c r="S281">
        <f t="shared" si="110"/>
        <v>0.14574441327498988</v>
      </c>
      <c r="T281" s="14">
        <f t="shared" si="111"/>
        <v>0.24889292300849886</v>
      </c>
      <c r="U281" t="str">
        <f t="shared" si="112"/>
        <v>Low</v>
      </c>
      <c r="V281">
        <f t="shared" si="113"/>
        <v>0.14043615515922298</v>
      </c>
      <c r="W281">
        <f t="shared" si="114"/>
        <v>0.20664129165374515</v>
      </c>
      <c r="X281" t="s">
        <v>1176</v>
      </c>
      <c r="Y281">
        <f t="shared" si="115"/>
        <v>0.15105267139075682</v>
      </c>
      <c r="Z281">
        <f t="shared" si="116"/>
        <v>0.29730945755265431</v>
      </c>
      <c r="AA281" t="str">
        <f t="shared" si="117"/>
        <v>Low</v>
      </c>
      <c r="AB281">
        <f t="shared" si="118"/>
        <v>0.10647572998486769</v>
      </c>
      <c r="AC281">
        <f t="shared" si="119"/>
        <v>0.24556506608890311</v>
      </c>
      <c r="AD281" t="str">
        <f t="shared" si="120"/>
        <v>Low</v>
      </c>
      <c r="AE281">
        <f t="shared" si="121"/>
        <v>3.4306497891178941E-2</v>
      </c>
      <c r="AF281">
        <f t="shared" si="122"/>
        <v>0.17600715225949548</v>
      </c>
      <c r="AG281" t="s">
        <v>1175</v>
      </c>
    </row>
    <row r="282" spans="1:37" x14ac:dyDescent="0.3">
      <c r="A282">
        <v>309357</v>
      </c>
      <c r="B282" t="s">
        <v>311</v>
      </c>
      <c r="C282" s="1" t="s">
        <v>817</v>
      </c>
      <c r="D282" t="s">
        <v>824</v>
      </c>
      <c r="E282" s="4">
        <v>5.3</v>
      </c>
      <c r="F282" s="3">
        <f t="shared" si="103"/>
        <v>0.46666666666666656</v>
      </c>
      <c r="G282">
        <v>57.000600000000006</v>
      </c>
      <c r="H282">
        <f t="shared" si="104"/>
        <v>0.55151502485274706</v>
      </c>
      <c r="I282">
        <v>140.19999999999999</v>
      </c>
      <c r="J282" s="3">
        <f t="shared" si="105"/>
        <v>0.64519098021168886</v>
      </c>
      <c r="K282">
        <v>0</v>
      </c>
      <c r="L282" s="3">
        <f t="shared" si="106"/>
        <v>0</v>
      </c>
      <c r="M282">
        <v>40172</v>
      </c>
      <c r="N282">
        <f t="shared" si="107"/>
        <v>0.18893983052050362</v>
      </c>
      <c r="O282" s="15">
        <v>0.92065773399999995</v>
      </c>
      <c r="P282">
        <f t="shared" si="108"/>
        <v>0.93856864308539412</v>
      </c>
      <c r="Q282">
        <v>0.39479999999999998</v>
      </c>
      <c r="R282">
        <f t="shared" si="109"/>
        <v>0.87519397029483481</v>
      </c>
      <c r="S282">
        <f t="shared" si="110"/>
        <v>0.14797337071948033</v>
      </c>
      <c r="T282" s="14">
        <f t="shared" si="111"/>
        <v>0.25269939298669308</v>
      </c>
      <c r="U282" t="str">
        <f t="shared" si="112"/>
        <v>Low</v>
      </c>
      <c r="V282">
        <f t="shared" si="113"/>
        <v>0.14280303371844011</v>
      </c>
      <c r="W282">
        <f t="shared" si="114"/>
        <v>0.21012397630934299</v>
      </c>
      <c r="X282" t="s">
        <v>1176</v>
      </c>
      <c r="Y282">
        <f t="shared" si="115"/>
        <v>0.15314370772052055</v>
      </c>
      <c r="Z282">
        <f t="shared" si="116"/>
        <v>0.30142514032212164</v>
      </c>
      <c r="AA282" t="str">
        <f t="shared" si="117"/>
        <v>Moderate</v>
      </c>
      <c r="AB282">
        <f t="shared" si="118"/>
        <v>0.10671425456437135</v>
      </c>
      <c r="AC282">
        <f t="shared" si="119"/>
        <v>0.24611517552828399</v>
      </c>
      <c r="AD282" t="str">
        <f t="shared" si="120"/>
        <v>Low</v>
      </c>
      <c r="AE282">
        <f t="shared" si="121"/>
        <v>3.0828801276460392E-2</v>
      </c>
      <c r="AF282">
        <f t="shared" si="122"/>
        <v>0.15816506649718029</v>
      </c>
      <c r="AG282" t="s">
        <v>1175</v>
      </c>
    </row>
    <row r="283" spans="1:37" x14ac:dyDescent="0.3">
      <c r="A283">
        <v>309366</v>
      </c>
      <c r="B283" t="s">
        <v>338</v>
      </c>
      <c r="C283" s="1" t="s">
        <v>817</v>
      </c>
      <c r="D283" t="s">
        <v>825</v>
      </c>
      <c r="E283" s="4">
        <v>5.9</v>
      </c>
      <c r="F283" s="3">
        <f t="shared" si="103"/>
        <v>0.60000000000000009</v>
      </c>
      <c r="G283">
        <v>69.16716000000001</v>
      </c>
      <c r="H283">
        <f t="shared" si="104"/>
        <v>0.66923379694939944</v>
      </c>
      <c r="I283">
        <v>129.5</v>
      </c>
      <c r="J283" s="3">
        <f t="shared" si="105"/>
        <v>0.5959502991256328</v>
      </c>
      <c r="K283">
        <v>0</v>
      </c>
      <c r="L283" s="3">
        <f t="shared" si="106"/>
        <v>0</v>
      </c>
      <c r="M283">
        <v>80305</v>
      </c>
      <c r="N283">
        <f t="shared" si="107"/>
        <v>0.37882594521960888</v>
      </c>
      <c r="O283" s="15">
        <v>0.87243545700000003</v>
      </c>
      <c r="P283">
        <f t="shared" si="108"/>
        <v>0.88940822720126711</v>
      </c>
      <c r="Q283">
        <v>0.31480000000000002</v>
      </c>
      <c r="R283">
        <f t="shared" si="109"/>
        <v>0.69784970073154518</v>
      </c>
      <c r="S283">
        <f t="shared" si="110"/>
        <v>0.18422520819828697</v>
      </c>
      <c r="T283" s="14">
        <f t="shared" si="111"/>
        <v>0.31460794640414047</v>
      </c>
      <c r="U283" t="str">
        <f t="shared" si="112"/>
        <v>Moderate</v>
      </c>
      <c r="V283">
        <f t="shared" si="113"/>
        <v>0.16199195372842151</v>
      </c>
      <c r="W283">
        <f t="shared" si="114"/>
        <v>0.23835903594770524</v>
      </c>
      <c r="X283" t="s">
        <v>1175</v>
      </c>
      <c r="Y283">
        <f t="shared" si="115"/>
        <v>0.20645846266815246</v>
      </c>
      <c r="Z283">
        <f t="shared" si="116"/>
        <v>0.4063619198381116</v>
      </c>
      <c r="AA283" t="str">
        <f t="shared" si="117"/>
        <v>Moderate</v>
      </c>
      <c r="AB283">
        <f t="shared" si="118"/>
        <v>0.14941264544993085</v>
      </c>
      <c r="AC283">
        <f t="shared" si="119"/>
        <v>0.34459051052896816</v>
      </c>
      <c r="AD283" t="str">
        <f t="shared" si="120"/>
        <v>Moderate</v>
      </c>
      <c r="AE283">
        <f t="shared" si="121"/>
        <v>8.7936922412964552E-2</v>
      </c>
      <c r="AF283">
        <f t="shared" si="122"/>
        <v>0.45115439475825225</v>
      </c>
      <c r="AG283" t="str">
        <f t="shared" ref="AG283:AG321" si="127">IF(AF283&gt;0.7,"High",IF(AF283&gt;0.3,"Moderate",IF(AF283&gt;0.15,"Low","No Impact")))</f>
        <v>Moderate</v>
      </c>
    </row>
    <row r="284" spans="1:37" x14ac:dyDescent="0.3">
      <c r="A284">
        <v>309376</v>
      </c>
      <c r="B284" t="s">
        <v>360</v>
      </c>
      <c r="C284" s="1" t="s">
        <v>817</v>
      </c>
      <c r="D284" t="s">
        <v>826</v>
      </c>
      <c r="E284" s="4">
        <v>5.2</v>
      </c>
      <c r="F284" s="3">
        <f t="shared" si="103"/>
        <v>0.44444444444444442</v>
      </c>
      <c r="G284">
        <v>69.184799999999996</v>
      </c>
      <c r="H284">
        <f t="shared" si="104"/>
        <v>0.66940447453943164</v>
      </c>
      <c r="I284">
        <v>131.39999999999998</v>
      </c>
      <c r="J284" s="3">
        <f t="shared" si="105"/>
        <v>0.60469397146801651</v>
      </c>
      <c r="K284">
        <v>0</v>
      </c>
      <c r="L284" s="3">
        <f t="shared" si="106"/>
        <v>0</v>
      </c>
      <c r="M284">
        <v>29372</v>
      </c>
      <c r="N284">
        <f t="shared" si="107"/>
        <v>0.13784048487601311</v>
      </c>
      <c r="O284" s="15">
        <v>0.54487756300000001</v>
      </c>
      <c r="P284">
        <f t="shared" si="108"/>
        <v>0.55547786768778329</v>
      </c>
      <c r="Q284">
        <v>0.28660000000000002</v>
      </c>
      <c r="R284">
        <f t="shared" si="109"/>
        <v>0.63533584571048551</v>
      </c>
      <c r="S284">
        <f t="shared" si="110"/>
        <v>0.10285999688074714</v>
      </c>
      <c r="T284" s="14">
        <f t="shared" si="111"/>
        <v>0.17565767845927752</v>
      </c>
      <c r="U284" t="str">
        <f t="shared" si="112"/>
        <v>Low</v>
      </c>
      <c r="V284">
        <f t="shared" si="113"/>
        <v>0.10975796192590669</v>
      </c>
      <c r="W284">
        <f t="shared" si="114"/>
        <v>0.16150062635891255</v>
      </c>
      <c r="X284" t="s">
        <v>1176</v>
      </c>
      <c r="Y284">
        <f t="shared" si="115"/>
        <v>9.5962031835587561E-2</v>
      </c>
      <c r="Z284">
        <f t="shared" si="116"/>
        <v>0.18887729272184792</v>
      </c>
      <c r="AA284" t="str">
        <f t="shared" si="117"/>
        <v>Low</v>
      </c>
      <c r="AB284">
        <f t="shared" si="118"/>
        <v>7.5538357089112079E-2</v>
      </c>
      <c r="AC284">
        <f t="shared" si="119"/>
        <v>0.17421417682199722</v>
      </c>
      <c r="AD284" t="str">
        <f t="shared" si="120"/>
        <v>Low</v>
      </c>
      <c r="AE284">
        <f t="shared" si="121"/>
        <v>2.3812745326767065E-2</v>
      </c>
      <c r="AF284">
        <f t="shared" si="122"/>
        <v>0.1221696690154592</v>
      </c>
      <c r="AG284" t="s">
        <v>1175</v>
      </c>
    </row>
    <row r="285" spans="1:37" x14ac:dyDescent="0.3">
      <c r="A285">
        <v>309385</v>
      </c>
      <c r="B285" t="s">
        <v>454</v>
      </c>
      <c r="C285" s="1" t="s">
        <v>817</v>
      </c>
      <c r="D285" t="s">
        <v>1142</v>
      </c>
      <c r="E285" s="4">
        <v>5.9</v>
      </c>
      <c r="F285" s="3">
        <f t="shared" si="103"/>
        <v>0.60000000000000009</v>
      </c>
      <c r="G285">
        <v>62.750520000000009</v>
      </c>
      <c r="H285">
        <f t="shared" si="104"/>
        <v>0.60714895277107261</v>
      </c>
      <c r="I285">
        <v>131.70000000000002</v>
      </c>
      <c r="J285" s="3">
        <f t="shared" si="105"/>
        <v>0.60607455131155097</v>
      </c>
      <c r="K285">
        <v>0</v>
      </c>
      <c r="L285" s="3">
        <f t="shared" si="106"/>
        <v>0</v>
      </c>
      <c r="M285">
        <v>55940</v>
      </c>
      <c r="N285">
        <f t="shared" si="107"/>
        <v>0.26354487516145975</v>
      </c>
      <c r="O285" s="15">
        <v>0.61695330699999995</v>
      </c>
      <c r="P285">
        <f t="shared" si="108"/>
        <v>0.62895580715127797</v>
      </c>
      <c r="Q285">
        <v>0.37419999999999998</v>
      </c>
      <c r="R285">
        <f t="shared" si="109"/>
        <v>0.82952782088228771</v>
      </c>
      <c r="S285">
        <f t="shared" si="110"/>
        <v>0.15929900551466131</v>
      </c>
      <c r="T285" s="14">
        <f t="shared" si="111"/>
        <v>0.27204058271573417</v>
      </c>
      <c r="U285" t="str">
        <f t="shared" si="112"/>
        <v>Low</v>
      </c>
      <c r="V285">
        <f t="shared" si="113"/>
        <v>0.18120595167935799</v>
      </c>
      <c r="W285">
        <f t="shared" si="114"/>
        <v>0.26663099589927453</v>
      </c>
      <c r="X285" t="s">
        <v>1175</v>
      </c>
      <c r="Y285">
        <f t="shared" si="115"/>
        <v>0.1373920593499646</v>
      </c>
      <c r="Z285">
        <f t="shared" si="116"/>
        <v>0.27042195454928986</v>
      </c>
      <c r="AA285" t="str">
        <f t="shared" si="117"/>
        <v>Low</v>
      </c>
      <c r="AB285">
        <f t="shared" si="118"/>
        <v>0.12478919383209709</v>
      </c>
      <c r="AC285">
        <f t="shared" si="119"/>
        <v>0.28780142324372854</v>
      </c>
      <c r="AD285" t="str">
        <f t="shared" si="120"/>
        <v>Low</v>
      </c>
      <c r="AE285">
        <f t="shared" si="121"/>
        <v>5.7569979826664071E-2</v>
      </c>
      <c r="AF285">
        <f t="shared" si="122"/>
        <v>0.29535886283318719</v>
      </c>
      <c r="AG285" t="s">
        <v>1175</v>
      </c>
    </row>
    <row r="286" spans="1:37" x14ac:dyDescent="0.3">
      <c r="A286">
        <v>309395</v>
      </c>
      <c r="B286" t="s">
        <v>510</v>
      </c>
      <c r="C286" s="1" t="s">
        <v>817</v>
      </c>
      <c r="D286" t="s">
        <v>827</v>
      </c>
      <c r="E286" s="4">
        <v>5.9</v>
      </c>
      <c r="F286" s="3">
        <f t="shared" si="103"/>
        <v>0.60000000000000009</v>
      </c>
      <c r="G286">
        <v>57.615840000000006</v>
      </c>
      <c r="H286">
        <f t="shared" si="104"/>
        <v>0.55746784120714343</v>
      </c>
      <c r="I286">
        <v>121.89999999999999</v>
      </c>
      <c r="J286" s="3">
        <f t="shared" si="105"/>
        <v>0.56097560975609762</v>
      </c>
      <c r="K286">
        <v>0</v>
      </c>
      <c r="L286" s="3">
        <f t="shared" si="106"/>
        <v>0</v>
      </c>
      <c r="M286">
        <v>51021</v>
      </c>
      <c r="N286">
        <f t="shared" si="107"/>
        <v>0.24027101578875151</v>
      </c>
      <c r="O286" s="15">
        <v>0.66314428800000003</v>
      </c>
      <c r="P286">
        <f t="shared" si="108"/>
        <v>0.67604540924650491</v>
      </c>
      <c r="Q286">
        <v>0.29170000000000001</v>
      </c>
      <c r="R286">
        <f t="shared" si="109"/>
        <v>0.64664154289514519</v>
      </c>
      <c r="S286">
        <f t="shared" si="110"/>
        <v>0.13300235994603721</v>
      </c>
      <c r="T286" s="14">
        <f t="shared" si="111"/>
        <v>0.22713286492524726</v>
      </c>
      <c r="U286" t="str">
        <f t="shared" si="112"/>
        <v>Low</v>
      </c>
      <c r="V286">
        <f t="shared" si="113"/>
        <v>0.13004566364693448</v>
      </c>
      <c r="W286">
        <f t="shared" si="114"/>
        <v>0.19135246104896081</v>
      </c>
      <c r="X286" t="s">
        <v>1176</v>
      </c>
      <c r="Y286">
        <f t="shared" si="115"/>
        <v>0.13595905624513999</v>
      </c>
      <c r="Z286">
        <f t="shared" si="116"/>
        <v>0.26760144583637513</v>
      </c>
      <c r="AA286" t="str">
        <f t="shared" si="117"/>
        <v>Low</v>
      </c>
      <c r="AB286">
        <f t="shared" si="118"/>
        <v>0.10321596130871698</v>
      </c>
      <c r="AC286">
        <f t="shared" si="119"/>
        <v>0.23804705883497537</v>
      </c>
      <c r="AD286" t="str">
        <f t="shared" si="120"/>
        <v>Low</v>
      </c>
      <c r="AE286">
        <f t="shared" si="121"/>
        <v>4.83207490249941E-2</v>
      </c>
      <c r="AF286">
        <f t="shared" si="122"/>
        <v>0.2479063137809179</v>
      </c>
      <c r="AG286" t="s">
        <v>1175</v>
      </c>
    </row>
    <row r="287" spans="1:37" x14ac:dyDescent="0.3">
      <c r="A287">
        <v>400108</v>
      </c>
      <c r="B287" t="s">
        <v>25</v>
      </c>
      <c r="C287" s="1" t="s">
        <v>829</v>
      </c>
      <c r="D287" t="s">
        <v>828</v>
      </c>
      <c r="E287" s="4">
        <v>6.9</v>
      </c>
      <c r="F287" s="3">
        <f t="shared" si="103"/>
        <v>0.8222222222222223</v>
      </c>
      <c r="G287">
        <v>81.639360000000011</v>
      </c>
      <c r="H287">
        <f t="shared" si="104"/>
        <v>0.78990981953457273</v>
      </c>
      <c r="I287">
        <v>149</v>
      </c>
      <c r="J287" s="3">
        <f t="shared" si="105"/>
        <v>0.68568798895536132</v>
      </c>
      <c r="K287">
        <v>0</v>
      </c>
      <c r="L287" s="3">
        <f t="shared" si="106"/>
        <v>0</v>
      </c>
      <c r="M287">
        <v>24641</v>
      </c>
      <c r="N287">
        <f t="shared" si="107"/>
        <v>0.11545613263119048</v>
      </c>
      <c r="O287" s="15">
        <v>0.79242037099999996</v>
      </c>
      <c r="P287">
        <f t="shared" si="108"/>
        <v>0.80783649003995073</v>
      </c>
      <c r="Q287">
        <v>0.2369</v>
      </c>
      <c r="R287">
        <f t="shared" si="109"/>
        <v>0.52516071824429178</v>
      </c>
      <c r="S287">
        <f t="shared" si="110"/>
        <v>0.24830415046582885</v>
      </c>
      <c r="T287" s="14">
        <f t="shared" si="111"/>
        <v>0.4240378373061624</v>
      </c>
      <c r="U287" t="str">
        <f t="shared" si="112"/>
        <v>Moderate</v>
      </c>
      <c r="V287">
        <f t="shared" si="113"/>
        <v>0.19564870082438693</v>
      </c>
      <c r="W287">
        <f t="shared" si="114"/>
        <v>0.28788242032752159</v>
      </c>
      <c r="X287" t="s">
        <v>1175</v>
      </c>
      <c r="Y287">
        <f t="shared" si="115"/>
        <v>0.3009596001072708</v>
      </c>
      <c r="Z287">
        <f t="shared" si="116"/>
        <v>0.59236380680541723</v>
      </c>
      <c r="AA287" t="str">
        <f t="shared" si="117"/>
        <v>Moderate</v>
      </c>
      <c r="AB287">
        <f t="shared" si="118"/>
        <v>0.17381954488452697</v>
      </c>
      <c r="AC287">
        <f t="shared" si="119"/>
        <v>0.40088016333091275</v>
      </c>
      <c r="AD287" t="str">
        <f t="shared" si="120"/>
        <v>Moderate</v>
      </c>
      <c r="AE287">
        <f t="shared" si="121"/>
        <v>4.3013198753743709E-2</v>
      </c>
      <c r="AF287">
        <f t="shared" si="122"/>
        <v>0.22067628838805808</v>
      </c>
      <c r="AG287" t="s">
        <v>1175</v>
      </c>
    </row>
    <row r="288" spans="1:37" x14ac:dyDescent="0.3">
      <c r="A288">
        <v>400114</v>
      </c>
      <c r="B288" t="s">
        <v>112</v>
      </c>
      <c r="C288" s="1" t="s">
        <v>829</v>
      </c>
      <c r="D288" t="s">
        <v>830</v>
      </c>
      <c r="E288" s="4">
        <v>6.8</v>
      </c>
      <c r="F288" s="3">
        <f t="shared" si="103"/>
        <v>0.79999999999999993</v>
      </c>
      <c r="G288">
        <v>71.157600000000002</v>
      </c>
      <c r="H288">
        <f t="shared" si="104"/>
        <v>0.68849249889407893</v>
      </c>
      <c r="I288">
        <v>113.69999999999999</v>
      </c>
      <c r="J288" s="3">
        <f t="shared" si="105"/>
        <v>0.52323976069949374</v>
      </c>
      <c r="K288">
        <v>0</v>
      </c>
      <c r="L288" s="3">
        <f t="shared" si="106"/>
        <v>0</v>
      </c>
      <c r="M288">
        <v>9991</v>
      </c>
      <c r="N288">
        <f t="shared" si="107"/>
        <v>4.6140816548617715E-2</v>
      </c>
      <c r="O288" s="15">
        <v>0.70319240100000002</v>
      </c>
      <c r="P288">
        <f t="shared" si="108"/>
        <v>0.71687263709504712</v>
      </c>
      <c r="Q288">
        <v>0.2374</v>
      </c>
      <c r="R288">
        <f t="shared" si="109"/>
        <v>0.52626911992906233</v>
      </c>
      <c r="S288">
        <f t="shared" si="110"/>
        <v>0.18897989960056424</v>
      </c>
      <c r="T288" s="14">
        <f t="shared" si="111"/>
        <v>0.32272770217744284</v>
      </c>
      <c r="U288" t="str">
        <f t="shared" si="112"/>
        <v>Moderate</v>
      </c>
      <c r="V288">
        <f t="shared" si="113"/>
        <v>0.16000473781067381</v>
      </c>
      <c r="W288">
        <f t="shared" si="114"/>
        <v>0.23543499645393889</v>
      </c>
      <c r="X288" t="s">
        <v>1175</v>
      </c>
      <c r="Y288">
        <f t="shared" si="115"/>
        <v>0.21795506139045467</v>
      </c>
      <c r="Z288">
        <f t="shared" si="116"/>
        <v>0.42899010309603025</v>
      </c>
      <c r="AA288" t="str">
        <f t="shared" si="117"/>
        <v>Moderate</v>
      </c>
      <c r="AB288">
        <f t="shared" si="118"/>
        <v>0.12629814028189337</v>
      </c>
      <c r="AC288">
        <f t="shared" si="119"/>
        <v>0.29128150771670186</v>
      </c>
      <c r="AD288" t="str">
        <f t="shared" si="120"/>
        <v>Low</v>
      </c>
      <c r="AE288">
        <f t="shared" si="121"/>
        <v>1.4028467517203222E-2</v>
      </c>
      <c r="AF288">
        <f t="shared" si="122"/>
        <v>7.1972097708715529E-2</v>
      </c>
      <c r="AG288" t="str">
        <f>IF(AF288&gt;0.7,"High",IF(AF288&gt;0.3,"Moderate",IF(AF288&gt;0.15,"Low","No Impact")))</f>
        <v>No Impact</v>
      </c>
    </row>
    <row r="289" spans="1:33" x14ac:dyDescent="0.3">
      <c r="A289">
        <v>400134</v>
      </c>
      <c r="B289" t="s">
        <v>161</v>
      </c>
      <c r="C289" s="1" t="s">
        <v>829</v>
      </c>
      <c r="D289" t="s">
        <v>831</v>
      </c>
      <c r="E289" s="4">
        <v>6.9</v>
      </c>
      <c r="F289" s="3">
        <f t="shared" si="103"/>
        <v>0.8222222222222223</v>
      </c>
      <c r="G289">
        <v>73.499399999999994</v>
      </c>
      <c r="H289">
        <f t="shared" si="104"/>
        <v>0.71115081977491446</v>
      </c>
      <c r="I289">
        <v>125</v>
      </c>
      <c r="J289" s="3">
        <f t="shared" si="105"/>
        <v>0.57524160147261849</v>
      </c>
      <c r="K289">
        <v>0</v>
      </c>
      <c r="L289" s="3">
        <f t="shared" si="106"/>
        <v>0</v>
      </c>
      <c r="M289">
        <v>15140</v>
      </c>
      <c r="N289">
        <f t="shared" si="107"/>
        <v>7.0502902726717859E-2</v>
      </c>
      <c r="O289" s="15">
        <v>0.82050649799999997</v>
      </c>
      <c r="P289">
        <f t="shared" si="108"/>
        <v>0.83646901778007399</v>
      </c>
      <c r="Q289">
        <v>0.32829999999999998</v>
      </c>
      <c r="R289">
        <f t="shared" si="109"/>
        <v>0.72777654622035026</v>
      </c>
      <c r="S289">
        <f t="shared" si="110"/>
        <v>0.25691551485717906</v>
      </c>
      <c r="T289" s="14">
        <f t="shared" si="111"/>
        <v>0.43874377083934335</v>
      </c>
      <c r="U289" t="str">
        <f t="shared" si="112"/>
        <v>Moderate</v>
      </c>
      <c r="V289">
        <f t="shared" si="113"/>
        <v>0.23906359765534888</v>
      </c>
      <c r="W289">
        <f t="shared" si="114"/>
        <v>0.35176419171319234</v>
      </c>
      <c r="X289" t="str">
        <f t="shared" si="124"/>
        <v>Moderate</v>
      </c>
      <c r="Y289">
        <f t="shared" si="115"/>
        <v>0.27476743205900922</v>
      </c>
      <c r="Z289">
        <f t="shared" si="116"/>
        <v>0.5408110656134919</v>
      </c>
      <c r="AA289" t="str">
        <f t="shared" si="117"/>
        <v>Moderate</v>
      </c>
      <c r="AB289">
        <f t="shared" si="118"/>
        <v>0.17420818714704875</v>
      </c>
      <c r="AC289">
        <f t="shared" si="119"/>
        <v>0.40177648930956222</v>
      </c>
      <c r="AD289" t="str">
        <f t="shared" si="120"/>
        <v>Moderate</v>
      </c>
      <c r="AE289">
        <f t="shared" si="121"/>
        <v>2.3159138142782573E-2</v>
      </c>
      <c r="AF289">
        <f t="shared" si="122"/>
        <v>0.11881638184769387</v>
      </c>
      <c r="AG289" t="s">
        <v>1175</v>
      </c>
    </row>
    <row r="290" spans="1:33" x14ac:dyDescent="0.3">
      <c r="A290">
        <v>400138</v>
      </c>
      <c r="B290" t="s">
        <v>232</v>
      </c>
      <c r="C290" s="1" t="s">
        <v>829</v>
      </c>
      <c r="D290" t="s">
        <v>1124</v>
      </c>
      <c r="E290" s="4">
        <v>6.9</v>
      </c>
      <c r="F290" s="3">
        <f t="shared" si="103"/>
        <v>0.8222222222222223</v>
      </c>
      <c r="G290">
        <v>78.61788</v>
      </c>
      <c r="H290">
        <f t="shared" si="104"/>
        <v>0.7606751866133038</v>
      </c>
      <c r="I290">
        <v>117.5</v>
      </c>
      <c r="J290" s="3">
        <f t="shared" si="105"/>
        <v>0.54072710538426139</v>
      </c>
      <c r="K290">
        <v>0</v>
      </c>
      <c r="L290" s="3">
        <f t="shared" si="106"/>
        <v>0</v>
      </c>
      <c r="M290">
        <v>6938</v>
      </c>
      <c r="N290">
        <f t="shared" si="107"/>
        <v>3.1695788562263134E-2</v>
      </c>
      <c r="O290" s="15">
        <v>0.90067538899999999</v>
      </c>
      <c r="P290">
        <f t="shared" si="108"/>
        <v>0.91819755213628562</v>
      </c>
      <c r="Q290">
        <v>0.31719999999999998</v>
      </c>
      <c r="R290">
        <f t="shared" si="109"/>
        <v>0.70317002881844382</v>
      </c>
      <c r="S290">
        <f t="shared" si="110"/>
        <v>0.27490059157722602</v>
      </c>
      <c r="T290" s="14">
        <f t="shared" si="111"/>
        <v>0.4694575266176772</v>
      </c>
      <c r="U290" t="str">
        <f t="shared" si="112"/>
        <v>Moderate</v>
      </c>
      <c r="V290">
        <f t="shared" si="113"/>
        <v>0.23844297760997665</v>
      </c>
      <c r="W290">
        <f t="shared" si="114"/>
        <v>0.35085099576549267</v>
      </c>
      <c r="X290" t="str">
        <f t="shared" si="124"/>
        <v>Moderate</v>
      </c>
      <c r="Y290">
        <f t="shared" si="115"/>
        <v>0.31135820554447541</v>
      </c>
      <c r="Z290">
        <f t="shared" si="116"/>
        <v>0.6128308645103534</v>
      </c>
      <c r="AA290" t="str">
        <f t="shared" si="117"/>
        <v>Moderate</v>
      </c>
      <c r="AB290">
        <f t="shared" si="118"/>
        <v>0.18062428726819296</v>
      </c>
      <c r="AC290">
        <f t="shared" si="119"/>
        <v>0.41657394644374407</v>
      </c>
      <c r="AD290" t="str">
        <f t="shared" si="120"/>
        <v>Moderate</v>
      </c>
      <c r="AE290">
        <f t="shared" si="121"/>
        <v>1.0747952689595676E-2</v>
      </c>
      <c r="AF290">
        <f t="shared" si="122"/>
        <v>5.5141639683423581E-2</v>
      </c>
      <c r="AG290" t="str">
        <f>IF(AF290&gt;0.7,"High",IF(AF290&gt;0.3,"Moderate",IF(AF290&gt;0.15,"Low","No Impact")))</f>
        <v>No Impact</v>
      </c>
    </row>
    <row r="291" spans="1:33" x14ac:dyDescent="0.3">
      <c r="A291">
        <v>400156</v>
      </c>
      <c r="B291" t="s">
        <v>345</v>
      </c>
      <c r="C291" s="1" t="s">
        <v>829</v>
      </c>
      <c r="D291" t="s">
        <v>832</v>
      </c>
      <c r="E291" s="4">
        <v>6.9</v>
      </c>
      <c r="F291" s="3">
        <f t="shared" si="103"/>
        <v>0.8222222222222223</v>
      </c>
      <c r="G291">
        <v>70.036919999999995</v>
      </c>
      <c r="H291">
        <f t="shared" si="104"/>
        <v>0.67764924710283492</v>
      </c>
      <c r="I291">
        <v>120.7</v>
      </c>
      <c r="J291" s="3">
        <f t="shared" si="105"/>
        <v>0.55545329038196045</v>
      </c>
      <c r="K291">
        <v>0</v>
      </c>
      <c r="L291" s="3">
        <f t="shared" si="106"/>
        <v>0</v>
      </c>
      <c r="M291">
        <v>11647</v>
      </c>
      <c r="N291">
        <f t="shared" si="107"/>
        <v>5.3976049547439592E-2</v>
      </c>
      <c r="O291" s="15">
        <v>0.90006118000000002</v>
      </c>
      <c r="P291">
        <f t="shared" si="108"/>
        <v>0.91757139402517496</v>
      </c>
      <c r="Q291">
        <v>0.25569999999999998</v>
      </c>
      <c r="R291">
        <f t="shared" si="109"/>
        <v>0.56683662159166481</v>
      </c>
      <c r="S291">
        <f t="shared" si="110"/>
        <v>0.23320978844700938</v>
      </c>
      <c r="T291" s="14">
        <f t="shared" si="111"/>
        <v>0.39826065793171889</v>
      </c>
      <c r="U291" t="str">
        <f t="shared" si="112"/>
        <v>Moderate</v>
      </c>
      <c r="V291">
        <f t="shared" si="113"/>
        <v>0.17810716085425862</v>
      </c>
      <c r="W291">
        <f t="shared" si="114"/>
        <v>0.26207135712294016</v>
      </c>
      <c r="X291" t="s">
        <v>1175</v>
      </c>
      <c r="Y291">
        <f t="shared" si="115"/>
        <v>0.2883124160397601</v>
      </c>
      <c r="Z291">
        <f t="shared" si="116"/>
        <v>0.56747098365928994</v>
      </c>
      <c r="AA291" t="str">
        <f t="shared" si="117"/>
        <v>Moderate</v>
      </c>
      <c r="AB291">
        <f t="shared" si="118"/>
        <v>0.15476721372123409</v>
      </c>
      <c r="AC291">
        <f t="shared" si="119"/>
        <v>0.35693975586034077</v>
      </c>
      <c r="AD291" t="str">
        <f t="shared" si="120"/>
        <v>Moderate</v>
      </c>
      <c r="AE291">
        <f t="shared" si="121"/>
        <v>1.6959950315187294E-2</v>
      </c>
      <c r="AF291">
        <f t="shared" si="122"/>
        <v>8.7011870663900828E-2</v>
      </c>
      <c r="AG291" t="s">
        <v>1175</v>
      </c>
    </row>
    <row r="292" spans="1:33" x14ac:dyDescent="0.3">
      <c r="A292">
        <v>400158</v>
      </c>
      <c r="B292" t="s">
        <v>346</v>
      </c>
      <c r="C292" s="1" t="s">
        <v>829</v>
      </c>
      <c r="D292" t="s">
        <v>833</v>
      </c>
      <c r="E292" s="4">
        <v>6.9</v>
      </c>
      <c r="F292" s="3">
        <f t="shared" si="103"/>
        <v>0.8222222222222223</v>
      </c>
      <c r="G292">
        <v>87.616440000000011</v>
      </c>
      <c r="H292">
        <f t="shared" si="104"/>
        <v>0.8477416568265812</v>
      </c>
      <c r="I292">
        <v>216</v>
      </c>
      <c r="J292" s="3">
        <f t="shared" si="105"/>
        <v>0.99401748734468487</v>
      </c>
      <c r="K292">
        <v>0</v>
      </c>
      <c r="L292" s="3">
        <f t="shared" si="106"/>
        <v>0</v>
      </c>
      <c r="M292">
        <v>34915</v>
      </c>
      <c r="N292">
        <f t="shared" si="107"/>
        <v>0.16406675088595857</v>
      </c>
      <c r="O292" s="15">
        <v>0.90301899299999999</v>
      </c>
      <c r="P292">
        <f t="shared" si="108"/>
        <v>0.92058674971208032</v>
      </c>
      <c r="Q292">
        <v>0.42920000000000003</v>
      </c>
      <c r="R292">
        <f t="shared" si="109"/>
        <v>0.95145200620704951</v>
      </c>
      <c r="S292">
        <f t="shared" si="110"/>
        <v>0.41397653364691112</v>
      </c>
      <c r="T292" s="14">
        <f t="shared" si="111"/>
        <v>0.70696246395323825</v>
      </c>
      <c r="U292" t="str">
        <f t="shared" si="112"/>
        <v>High</v>
      </c>
      <c r="V292">
        <f t="shared" si="113"/>
        <v>0.42080197561680061</v>
      </c>
      <c r="W292">
        <f t="shared" si="114"/>
        <v>0.619178613038188</v>
      </c>
      <c r="X292" t="str">
        <f t="shared" si="124"/>
        <v>Moderate</v>
      </c>
      <c r="Y292">
        <f t="shared" si="115"/>
        <v>0.40715109167702163</v>
      </c>
      <c r="Z292">
        <f t="shared" si="116"/>
        <v>0.80137523616065998</v>
      </c>
      <c r="AA292" t="str">
        <f t="shared" si="117"/>
        <v>High</v>
      </c>
      <c r="AB292">
        <f t="shared" si="118"/>
        <v>0.29482284861399766</v>
      </c>
      <c r="AC292">
        <f t="shared" si="119"/>
        <v>0.67995018502999915</v>
      </c>
      <c r="AD292" t="str">
        <f t="shared" si="120"/>
        <v>Moderate</v>
      </c>
      <c r="AE292">
        <f t="shared" si="121"/>
        <v>7.2562370414316874E-2</v>
      </c>
      <c r="AF292">
        <f t="shared" si="122"/>
        <v>0.37227630224262709</v>
      </c>
      <c r="AG292" t="str">
        <f t="shared" si="127"/>
        <v>Moderate</v>
      </c>
    </row>
    <row r="293" spans="1:33" x14ac:dyDescent="0.3">
      <c r="A293">
        <v>400160</v>
      </c>
      <c r="B293" t="s">
        <v>347</v>
      </c>
      <c r="C293" s="1" t="s">
        <v>829</v>
      </c>
      <c r="D293" t="s">
        <v>834</v>
      </c>
      <c r="E293" s="4">
        <v>6.9</v>
      </c>
      <c r="F293" s="3">
        <f t="shared" si="103"/>
        <v>0.8222222222222223</v>
      </c>
      <c r="G293">
        <v>87.616440000000011</v>
      </c>
      <c r="H293">
        <f t="shared" si="104"/>
        <v>0.8477416568265812</v>
      </c>
      <c r="I293">
        <v>206.2</v>
      </c>
      <c r="J293" s="3">
        <f t="shared" si="105"/>
        <v>0.94891854578923152</v>
      </c>
      <c r="K293">
        <v>0</v>
      </c>
      <c r="L293" s="3">
        <f t="shared" si="106"/>
        <v>0</v>
      </c>
      <c r="M293">
        <v>36030</v>
      </c>
      <c r="N293">
        <f t="shared" si="107"/>
        <v>0.16934228518166292</v>
      </c>
      <c r="O293" s="15">
        <v>0.85261157200000004</v>
      </c>
      <c r="P293">
        <f t="shared" si="108"/>
        <v>0.86919867900761572</v>
      </c>
      <c r="Q293">
        <v>0.30599999999999999</v>
      </c>
      <c r="R293">
        <f t="shared" si="109"/>
        <v>0.67834183107958324</v>
      </c>
      <c r="S293">
        <f t="shared" si="110"/>
        <v>0.33647956242259941</v>
      </c>
      <c r="T293" s="14">
        <f t="shared" si="111"/>
        <v>0.57461812732380524</v>
      </c>
      <c r="U293" t="str">
        <f t="shared" si="112"/>
        <v>Moderate</v>
      </c>
      <c r="V293">
        <f t="shared" si="113"/>
        <v>0.29498182568641379</v>
      </c>
      <c r="W293">
        <f t="shared" si="114"/>
        <v>0.43404367917300724</v>
      </c>
      <c r="X293" t="str">
        <f t="shared" si="124"/>
        <v>Moderate</v>
      </c>
      <c r="Y293">
        <f t="shared" si="115"/>
        <v>0.37797729915878508</v>
      </c>
      <c r="Z293">
        <f t="shared" si="116"/>
        <v>0.74395391187363158</v>
      </c>
      <c r="AA293" t="str">
        <f t="shared" si="117"/>
        <v>High</v>
      </c>
      <c r="AB293">
        <f t="shared" si="118"/>
        <v>0.2424107276131032</v>
      </c>
      <c r="AC293">
        <f t="shared" si="119"/>
        <v>0.55907206605139814</v>
      </c>
      <c r="AD293" t="str">
        <f t="shared" si="120"/>
        <v>Moderate</v>
      </c>
      <c r="AE293">
        <f t="shared" si="121"/>
        <v>7.363971107206535E-2</v>
      </c>
      <c r="AF293">
        <f t="shared" si="122"/>
        <v>0.37780352515489168</v>
      </c>
      <c r="AG293" t="str">
        <f t="shared" si="127"/>
        <v>Moderate</v>
      </c>
    </row>
    <row r="294" spans="1:33" x14ac:dyDescent="0.3">
      <c r="A294">
        <v>400173</v>
      </c>
      <c r="B294" t="s">
        <v>432</v>
      </c>
      <c r="C294" s="1" t="s">
        <v>829</v>
      </c>
      <c r="D294" t="s">
        <v>835</v>
      </c>
      <c r="E294" s="4">
        <v>6.8</v>
      </c>
      <c r="F294" s="3">
        <f t="shared" si="103"/>
        <v>0.79999999999999993</v>
      </c>
      <c r="G294">
        <v>86.673240000000007</v>
      </c>
      <c r="H294">
        <f t="shared" si="104"/>
        <v>0.83861563058403088</v>
      </c>
      <c r="I294">
        <v>171</v>
      </c>
      <c r="J294" s="3">
        <f t="shared" si="105"/>
        <v>0.78693051081454213</v>
      </c>
      <c r="K294">
        <v>0</v>
      </c>
      <c r="L294" s="3">
        <f t="shared" si="106"/>
        <v>0</v>
      </c>
      <c r="M294">
        <v>24278</v>
      </c>
      <c r="N294">
        <f t="shared" si="107"/>
        <v>0.11373862684702843</v>
      </c>
      <c r="O294" s="16">
        <v>0.78502164699999999</v>
      </c>
      <c r="P294">
        <f t="shared" si="108"/>
        <v>0.80029382777927249</v>
      </c>
      <c r="Q294">
        <v>0.2059</v>
      </c>
      <c r="R294">
        <f t="shared" si="109"/>
        <v>0.45643981378851695</v>
      </c>
      <c r="S294">
        <f t="shared" si="110"/>
        <v>0.24774359976926674</v>
      </c>
      <c r="T294" s="14">
        <f t="shared" si="111"/>
        <v>0.42308056492620127</v>
      </c>
      <c r="U294" t="str">
        <f t="shared" si="112"/>
        <v>Moderate</v>
      </c>
      <c r="V294">
        <f t="shared" si="113"/>
        <v>0.17995864645576345</v>
      </c>
      <c r="W294">
        <f t="shared" si="114"/>
        <v>0.26479567961481909</v>
      </c>
      <c r="X294" t="s">
        <v>1175</v>
      </c>
      <c r="Y294">
        <f t="shared" si="115"/>
        <v>0.31552855308277006</v>
      </c>
      <c r="Z294">
        <f t="shared" si="116"/>
        <v>0.6210391520765427</v>
      </c>
      <c r="AA294" t="str">
        <f t="shared" si="117"/>
        <v>Moderate</v>
      </c>
      <c r="AB294">
        <f t="shared" si="118"/>
        <v>0.17333923325570577</v>
      </c>
      <c r="AC294">
        <f t="shared" si="119"/>
        <v>0.39977242021526088</v>
      </c>
      <c r="AD294" t="str">
        <f t="shared" si="120"/>
        <v>Moderate</v>
      </c>
      <c r="AE294">
        <f t="shared" si="121"/>
        <v>4.4843260203878674E-2</v>
      </c>
      <c r="AF294">
        <f t="shared" si="122"/>
        <v>0.23006529408953946</v>
      </c>
      <c r="AG294" t="s">
        <v>1175</v>
      </c>
    </row>
    <row r="295" spans="1:33" x14ac:dyDescent="0.3">
      <c r="A295">
        <v>400177</v>
      </c>
      <c r="B295" t="s">
        <v>460</v>
      </c>
      <c r="C295" s="1" t="s">
        <v>829</v>
      </c>
      <c r="D295" t="s">
        <v>836</v>
      </c>
      <c r="E295" s="4">
        <v>6.9</v>
      </c>
      <c r="F295" s="3">
        <f t="shared" si="103"/>
        <v>0.8222222222222223</v>
      </c>
      <c r="G295">
        <v>81.947880000000012</v>
      </c>
      <c r="H295">
        <f t="shared" si="104"/>
        <v>0.7928949357520787</v>
      </c>
      <c r="I295">
        <v>202.7</v>
      </c>
      <c r="J295" s="3">
        <f t="shared" si="105"/>
        <v>0.93281178094799821</v>
      </c>
      <c r="K295">
        <v>0.2</v>
      </c>
      <c r="L295" s="3">
        <f t="shared" si="106"/>
        <v>0.1</v>
      </c>
      <c r="M295">
        <v>16547</v>
      </c>
      <c r="N295">
        <f t="shared" si="107"/>
        <v>7.7160011923180644E-2</v>
      </c>
      <c r="O295" s="15">
        <v>0.78195704399999999</v>
      </c>
      <c r="P295">
        <f t="shared" si="108"/>
        <v>0.79716960454942076</v>
      </c>
      <c r="Q295">
        <v>0.43630000000000002</v>
      </c>
      <c r="R295">
        <f t="shared" si="109"/>
        <v>0.9671913101307914</v>
      </c>
      <c r="S295">
        <f t="shared" si="110"/>
        <v>0.39438665873855566</v>
      </c>
      <c r="T295" s="14">
        <f t="shared" si="111"/>
        <v>0.67350813717838043</v>
      </c>
      <c r="U295" t="str">
        <f t="shared" si="112"/>
        <v>Moderate</v>
      </c>
      <c r="V295">
        <f t="shared" si="113"/>
        <v>0.43239152033991385</v>
      </c>
      <c r="W295">
        <f t="shared" si="114"/>
        <v>0.63623176070196241</v>
      </c>
      <c r="X295" t="str">
        <f t="shared" si="124"/>
        <v>Moderate</v>
      </c>
      <c r="Y295">
        <f t="shared" si="115"/>
        <v>0.35638179713719748</v>
      </c>
      <c r="Z295">
        <f t="shared" si="116"/>
        <v>0.70144855971732178</v>
      </c>
      <c r="AA295" t="str">
        <f t="shared" si="117"/>
        <v>High</v>
      </c>
      <c r="AB295">
        <f t="shared" si="118"/>
        <v>0.27032484681627467</v>
      </c>
      <c r="AC295">
        <f t="shared" si="119"/>
        <v>0.62345042277094831</v>
      </c>
      <c r="AD295" t="str">
        <f t="shared" si="120"/>
        <v>Moderate</v>
      </c>
      <c r="AE295">
        <f t="shared" si="121"/>
        <v>3.4495073017558747E-2</v>
      </c>
      <c r="AF295">
        <f t="shared" si="122"/>
        <v>0.17697462410947462</v>
      </c>
      <c r="AG295" t="s">
        <v>1175</v>
      </c>
    </row>
    <row r="296" spans="1:33" x14ac:dyDescent="0.3">
      <c r="A296">
        <v>401807</v>
      </c>
      <c r="B296" t="s">
        <v>8</v>
      </c>
      <c r="C296" s="1" t="s">
        <v>838</v>
      </c>
      <c r="D296" t="s">
        <v>837</v>
      </c>
      <c r="E296" s="4">
        <v>6.3</v>
      </c>
      <c r="F296" s="3">
        <f t="shared" si="103"/>
        <v>0.68888888888888877</v>
      </c>
      <c r="G296">
        <v>53.816040000000001</v>
      </c>
      <c r="H296">
        <f t="shared" si="104"/>
        <v>0.52070249502770893</v>
      </c>
      <c r="I296">
        <v>82.199999999999989</v>
      </c>
      <c r="J296" s="3">
        <f t="shared" si="105"/>
        <v>0.37827887712839392</v>
      </c>
      <c r="K296">
        <v>0</v>
      </c>
      <c r="L296" s="3">
        <f t="shared" si="106"/>
        <v>0</v>
      </c>
      <c r="M296">
        <v>51862</v>
      </c>
      <c r="N296">
        <f t="shared" si="107"/>
        <v>0.24425014075977156</v>
      </c>
      <c r="O296" s="15">
        <v>0.57978069799999998</v>
      </c>
      <c r="P296">
        <f t="shared" si="108"/>
        <v>0.5910600247115968</v>
      </c>
      <c r="Q296">
        <v>0.3306</v>
      </c>
      <c r="R296">
        <f t="shared" si="109"/>
        <v>0.73287519397029488</v>
      </c>
      <c r="S296">
        <f t="shared" si="110"/>
        <v>0.12948145245763057</v>
      </c>
      <c r="T296" s="14">
        <f t="shared" si="111"/>
        <v>0.22112008586401088</v>
      </c>
      <c r="U296" t="str">
        <f t="shared" si="112"/>
        <v>Low</v>
      </c>
      <c r="V296">
        <f t="shared" si="113"/>
        <v>0.14335103900312829</v>
      </c>
      <c r="W296">
        <f t="shared" si="114"/>
        <v>0.21093032507140255</v>
      </c>
      <c r="X296" t="s">
        <v>1176</v>
      </c>
      <c r="Y296">
        <f t="shared" si="115"/>
        <v>0.11561186591213284</v>
      </c>
      <c r="Z296">
        <f t="shared" si="116"/>
        <v>0.22755308346761044</v>
      </c>
      <c r="AA296" t="str">
        <f t="shared" si="117"/>
        <v>Low</v>
      </c>
      <c r="AB296">
        <f t="shared" si="118"/>
        <v>0.10157786400551319</v>
      </c>
      <c r="AC296">
        <f t="shared" si="119"/>
        <v>0.2342691136395918</v>
      </c>
      <c r="AD296" t="str">
        <f t="shared" si="120"/>
        <v>Low</v>
      </c>
      <c r="AE296">
        <f t="shared" si="121"/>
        <v>4.777554451650981E-2</v>
      </c>
      <c r="AF296">
        <f t="shared" si="122"/>
        <v>0.24510917916106409</v>
      </c>
      <c r="AG296" t="s">
        <v>1175</v>
      </c>
    </row>
    <row r="297" spans="1:33" x14ac:dyDescent="0.3">
      <c r="A297">
        <v>401823</v>
      </c>
      <c r="B297" t="s">
        <v>114</v>
      </c>
      <c r="C297" s="1" t="s">
        <v>838</v>
      </c>
      <c r="D297" t="s">
        <v>839</v>
      </c>
      <c r="E297" s="4">
        <v>6.3</v>
      </c>
      <c r="F297" s="3">
        <f t="shared" si="103"/>
        <v>0.68888888888888877</v>
      </c>
      <c r="G297">
        <v>53.816040000000001</v>
      </c>
      <c r="H297">
        <f t="shared" si="104"/>
        <v>0.52070249502770893</v>
      </c>
      <c r="I297">
        <v>67.400000000000006</v>
      </c>
      <c r="J297" s="3">
        <f t="shared" si="105"/>
        <v>0.31017027151403592</v>
      </c>
      <c r="K297">
        <v>0</v>
      </c>
      <c r="L297" s="3">
        <f t="shared" si="106"/>
        <v>0</v>
      </c>
      <c r="M297">
        <v>55839</v>
      </c>
      <c r="N297">
        <f t="shared" si="107"/>
        <v>0.2630670016512659</v>
      </c>
      <c r="O297" s="15">
        <v>0.69725995699999999</v>
      </c>
      <c r="P297">
        <f t="shared" si="108"/>
        <v>0.71082478053594478</v>
      </c>
      <c r="Q297">
        <v>0.28789999999999999</v>
      </c>
      <c r="R297">
        <f t="shared" si="109"/>
        <v>0.63821769009088891</v>
      </c>
      <c r="S297">
        <f t="shared" si="110"/>
        <v>0.12560734518506378</v>
      </c>
      <c r="T297" s="14">
        <f t="shared" si="111"/>
        <v>0.21450413495755444</v>
      </c>
      <c r="U297" t="str">
        <f t="shared" si="112"/>
        <v>Low</v>
      </c>
      <c r="V297">
        <f t="shared" si="113"/>
        <v>0.1188470065960365</v>
      </c>
      <c r="W297">
        <f t="shared" si="114"/>
        <v>0.1748744753396454</v>
      </c>
      <c r="X297" t="s">
        <v>1176</v>
      </c>
      <c r="Y297">
        <f t="shared" si="115"/>
        <v>0.13236768377409106</v>
      </c>
      <c r="Z297">
        <f t="shared" si="116"/>
        <v>0.26053272608844735</v>
      </c>
      <c r="AA297" t="str">
        <f t="shared" si="117"/>
        <v>Low</v>
      </c>
      <c r="AB297">
        <f t="shared" si="118"/>
        <v>9.8452402505298089E-2</v>
      </c>
      <c r="AC297">
        <f t="shared" si="119"/>
        <v>0.22706085913908053</v>
      </c>
      <c r="AD297" t="str">
        <f t="shared" si="120"/>
        <v>Low</v>
      </c>
      <c r="AE297">
        <f t="shared" si="121"/>
        <v>4.8987557327022882E-2</v>
      </c>
      <c r="AF297">
        <f t="shared" si="122"/>
        <v>0.25132732838623711</v>
      </c>
      <c r="AG297" t="s">
        <v>1175</v>
      </c>
    </row>
    <row r="298" spans="1:33" x14ac:dyDescent="0.3">
      <c r="A298">
        <v>401831</v>
      </c>
      <c r="B298" t="s">
        <v>127</v>
      </c>
      <c r="C298" s="1" t="s">
        <v>838</v>
      </c>
      <c r="D298" t="s">
        <v>840</v>
      </c>
      <c r="E298" s="4">
        <v>5.7</v>
      </c>
      <c r="F298" s="3">
        <f t="shared" si="103"/>
        <v>0.55555555555555558</v>
      </c>
      <c r="G298">
        <v>52.471800000000002</v>
      </c>
      <c r="H298">
        <f t="shared" si="104"/>
        <v>0.50769616602401324</v>
      </c>
      <c r="I298">
        <v>74.099999999999994</v>
      </c>
      <c r="J298" s="3">
        <f t="shared" si="105"/>
        <v>0.34100322135296823</v>
      </c>
      <c r="K298">
        <v>0</v>
      </c>
      <c r="L298" s="3">
        <f t="shared" si="106"/>
        <v>0</v>
      </c>
      <c r="M298">
        <v>46381</v>
      </c>
      <c r="N298">
        <f t="shared" si="107"/>
        <v>0.21831722284519264</v>
      </c>
      <c r="O298" s="15">
        <v>0.406225685</v>
      </c>
      <c r="P298">
        <f t="shared" si="108"/>
        <v>0.41412859076344299</v>
      </c>
      <c r="Q298">
        <v>0.30590000000000001</v>
      </c>
      <c r="R298">
        <f t="shared" si="109"/>
        <v>0.6781201507426291</v>
      </c>
      <c r="S298">
        <f t="shared" si="110"/>
        <v>8.2306740899259379E-2</v>
      </c>
      <c r="T298" s="14">
        <f t="shared" si="111"/>
        <v>0.14055815152974516</v>
      </c>
      <c r="U298" t="str">
        <f t="shared" si="112"/>
        <v>No Impact</v>
      </c>
      <c r="V298">
        <f t="shared" si="113"/>
        <v>0.10219990634876827</v>
      </c>
      <c r="W298">
        <f t="shared" si="114"/>
        <v>0.15037951324470106</v>
      </c>
      <c r="X298" t="s">
        <v>1176</v>
      </c>
      <c r="Y298">
        <f t="shared" si="115"/>
        <v>6.2413575449750486E-2</v>
      </c>
      <c r="Z298">
        <f t="shared" si="116"/>
        <v>0.12284553520330831</v>
      </c>
      <c r="AA298" t="str">
        <f t="shared" si="117"/>
        <v>No Impact</v>
      </c>
      <c r="AB298">
        <f t="shared" si="118"/>
        <v>6.6009993035252443E-2</v>
      </c>
      <c r="AC298">
        <f t="shared" si="119"/>
        <v>0.15223890274838714</v>
      </c>
      <c r="AD298" t="str">
        <f t="shared" si="120"/>
        <v>Low</v>
      </c>
      <c r="AE298">
        <f t="shared" si="121"/>
        <v>3.2902723366452599E-2</v>
      </c>
      <c r="AF298">
        <f t="shared" si="122"/>
        <v>0.1688051826123681</v>
      </c>
      <c r="AG298" t="s">
        <v>1175</v>
      </c>
    </row>
    <row r="299" spans="1:33" x14ac:dyDescent="0.3">
      <c r="A299">
        <v>401855</v>
      </c>
      <c r="B299" t="s">
        <v>226</v>
      </c>
      <c r="C299" s="1" t="s">
        <v>838</v>
      </c>
      <c r="D299" t="s">
        <v>841</v>
      </c>
      <c r="E299" s="4">
        <v>6.3</v>
      </c>
      <c r="F299" s="3">
        <f t="shared" si="103"/>
        <v>0.68888888888888877</v>
      </c>
      <c r="G299">
        <v>53.54748</v>
      </c>
      <c r="H299">
        <f t="shared" si="104"/>
        <v>0.51810401579986831</v>
      </c>
      <c r="I299">
        <v>74.099999999999994</v>
      </c>
      <c r="J299" s="3">
        <f t="shared" si="105"/>
        <v>0.34100322135296823</v>
      </c>
      <c r="K299">
        <v>0</v>
      </c>
      <c r="L299" s="3">
        <f t="shared" si="106"/>
        <v>0</v>
      </c>
      <c r="M299">
        <v>28593</v>
      </c>
      <c r="N299">
        <f t="shared" si="107"/>
        <v>0.13415470800035958</v>
      </c>
      <c r="O299" s="15">
        <v>0.37154365700000003</v>
      </c>
      <c r="P299">
        <f t="shared" si="108"/>
        <v>0.37877184225932448</v>
      </c>
      <c r="Q299">
        <v>0.32090000000000002</v>
      </c>
      <c r="R299">
        <f t="shared" si="109"/>
        <v>0.71137220128574596</v>
      </c>
      <c r="S299">
        <f t="shared" si="110"/>
        <v>0.10342692881644149</v>
      </c>
      <c r="T299" s="14">
        <f t="shared" si="111"/>
        <v>0.17662584830847508</v>
      </c>
      <c r="U299" t="str">
        <f t="shared" si="112"/>
        <v>Low</v>
      </c>
      <c r="V299">
        <f t="shared" si="113"/>
        <v>0.1349822392004553</v>
      </c>
      <c r="W299">
        <f t="shared" si="114"/>
        <v>0.19861626250784636</v>
      </c>
      <c r="X299" t="s">
        <v>1176</v>
      </c>
      <c r="Y299">
        <f t="shared" si="115"/>
        <v>7.1871618432427661E-2</v>
      </c>
      <c r="Z299">
        <f t="shared" si="116"/>
        <v>0.1414613306261856</v>
      </c>
      <c r="AA299" t="str">
        <f t="shared" si="117"/>
        <v>No Impact</v>
      </c>
      <c r="AB299">
        <f t="shared" si="118"/>
        <v>7.7714776816186631E-2</v>
      </c>
      <c r="AC299">
        <f t="shared" si="119"/>
        <v>0.1792336554787034</v>
      </c>
      <c r="AD299" t="str">
        <f t="shared" si="120"/>
        <v>Low</v>
      </c>
      <c r="AE299">
        <f t="shared" si="121"/>
        <v>2.5455735903711394E-2</v>
      </c>
      <c r="AF299">
        <f t="shared" si="122"/>
        <v>0.13059892033555712</v>
      </c>
      <c r="AG299" t="s">
        <v>1175</v>
      </c>
    </row>
    <row r="300" spans="1:33" x14ac:dyDescent="0.3">
      <c r="A300">
        <v>404104</v>
      </c>
      <c r="B300" t="s">
        <v>0</v>
      </c>
      <c r="C300" s="1" t="s">
        <v>843</v>
      </c>
      <c r="D300" t="s">
        <v>842</v>
      </c>
      <c r="E300" s="4">
        <v>5.8</v>
      </c>
      <c r="F300" s="3">
        <f t="shared" si="103"/>
        <v>0.57777777777777772</v>
      </c>
      <c r="G300">
        <v>69.669359999999998</v>
      </c>
      <c r="H300">
        <f t="shared" si="104"/>
        <v>0.67409288344113882</v>
      </c>
      <c r="I300">
        <v>125.8</v>
      </c>
      <c r="J300" s="3">
        <f t="shared" si="105"/>
        <v>0.57892314772204334</v>
      </c>
      <c r="K300">
        <v>0</v>
      </c>
      <c r="L300" s="3">
        <f t="shared" si="106"/>
        <v>0</v>
      </c>
      <c r="M300">
        <v>51104</v>
      </c>
      <c r="N300">
        <f t="shared" si="107"/>
        <v>0.2406637237228712</v>
      </c>
      <c r="O300" s="15">
        <v>0.34674158100000002</v>
      </c>
      <c r="P300">
        <f t="shared" si="108"/>
        <v>0.3534872549937807</v>
      </c>
      <c r="Q300">
        <v>0.29820000000000002</v>
      </c>
      <c r="R300">
        <f t="shared" si="109"/>
        <v>0.66105076479716252</v>
      </c>
      <c r="S300">
        <f t="shared" si="110"/>
        <v>0.11296279292388374</v>
      </c>
      <c r="T300" s="14">
        <f t="shared" si="111"/>
        <v>0.19291058291874788</v>
      </c>
      <c r="U300" t="str">
        <f t="shared" si="112"/>
        <v>Low</v>
      </c>
      <c r="V300">
        <f t="shared" si="113"/>
        <v>0.14720816608005341</v>
      </c>
      <c r="W300">
        <f t="shared" si="114"/>
        <v>0.21660579888613904</v>
      </c>
      <c r="X300" t="s">
        <v>1176</v>
      </c>
      <c r="Y300">
        <f t="shared" si="115"/>
        <v>7.8717419767714056E-2</v>
      </c>
      <c r="Z300">
        <f t="shared" si="116"/>
        <v>0.15493558078520517</v>
      </c>
      <c r="AA300" t="str">
        <f t="shared" si="117"/>
        <v>Low</v>
      </c>
      <c r="AB300">
        <f t="shared" si="118"/>
        <v>9.389561911350966E-2</v>
      </c>
      <c r="AC300">
        <f t="shared" si="119"/>
        <v>0.2165515457498568</v>
      </c>
      <c r="AD300" t="str">
        <f t="shared" si="120"/>
        <v>Low</v>
      </c>
      <c r="AE300">
        <f t="shared" si="121"/>
        <v>5.3592957300505013E-2</v>
      </c>
      <c r="AF300">
        <f t="shared" si="122"/>
        <v>0.27495501947029166</v>
      </c>
      <c r="AG300" t="s">
        <v>1175</v>
      </c>
    </row>
    <row r="301" spans="1:33" x14ac:dyDescent="0.3">
      <c r="A301">
        <v>404109</v>
      </c>
      <c r="B301" t="s">
        <v>28</v>
      </c>
      <c r="C301" s="1" t="s">
        <v>843</v>
      </c>
      <c r="D301" t="s">
        <v>844</v>
      </c>
      <c r="E301" s="4">
        <v>5.7</v>
      </c>
      <c r="F301" s="3">
        <f t="shared" si="103"/>
        <v>0.55555555555555558</v>
      </c>
      <c r="G301">
        <v>63.711360000000006</v>
      </c>
      <c r="H301">
        <f t="shared" si="104"/>
        <v>0.61644565660365536</v>
      </c>
      <c r="I301">
        <v>100.3</v>
      </c>
      <c r="J301" s="3">
        <f t="shared" si="105"/>
        <v>0.46157386102162912</v>
      </c>
      <c r="K301">
        <v>0</v>
      </c>
      <c r="L301" s="3">
        <f t="shared" si="106"/>
        <v>0</v>
      </c>
      <c r="M301">
        <v>40351</v>
      </c>
      <c r="N301">
        <f t="shared" si="107"/>
        <v>0.18978675486035212</v>
      </c>
      <c r="O301" s="15">
        <v>0.46308536</v>
      </c>
      <c r="P301">
        <f t="shared" si="108"/>
        <v>0.47209444065552297</v>
      </c>
      <c r="Q301">
        <v>0.38690000000000002</v>
      </c>
      <c r="R301">
        <f t="shared" si="109"/>
        <v>0.85768122367546007</v>
      </c>
      <c r="S301">
        <f t="shared" si="110"/>
        <v>0.12518103070811129</v>
      </c>
      <c r="T301" s="14">
        <f t="shared" si="111"/>
        <v>0.21377610254859108</v>
      </c>
      <c r="U301" t="str">
        <f t="shared" si="112"/>
        <v>Low</v>
      </c>
      <c r="V301">
        <f t="shared" si="113"/>
        <v>0.16147899601201432</v>
      </c>
      <c r="W301">
        <f t="shared" si="114"/>
        <v>0.23760425705930602</v>
      </c>
      <c r="X301" t="s">
        <v>1175</v>
      </c>
      <c r="Y301">
        <f t="shared" si="115"/>
        <v>8.8883065404208303E-2</v>
      </c>
      <c r="Z301">
        <f t="shared" si="116"/>
        <v>0.17494411530519483</v>
      </c>
      <c r="AA301" t="str">
        <f t="shared" si="117"/>
        <v>Low</v>
      </c>
      <c r="AB301">
        <f t="shared" si="118"/>
        <v>9.5688731150387188E-2</v>
      </c>
      <c r="AC301">
        <f t="shared" si="119"/>
        <v>0.22068700155657647</v>
      </c>
      <c r="AD301" t="str">
        <f t="shared" si="120"/>
        <v>Low</v>
      </c>
      <c r="AE301">
        <f t="shared" si="121"/>
        <v>3.5731894071199075E-2</v>
      </c>
      <c r="AF301">
        <f t="shared" si="122"/>
        <v>0.18332005033736704</v>
      </c>
      <c r="AG301" t="s">
        <v>1175</v>
      </c>
    </row>
    <row r="302" spans="1:33" x14ac:dyDescent="0.3">
      <c r="A302">
        <v>404111</v>
      </c>
      <c r="B302" t="s">
        <v>106</v>
      </c>
      <c r="C302" s="1" t="s">
        <v>843</v>
      </c>
      <c r="D302" t="s">
        <v>845</v>
      </c>
      <c r="E302" s="4">
        <v>5.8</v>
      </c>
      <c r="F302" s="3">
        <f t="shared" si="103"/>
        <v>0.57777777777777772</v>
      </c>
      <c r="G302">
        <v>56.437919999999998</v>
      </c>
      <c r="H302">
        <f t="shared" si="104"/>
        <v>0.54607075805232486</v>
      </c>
      <c r="I302">
        <v>75.5</v>
      </c>
      <c r="J302" s="3">
        <f t="shared" si="105"/>
        <v>0.34744592728946161</v>
      </c>
      <c r="K302">
        <v>0</v>
      </c>
      <c r="L302" s="3">
        <f t="shared" si="106"/>
        <v>0</v>
      </c>
      <c r="M302">
        <v>18322</v>
      </c>
      <c r="N302">
        <f t="shared" si="107"/>
        <v>8.5558284008270521E-2</v>
      </c>
      <c r="O302" s="15">
        <v>0.899494134</v>
      </c>
      <c r="P302">
        <f t="shared" si="108"/>
        <v>0.91699331644527493</v>
      </c>
      <c r="Q302">
        <v>0.37540000000000001</v>
      </c>
      <c r="R302">
        <f t="shared" si="109"/>
        <v>0.83218798492573709</v>
      </c>
      <c r="S302">
        <f t="shared" si="110"/>
        <v>0.14549018973224548</v>
      </c>
      <c r="T302" s="14">
        <f t="shared" si="111"/>
        <v>0.24845877641426994</v>
      </c>
      <c r="U302" t="str">
        <f t="shared" si="112"/>
        <v>Low</v>
      </c>
      <c r="V302">
        <f t="shared" si="113"/>
        <v>0.13843640762091561</v>
      </c>
      <c r="W302">
        <f t="shared" si="114"/>
        <v>0.20369881281822932</v>
      </c>
      <c r="X302" t="s">
        <v>1176</v>
      </c>
      <c r="Y302">
        <f t="shared" si="115"/>
        <v>0.15254397184357538</v>
      </c>
      <c r="Z302">
        <f t="shared" si="116"/>
        <v>0.3002447100350718</v>
      </c>
      <c r="AA302" t="str">
        <f t="shared" si="117"/>
        <v>Moderate</v>
      </c>
      <c r="AB302">
        <f t="shared" si="118"/>
        <v>9.9197421087786591E-2</v>
      </c>
      <c r="AC302">
        <f t="shared" si="119"/>
        <v>0.22877909612578398</v>
      </c>
      <c r="AD302" t="str">
        <f t="shared" si="120"/>
        <v>Low</v>
      </c>
      <c r="AE302">
        <f t="shared" si="121"/>
        <v>1.4232819621124396E-2</v>
      </c>
      <c r="AF302">
        <f t="shared" si="122"/>
        <v>7.3020512268064955E-2</v>
      </c>
      <c r="AG302" t="str">
        <f>IF(AF302&gt;0.7,"High",IF(AF302&gt;0.3,"Moderate",IF(AF302&gt;0.15,"Low","No Impact")))</f>
        <v>No Impact</v>
      </c>
    </row>
    <row r="303" spans="1:33" x14ac:dyDescent="0.3">
      <c r="A303">
        <v>404123</v>
      </c>
      <c r="B303" t="s">
        <v>225</v>
      </c>
      <c r="C303" s="1" t="s">
        <v>843</v>
      </c>
      <c r="D303" t="s">
        <v>846</v>
      </c>
      <c r="E303" s="4">
        <v>5.8</v>
      </c>
      <c r="F303" s="3">
        <f t="shared" si="103"/>
        <v>0.57777777777777772</v>
      </c>
      <c r="G303">
        <v>56.675879999999999</v>
      </c>
      <c r="H303">
        <f t="shared" si="104"/>
        <v>0.54837316390970103</v>
      </c>
      <c r="I303">
        <v>96.5</v>
      </c>
      <c r="J303" s="3">
        <f t="shared" si="105"/>
        <v>0.44408651633686153</v>
      </c>
      <c r="K303">
        <v>0</v>
      </c>
      <c r="L303" s="3">
        <f t="shared" si="106"/>
        <v>0</v>
      </c>
      <c r="M303">
        <v>65394</v>
      </c>
      <c r="N303">
        <f t="shared" si="107"/>
        <v>0.30827572828396094</v>
      </c>
      <c r="O303" s="15">
        <v>0.93022699200000003</v>
      </c>
      <c r="P303">
        <f t="shared" si="108"/>
        <v>0.94832406593659035</v>
      </c>
      <c r="Q303">
        <v>0.37</v>
      </c>
      <c r="R303">
        <f t="shared" si="109"/>
        <v>0.82021724673021501</v>
      </c>
      <c r="S303">
        <f t="shared" si="110"/>
        <v>0.15744597791313417</v>
      </c>
      <c r="T303" s="14">
        <f t="shared" si="111"/>
        <v>0.26887610151336166</v>
      </c>
      <c r="U303" t="str">
        <f t="shared" si="112"/>
        <v>Low</v>
      </c>
      <c r="V303">
        <f t="shared" si="113"/>
        <v>0.14604115333661669</v>
      </c>
      <c r="W303">
        <f t="shared" si="114"/>
        <v>0.21488862697690575</v>
      </c>
      <c r="X303" t="s">
        <v>1176</v>
      </c>
      <c r="Y303">
        <f t="shared" si="115"/>
        <v>0.16885080248965162</v>
      </c>
      <c r="Z303">
        <f t="shared" si="116"/>
        <v>0.33234063345800963</v>
      </c>
      <c r="AA303" t="str">
        <f t="shared" si="117"/>
        <v>Moderate</v>
      </c>
      <c r="AB303">
        <f t="shared" si="118"/>
        <v>0.1209808108213099</v>
      </c>
      <c r="AC303">
        <f t="shared" si="119"/>
        <v>0.27901814628597749</v>
      </c>
      <c r="AD303" t="str">
        <f t="shared" si="120"/>
        <v>Low</v>
      </c>
      <c r="AE303">
        <f t="shared" si="121"/>
        <v>5.4889046875995974E-2</v>
      </c>
      <c r="AF303">
        <f t="shared" si="122"/>
        <v>0.28160451881525506</v>
      </c>
      <c r="AG303" t="s">
        <v>1175</v>
      </c>
    </row>
    <row r="304" spans="1:33" x14ac:dyDescent="0.3">
      <c r="A304">
        <v>404138</v>
      </c>
      <c r="B304" t="s">
        <v>269</v>
      </c>
      <c r="C304" s="1" t="s">
        <v>843</v>
      </c>
      <c r="D304" t="s">
        <v>847</v>
      </c>
      <c r="E304" s="4">
        <v>5.8</v>
      </c>
      <c r="F304" s="3">
        <f t="shared" si="103"/>
        <v>0.57777777777777772</v>
      </c>
      <c r="G304">
        <v>64.032480000000007</v>
      </c>
      <c r="H304">
        <f t="shared" si="104"/>
        <v>0.61955268538547015</v>
      </c>
      <c r="I304">
        <v>121.5</v>
      </c>
      <c r="J304" s="3">
        <f t="shared" si="105"/>
        <v>0.55913483663138519</v>
      </c>
      <c r="K304">
        <v>0</v>
      </c>
      <c r="L304" s="3">
        <f t="shared" si="106"/>
        <v>0</v>
      </c>
      <c r="M304">
        <v>45853</v>
      </c>
      <c r="N304">
        <f t="shared" si="107"/>
        <v>0.21581903261368421</v>
      </c>
      <c r="O304" s="15">
        <v>0.734732367</v>
      </c>
      <c r="P304">
        <f t="shared" si="108"/>
        <v>0.74902619644545321</v>
      </c>
      <c r="Q304">
        <v>0.31859999999999999</v>
      </c>
      <c r="R304">
        <f t="shared" si="109"/>
        <v>0.70627355353580135</v>
      </c>
      <c r="S304">
        <f t="shared" si="110"/>
        <v>0.15120320362268874</v>
      </c>
      <c r="T304" s="14">
        <f t="shared" si="111"/>
        <v>0.25821509361661571</v>
      </c>
      <c r="U304" t="str">
        <f t="shared" si="112"/>
        <v>Low</v>
      </c>
      <c r="V304">
        <f t="shared" si="113"/>
        <v>0.14676127571652409</v>
      </c>
      <c r="W304">
        <f t="shared" si="114"/>
        <v>0.21594823316282077</v>
      </c>
      <c r="X304" t="s">
        <v>1176</v>
      </c>
      <c r="Y304">
        <f t="shared" si="115"/>
        <v>0.15564513152885343</v>
      </c>
      <c r="Z304">
        <f t="shared" si="116"/>
        <v>0.30634856834704466</v>
      </c>
      <c r="AA304" t="str">
        <f t="shared" si="117"/>
        <v>Moderate</v>
      </c>
      <c r="AB304">
        <f t="shared" si="118"/>
        <v>0.11375625086572505</v>
      </c>
      <c r="AC304">
        <f t="shared" si="119"/>
        <v>0.26235613755207565</v>
      </c>
      <c r="AD304" t="str">
        <f t="shared" si="120"/>
        <v>Low</v>
      </c>
      <c r="AE304">
        <f t="shared" si="121"/>
        <v>4.4846471160816088E-2</v>
      </c>
      <c r="AF304">
        <f t="shared" si="122"/>
        <v>0.23008176768554378</v>
      </c>
      <c r="AG304" t="s">
        <v>1175</v>
      </c>
    </row>
    <row r="305" spans="1:33" x14ac:dyDescent="0.3">
      <c r="A305">
        <v>404147</v>
      </c>
      <c r="B305" t="s">
        <v>285</v>
      </c>
      <c r="C305" s="1" t="s">
        <v>843</v>
      </c>
      <c r="D305" s="15" t="s">
        <v>1171</v>
      </c>
      <c r="E305" s="4">
        <v>5.8</v>
      </c>
      <c r="F305" s="3">
        <f t="shared" si="103"/>
        <v>0.57777777777777772</v>
      </c>
      <c r="G305">
        <v>63.711360000000006</v>
      </c>
      <c r="H305">
        <f t="shared" si="104"/>
        <v>0.61644565660365536</v>
      </c>
      <c r="I305">
        <v>115.8</v>
      </c>
      <c r="J305" s="3">
        <f t="shared" si="105"/>
        <v>0.53290381960423383</v>
      </c>
      <c r="K305">
        <v>0</v>
      </c>
      <c r="L305" s="3">
        <f t="shared" si="106"/>
        <v>0</v>
      </c>
      <c r="M305">
        <v>77221</v>
      </c>
      <c r="N305">
        <f t="shared" si="107"/>
        <v>0.36423424318557107</v>
      </c>
      <c r="O305" s="15">
        <v>0.6790564</v>
      </c>
      <c r="P305">
        <f t="shared" si="108"/>
        <v>0.6922670829662011</v>
      </c>
      <c r="Q305">
        <v>0</v>
      </c>
      <c r="R305">
        <f t="shared" si="109"/>
        <v>0</v>
      </c>
      <c r="S305">
        <f t="shared" si="110"/>
        <v>7.0627662196425439E-2</v>
      </c>
      <c r="T305" s="14">
        <f t="shared" si="111"/>
        <v>0.12061337305710459</v>
      </c>
      <c r="U305" t="str">
        <f t="shared" si="112"/>
        <v>No Impact</v>
      </c>
      <c r="V305">
        <f t="shared" si="113"/>
        <v>0</v>
      </c>
      <c r="W305">
        <f t="shared" si="114"/>
        <v>0</v>
      </c>
      <c r="X305" t="s">
        <v>1176</v>
      </c>
      <c r="Y305">
        <f t="shared" si="115"/>
        <v>0.14125532439285088</v>
      </c>
      <c r="Z305">
        <f t="shared" si="116"/>
        <v>0.27802582691849403</v>
      </c>
      <c r="AA305" t="str">
        <f t="shared" si="117"/>
        <v>Low</v>
      </c>
      <c r="AB305">
        <f t="shared" si="118"/>
        <v>6.838896971681277E-2</v>
      </c>
      <c r="AC305">
        <f t="shared" si="119"/>
        <v>0.15772553868048497</v>
      </c>
      <c r="AD305" t="str">
        <f t="shared" si="120"/>
        <v>Low</v>
      </c>
      <c r="AE305">
        <f t="shared" si="121"/>
        <v>7.432106399702143E-2</v>
      </c>
      <c r="AF305">
        <f t="shared" si="122"/>
        <v>0.38129915995811747</v>
      </c>
      <c r="AG305" t="str">
        <f t="shared" si="127"/>
        <v>Moderate</v>
      </c>
    </row>
    <row r="306" spans="1:33" x14ac:dyDescent="0.3">
      <c r="A306">
        <v>404161</v>
      </c>
      <c r="B306" t="s">
        <v>320</v>
      </c>
      <c r="C306" s="1" t="s">
        <v>843</v>
      </c>
      <c r="D306" t="s">
        <v>848</v>
      </c>
      <c r="E306" s="4">
        <v>5.8</v>
      </c>
      <c r="F306" s="3">
        <f t="shared" si="103"/>
        <v>0.57777777777777772</v>
      </c>
      <c r="G306">
        <v>59.529240000000009</v>
      </c>
      <c r="H306">
        <f t="shared" si="104"/>
        <v>0.57598113490147729</v>
      </c>
      <c r="I306">
        <v>109</v>
      </c>
      <c r="J306" s="3">
        <f t="shared" si="105"/>
        <v>0.50161067648412339</v>
      </c>
      <c r="K306">
        <v>0</v>
      </c>
      <c r="L306" s="3">
        <f t="shared" si="106"/>
        <v>0</v>
      </c>
      <c r="M306">
        <v>71555</v>
      </c>
      <c r="N306">
        <f t="shared" si="107"/>
        <v>0.33742601240578557</v>
      </c>
      <c r="O306" s="15">
        <v>0.74044336700000002</v>
      </c>
      <c r="P306">
        <f t="shared" si="108"/>
        <v>0.75484830092870381</v>
      </c>
      <c r="Q306">
        <v>0.34820000000000001</v>
      </c>
      <c r="R306">
        <f t="shared" si="109"/>
        <v>0.77189093327421865</v>
      </c>
      <c r="S306">
        <f t="shared" si="110"/>
        <v>0.14586431563675131</v>
      </c>
      <c r="T306" s="14">
        <f t="shared" si="111"/>
        <v>0.24909768454016812</v>
      </c>
      <c r="U306" t="str">
        <f t="shared" si="112"/>
        <v>Low</v>
      </c>
      <c r="V306">
        <f t="shared" si="113"/>
        <v>0.1474925648151548</v>
      </c>
      <c r="W306">
        <f t="shared" si="114"/>
        <v>0.21702427033958643</v>
      </c>
      <c r="X306" t="s">
        <v>1176</v>
      </c>
      <c r="Y306">
        <f t="shared" si="115"/>
        <v>0.14423606645834783</v>
      </c>
      <c r="Z306">
        <f t="shared" si="116"/>
        <v>0.28389267322076672</v>
      </c>
      <c r="AA306" t="str">
        <f t="shared" si="117"/>
        <v>Low</v>
      </c>
      <c r="AB306">
        <f t="shared" si="118"/>
        <v>0.11745954020920137</v>
      </c>
      <c r="AC306">
        <f t="shared" si="119"/>
        <v>0.27089703689605138</v>
      </c>
      <c r="AD306" t="str">
        <f t="shared" si="120"/>
        <v>Low</v>
      </c>
      <c r="AE306">
        <f t="shared" si="121"/>
        <v>6.4475207389693812E-2</v>
      </c>
      <c r="AF306">
        <f t="shared" si="122"/>
        <v>0.33078566282098609</v>
      </c>
      <c r="AG306" t="str">
        <f t="shared" si="127"/>
        <v>Moderate</v>
      </c>
    </row>
    <row r="307" spans="1:33" x14ac:dyDescent="0.3">
      <c r="A307">
        <v>404190</v>
      </c>
      <c r="B307" t="s">
        <v>478</v>
      </c>
      <c r="C307" s="1" t="s">
        <v>843</v>
      </c>
      <c r="D307" t="s">
        <v>849</v>
      </c>
      <c r="E307" s="4">
        <v>5.8</v>
      </c>
      <c r="F307" s="3">
        <f t="shared" si="103"/>
        <v>0.57777777777777772</v>
      </c>
      <c r="G307">
        <v>56.437919999999998</v>
      </c>
      <c r="H307">
        <f t="shared" si="104"/>
        <v>0.54607075805232486</v>
      </c>
      <c r="I307">
        <v>86.7</v>
      </c>
      <c r="J307" s="3">
        <f t="shared" si="105"/>
        <v>0.39898757478140823</v>
      </c>
      <c r="K307">
        <v>0</v>
      </c>
      <c r="L307" s="3">
        <f t="shared" si="106"/>
        <v>0</v>
      </c>
      <c r="M307">
        <v>72161</v>
      </c>
      <c r="N307">
        <f t="shared" si="107"/>
        <v>0.34029325346694866</v>
      </c>
      <c r="O307" s="15">
        <v>0.77926263299999998</v>
      </c>
      <c r="P307">
        <f t="shared" si="108"/>
        <v>0.79442277520905669</v>
      </c>
      <c r="Q307">
        <v>0.3634</v>
      </c>
      <c r="R307">
        <f t="shared" si="109"/>
        <v>0.80558634449124367</v>
      </c>
      <c r="S307">
        <f t="shared" si="110"/>
        <v>0.13784738610171307</v>
      </c>
      <c r="T307" s="14">
        <f t="shared" si="111"/>
        <v>0.23540688857281944</v>
      </c>
      <c r="U307" t="str">
        <f t="shared" si="112"/>
        <v>Low</v>
      </c>
      <c r="V307">
        <f t="shared" si="113"/>
        <v>0.13880917364790099</v>
      </c>
      <c r="W307">
        <f t="shared" si="114"/>
        <v>0.20424731012801084</v>
      </c>
      <c r="X307" t="s">
        <v>1176</v>
      </c>
      <c r="Y307">
        <f t="shared" si="115"/>
        <v>0.13688559855552515</v>
      </c>
      <c r="Z307">
        <f t="shared" si="116"/>
        <v>0.26942511296628369</v>
      </c>
      <c r="AA307" t="str">
        <f t="shared" si="117"/>
        <v>Low</v>
      </c>
      <c r="AB307">
        <f t="shared" si="118"/>
        <v>0.11017125765035246</v>
      </c>
      <c r="AC307">
        <f t="shared" si="119"/>
        <v>0.25408806466836448</v>
      </c>
      <c r="AD307" t="str">
        <f t="shared" si="120"/>
        <v>Low</v>
      </c>
      <c r="AE307">
        <f t="shared" si="121"/>
        <v>5.863533516265592E-2</v>
      </c>
      <c r="AF307">
        <f t="shared" si="122"/>
        <v>0.30082459586799509</v>
      </c>
      <c r="AG307" t="str">
        <f t="shared" si="127"/>
        <v>Moderate</v>
      </c>
    </row>
    <row r="308" spans="1:33" x14ac:dyDescent="0.3">
      <c r="A308">
        <v>404414</v>
      </c>
      <c r="B308" t="s">
        <v>202</v>
      </c>
      <c r="C308" s="1" t="s">
        <v>851</v>
      </c>
      <c r="D308" t="s">
        <v>850</v>
      </c>
      <c r="E308" s="4">
        <v>4.7</v>
      </c>
      <c r="F308" s="3">
        <f t="shared" si="103"/>
        <v>0.33333333333333331</v>
      </c>
      <c r="G308">
        <v>57.163679999999999</v>
      </c>
      <c r="H308">
        <f t="shared" si="104"/>
        <v>0.55309292175651625</v>
      </c>
      <c r="I308">
        <v>73.099999999999994</v>
      </c>
      <c r="J308" s="3">
        <f t="shared" si="105"/>
        <v>0.33640128854118728</v>
      </c>
      <c r="K308">
        <v>0</v>
      </c>
      <c r="L308" s="3">
        <f t="shared" si="106"/>
        <v>0</v>
      </c>
      <c r="M308">
        <v>28168</v>
      </c>
      <c r="N308">
        <f t="shared" si="107"/>
        <v>0.13214385412083102</v>
      </c>
      <c r="O308" s="15">
        <v>0.80317088299999995</v>
      </c>
      <c r="P308">
        <f t="shared" si="108"/>
        <v>0.81879614756270303</v>
      </c>
      <c r="Q308">
        <v>0.376</v>
      </c>
      <c r="R308">
        <f t="shared" si="109"/>
        <v>0.83351806694746178</v>
      </c>
      <c r="S308">
        <f t="shared" si="110"/>
        <v>7.9453574132087992E-2</v>
      </c>
      <c r="T308" s="14">
        <f t="shared" si="111"/>
        <v>0.13568569706953804</v>
      </c>
      <c r="U308" t="str">
        <f t="shared" si="112"/>
        <v>No Impact</v>
      </c>
      <c r="V308">
        <f t="shared" si="113"/>
        <v>8.0161495847541078E-2</v>
      </c>
      <c r="W308">
        <f t="shared" si="114"/>
        <v>0.11795164161288527</v>
      </c>
      <c r="X308" t="s">
        <v>1176</v>
      </c>
      <c r="Y308">
        <f t="shared" si="115"/>
        <v>7.8745652416634893E-2</v>
      </c>
      <c r="Z308">
        <f t="shared" si="116"/>
        <v>0.15499114970337555</v>
      </c>
      <c r="AA308" t="str">
        <f t="shared" si="117"/>
        <v>Low</v>
      </c>
      <c r="AB308">
        <f t="shared" si="118"/>
        <v>5.612822982077427E-2</v>
      </c>
      <c r="AC308">
        <f t="shared" si="119"/>
        <v>0.12944858389184494</v>
      </c>
      <c r="AD308" t="str">
        <f t="shared" si="120"/>
        <v>No Impact</v>
      </c>
      <c r="AE308">
        <f t="shared" si="121"/>
        <v>1.2708601568984056E-2</v>
      </c>
      <c r="AF308">
        <f t="shared" si="122"/>
        <v>6.520061530187779E-2</v>
      </c>
      <c r="AG308" t="str">
        <f>IF(AF308&gt;0.7,"High",IF(AF308&gt;0.3,"Moderate",IF(AF308&gt;0.15,"Low","No Impact")))</f>
        <v>No Impact</v>
      </c>
    </row>
    <row r="309" spans="1:33" x14ac:dyDescent="0.3">
      <c r="A309">
        <v>404419</v>
      </c>
      <c r="B309" t="s">
        <v>223</v>
      </c>
      <c r="C309" s="1" t="s">
        <v>851</v>
      </c>
      <c r="D309" t="s">
        <v>1143</v>
      </c>
      <c r="E309" s="4">
        <v>4.5999999999999996</v>
      </c>
      <c r="F309" s="3">
        <f t="shared" si="103"/>
        <v>0.31111111111111101</v>
      </c>
      <c r="G309">
        <v>59.147280000000002</v>
      </c>
      <c r="H309">
        <f t="shared" si="104"/>
        <v>0.5722854425948567</v>
      </c>
      <c r="I309">
        <v>65.199999999999989</v>
      </c>
      <c r="J309" s="3">
        <f t="shared" si="105"/>
        <v>0.30004601932811781</v>
      </c>
      <c r="K309">
        <v>0</v>
      </c>
      <c r="L309" s="3">
        <f t="shared" si="106"/>
        <v>0</v>
      </c>
      <c r="M309">
        <v>45089</v>
      </c>
      <c r="N309">
        <f t="shared" si="107"/>
        <v>0.2122042270514258</v>
      </c>
      <c r="O309" s="15">
        <v>0.70244275</v>
      </c>
      <c r="P309">
        <f t="shared" si="108"/>
        <v>0.71610840203149018</v>
      </c>
      <c r="Q309">
        <v>0.38019999999999998</v>
      </c>
      <c r="R309">
        <f t="shared" si="109"/>
        <v>0.84282864109953448</v>
      </c>
      <c r="S309">
        <f t="shared" si="110"/>
        <v>7.0064300618234876E-2</v>
      </c>
      <c r="T309" s="14">
        <f t="shared" si="111"/>
        <v>0.11965130043451995</v>
      </c>
      <c r="U309" t="str">
        <f t="shared" si="112"/>
        <v>No Impact</v>
      </c>
      <c r="V309">
        <f t="shared" si="113"/>
        <v>7.5759569047193387E-2</v>
      </c>
      <c r="W309">
        <f t="shared" si="114"/>
        <v>0.11147453577957774</v>
      </c>
      <c r="X309" t="s">
        <v>1176</v>
      </c>
      <c r="Y309">
        <f t="shared" si="115"/>
        <v>6.4369032189276379E-2</v>
      </c>
      <c r="Z309">
        <f t="shared" si="116"/>
        <v>0.12669436341100129</v>
      </c>
      <c r="AA309" t="str">
        <f t="shared" si="117"/>
        <v>No Impact</v>
      </c>
      <c r="AB309">
        <f t="shared" si="118"/>
        <v>5.2502619652999648E-2</v>
      </c>
      <c r="AC309">
        <f t="shared" si="119"/>
        <v>0.12108683609646748</v>
      </c>
      <c r="AD309" t="str">
        <f t="shared" si="120"/>
        <v>No Impact</v>
      </c>
      <c r="AE309">
        <f t="shared" si="121"/>
        <v>1.9074459513425849E-2</v>
      </c>
      <c r="AF309">
        <f t="shared" si="122"/>
        <v>9.786021617526737E-2</v>
      </c>
      <c r="AG309" t="s">
        <v>1175</v>
      </c>
    </row>
    <row r="310" spans="1:33" x14ac:dyDescent="0.3">
      <c r="A310">
        <v>404433</v>
      </c>
      <c r="B310" t="s">
        <v>244</v>
      </c>
      <c r="C310" s="1" t="s">
        <v>851</v>
      </c>
      <c r="D310" t="s">
        <v>1136</v>
      </c>
      <c r="E310" s="4">
        <v>4.5999999999999996</v>
      </c>
      <c r="F310" s="3">
        <f t="shared" si="103"/>
        <v>0.31111111111111101</v>
      </c>
      <c r="G310">
        <v>58.00752</v>
      </c>
      <c r="H310">
        <f t="shared" si="104"/>
        <v>0.5612575803490879</v>
      </c>
      <c r="I310">
        <v>67.400000000000006</v>
      </c>
      <c r="J310" s="3">
        <f t="shared" si="105"/>
        <v>0.31017027151403592</v>
      </c>
      <c r="K310">
        <v>0</v>
      </c>
      <c r="L310" s="3">
        <f t="shared" si="106"/>
        <v>0</v>
      </c>
      <c r="M310">
        <v>31560</v>
      </c>
      <c r="N310">
        <f t="shared" si="107"/>
        <v>0.14819283378991546</v>
      </c>
      <c r="O310" s="15">
        <v>0.51600356000000003</v>
      </c>
      <c r="P310">
        <f t="shared" si="108"/>
        <v>0.52604213623695339</v>
      </c>
      <c r="Q310">
        <v>0.38450000000000001</v>
      </c>
      <c r="R310">
        <f t="shared" si="109"/>
        <v>0.85236089558856132</v>
      </c>
      <c r="S310">
        <f t="shared" si="110"/>
        <v>6.1438780461755202E-2</v>
      </c>
      <c r="T310" s="14">
        <f t="shared" si="111"/>
        <v>0.10492119259728629</v>
      </c>
      <c r="U310" t="str">
        <f t="shared" si="112"/>
        <v>No Impact</v>
      </c>
      <c r="V310">
        <f t="shared" si="113"/>
        <v>7.598360237048532E-2</v>
      </c>
      <c r="W310">
        <f t="shared" si="114"/>
        <v>0.11180418404747598</v>
      </c>
      <c r="X310" t="s">
        <v>1176</v>
      </c>
      <c r="Y310">
        <f t="shared" si="115"/>
        <v>4.6893958553025077E-2</v>
      </c>
      <c r="Z310">
        <f t="shared" si="116"/>
        <v>9.2299045435813964E-2</v>
      </c>
      <c r="AA310" t="str">
        <f t="shared" si="117"/>
        <v>No Impact</v>
      </c>
      <c r="AB310">
        <f t="shared" si="118"/>
        <v>4.5286169281054632E-2</v>
      </c>
      <c r="AC310">
        <f t="shared" si="119"/>
        <v>0.10444353050217084</v>
      </c>
      <c r="AD310" t="str">
        <f t="shared" si="120"/>
        <v>No Impact</v>
      </c>
      <c r="AE310">
        <f t="shared" si="121"/>
        <v>1.3210631101363573E-2</v>
      </c>
      <c r="AF310">
        <f t="shared" si="122"/>
        <v>6.7776243645655918E-2</v>
      </c>
      <c r="AG310" t="str">
        <f t="shared" ref="AG310:AG311" si="128">IF(AF310&gt;0.7,"High",IF(AF310&gt;0.3,"Moderate",IF(AF310&gt;0.15,"Low","No Impact")))</f>
        <v>No Impact</v>
      </c>
    </row>
    <row r="311" spans="1:33" x14ac:dyDescent="0.3">
      <c r="A311">
        <v>404442</v>
      </c>
      <c r="B311" t="s">
        <v>282</v>
      </c>
      <c r="C311" s="1" t="s">
        <v>851</v>
      </c>
      <c r="D311" t="s">
        <v>852</v>
      </c>
      <c r="E311" s="4">
        <v>4.5999999999999996</v>
      </c>
      <c r="F311" s="3">
        <f t="shared" si="103"/>
        <v>0.31111111111111101</v>
      </c>
      <c r="G311">
        <v>53.286839999999998</v>
      </c>
      <c r="H311">
        <f t="shared" si="104"/>
        <v>0.51558216732673612</v>
      </c>
      <c r="I311">
        <v>57.7</v>
      </c>
      <c r="J311" s="3">
        <f t="shared" si="105"/>
        <v>0.26553152323976076</v>
      </c>
      <c r="K311">
        <v>0</v>
      </c>
      <c r="L311" s="3">
        <f t="shared" si="106"/>
        <v>0</v>
      </c>
      <c r="M311">
        <v>23944</v>
      </c>
      <c r="N311">
        <f t="shared" si="107"/>
        <v>0.11215833226876364</v>
      </c>
      <c r="O311" s="15">
        <v>0.69499129900000001</v>
      </c>
      <c r="P311">
        <f t="shared" si="108"/>
        <v>0.70851198699492535</v>
      </c>
      <c r="Q311">
        <v>0.35709999999999997</v>
      </c>
      <c r="R311">
        <f t="shared" si="109"/>
        <v>0.7916204832631345</v>
      </c>
      <c r="S311">
        <f t="shared" si="110"/>
        <v>6.0517817436992818E-2</v>
      </c>
      <c r="T311" s="14">
        <f t="shared" si="111"/>
        <v>0.10334843125388327</v>
      </c>
      <c r="U311" t="str">
        <f t="shared" si="112"/>
        <v>No Impact</v>
      </c>
      <c r="V311">
        <f t="shared" si="113"/>
        <v>6.3870551215068613E-2</v>
      </c>
      <c r="W311">
        <f t="shared" si="114"/>
        <v>9.398073584935851E-2</v>
      </c>
      <c r="X311" t="s">
        <v>1176</v>
      </c>
      <c r="Y311">
        <f t="shared" si="115"/>
        <v>5.7165083658917024E-2</v>
      </c>
      <c r="Z311">
        <f t="shared" si="116"/>
        <v>0.1125151899473439</v>
      </c>
      <c r="AA311" t="str">
        <f t="shared" si="117"/>
        <v>No Impact</v>
      </c>
      <c r="AB311">
        <f t="shared" si="118"/>
        <v>4.2671474467026814E-2</v>
      </c>
      <c r="AC311">
        <f t="shared" si="119"/>
        <v>9.8413257641864496E-2</v>
      </c>
      <c r="AD311" t="str">
        <f t="shared" si="120"/>
        <v>No Impact</v>
      </c>
      <c r="AE311">
        <f t="shared" si="121"/>
        <v>9.0493041259362729E-3</v>
      </c>
      <c r="AF311">
        <f t="shared" si="122"/>
        <v>4.6426838851006132E-2</v>
      </c>
      <c r="AG311" t="str">
        <f t="shared" si="128"/>
        <v>No Impact</v>
      </c>
    </row>
    <row r="312" spans="1:33" x14ac:dyDescent="0.3">
      <c r="A312">
        <v>404471</v>
      </c>
      <c r="B312" t="s">
        <v>316</v>
      </c>
      <c r="C312" s="1" t="s">
        <v>851</v>
      </c>
      <c r="D312" t="s">
        <v>853</v>
      </c>
      <c r="E312" s="4">
        <v>4.5999999999999996</v>
      </c>
      <c r="F312" s="3">
        <f t="shared" si="103"/>
        <v>0.31111111111111101</v>
      </c>
      <c r="G312">
        <v>55.097999999999999</v>
      </c>
      <c r="H312">
        <f t="shared" si="104"/>
        <v>0.53310622764210647</v>
      </c>
      <c r="I312">
        <v>84.9</v>
      </c>
      <c r="J312" s="3">
        <f t="shared" si="105"/>
        <v>0.39070409572020254</v>
      </c>
      <c r="K312">
        <v>0</v>
      </c>
      <c r="L312" s="3">
        <f t="shared" si="106"/>
        <v>0</v>
      </c>
      <c r="M312">
        <v>47194</v>
      </c>
      <c r="N312">
        <f t="shared" si="107"/>
        <v>0.22216386803120844</v>
      </c>
      <c r="O312" s="15">
        <v>0.72227638699999996</v>
      </c>
      <c r="P312">
        <f t="shared" si="108"/>
        <v>0.7363278919451417</v>
      </c>
      <c r="Q312">
        <v>0.36320000000000002</v>
      </c>
      <c r="R312">
        <f t="shared" si="109"/>
        <v>0.8051429838173354</v>
      </c>
      <c r="S312">
        <f t="shared" si="110"/>
        <v>6.9869160100121605E-2</v>
      </c>
      <c r="T312" s="14">
        <f t="shared" si="111"/>
        <v>0.11931805202479213</v>
      </c>
      <c r="U312" t="str">
        <f t="shared" si="112"/>
        <v>No Impact</v>
      </c>
      <c r="V312">
        <f t="shared" si="113"/>
        <v>7.2988293096354587E-2</v>
      </c>
      <c r="W312">
        <f t="shared" si="114"/>
        <v>0.10739681062852229</v>
      </c>
      <c r="X312" t="s">
        <v>1176</v>
      </c>
      <c r="Y312">
        <f t="shared" si="115"/>
        <v>6.6750027103888637E-2</v>
      </c>
      <c r="Z312">
        <f t="shared" si="116"/>
        <v>0.13138075723628995</v>
      </c>
      <c r="AA312" t="str">
        <f t="shared" si="117"/>
        <v>No Impact</v>
      </c>
      <c r="AB312">
        <f t="shared" si="118"/>
        <v>5.2619815871389176E-2</v>
      </c>
      <c r="AC312">
        <f t="shared" si="119"/>
        <v>0.12135712583402819</v>
      </c>
      <c r="AD312" t="str">
        <f t="shared" si="120"/>
        <v>No Impact</v>
      </c>
      <c r="AE312">
        <f t="shared" si="121"/>
        <v>2.0139729018567087E-2</v>
      </c>
      <c r="AF312">
        <f t="shared" si="122"/>
        <v>0.10332550886073852</v>
      </c>
      <c r="AG312" t="s">
        <v>1175</v>
      </c>
    </row>
    <row r="313" spans="1:33" x14ac:dyDescent="0.3">
      <c r="A313">
        <v>404480</v>
      </c>
      <c r="B313" t="s">
        <v>474</v>
      </c>
      <c r="C313" s="1" t="s">
        <v>851</v>
      </c>
      <c r="D313" t="s">
        <v>854</v>
      </c>
      <c r="E313" s="4">
        <v>4.5999999999999996</v>
      </c>
      <c r="F313" s="3">
        <f t="shared" si="103"/>
        <v>0.31111111111111101</v>
      </c>
      <c r="G313">
        <v>59.147280000000002</v>
      </c>
      <c r="H313">
        <f t="shared" si="104"/>
        <v>0.5722854425948567</v>
      </c>
      <c r="I313">
        <v>70.7</v>
      </c>
      <c r="J313" s="3">
        <f t="shared" si="105"/>
        <v>0.32535664979291307</v>
      </c>
      <c r="K313">
        <v>0</v>
      </c>
      <c r="L313" s="3">
        <f t="shared" si="106"/>
        <v>0</v>
      </c>
      <c r="M313">
        <v>21848</v>
      </c>
      <c r="N313">
        <f t="shared" si="107"/>
        <v>0.10224127407701807</v>
      </c>
      <c r="O313" s="15">
        <v>0.68044292100000003</v>
      </c>
      <c r="P313">
        <f t="shared" si="108"/>
        <v>0.69368057799863336</v>
      </c>
      <c r="Q313">
        <v>0.38719999999999999</v>
      </c>
      <c r="R313">
        <f t="shared" si="109"/>
        <v>0.85834626468632225</v>
      </c>
      <c r="S313">
        <f t="shared" si="110"/>
        <v>7.0975861945170471E-2</v>
      </c>
      <c r="T313" s="14">
        <f t="shared" si="111"/>
        <v>0.12120800616384646</v>
      </c>
      <c r="U313" t="str">
        <f t="shared" si="112"/>
        <v>No Impact</v>
      </c>
      <c r="V313">
        <f t="shared" si="113"/>
        <v>7.8506201449629984E-2</v>
      </c>
      <c r="W313">
        <f t="shared" si="114"/>
        <v>0.11551599979355642</v>
      </c>
      <c r="X313" t="s">
        <v>1176</v>
      </c>
      <c r="Y313">
        <f t="shared" si="115"/>
        <v>6.3445522440710944E-2</v>
      </c>
      <c r="Z313">
        <f t="shared" si="116"/>
        <v>0.12487666512163904</v>
      </c>
      <c r="AA313" t="str">
        <f t="shared" si="117"/>
        <v>No Impact</v>
      </c>
      <c r="AB313">
        <f t="shared" si="118"/>
        <v>4.9783749877316305E-2</v>
      </c>
      <c r="AC313">
        <f t="shared" si="119"/>
        <v>0.1148163044340155</v>
      </c>
      <c r="AD313" t="str">
        <f t="shared" si="120"/>
        <v>No Impact</v>
      </c>
      <c r="AE313">
        <f t="shared" si="121"/>
        <v>9.3512075363786622E-3</v>
      </c>
      <c r="AF313">
        <f t="shared" si="122"/>
        <v>4.797573374835027E-2</v>
      </c>
      <c r="AG313" t="str">
        <f>IF(AF313&gt;0.7,"High",IF(AF313&gt;0.3,"Moderate",IF(AF313&gt;0.15,"Low","No Impact")))</f>
        <v>No Impact</v>
      </c>
    </row>
    <row r="314" spans="1:33" x14ac:dyDescent="0.3">
      <c r="A314">
        <v>404712</v>
      </c>
      <c r="B314" t="s">
        <v>54</v>
      </c>
      <c r="C314" s="1" t="s">
        <v>856</v>
      </c>
      <c r="D314" t="s">
        <v>855</v>
      </c>
      <c r="E314" s="4">
        <v>6.9</v>
      </c>
      <c r="F314" s="3">
        <f t="shared" si="103"/>
        <v>0.8222222222222223</v>
      </c>
      <c r="G314">
        <v>86.673240000000007</v>
      </c>
      <c r="H314">
        <f t="shared" si="104"/>
        <v>0.83861563058403088</v>
      </c>
      <c r="I314">
        <v>171</v>
      </c>
      <c r="J314" s="3">
        <f t="shared" si="105"/>
        <v>0.78693051081454213</v>
      </c>
      <c r="K314">
        <v>0</v>
      </c>
      <c r="L314" s="3">
        <f t="shared" si="106"/>
        <v>0</v>
      </c>
      <c r="M314">
        <v>34844</v>
      </c>
      <c r="N314">
        <f t="shared" si="107"/>
        <v>0.16373082000255496</v>
      </c>
      <c r="O314" s="15">
        <v>0.59758126700000003</v>
      </c>
      <c r="P314">
        <f t="shared" si="108"/>
        <v>0.60920689436302577</v>
      </c>
      <c r="Q314">
        <v>0.3387</v>
      </c>
      <c r="R314">
        <f t="shared" si="109"/>
        <v>0.75083130126357789</v>
      </c>
      <c r="S314">
        <f t="shared" si="110"/>
        <v>0.27555578403038483</v>
      </c>
      <c r="T314" s="14">
        <f t="shared" si="111"/>
        <v>0.4705764220945976</v>
      </c>
      <c r="U314" t="str">
        <f t="shared" si="112"/>
        <v>Moderate</v>
      </c>
      <c r="V314">
        <f t="shared" si="113"/>
        <v>0.3042501432085401</v>
      </c>
      <c r="W314">
        <f t="shared" si="114"/>
        <v>0.44768131473813505</v>
      </c>
      <c r="X314" t="str">
        <f t="shared" si="124"/>
        <v>Moderate</v>
      </c>
      <c r="Y314">
        <f t="shared" si="115"/>
        <v>0.24686142485222967</v>
      </c>
      <c r="Z314">
        <f t="shared" si="116"/>
        <v>0.48588506007701671</v>
      </c>
      <c r="AA314" t="str">
        <f t="shared" si="117"/>
        <v>Moderate</v>
      </c>
      <c r="AB314">
        <f t="shared" si="118"/>
        <v>0.2037672975640637</v>
      </c>
      <c r="AC314">
        <f t="shared" si="119"/>
        <v>0.46994869065643313</v>
      </c>
      <c r="AD314" t="str">
        <f t="shared" si="120"/>
        <v>Moderate</v>
      </c>
      <c r="AE314">
        <f t="shared" si="121"/>
        <v>6.6346628529730861E-2</v>
      </c>
      <c r="AF314">
        <f t="shared" si="122"/>
        <v>0.34038686159624293</v>
      </c>
      <c r="AG314" t="str">
        <f t="shared" si="127"/>
        <v>Moderate</v>
      </c>
    </row>
    <row r="315" spans="1:33" x14ac:dyDescent="0.3">
      <c r="A315">
        <v>404717</v>
      </c>
      <c r="B315" t="s">
        <v>121</v>
      </c>
      <c r="C315" s="1" t="s">
        <v>856</v>
      </c>
      <c r="D315" t="s">
        <v>857</v>
      </c>
      <c r="E315" s="4">
        <v>6.9</v>
      </c>
      <c r="F315" s="3">
        <f t="shared" si="103"/>
        <v>0.8222222222222223</v>
      </c>
      <c r="G315">
        <v>87.616440000000011</v>
      </c>
      <c r="H315">
        <f t="shared" si="104"/>
        <v>0.8477416568265812</v>
      </c>
      <c r="I315">
        <v>216</v>
      </c>
      <c r="J315" s="3">
        <f t="shared" si="105"/>
        <v>0.99401748734468487</v>
      </c>
      <c r="K315">
        <v>0</v>
      </c>
      <c r="L315" s="3">
        <f t="shared" si="106"/>
        <v>0</v>
      </c>
      <c r="M315">
        <v>30636</v>
      </c>
      <c r="N315">
        <f t="shared" si="107"/>
        <v>0.1438210008847757</v>
      </c>
      <c r="O315" s="15">
        <v>0.32681349700000001</v>
      </c>
      <c r="P315">
        <f t="shared" si="108"/>
        <v>0.33317148066371705</v>
      </c>
      <c r="Q315">
        <v>0.42080000000000001</v>
      </c>
      <c r="R315">
        <f t="shared" si="109"/>
        <v>0.93283085790290399</v>
      </c>
      <c r="S315">
        <f t="shared" si="110"/>
        <v>0.27995962052151729</v>
      </c>
      <c r="T315" s="14">
        <f t="shared" si="111"/>
        <v>0.47809701044580505</v>
      </c>
      <c r="U315" t="str">
        <f t="shared" si="112"/>
        <v>Moderate</v>
      </c>
      <c r="V315">
        <f t="shared" si="113"/>
        <v>0.41256633583306074</v>
      </c>
      <c r="W315">
        <f t="shared" si="114"/>
        <v>0.60706048547639668</v>
      </c>
      <c r="X315" t="str">
        <f t="shared" si="124"/>
        <v>Moderate</v>
      </c>
      <c r="Y315">
        <f t="shared" si="115"/>
        <v>0.14735290520997382</v>
      </c>
      <c r="Z315">
        <f t="shared" si="116"/>
        <v>0.29002739185892862</v>
      </c>
      <c r="AA315" t="str">
        <f t="shared" si="117"/>
        <v>Low</v>
      </c>
      <c r="AB315">
        <f t="shared" si="118"/>
        <v>0.2108669634476075</v>
      </c>
      <c r="AC315">
        <f t="shared" si="119"/>
        <v>0.48632265608638925</v>
      </c>
      <c r="AD315" t="str">
        <f t="shared" si="120"/>
        <v>Moderate</v>
      </c>
      <c r="AE315">
        <f t="shared" si="121"/>
        <v>6.3608212408697351E-2</v>
      </c>
      <c r="AF315">
        <f t="shared" si="122"/>
        <v>0.32633760408550966</v>
      </c>
      <c r="AG315" t="str">
        <f t="shared" si="127"/>
        <v>Moderate</v>
      </c>
    </row>
    <row r="316" spans="1:33" x14ac:dyDescent="0.3">
      <c r="A316">
        <v>404730</v>
      </c>
      <c r="B316" t="s">
        <v>158</v>
      </c>
      <c r="C316" s="1" t="s">
        <v>856</v>
      </c>
      <c r="D316" t="s">
        <v>858</v>
      </c>
      <c r="E316" s="4">
        <v>6.9</v>
      </c>
      <c r="F316" s="3">
        <f t="shared" si="103"/>
        <v>0.8222222222222223</v>
      </c>
      <c r="G316">
        <v>71.942400000000006</v>
      </c>
      <c r="H316">
        <f t="shared" si="104"/>
        <v>0.69608591004246045</v>
      </c>
      <c r="I316">
        <v>126.5</v>
      </c>
      <c r="J316" s="3">
        <f t="shared" si="105"/>
        <v>0.58214450069029</v>
      </c>
      <c r="K316">
        <v>0</v>
      </c>
      <c r="L316" s="3">
        <f t="shared" si="106"/>
        <v>0</v>
      </c>
      <c r="M316">
        <v>69387</v>
      </c>
      <c r="N316">
        <f t="shared" si="107"/>
        <v>0.32716829190974339</v>
      </c>
      <c r="O316" s="15">
        <v>0.83397326599999999</v>
      </c>
      <c r="P316">
        <f t="shared" si="108"/>
        <v>0.85019777462610713</v>
      </c>
      <c r="Q316">
        <v>0.2404</v>
      </c>
      <c r="R316">
        <f t="shared" si="109"/>
        <v>0.53291953003768566</v>
      </c>
      <c r="S316">
        <f t="shared" si="110"/>
        <v>0.22452513226964624</v>
      </c>
      <c r="T316" s="14">
        <f t="shared" si="111"/>
        <v>0.38342956140639733</v>
      </c>
      <c r="U316" t="str">
        <f t="shared" si="112"/>
        <v>Moderate</v>
      </c>
      <c r="V316">
        <f t="shared" si="113"/>
        <v>0.17302050602262467</v>
      </c>
      <c r="W316">
        <f t="shared" si="114"/>
        <v>0.25458672523869441</v>
      </c>
      <c r="X316" t="s">
        <v>1175</v>
      </c>
      <c r="Y316">
        <f t="shared" si="115"/>
        <v>0.27602975851666783</v>
      </c>
      <c r="Z316">
        <f t="shared" si="116"/>
        <v>0.5432956399737161</v>
      </c>
      <c r="AA316" t="str">
        <f t="shared" si="117"/>
        <v>Moderate</v>
      </c>
      <c r="AB316">
        <f t="shared" si="118"/>
        <v>0.18054317752394267</v>
      </c>
      <c r="AC316">
        <f t="shared" si="119"/>
        <v>0.4163868829720016</v>
      </c>
      <c r="AD316" t="str">
        <f t="shared" si="120"/>
        <v>Moderate</v>
      </c>
      <c r="AE316">
        <f t="shared" si="121"/>
        <v>0.10622020817435346</v>
      </c>
      <c r="AF316">
        <f t="shared" si="122"/>
        <v>0.54495554785222833</v>
      </c>
      <c r="AG316" t="str">
        <f t="shared" si="127"/>
        <v>Moderate</v>
      </c>
    </row>
    <row r="317" spans="1:33" x14ac:dyDescent="0.3">
      <c r="A317" s="15">
        <v>404733</v>
      </c>
      <c r="B317" s="15" t="s">
        <v>1172</v>
      </c>
      <c r="C317" s="15" t="s">
        <v>856</v>
      </c>
      <c r="D317" s="15" t="s">
        <v>1173</v>
      </c>
      <c r="E317" s="4">
        <v>6.9</v>
      </c>
      <c r="F317" s="3">
        <f t="shared" si="103"/>
        <v>0.8222222222222223</v>
      </c>
      <c r="G317">
        <v>71.942400000000006</v>
      </c>
      <c r="H317">
        <f t="shared" si="104"/>
        <v>0.69608591004246045</v>
      </c>
      <c r="I317">
        <v>126.5</v>
      </c>
      <c r="J317" s="3">
        <f t="shared" si="105"/>
        <v>0.58214450069029</v>
      </c>
      <c r="K317">
        <v>0</v>
      </c>
      <c r="L317" s="3">
        <f t="shared" si="106"/>
        <v>0</v>
      </c>
      <c r="M317">
        <v>68200</v>
      </c>
      <c r="N317">
        <f t="shared" si="107"/>
        <v>0.32155209530974249</v>
      </c>
      <c r="O317" s="15">
        <v>0.83397326599999999</v>
      </c>
      <c r="P317">
        <f t="shared" si="108"/>
        <v>0.85019777462610713</v>
      </c>
      <c r="Q317">
        <v>0.2404</v>
      </c>
      <c r="R317">
        <f t="shared" si="109"/>
        <v>0.53291953003768566</v>
      </c>
      <c r="S317">
        <f t="shared" si="110"/>
        <v>0.22452513226964624</v>
      </c>
      <c r="T317" s="14">
        <f t="shared" si="111"/>
        <v>0.38342956140639733</v>
      </c>
      <c r="U317" t="str">
        <f t="shared" si="112"/>
        <v>Moderate</v>
      </c>
      <c r="V317">
        <f t="shared" si="113"/>
        <v>0.17302050602262467</v>
      </c>
      <c r="W317">
        <f t="shared" si="114"/>
        <v>0.25458672523869441</v>
      </c>
      <c r="X317" t="s">
        <v>1175</v>
      </c>
      <c r="Y317">
        <f t="shared" si="115"/>
        <v>0.27602975851666783</v>
      </c>
      <c r="Z317">
        <f t="shared" si="116"/>
        <v>0.5432956399737161</v>
      </c>
      <c r="AA317" t="str">
        <f t="shared" si="117"/>
        <v>Moderate</v>
      </c>
      <c r="AB317">
        <f t="shared" si="118"/>
        <v>0.17990499297072302</v>
      </c>
      <c r="AC317">
        <f t="shared" si="119"/>
        <v>0.41491503739732866</v>
      </c>
      <c r="AD317" t="str">
        <f t="shared" si="120"/>
        <v>Moderate</v>
      </c>
      <c r="AE317">
        <f t="shared" si="121"/>
        <v>0.10439682373658293</v>
      </c>
      <c r="AF317">
        <f t="shared" si="122"/>
        <v>0.5356007981081925</v>
      </c>
      <c r="AG317" t="str">
        <f t="shared" si="127"/>
        <v>Moderate</v>
      </c>
    </row>
    <row r="318" spans="1:33" x14ac:dyDescent="0.3">
      <c r="A318">
        <v>404740</v>
      </c>
      <c r="B318" t="s">
        <v>149</v>
      </c>
      <c r="C318" s="1" t="s">
        <v>856</v>
      </c>
      <c r="D318" t="s">
        <v>859</v>
      </c>
      <c r="E318" s="4">
        <v>6.9</v>
      </c>
      <c r="F318" s="3">
        <f t="shared" si="103"/>
        <v>0.8222222222222223</v>
      </c>
      <c r="G318">
        <v>69.669359999999998</v>
      </c>
      <c r="H318">
        <f t="shared" si="104"/>
        <v>0.67409288344113882</v>
      </c>
      <c r="I318">
        <v>125.8</v>
      </c>
      <c r="J318" s="3">
        <f t="shared" si="105"/>
        <v>0.57892314772204334</v>
      </c>
      <c r="K318">
        <v>0</v>
      </c>
      <c r="L318" s="3">
        <f t="shared" si="106"/>
        <v>0</v>
      </c>
      <c r="M318">
        <v>17988</v>
      </c>
      <c r="N318">
        <f t="shared" si="107"/>
        <v>8.3977989430005728E-2</v>
      </c>
      <c r="O318" s="15">
        <v>0.80642657200000001</v>
      </c>
      <c r="P318">
        <f t="shared" si="108"/>
        <v>0.82211517426957925</v>
      </c>
      <c r="Q318">
        <v>0.26379999999999998</v>
      </c>
      <c r="R318">
        <f t="shared" si="109"/>
        <v>0.58479272888494782</v>
      </c>
      <c r="S318">
        <f t="shared" si="110"/>
        <v>0.22292621378058977</v>
      </c>
      <c r="T318" s="14">
        <f t="shared" si="111"/>
        <v>0.3806990313816016</v>
      </c>
      <c r="U318" t="str">
        <f t="shared" si="112"/>
        <v>Moderate</v>
      </c>
      <c r="V318">
        <f t="shared" si="113"/>
        <v>0.1853221928804841</v>
      </c>
      <c r="W318">
        <f t="shared" si="114"/>
        <v>0.27268773675489461</v>
      </c>
      <c r="X318" t="s">
        <v>1175</v>
      </c>
      <c r="Y318">
        <f t="shared" si="115"/>
        <v>0.26053023468069542</v>
      </c>
      <c r="Z318">
        <f t="shared" si="116"/>
        <v>0.51278869837798235</v>
      </c>
      <c r="AA318" t="str">
        <f t="shared" si="117"/>
        <v>Moderate</v>
      </c>
      <c r="AB318">
        <f t="shared" si="118"/>
        <v>0.15233632582433981</v>
      </c>
      <c r="AC318">
        <f t="shared" si="119"/>
        <v>0.35133339704842759</v>
      </c>
      <c r="AD318" t="str">
        <f t="shared" si="120"/>
        <v>Moderate</v>
      </c>
      <c r="AE318">
        <f t="shared" si="121"/>
        <v>2.6612822605605001E-2</v>
      </c>
      <c r="AF318">
        <f t="shared" si="122"/>
        <v>0.13653527489916273</v>
      </c>
      <c r="AG318" t="s">
        <v>1175</v>
      </c>
    </row>
    <row r="319" spans="1:33" x14ac:dyDescent="0.3">
      <c r="A319">
        <v>404748</v>
      </c>
      <c r="B319" t="s">
        <v>272</v>
      </c>
      <c r="C319" s="1" t="s">
        <v>856</v>
      </c>
      <c r="D319" t="s">
        <v>860</v>
      </c>
      <c r="E319" s="4">
        <v>6</v>
      </c>
      <c r="F319" s="3">
        <f t="shared" si="103"/>
        <v>0.62222222222222223</v>
      </c>
      <c r="G319">
        <v>69.669359999999998</v>
      </c>
      <c r="H319">
        <f t="shared" si="104"/>
        <v>0.67409288344113882</v>
      </c>
      <c r="I319">
        <v>125.8</v>
      </c>
      <c r="J319" s="3">
        <f t="shared" si="105"/>
        <v>0.57892314772204334</v>
      </c>
      <c r="K319">
        <v>0</v>
      </c>
      <c r="L319" s="3">
        <f t="shared" si="106"/>
        <v>0</v>
      </c>
      <c r="M319">
        <v>12622</v>
      </c>
      <c r="N319">
        <f t="shared" si="107"/>
        <v>5.8589184918122761E-2</v>
      </c>
      <c r="O319" s="15">
        <v>0.86114365800000003</v>
      </c>
      <c r="P319">
        <f t="shared" si="108"/>
        <v>0.87789675222633035</v>
      </c>
      <c r="Q319">
        <v>0.26650000000000001</v>
      </c>
      <c r="R319">
        <f t="shared" si="109"/>
        <v>0.59077809798270897</v>
      </c>
      <c r="S319">
        <f t="shared" si="110"/>
        <v>0.17610733133734258</v>
      </c>
      <c r="T319" s="14">
        <f t="shared" si="111"/>
        <v>0.30074475909464632</v>
      </c>
      <c r="U319" t="str">
        <f t="shared" si="112"/>
        <v>Moderate</v>
      </c>
      <c r="V319">
        <f t="shared" si="113"/>
        <v>0.14167922087516879</v>
      </c>
      <c r="W319">
        <f t="shared" si="114"/>
        <v>0.20847036981999301</v>
      </c>
      <c r="X319" t="s">
        <v>1176</v>
      </c>
      <c r="Y319">
        <f t="shared" si="115"/>
        <v>0.21053544179951636</v>
      </c>
      <c r="Z319">
        <f t="shared" si="116"/>
        <v>0.41438643501443484</v>
      </c>
      <c r="AA319" t="str">
        <f t="shared" si="117"/>
        <v>Moderate</v>
      </c>
      <c r="AB319">
        <f t="shared" si="118"/>
        <v>0.11766611921256458</v>
      </c>
      <c r="AC319">
        <f t="shared" si="119"/>
        <v>0.27137347022616964</v>
      </c>
      <c r="AD319" t="str">
        <f t="shared" si="120"/>
        <v>Low</v>
      </c>
      <c r="AE319">
        <f t="shared" si="121"/>
        <v>1.4050741046858807E-2</v>
      </c>
      <c r="AF319">
        <f t="shared" si="122"/>
        <v>7.2086370536501174E-2</v>
      </c>
      <c r="AG319" t="str">
        <f>IF(AF319&gt;0.7,"High",IF(AF319&gt;0.3,"Moderate",IF(AF319&gt;0.15,"Low","No Impact")))</f>
        <v>No Impact</v>
      </c>
    </row>
    <row r="320" spans="1:33" x14ac:dyDescent="0.3">
      <c r="A320">
        <v>404753</v>
      </c>
      <c r="B320" t="s">
        <v>286</v>
      </c>
      <c r="C320" s="1" t="s">
        <v>856</v>
      </c>
      <c r="D320" t="s">
        <v>861</v>
      </c>
      <c r="E320" s="4">
        <v>6.9</v>
      </c>
      <c r="F320" s="3">
        <f t="shared" si="103"/>
        <v>0.8222222222222223</v>
      </c>
      <c r="G320">
        <v>84.532679999999999</v>
      </c>
      <c r="H320">
        <f t="shared" si="104"/>
        <v>0.817904427516014</v>
      </c>
      <c r="I320">
        <v>200.6</v>
      </c>
      <c r="J320" s="3">
        <f t="shared" si="105"/>
        <v>0.92314772204325823</v>
      </c>
      <c r="K320">
        <v>0</v>
      </c>
      <c r="L320" s="3">
        <f t="shared" si="106"/>
        <v>0</v>
      </c>
      <c r="M320">
        <v>26404</v>
      </c>
      <c r="N320">
        <f t="shared" si="107"/>
        <v>0.12379762766556425</v>
      </c>
      <c r="O320" s="15">
        <v>0.87911751599999999</v>
      </c>
      <c r="P320">
        <f t="shared" si="108"/>
        <v>0.89622028212356519</v>
      </c>
      <c r="Q320">
        <v>0.40810000000000002</v>
      </c>
      <c r="R320">
        <f t="shared" si="109"/>
        <v>0.90467745510973185</v>
      </c>
      <c r="S320">
        <f t="shared" si="110"/>
        <v>0.37891446010072544</v>
      </c>
      <c r="T320" s="14">
        <f t="shared" si="111"/>
        <v>0.64708571275877824</v>
      </c>
      <c r="U320" t="str">
        <f t="shared" si="112"/>
        <v>Moderate</v>
      </c>
      <c r="V320">
        <f t="shared" si="113"/>
        <v>0.38069387548327505</v>
      </c>
      <c r="W320">
        <f t="shared" si="114"/>
        <v>0.56016254550221223</v>
      </c>
      <c r="X320" t="str">
        <f t="shared" si="124"/>
        <v>Moderate</v>
      </c>
      <c r="Y320">
        <f t="shared" si="115"/>
        <v>0.37713504471817577</v>
      </c>
      <c r="Z320">
        <f t="shared" si="116"/>
        <v>0.74229614436410452</v>
      </c>
      <c r="AA320" t="str">
        <f t="shared" si="117"/>
        <v>High</v>
      </c>
      <c r="AB320">
        <f t="shared" si="118"/>
        <v>0.26461655276063195</v>
      </c>
      <c r="AC320">
        <f t="shared" si="119"/>
        <v>0.61028537936407978</v>
      </c>
      <c r="AD320" t="str">
        <f t="shared" si="120"/>
        <v>Moderate</v>
      </c>
      <c r="AE320">
        <f t="shared" si="121"/>
        <v>5.2094808360094155E-2</v>
      </c>
      <c r="AF320">
        <f t="shared" si="122"/>
        <v>0.26726886830736296</v>
      </c>
      <c r="AG320" t="s">
        <v>1175</v>
      </c>
    </row>
    <row r="321" spans="1:33" x14ac:dyDescent="0.3">
      <c r="A321">
        <v>404764</v>
      </c>
      <c r="B321" t="s">
        <v>391</v>
      </c>
      <c r="C321" s="1" t="s">
        <v>856</v>
      </c>
      <c r="D321" t="s">
        <v>862</v>
      </c>
      <c r="E321" s="4">
        <v>6.9</v>
      </c>
      <c r="F321" s="3">
        <f t="shared" si="103"/>
        <v>0.8222222222222223</v>
      </c>
      <c r="G321">
        <v>78.558840000000004</v>
      </c>
      <c r="H321">
        <f t="shared" si="104"/>
        <v>0.76010393916911367</v>
      </c>
      <c r="I321">
        <v>200.6</v>
      </c>
      <c r="J321" s="3">
        <f t="shared" si="105"/>
        <v>0.92314772204325823</v>
      </c>
      <c r="K321">
        <v>0</v>
      </c>
      <c r="L321" s="3">
        <f t="shared" si="106"/>
        <v>0</v>
      </c>
      <c r="M321">
        <v>42872</v>
      </c>
      <c r="N321">
        <f t="shared" si="107"/>
        <v>0.20171466693162624</v>
      </c>
      <c r="O321" s="15">
        <v>0.85624456500000001</v>
      </c>
      <c r="P321">
        <f t="shared" si="108"/>
        <v>0.87290234996417637</v>
      </c>
      <c r="Q321">
        <v>0.33279999999999998</v>
      </c>
      <c r="R321">
        <f t="shared" si="109"/>
        <v>0.73775216138328525</v>
      </c>
      <c r="S321">
        <f t="shared" si="110"/>
        <v>0.32357747480328769</v>
      </c>
      <c r="T321" s="14">
        <f t="shared" si="111"/>
        <v>0.55258477298573316</v>
      </c>
      <c r="U321" t="str">
        <f t="shared" si="112"/>
        <v>Moderate</v>
      </c>
      <c r="V321">
        <f t="shared" si="113"/>
        <v>0.29642605503443398</v>
      </c>
      <c r="W321">
        <f t="shared" si="114"/>
        <v>0.43616875456816301</v>
      </c>
      <c r="X321" t="str">
        <f t="shared" si="124"/>
        <v>Moderate</v>
      </c>
      <c r="Y321">
        <f t="shared" si="115"/>
        <v>0.3507288945721414</v>
      </c>
      <c r="Z321">
        <f t="shared" si="116"/>
        <v>0.69032223285569916</v>
      </c>
      <c r="AA321" t="str">
        <f t="shared" si="117"/>
        <v>Moderate</v>
      </c>
      <c r="AB321">
        <f t="shared" si="118"/>
        <v>0.237334656796307</v>
      </c>
      <c r="AC321">
        <f t="shared" si="119"/>
        <v>0.54736511963482348</v>
      </c>
      <c r="AD321" t="str">
        <f t="shared" si="120"/>
        <v>Moderate</v>
      </c>
      <c r="AE321">
        <f t="shared" si="121"/>
        <v>8.1048197607464789E-2</v>
      </c>
      <c r="AF321">
        <f t="shared" si="122"/>
        <v>0.41581226104465291</v>
      </c>
      <c r="AG321" t="str">
        <f t="shared" si="127"/>
        <v>Moderate</v>
      </c>
    </row>
    <row r="322" spans="1:33" x14ac:dyDescent="0.3">
      <c r="A322">
        <v>404769</v>
      </c>
      <c r="B322" t="s">
        <v>413</v>
      </c>
      <c r="C322" s="1" t="s">
        <v>856</v>
      </c>
      <c r="D322" t="s">
        <v>863</v>
      </c>
      <c r="E322" s="4">
        <v>6.9</v>
      </c>
      <c r="F322" s="3">
        <f t="shared" si="103"/>
        <v>0.8222222222222223</v>
      </c>
      <c r="G322">
        <v>66.28967999999999</v>
      </c>
      <c r="H322">
        <f t="shared" si="104"/>
        <v>0.6413924504773747</v>
      </c>
      <c r="I322">
        <v>115.8</v>
      </c>
      <c r="J322" s="3">
        <f t="shared" si="105"/>
        <v>0.53290381960423383</v>
      </c>
      <c r="K322">
        <v>0</v>
      </c>
      <c r="L322" s="3">
        <f t="shared" si="106"/>
        <v>0</v>
      </c>
      <c r="M322">
        <v>16829</v>
      </c>
      <c r="N322">
        <f t="shared" si="107"/>
        <v>7.849427261500902E-2</v>
      </c>
      <c r="O322" s="15">
        <v>0.82442064599999998</v>
      </c>
      <c r="P322">
        <f t="shared" si="108"/>
        <v>0.84045931345839764</v>
      </c>
      <c r="Q322">
        <v>0.29049999999999998</v>
      </c>
      <c r="R322">
        <f t="shared" si="109"/>
        <v>0.64398137885169582</v>
      </c>
      <c r="S322">
        <f t="shared" si="110"/>
        <v>0.22161209375677687</v>
      </c>
      <c r="T322" s="14">
        <f t="shared" si="111"/>
        <v>0.378454861834645</v>
      </c>
      <c r="U322" t="str">
        <f t="shared" si="112"/>
        <v>Moderate</v>
      </c>
      <c r="V322">
        <f t="shared" si="113"/>
        <v>0.19227991046999418</v>
      </c>
      <c r="W322">
        <f t="shared" si="114"/>
        <v>0.28292549745140655</v>
      </c>
      <c r="X322" t="s">
        <v>1175</v>
      </c>
      <c r="Y322">
        <f t="shared" si="115"/>
        <v>0.25094427704355959</v>
      </c>
      <c r="Z322">
        <f t="shared" si="116"/>
        <v>0.49392113490506001</v>
      </c>
      <c r="AA322" t="str">
        <f t="shared" si="117"/>
        <v>Moderate</v>
      </c>
      <c r="AB322">
        <f t="shared" si="118"/>
        <v>0.15078413663148327</v>
      </c>
      <c r="AC322">
        <f t="shared" si="119"/>
        <v>0.34775358180057275</v>
      </c>
      <c r="AD322" t="str">
        <f t="shared" si="120"/>
        <v>Moderate</v>
      </c>
      <c r="AE322">
        <f t="shared" si="121"/>
        <v>2.3436813868335512E-2</v>
      </c>
      <c r="AF322">
        <f t="shared" si="122"/>
        <v>0.12024097825684027</v>
      </c>
      <c r="AG322" t="s">
        <v>1175</v>
      </c>
    </row>
    <row r="323" spans="1:33" x14ac:dyDescent="0.3">
      <c r="A323">
        <v>404775</v>
      </c>
      <c r="B323" t="s">
        <v>448</v>
      </c>
      <c r="C323" s="1" t="s">
        <v>856</v>
      </c>
      <c r="D323" t="s">
        <v>864</v>
      </c>
      <c r="E323" s="4">
        <v>6.4</v>
      </c>
      <c r="F323" s="3">
        <f t="shared" ref="F323:F386" si="129">(E323-$AJ$5)/$AK$5</f>
        <v>0.71111111111111114</v>
      </c>
      <c r="G323">
        <v>70.036919999999995</v>
      </c>
      <c r="H323">
        <f t="shared" ref="H323:H325" si="130">(G323-$AJ$6)/$AK$6</f>
        <v>0.67764924710283492</v>
      </c>
      <c r="I323">
        <v>120.7</v>
      </c>
      <c r="J323" s="3">
        <f t="shared" ref="J323:J325" si="131">(I323-$AJ$7)/$AK$7</f>
        <v>0.55545329038196045</v>
      </c>
      <c r="K323">
        <v>0</v>
      </c>
      <c r="L323" s="3">
        <f t="shared" ref="L323:L325" si="132">(K323-$AJ$8)/$AK$8</f>
        <v>0</v>
      </c>
      <c r="M323">
        <v>27731</v>
      </c>
      <c r="N323">
        <f t="shared" ref="N323:N325" si="133">(M323-$AJ$9)/$AK$9</f>
        <v>0.13007622319058637</v>
      </c>
      <c r="O323" s="15">
        <v>0.71351089899999998</v>
      </c>
      <c r="P323">
        <f t="shared" ref="P323:P386" si="134">(O323-$AJ$11)/$AK$11</f>
        <v>0.72739187601401245</v>
      </c>
      <c r="Q323">
        <v>0.27789999999999998</v>
      </c>
      <c r="R323">
        <f t="shared" ref="R323:R386" si="135">(Q323-$AJ$12)/$AK$12</f>
        <v>0.61604965639547771</v>
      </c>
      <c r="S323">
        <f t="shared" ref="S323:S386" si="136">F323*(R323*0.5+P323*0.5)*(H323*0.4+J323*0.2+L323*0.4)</f>
        <v>0.18254103506066308</v>
      </c>
      <c r="T323" s="14">
        <f t="shared" ref="T323:T386" si="137">(S323-$AJ$10)/$AK$10</f>
        <v>0.3117318239809454</v>
      </c>
      <c r="U323" t="str">
        <f t="shared" ref="U323:U386" si="138">IF(T323&gt;0.7,"High",IF(T323&gt;0.3,"Moderate",IF(T323&gt;0.15,"Low","No Impact")))</f>
        <v>Moderate</v>
      </c>
      <c r="V323">
        <f t="shared" ref="V323:V386" si="139">F323*(R323*1)*(H323*0.4+J323*0.2+L323*0.4)</f>
        <v>0.16741233498343189</v>
      </c>
      <c r="W323">
        <f t="shared" ref="W323:W386" si="140">(V323-$AJ$13)/$AK$13</f>
        <v>0.24633472128686296</v>
      </c>
      <c r="X323" t="s">
        <v>1175</v>
      </c>
      <c r="Y323">
        <f t="shared" ref="Y323:Y386" si="141">F323*(P323*1)*(H323*0.4+J323*0.2+L323*0.4)</f>
        <v>0.19766973513789421</v>
      </c>
      <c r="Z323">
        <f t="shared" ref="Z323:Z386" si="142">(Y323-$AJ$14)/$AK$14</f>
        <v>0.38906350471879414</v>
      </c>
      <c r="AA323" t="str">
        <f t="shared" ref="AA323:AA386" si="143">IF(Z323&gt;0.7,"High",IF(Z323&gt;0.3,"Moderate",IF(Z323&gt;0.15,"Low","No Impact")))</f>
        <v>Moderate</v>
      </c>
      <c r="AB323">
        <f t="shared" ref="AB323:AB386" si="144">F323*(R323*0.35+P323*0.3+N323*0.35)*(H323*0.4+J323*0.2+L323*0.4)</f>
        <v>0.13026717470401794</v>
      </c>
      <c r="AC323">
        <f t="shared" ref="AC323:AC386" si="145">(AB323-$AJ$15)/$AK$15</f>
        <v>0.30043529516025047</v>
      </c>
      <c r="AD323" t="str">
        <f t="shared" ref="AD323:AD386" si="146">IF(AC323&gt;0.7,"High",IF(AC323&gt;0.3,"Moderate",IF(AC323&gt;0.15,"Low","No Impact")))</f>
        <v>Moderate</v>
      </c>
      <c r="AE323">
        <f t="shared" ref="AE323:AE386" si="147">F323*(N323*1)*(H323*0.4+J323*0.2+L323*0.4)</f>
        <v>3.5348391195567194E-2</v>
      </c>
      <c r="AF323">
        <f t="shared" ref="AF323:AF386" si="148">(AE323-$AJ$16)/$AK$16</f>
        <v>0.18135251493817228</v>
      </c>
      <c r="AG323" t="s">
        <v>1175</v>
      </c>
    </row>
    <row r="324" spans="1:33" x14ac:dyDescent="0.3">
      <c r="A324">
        <v>404794</v>
      </c>
      <c r="B324" t="s">
        <v>520</v>
      </c>
      <c r="C324" s="1" t="s">
        <v>856</v>
      </c>
      <c r="D324" t="s">
        <v>865</v>
      </c>
      <c r="E324" s="4">
        <v>6.9</v>
      </c>
      <c r="F324" s="3">
        <f t="shared" si="129"/>
        <v>0.8222222222222223</v>
      </c>
      <c r="G324">
        <v>70.036919999999995</v>
      </c>
      <c r="H324">
        <f t="shared" si="130"/>
        <v>0.67764924710283492</v>
      </c>
      <c r="I324">
        <v>125.8</v>
      </c>
      <c r="J324" s="3">
        <f t="shared" si="131"/>
        <v>0.57892314772204334</v>
      </c>
      <c r="K324">
        <v>0</v>
      </c>
      <c r="L324" s="3">
        <f t="shared" si="132"/>
        <v>0</v>
      </c>
      <c r="M324">
        <v>14270</v>
      </c>
      <c r="N324">
        <f t="shared" si="133"/>
        <v>6.6386566549800574E-2</v>
      </c>
      <c r="O324" s="15">
        <v>0.85121782800000001</v>
      </c>
      <c r="P324">
        <f t="shared" si="134"/>
        <v>0.86777782045554019</v>
      </c>
      <c r="Q324">
        <v>0.27100000000000002</v>
      </c>
      <c r="R324">
        <f t="shared" si="135"/>
        <v>0.60075371314564407</v>
      </c>
      <c r="S324">
        <f t="shared" si="136"/>
        <v>0.23354938342967577</v>
      </c>
      <c r="T324" s="14">
        <f t="shared" si="137"/>
        <v>0.39884059637310104</v>
      </c>
      <c r="U324" t="str">
        <f t="shared" si="138"/>
        <v>Moderate</v>
      </c>
      <c r="V324">
        <f t="shared" si="139"/>
        <v>0.19108293705371249</v>
      </c>
      <c r="W324">
        <f t="shared" si="140"/>
        <v>0.28116424065442852</v>
      </c>
      <c r="X324" t="s">
        <v>1175</v>
      </c>
      <c r="Y324">
        <f t="shared" si="141"/>
        <v>0.27601582980563905</v>
      </c>
      <c r="Z324">
        <f t="shared" si="142"/>
        <v>0.54326822478481385</v>
      </c>
      <c r="AA324" t="str">
        <f t="shared" si="143"/>
        <v>Moderate</v>
      </c>
      <c r="AB324">
        <f t="shared" si="144"/>
        <v>0.15707427478654881</v>
      </c>
      <c r="AC324">
        <f t="shared" si="145"/>
        <v>0.36226053274588704</v>
      </c>
      <c r="AD324" t="str">
        <f t="shared" si="146"/>
        <v>Moderate</v>
      </c>
      <c r="AE324">
        <f t="shared" si="147"/>
        <v>2.111570821730778E-2</v>
      </c>
      <c r="AF324">
        <f t="shared" si="148"/>
        <v>0.10833270370702512</v>
      </c>
      <c r="AG324" t="s">
        <v>1175</v>
      </c>
    </row>
    <row r="325" spans="1:33" x14ac:dyDescent="0.3">
      <c r="A325">
        <v>405015</v>
      </c>
      <c r="B325" t="s">
        <v>70</v>
      </c>
      <c r="C325" s="1" t="s">
        <v>867</v>
      </c>
      <c r="D325" t="s">
        <v>866</v>
      </c>
      <c r="E325" s="4">
        <v>5.6</v>
      </c>
      <c r="F325" s="3">
        <f t="shared" si="129"/>
        <v>0.53333333333333321</v>
      </c>
      <c r="G325">
        <v>46.98216</v>
      </c>
      <c r="H325">
        <f t="shared" si="130"/>
        <v>0.45458060336269684</v>
      </c>
      <c r="I325">
        <v>106.1</v>
      </c>
      <c r="J325" s="3">
        <f t="shared" si="131"/>
        <v>0.48826507132995861</v>
      </c>
      <c r="K325">
        <v>0</v>
      </c>
      <c r="L325" s="3">
        <f t="shared" si="132"/>
        <v>0</v>
      </c>
      <c r="M325">
        <v>38100</v>
      </c>
      <c r="N325">
        <f t="shared" si="133"/>
        <v>0.17913632643019026</v>
      </c>
      <c r="O325" s="15">
        <v>0.87550333599999997</v>
      </c>
      <c r="P325">
        <f t="shared" si="134"/>
        <v>0.89253579016396545</v>
      </c>
      <c r="Q325">
        <v>0.34160000000000001</v>
      </c>
      <c r="R325">
        <f t="shared" si="135"/>
        <v>0.75726003103524719</v>
      </c>
      <c r="S325">
        <f t="shared" si="136"/>
        <v>0.12295829514505008</v>
      </c>
      <c r="T325" s="14">
        <f t="shared" si="137"/>
        <v>0.20998025789881072</v>
      </c>
      <c r="U325" t="str">
        <f t="shared" si="138"/>
        <v>Low</v>
      </c>
      <c r="V325">
        <f t="shared" si="139"/>
        <v>0.11287627378023102</v>
      </c>
      <c r="W325">
        <f t="shared" si="140"/>
        <v>0.16608898886873913</v>
      </c>
      <c r="X325" t="s">
        <v>1176</v>
      </c>
      <c r="Y325">
        <f t="shared" si="141"/>
        <v>0.13304031650986911</v>
      </c>
      <c r="Z325">
        <f t="shared" si="142"/>
        <v>0.26185663563579326</v>
      </c>
      <c r="AA325" t="str">
        <f t="shared" si="143"/>
        <v>Low</v>
      </c>
      <c r="AB325">
        <f t="shared" si="144"/>
        <v>8.8764437012601283E-2</v>
      </c>
      <c r="AC325">
        <f t="shared" si="145"/>
        <v>0.20471749613213791</v>
      </c>
      <c r="AD325" t="str">
        <f t="shared" si="146"/>
        <v>Low</v>
      </c>
      <c r="AE325">
        <f t="shared" si="147"/>
        <v>2.6701846390170595E-2</v>
      </c>
      <c r="AF325">
        <f t="shared" si="148"/>
        <v>0.13699200536621461</v>
      </c>
      <c r="AG325" t="s">
        <v>1175</v>
      </c>
    </row>
    <row r="326" spans="1:33" x14ac:dyDescent="0.3">
      <c r="A326">
        <v>405039</v>
      </c>
      <c r="B326" t="s">
        <v>133</v>
      </c>
      <c r="C326" t="s">
        <v>867</v>
      </c>
      <c r="D326" t="s">
        <v>1140</v>
      </c>
      <c r="E326" s="4">
        <v>5.0999999999999996</v>
      </c>
      <c r="F326" s="3">
        <f t="shared" si="129"/>
        <v>0.42222222222222211</v>
      </c>
      <c r="G326">
        <v>46.938960000000002</v>
      </c>
      <c r="H326">
        <f>(G326-$AJ$6)/$AK$6</f>
        <v>0.45416261742792358</v>
      </c>
      <c r="I326">
        <v>121.39999999999999</v>
      </c>
      <c r="J326" s="3">
        <f>(I326-$AJ$7)/$AK$7</f>
        <v>0.55867464335020711</v>
      </c>
      <c r="K326">
        <v>0</v>
      </c>
      <c r="L326" s="3">
        <f>(K326-$AJ$8)/$AK$8</f>
        <v>0</v>
      </c>
      <c r="M326">
        <v>15743</v>
      </c>
      <c r="N326">
        <f>(M326-$AJ$9)/$AK$9</f>
        <v>7.3355949525201913E-2</v>
      </c>
      <c r="O326" s="15">
        <v>0.84775803900000002</v>
      </c>
      <c r="P326">
        <f t="shared" si="134"/>
        <v>0.86425072309115547</v>
      </c>
      <c r="Q326">
        <v>0.23100000000000001</v>
      </c>
      <c r="R326">
        <f t="shared" si="135"/>
        <v>0.51208157836399915</v>
      </c>
      <c r="S326">
        <f t="shared" si="136"/>
        <v>8.5250015674465843E-2</v>
      </c>
      <c r="T326" s="14">
        <f t="shared" si="137"/>
        <v>0.1455844866430927</v>
      </c>
      <c r="U326" t="str">
        <f t="shared" si="138"/>
        <v>No Impact</v>
      </c>
      <c r="V326">
        <f t="shared" si="139"/>
        <v>6.3436660661064279E-2</v>
      </c>
      <c r="W326">
        <f t="shared" si="140"/>
        <v>9.3342298372811522E-2</v>
      </c>
      <c r="X326" t="s">
        <v>1176</v>
      </c>
      <c r="Y326">
        <f t="shared" si="141"/>
        <v>0.10706337068786739</v>
      </c>
      <c r="Z326">
        <f t="shared" si="142"/>
        <v>0.21072750564354731</v>
      </c>
      <c r="AA326" t="str">
        <f t="shared" si="143"/>
        <v>Low</v>
      </c>
      <c r="AB326">
        <f t="shared" si="144"/>
        <v>5.750240943318792E-2</v>
      </c>
      <c r="AC326">
        <f t="shared" si="145"/>
        <v>0.13261785549381791</v>
      </c>
      <c r="AD326" t="str">
        <f t="shared" si="146"/>
        <v>No Impact</v>
      </c>
      <c r="AE326">
        <f t="shared" si="147"/>
        <v>9.0873342727291213E-3</v>
      </c>
      <c r="AF326">
        <f t="shared" si="148"/>
        <v>4.6621949930494684E-2</v>
      </c>
      <c r="AG326" t="str">
        <f t="shared" ref="AG326:AG327" si="149">IF(AF326&gt;0.7,"High",IF(AF326&gt;0.3,"Moderate",IF(AF326&gt;0.15,"Low","No Impact")))</f>
        <v>No Impact</v>
      </c>
    </row>
    <row r="327" spans="1:33" x14ac:dyDescent="0.3">
      <c r="A327">
        <v>405063</v>
      </c>
      <c r="B327" t="s">
        <v>277</v>
      </c>
      <c r="C327" s="1" t="s">
        <v>867</v>
      </c>
      <c r="D327" t="s">
        <v>868</v>
      </c>
      <c r="E327" s="4">
        <v>5.5</v>
      </c>
      <c r="F327" s="3">
        <f t="shared" si="129"/>
        <v>0.51111111111111107</v>
      </c>
      <c r="G327">
        <v>56.794319999999999</v>
      </c>
      <c r="H327">
        <f t="shared" ref="H327:H390" si="150">(G327-$AJ$6)/$AK$6</f>
        <v>0.54951914201420449</v>
      </c>
      <c r="I327">
        <v>74.399999999999991</v>
      </c>
      <c r="J327" s="3">
        <f t="shared" ref="J327:J390" si="151">(I327-$AJ$7)/$AK$7</f>
        <v>0.34238380119650252</v>
      </c>
      <c r="K327">
        <v>0</v>
      </c>
      <c r="L327" s="3">
        <f t="shared" ref="L327:L390" si="152">(K327-$AJ$8)/$AK$8</f>
        <v>0</v>
      </c>
      <c r="M327">
        <v>11398</v>
      </c>
      <c r="N327">
        <f t="shared" ref="N327:N390" si="153">(M327-$AJ$9)/$AK$9</f>
        <v>5.2797925745080507E-2</v>
      </c>
      <c r="O327" s="15">
        <v>0.24304545699999999</v>
      </c>
      <c r="P327">
        <f t="shared" si="134"/>
        <v>0.24777377776805762</v>
      </c>
      <c r="Q327">
        <v>0.36349999999999999</v>
      </c>
      <c r="R327">
        <f t="shared" si="135"/>
        <v>0.80580802482819769</v>
      </c>
      <c r="S327">
        <f t="shared" si="136"/>
        <v>7.7620199585836117E-2</v>
      </c>
      <c r="T327" s="14">
        <f t="shared" si="137"/>
        <v>0.13255477808930213</v>
      </c>
      <c r="U327" t="str">
        <f t="shared" si="138"/>
        <v>No Impact</v>
      </c>
      <c r="V327">
        <f t="shared" si="139"/>
        <v>0.11873208052930241</v>
      </c>
      <c r="W327">
        <f t="shared" si="140"/>
        <v>0.17470537023385771</v>
      </c>
      <c r="X327" t="s">
        <v>1176</v>
      </c>
      <c r="Y327">
        <f t="shared" si="141"/>
        <v>3.6508318642369829E-2</v>
      </c>
      <c r="Z327">
        <f t="shared" si="142"/>
        <v>7.1857507131691964E-2</v>
      </c>
      <c r="AA327" t="str">
        <f t="shared" si="143"/>
        <v>No Impact</v>
      </c>
      <c r="AB327">
        <f t="shared" si="144"/>
        <v>5.5231559220612764E-2</v>
      </c>
      <c r="AC327">
        <f t="shared" si="145"/>
        <v>0.12738059172856106</v>
      </c>
      <c r="AD327" t="str">
        <f t="shared" si="146"/>
        <v>No Impact</v>
      </c>
      <c r="AE327">
        <f t="shared" si="147"/>
        <v>7.7795298361313398E-3</v>
      </c>
      <c r="AF327">
        <f t="shared" si="148"/>
        <v>3.9912348288028719E-2</v>
      </c>
      <c r="AG327" t="str">
        <f t="shared" si="149"/>
        <v>No Impact</v>
      </c>
    </row>
    <row r="328" spans="1:33" x14ac:dyDescent="0.3">
      <c r="A328">
        <v>405071</v>
      </c>
      <c r="B328" t="s">
        <v>289</v>
      </c>
      <c r="C328" s="1" t="s">
        <v>867</v>
      </c>
      <c r="D328" t="s">
        <v>869</v>
      </c>
      <c r="E328" s="4">
        <v>5.5</v>
      </c>
      <c r="F328" s="3">
        <f t="shared" si="129"/>
        <v>0.51111111111111107</v>
      </c>
      <c r="G328">
        <v>56.17548</v>
      </c>
      <c r="H328">
        <f t="shared" si="150"/>
        <v>0.5435314934985771</v>
      </c>
      <c r="I328">
        <v>81.900000000000006</v>
      </c>
      <c r="J328" s="3">
        <f t="shared" si="151"/>
        <v>0.37689829728485968</v>
      </c>
      <c r="K328">
        <v>0</v>
      </c>
      <c r="L328" s="3">
        <f t="shared" si="152"/>
        <v>0</v>
      </c>
      <c r="M328">
        <v>32093</v>
      </c>
      <c r="N328">
        <f t="shared" si="153"/>
        <v>0.15071468112588893</v>
      </c>
      <c r="O328" s="15">
        <v>0.152673157</v>
      </c>
      <c r="P328">
        <f t="shared" si="134"/>
        <v>0.15564333248848083</v>
      </c>
      <c r="Q328">
        <v>0.34379999999999999</v>
      </c>
      <c r="R328">
        <f t="shared" si="135"/>
        <v>0.76213699844823768</v>
      </c>
      <c r="S328">
        <f t="shared" si="136"/>
        <v>6.8672626789418836E-2</v>
      </c>
      <c r="T328" s="14">
        <f t="shared" si="137"/>
        <v>0.11727468949386655</v>
      </c>
      <c r="U328" t="str">
        <f t="shared" si="138"/>
        <v>No Impact</v>
      </c>
      <c r="V328">
        <f t="shared" si="139"/>
        <v>0.11405332603592797</v>
      </c>
      <c r="W328">
        <f t="shared" si="140"/>
        <v>0.16782093316887611</v>
      </c>
      <c r="X328" t="s">
        <v>1176</v>
      </c>
      <c r="Y328">
        <f t="shared" si="141"/>
        <v>2.3291927542909711E-2</v>
      </c>
      <c r="Z328">
        <f t="shared" si="142"/>
        <v>4.5844342105173533E-2</v>
      </c>
      <c r="AA328" t="str">
        <f t="shared" si="143"/>
        <v>No Impact</v>
      </c>
      <c r="AB328">
        <f t="shared" si="144"/>
        <v>5.4800267655611003E-2</v>
      </c>
      <c r="AC328">
        <f t="shared" si="145"/>
        <v>0.12638590362754223</v>
      </c>
      <c r="AD328" t="str">
        <f t="shared" si="146"/>
        <v>No Impact</v>
      </c>
      <c r="AE328">
        <f t="shared" si="147"/>
        <v>2.2554357943323746E-2</v>
      </c>
      <c r="AF328">
        <f t="shared" si="148"/>
        <v>0.11571359820048728</v>
      </c>
      <c r="AG328" t="s">
        <v>1175</v>
      </c>
    </row>
    <row r="329" spans="1:33" x14ac:dyDescent="0.3">
      <c r="A329">
        <v>405079</v>
      </c>
      <c r="B329" t="s">
        <v>291</v>
      </c>
      <c r="C329" s="1" t="s">
        <v>867</v>
      </c>
      <c r="D329" t="s">
        <v>870</v>
      </c>
      <c r="E329" s="4">
        <v>5.5</v>
      </c>
      <c r="F329" s="3">
        <f t="shared" si="129"/>
        <v>0.51111111111111107</v>
      </c>
      <c r="G329">
        <v>56.17548</v>
      </c>
      <c r="H329">
        <f t="shared" si="150"/>
        <v>0.5435314934985771</v>
      </c>
      <c r="I329">
        <v>88.4</v>
      </c>
      <c r="J329" s="3">
        <f t="shared" si="151"/>
        <v>0.40681086056143584</v>
      </c>
      <c r="K329">
        <v>0</v>
      </c>
      <c r="L329" s="3">
        <f t="shared" si="152"/>
        <v>0</v>
      </c>
      <c r="M329">
        <v>55212</v>
      </c>
      <c r="N329">
        <f t="shared" si="153"/>
        <v>0.26010040075134966</v>
      </c>
      <c r="O329" s="15">
        <v>0.25990746599999998</v>
      </c>
      <c r="P329">
        <f t="shared" si="134"/>
        <v>0.26496382823128839</v>
      </c>
      <c r="Q329">
        <v>0.37140000000000001</v>
      </c>
      <c r="R329">
        <f t="shared" si="135"/>
        <v>0.82332077144757265</v>
      </c>
      <c r="S329">
        <f t="shared" si="136"/>
        <v>8.3094394999341029E-2</v>
      </c>
      <c r="T329" s="14">
        <f t="shared" si="137"/>
        <v>0.14190325647671187</v>
      </c>
      <c r="U329" t="str">
        <f t="shared" si="138"/>
        <v>No Impact</v>
      </c>
      <c r="V329">
        <f t="shared" si="139"/>
        <v>0.12572693101421206</v>
      </c>
      <c r="W329">
        <f t="shared" si="140"/>
        <v>0.18499776920681285</v>
      </c>
      <c r="X329" t="s">
        <v>1176</v>
      </c>
      <c r="Y329">
        <f t="shared" si="141"/>
        <v>4.0461858984469988E-2</v>
      </c>
      <c r="Z329">
        <f t="shared" si="142"/>
        <v>7.9639063880739033E-2</v>
      </c>
      <c r="AA329" t="str">
        <f t="shared" si="143"/>
        <v>No Impact</v>
      </c>
      <c r="AB329">
        <f t="shared" si="144"/>
        <v>7.0044696220078306E-2</v>
      </c>
      <c r="AC329">
        <f t="shared" si="145"/>
        <v>0.16154414211487639</v>
      </c>
      <c r="AD329" t="str">
        <f t="shared" si="146"/>
        <v>Low</v>
      </c>
      <c r="AE329">
        <f t="shared" si="147"/>
        <v>3.9719179056465999E-2</v>
      </c>
      <c r="AF329">
        <f t="shared" si="148"/>
        <v>0.20377654454817146</v>
      </c>
      <c r="AG329" t="s">
        <v>1175</v>
      </c>
    </row>
    <row r="330" spans="1:33" x14ac:dyDescent="0.3">
      <c r="A330">
        <v>405094</v>
      </c>
      <c r="B330" t="s">
        <v>335</v>
      </c>
      <c r="C330" s="1" t="s">
        <v>867</v>
      </c>
      <c r="D330" t="s">
        <v>1133</v>
      </c>
      <c r="E330" s="4">
        <v>5.2</v>
      </c>
      <c r="F330" s="3">
        <f t="shared" si="129"/>
        <v>0.44444444444444442</v>
      </c>
      <c r="G330">
        <v>49.063679999999998</v>
      </c>
      <c r="H330">
        <f t="shared" si="150"/>
        <v>0.47472055898652338</v>
      </c>
      <c r="I330">
        <v>106.1</v>
      </c>
      <c r="J330" s="3">
        <f t="shared" si="151"/>
        <v>0.48826507132995861</v>
      </c>
      <c r="K330">
        <v>0</v>
      </c>
      <c r="L330" s="3">
        <f t="shared" si="152"/>
        <v>0</v>
      </c>
      <c r="M330">
        <v>51537</v>
      </c>
      <c r="N330">
        <f t="shared" si="153"/>
        <v>0.24271242896954384</v>
      </c>
      <c r="O330" s="15">
        <v>0.397460851</v>
      </c>
      <c r="P330">
        <f t="shared" si="134"/>
        <v>0.40519324155553776</v>
      </c>
      <c r="Q330">
        <v>0</v>
      </c>
      <c r="R330">
        <f t="shared" si="135"/>
        <v>0</v>
      </c>
      <c r="S330">
        <f t="shared" si="136"/>
        <v>2.5891059166584192E-2</v>
      </c>
      <c r="T330" s="14">
        <f t="shared" si="137"/>
        <v>4.4215083452965209E-2</v>
      </c>
      <c r="U330" t="str">
        <f t="shared" si="138"/>
        <v>No Impact</v>
      </c>
      <c r="V330">
        <f t="shared" si="139"/>
        <v>0</v>
      </c>
      <c r="W330">
        <f t="shared" si="140"/>
        <v>0</v>
      </c>
      <c r="X330" t="s">
        <v>1176</v>
      </c>
      <c r="Y330">
        <f t="shared" si="141"/>
        <v>5.1782118333168384E-2</v>
      </c>
      <c r="Z330">
        <f t="shared" si="142"/>
        <v>0.10192016712326554</v>
      </c>
      <c r="AA330" t="str">
        <f t="shared" si="143"/>
        <v>No Impact</v>
      </c>
      <c r="AB330">
        <f t="shared" si="144"/>
        <v>2.6390831630848093E-2</v>
      </c>
      <c r="AC330">
        <f t="shared" si="145"/>
        <v>6.0865197303567278E-2</v>
      </c>
      <c r="AD330" t="str">
        <f t="shared" si="146"/>
        <v>No Impact</v>
      </c>
      <c r="AE330">
        <f t="shared" si="147"/>
        <v>3.101770323113593E-2</v>
      </c>
      <c r="AF330">
        <f t="shared" si="148"/>
        <v>0.15913421511748418</v>
      </c>
      <c r="AG330" t="s">
        <v>1175</v>
      </c>
    </row>
    <row r="331" spans="1:33" x14ac:dyDescent="0.3">
      <c r="A331">
        <v>405557</v>
      </c>
      <c r="B331" t="s">
        <v>312</v>
      </c>
      <c r="C331" s="1" t="s">
        <v>872</v>
      </c>
      <c r="D331" t="s">
        <v>871</v>
      </c>
      <c r="E331" s="4">
        <v>4.9000000000000004</v>
      </c>
      <c r="F331" s="3">
        <f t="shared" si="129"/>
        <v>0.37777777777777782</v>
      </c>
      <c r="G331">
        <v>63.345240000000004</v>
      </c>
      <c r="H331">
        <f t="shared" si="150"/>
        <v>0.61290322580645162</v>
      </c>
      <c r="I331">
        <v>110.60000000000001</v>
      </c>
      <c r="J331" s="3">
        <f t="shared" si="151"/>
        <v>0.50897376898297297</v>
      </c>
      <c r="K331">
        <v>0</v>
      </c>
      <c r="L331" s="3">
        <f t="shared" si="152"/>
        <v>0</v>
      </c>
      <c r="M331">
        <v>51857</v>
      </c>
      <c r="N331">
        <f t="shared" si="153"/>
        <v>0.24422648365530653</v>
      </c>
      <c r="O331" s="15">
        <v>0.57828783399999995</v>
      </c>
      <c r="P331">
        <f t="shared" si="134"/>
        <v>0.58953811783236654</v>
      </c>
      <c r="Q331">
        <v>0.36409999999999998</v>
      </c>
      <c r="R331">
        <f t="shared" si="135"/>
        <v>0.80713810684992238</v>
      </c>
      <c r="S331">
        <f t="shared" si="136"/>
        <v>9.1532770923646839E-2</v>
      </c>
      <c r="T331" s="14">
        <f t="shared" si="137"/>
        <v>0.15631377144638189</v>
      </c>
      <c r="U331" t="str">
        <f t="shared" si="138"/>
        <v>Low</v>
      </c>
      <c r="V331">
        <f t="shared" si="139"/>
        <v>0.10579343463062928</v>
      </c>
      <c r="W331">
        <f t="shared" si="140"/>
        <v>0.15566712116102513</v>
      </c>
      <c r="X331" t="s">
        <v>1176</v>
      </c>
      <c r="Y331">
        <f t="shared" si="141"/>
        <v>7.727210721666436E-2</v>
      </c>
      <c r="Z331">
        <f t="shared" si="142"/>
        <v>0.15209084400173559</v>
      </c>
      <c r="AA331" t="str">
        <f t="shared" si="143"/>
        <v>Low</v>
      </c>
      <c r="AB331">
        <f t="shared" si="144"/>
        <v>7.1413297287879124E-2</v>
      </c>
      <c r="AC331">
        <f t="shared" si="145"/>
        <v>0.16470054791469213</v>
      </c>
      <c r="AD331" t="str">
        <f t="shared" si="146"/>
        <v>Low</v>
      </c>
      <c r="AE331">
        <f t="shared" si="147"/>
        <v>3.2011322863313041E-2</v>
      </c>
      <c r="AF331">
        <f t="shared" si="148"/>
        <v>0.16423191300676909</v>
      </c>
      <c r="AG331" t="s">
        <v>1175</v>
      </c>
    </row>
    <row r="332" spans="1:33" x14ac:dyDescent="0.3">
      <c r="A332">
        <v>405566</v>
      </c>
      <c r="B332" t="s">
        <v>342</v>
      </c>
      <c r="C332" s="1" t="s">
        <v>872</v>
      </c>
      <c r="D332" t="s">
        <v>1134</v>
      </c>
      <c r="E332" s="4">
        <v>4.8</v>
      </c>
      <c r="F332" s="3">
        <f t="shared" si="129"/>
        <v>0.35555555555555546</v>
      </c>
      <c r="G332">
        <v>65.082960000000014</v>
      </c>
      <c r="H332">
        <f t="shared" si="150"/>
        <v>0.62971671003270746</v>
      </c>
      <c r="I332">
        <v>112.8</v>
      </c>
      <c r="J332" s="3">
        <f t="shared" si="151"/>
        <v>0.51909802116889092</v>
      </c>
      <c r="K332">
        <v>0</v>
      </c>
      <c r="L332" s="3">
        <f t="shared" si="152"/>
        <v>0</v>
      </c>
      <c r="M332">
        <v>16134</v>
      </c>
      <c r="N332">
        <f t="shared" si="153"/>
        <v>7.5205935094368195E-2</v>
      </c>
      <c r="O332" s="15">
        <v>0.437201856</v>
      </c>
      <c r="P332">
        <f t="shared" si="134"/>
        <v>0.44570738678043398</v>
      </c>
      <c r="Q332">
        <v>0.1173</v>
      </c>
      <c r="R332">
        <f t="shared" si="135"/>
        <v>0.26003103524717358</v>
      </c>
      <c r="S332">
        <f t="shared" si="136"/>
        <v>4.4628550146246587E-2</v>
      </c>
      <c r="T332" s="14">
        <f t="shared" si="137"/>
        <v>7.6213763848173507E-2</v>
      </c>
      <c r="U332" t="str">
        <f t="shared" si="138"/>
        <v>No Impact</v>
      </c>
      <c r="V332">
        <f t="shared" si="139"/>
        <v>3.2886995333959404E-2</v>
      </c>
      <c r="W332">
        <f t="shared" si="140"/>
        <v>4.8390752272555036E-2</v>
      </c>
      <c r="X332" t="s">
        <v>1176</v>
      </c>
      <c r="Y332">
        <f t="shared" si="141"/>
        <v>5.6370104958533777E-2</v>
      </c>
      <c r="Z332">
        <f t="shared" si="142"/>
        <v>0.11095047292512432</v>
      </c>
      <c r="AA332" t="str">
        <f t="shared" si="143"/>
        <v>No Impact</v>
      </c>
      <c r="AB332">
        <f t="shared" si="144"/>
        <v>3.1750521066639066E-2</v>
      </c>
      <c r="AC332">
        <f t="shared" si="145"/>
        <v>7.3226253580927922E-2</v>
      </c>
      <c r="AD332" t="str">
        <f t="shared" si="146"/>
        <v>No Impact</v>
      </c>
      <c r="AE332">
        <f t="shared" si="147"/>
        <v>9.5115463205518429E-3</v>
      </c>
      <c r="AF332">
        <f t="shared" si="148"/>
        <v>4.8798340966626774E-2</v>
      </c>
      <c r="AG332" t="str">
        <f t="shared" ref="AG332:AG334" si="154">IF(AF332&gt;0.7,"High",IF(AF332&gt;0.3,"Moderate",IF(AF332&gt;0.15,"Low","No Impact")))</f>
        <v>No Impact</v>
      </c>
    </row>
    <row r="333" spans="1:33" x14ac:dyDescent="0.3">
      <c r="A333">
        <v>405585</v>
      </c>
      <c r="B333" t="s">
        <v>476</v>
      </c>
      <c r="C333" s="1" t="s">
        <v>872</v>
      </c>
      <c r="D333" t="s">
        <v>873</v>
      </c>
      <c r="E333" s="4">
        <v>4.9000000000000004</v>
      </c>
      <c r="F333" s="3">
        <f t="shared" si="129"/>
        <v>0.37777777777777782</v>
      </c>
      <c r="G333">
        <v>61.781759999999998</v>
      </c>
      <c r="H333">
        <f t="shared" si="150"/>
        <v>0.59777561818378144</v>
      </c>
      <c r="I333">
        <v>84.2</v>
      </c>
      <c r="J333" s="3">
        <f t="shared" si="151"/>
        <v>0.38748274275195588</v>
      </c>
      <c r="K333">
        <v>0</v>
      </c>
      <c r="L333" s="3">
        <f t="shared" si="152"/>
        <v>0</v>
      </c>
      <c r="M333">
        <v>23104</v>
      </c>
      <c r="N333">
        <f t="shared" si="153"/>
        <v>0.10818393871863659</v>
      </c>
      <c r="O333" s="15">
        <v>0.79234898200000003</v>
      </c>
      <c r="P333">
        <f t="shared" si="134"/>
        <v>0.80776371220472842</v>
      </c>
      <c r="Q333">
        <v>0.34889999999999999</v>
      </c>
      <c r="R333">
        <f t="shared" si="135"/>
        <v>0.77344269563289736</v>
      </c>
      <c r="S333">
        <f t="shared" si="136"/>
        <v>9.4561686705209175E-2</v>
      </c>
      <c r="T333" s="14">
        <f t="shared" si="137"/>
        <v>0.16148635875507833</v>
      </c>
      <c r="U333" t="str">
        <f t="shared" si="138"/>
        <v>Low</v>
      </c>
      <c r="V333">
        <f t="shared" si="139"/>
        <v>9.2509169588921927E-2</v>
      </c>
      <c r="W333">
        <f t="shared" si="140"/>
        <v>0.13612031938639096</v>
      </c>
      <c r="X333" t="s">
        <v>1176</v>
      </c>
      <c r="Y333">
        <f t="shared" si="141"/>
        <v>9.6614203821496394E-2</v>
      </c>
      <c r="Z333">
        <f t="shared" si="142"/>
        <v>0.19016093039324006</v>
      </c>
      <c r="AA333" t="str">
        <f t="shared" si="143"/>
        <v>Low</v>
      </c>
      <c r="AB333">
        <f t="shared" si="144"/>
        <v>6.5891315673105744E-2</v>
      </c>
      <c r="AC333">
        <f t="shared" si="145"/>
        <v>0.15196519704772696</v>
      </c>
      <c r="AD333" t="str">
        <f t="shared" si="146"/>
        <v>Low</v>
      </c>
      <c r="AE333">
        <f t="shared" si="147"/>
        <v>1.2939557630097569E-2</v>
      </c>
      <c r="AF333">
        <f t="shared" si="148"/>
        <v>6.6385519652727071E-2</v>
      </c>
      <c r="AG333" t="str">
        <f t="shared" si="154"/>
        <v>No Impact</v>
      </c>
    </row>
    <row r="334" spans="1:33" x14ac:dyDescent="0.3">
      <c r="A334">
        <v>405595</v>
      </c>
      <c r="B334" t="s">
        <v>500</v>
      </c>
      <c r="C334" s="1" t="s">
        <v>872</v>
      </c>
      <c r="D334" t="s">
        <v>1137</v>
      </c>
      <c r="E334" s="4">
        <v>3.8</v>
      </c>
      <c r="F334" s="3">
        <f t="shared" si="129"/>
        <v>0.13333333333333325</v>
      </c>
      <c r="G334">
        <v>60.818039999999996</v>
      </c>
      <c r="H334">
        <f t="shared" si="150"/>
        <v>0.58845104862221376</v>
      </c>
      <c r="I334">
        <v>91.7</v>
      </c>
      <c r="J334" s="3">
        <f t="shared" si="151"/>
        <v>0.42199723884031298</v>
      </c>
      <c r="K334">
        <v>0</v>
      </c>
      <c r="L334" s="3">
        <f t="shared" si="152"/>
        <v>0</v>
      </c>
      <c r="M334">
        <v>24428</v>
      </c>
      <c r="N334">
        <f t="shared" si="153"/>
        <v>0.11444833998097968</v>
      </c>
      <c r="O334" s="15">
        <v>0.48989489800000002</v>
      </c>
      <c r="P334">
        <f t="shared" si="134"/>
        <v>0.49942554403210782</v>
      </c>
      <c r="Q334">
        <v>0.36130000000000001</v>
      </c>
      <c r="R334">
        <f t="shared" si="135"/>
        <v>0.80093105741520731</v>
      </c>
      <c r="S334">
        <f t="shared" si="136"/>
        <v>2.7721857423033607E-2</v>
      </c>
      <c r="T334" s="14">
        <f t="shared" si="137"/>
        <v>4.7341602811390271E-2</v>
      </c>
      <c r="U334" t="str">
        <f t="shared" si="138"/>
        <v>No Impact</v>
      </c>
      <c r="V334">
        <f t="shared" si="139"/>
        <v>3.4149550292021956E-2</v>
      </c>
      <c r="W334">
        <f t="shared" si="140"/>
        <v>5.0248507399944339E-2</v>
      </c>
      <c r="X334" t="s">
        <v>1176</v>
      </c>
      <c r="Y334">
        <f t="shared" si="141"/>
        <v>2.1294164554045255E-2</v>
      </c>
      <c r="Z334">
        <f t="shared" si="142"/>
        <v>4.1912244611832503E-2</v>
      </c>
      <c r="AA334" t="str">
        <f t="shared" si="143"/>
        <v>No Impact</v>
      </c>
      <c r="AB334">
        <f t="shared" si="144"/>
        <v>2.0048511466662755E-2</v>
      </c>
      <c r="AC334">
        <f t="shared" si="145"/>
        <v>4.6237898946500371E-2</v>
      </c>
      <c r="AD334" t="str">
        <f t="shared" si="146"/>
        <v>No Impact</v>
      </c>
      <c r="AE334">
        <f t="shared" si="147"/>
        <v>4.8797699949757059E-3</v>
      </c>
      <c r="AF334">
        <f t="shared" si="148"/>
        <v>2.5035327803536737E-2</v>
      </c>
      <c r="AG334" t="str">
        <f t="shared" si="154"/>
        <v>No Impact</v>
      </c>
    </row>
    <row r="335" spans="1:33" x14ac:dyDescent="0.3">
      <c r="A335">
        <v>405747</v>
      </c>
      <c r="B335" t="s">
        <v>176</v>
      </c>
      <c r="C335" s="1" t="s">
        <v>875</v>
      </c>
      <c r="D335" t="s">
        <v>874</v>
      </c>
      <c r="E335" s="4">
        <v>4.9000000000000004</v>
      </c>
      <c r="F335" s="3">
        <f t="shared" si="129"/>
        <v>0.37777777777777782</v>
      </c>
      <c r="G335">
        <v>49.063679999999998</v>
      </c>
      <c r="H335">
        <f t="shared" si="150"/>
        <v>0.47472055898652338</v>
      </c>
      <c r="I335">
        <v>97</v>
      </c>
      <c r="J335" s="3">
        <f t="shared" si="151"/>
        <v>0.44638748274275197</v>
      </c>
      <c r="K335">
        <v>0</v>
      </c>
      <c r="L335" s="3">
        <f t="shared" si="152"/>
        <v>0</v>
      </c>
      <c r="M335">
        <v>56017</v>
      </c>
      <c r="N335">
        <f t="shared" si="153"/>
        <v>0.26390919457022138</v>
      </c>
      <c r="O335" s="15">
        <v>0.92513437200000004</v>
      </c>
      <c r="P335">
        <f t="shared" si="134"/>
        <v>0.94313237170904851</v>
      </c>
      <c r="Q335">
        <v>0.34820000000000001</v>
      </c>
      <c r="R335">
        <f t="shared" si="135"/>
        <v>0.77189093327421865</v>
      </c>
      <c r="S335">
        <f t="shared" si="136"/>
        <v>9.0435413021836081E-2</v>
      </c>
      <c r="T335" s="14">
        <f t="shared" si="137"/>
        <v>0.15443977429183695</v>
      </c>
      <c r="U335" t="str">
        <f t="shared" si="138"/>
        <v>Low</v>
      </c>
      <c r="V335">
        <f t="shared" si="139"/>
        <v>8.1405628898023108E-2</v>
      </c>
      <c r="W335">
        <f t="shared" si="140"/>
        <v>0.11978229028202064</v>
      </c>
      <c r="X335" t="s">
        <v>1176</v>
      </c>
      <c r="Y335">
        <f t="shared" si="141"/>
        <v>9.9465197145649054E-2</v>
      </c>
      <c r="Z335">
        <f t="shared" si="142"/>
        <v>0.19577239870350482</v>
      </c>
      <c r="AA335" t="str">
        <f t="shared" si="143"/>
        <v>Low</v>
      </c>
      <c r="AB335">
        <f t="shared" si="144"/>
        <v>6.8072922193777322E-2</v>
      </c>
      <c r="AC335">
        <f t="shared" si="145"/>
        <v>0.15699663801089139</v>
      </c>
      <c r="AD335" t="str">
        <f t="shared" si="146"/>
        <v>Low</v>
      </c>
      <c r="AE335">
        <f t="shared" si="147"/>
        <v>2.7832551245070027E-2</v>
      </c>
      <c r="AF335">
        <f t="shared" si="148"/>
        <v>0.14279300965957345</v>
      </c>
      <c r="AG335" t="s">
        <v>1175</v>
      </c>
    </row>
    <row r="336" spans="1:33" x14ac:dyDescent="0.3">
      <c r="A336">
        <v>405760</v>
      </c>
      <c r="B336" t="s">
        <v>349</v>
      </c>
      <c r="C336" s="1" t="s">
        <v>875</v>
      </c>
      <c r="D336" t="s">
        <v>877</v>
      </c>
      <c r="E336" s="4">
        <v>5.4</v>
      </c>
      <c r="F336" s="3">
        <f t="shared" si="129"/>
        <v>0.48888888888888893</v>
      </c>
      <c r="G336">
        <v>48.991680000000002</v>
      </c>
      <c r="H336">
        <f t="shared" si="150"/>
        <v>0.47402391576190128</v>
      </c>
      <c r="I336">
        <v>100.3</v>
      </c>
      <c r="J336" s="3">
        <f t="shared" si="151"/>
        <v>0.46157386102162912</v>
      </c>
      <c r="K336">
        <v>0</v>
      </c>
      <c r="L336" s="3">
        <f t="shared" si="152"/>
        <v>0</v>
      </c>
      <c r="M336">
        <v>60437</v>
      </c>
      <c r="N336">
        <f t="shared" si="153"/>
        <v>0.28482207491731842</v>
      </c>
      <c r="O336" s="15">
        <v>0.38351469500000002</v>
      </c>
      <c r="P336">
        <f t="shared" si="134"/>
        <v>0.39097577046961385</v>
      </c>
      <c r="Q336">
        <v>0.31159999999999999</v>
      </c>
      <c r="R336">
        <f t="shared" si="135"/>
        <v>0.69075592994901347</v>
      </c>
      <c r="S336">
        <f t="shared" si="136"/>
        <v>7.4547365220736406E-2</v>
      </c>
      <c r="T336" s="14">
        <f t="shared" si="137"/>
        <v>0.12730718945201008</v>
      </c>
      <c r="U336" t="str">
        <f t="shared" si="138"/>
        <v>No Impact</v>
      </c>
      <c r="V336">
        <f t="shared" si="139"/>
        <v>9.5206666437473289E-2</v>
      </c>
      <c r="W336">
        <f t="shared" si="140"/>
        <v>0.14008948411027974</v>
      </c>
      <c r="X336" t="s">
        <v>1176</v>
      </c>
      <c r="Y336">
        <f t="shared" si="141"/>
        <v>5.3888064003999515E-2</v>
      </c>
      <c r="Z336">
        <f t="shared" si="142"/>
        <v>0.10606519520694946</v>
      </c>
      <c r="AA336" t="str">
        <f t="shared" si="143"/>
        <v>No Impact</v>
      </c>
      <c r="AB336">
        <f t="shared" si="144"/>
        <v>6.3228679520796569E-2</v>
      </c>
      <c r="AC336">
        <f t="shared" si="145"/>
        <v>0.14582435703840813</v>
      </c>
      <c r="AD336" t="str">
        <f t="shared" si="146"/>
        <v>No Impact</v>
      </c>
      <c r="AE336">
        <f t="shared" si="147"/>
        <v>3.925693447566022E-2</v>
      </c>
      <c r="AF336">
        <f t="shared" si="148"/>
        <v>0.20140503019036435</v>
      </c>
      <c r="AG336" t="s">
        <v>1175</v>
      </c>
    </row>
    <row r="337" spans="1:33" x14ac:dyDescent="0.3">
      <c r="A337">
        <v>405787</v>
      </c>
      <c r="B337" t="s">
        <v>332</v>
      </c>
      <c r="C337" s="1" t="s">
        <v>875</v>
      </c>
      <c r="D337" t="s">
        <v>876</v>
      </c>
      <c r="E337" s="4">
        <v>5.4</v>
      </c>
      <c r="F337" s="3">
        <f t="shared" si="129"/>
        <v>0.48888888888888893</v>
      </c>
      <c r="G337">
        <v>48.158639999999998</v>
      </c>
      <c r="H337">
        <f t="shared" si="150"/>
        <v>0.46596375365302289</v>
      </c>
      <c r="I337">
        <v>107.80000000000001</v>
      </c>
      <c r="J337" s="3">
        <f t="shared" si="151"/>
        <v>0.49608835710998628</v>
      </c>
      <c r="K337">
        <v>0</v>
      </c>
      <c r="L337" s="3">
        <f t="shared" si="152"/>
        <v>0</v>
      </c>
      <c r="M337">
        <v>21638</v>
      </c>
      <c r="N337">
        <f t="shared" si="153"/>
        <v>0.10124767568948631</v>
      </c>
      <c r="O337" s="15">
        <v>0.25806512999999998</v>
      </c>
      <c r="P337">
        <f t="shared" si="134"/>
        <v>0.26308565055920752</v>
      </c>
      <c r="Q337">
        <v>0.31909999999999999</v>
      </c>
      <c r="R337">
        <f t="shared" si="135"/>
        <v>0.7073819552205719</v>
      </c>
      <c r="S337">
        <f t="shared" si="136"/>
        <v>6.7752331140040256E-2</v>
      </c>
      <c r="T337" s="14">
        <f t="shared" si="137"/>
        <v>0.11570306785116481</v>
      </c>
      <c r="U337" t="str">
        <f t="shared" si="138"/>
        <v>No Impact</v>
      </c>
      <c r="V337">
        <f t="shared" si="139"/>
        <v>9.8770481749535011E-2</v>
      </c>
      <c r="W337">
        <f t="shared" si="140"/>
        <v>0.14533337161535193</v>
      </c>
      <c r="X337" t="s">
        <v>1176</v>
      </c>
      <c r="Y337">
        <f t="shared" si="141"/>
        <v>3.6734180530545509E-2</v>
      </c>
      <c r="Z337">
        <f t="shared" si="142"/>
        <v>7.2302059848549358E-2</v>
      </c>
      <c r="AA337" t="str">
        <f t="shared" si="143"/>
        <v>No Impact</v>
      </c>
      <c r="AB337">
        <f t="shared" si="144"/>
        <v>5.0537884152935281E-2</v>
      </c>
      <c r="AC337">
        <f t="shared" si="145"/>
        <v>0.11655556495149304</v>
      </c>
      <c r="AD337" t="str">
        <f t="shared" si="146"/>
        <v>No Impact</v>
      </c>
      <c r="AE337">
        <f t="shared" si="147"/>
        <v>1.4137032518383953E-2</v>
      </c>
      <c r="AF337">
        <f t="shared" si="148"/>
        <v>7.2529083057481847E-2</v>
      </c>
      <c r="AG337" t="str">
        <f>IF(AF337&gt;0.7,"High",IF(AF337&gt;0.3,"Moderate",IF(AF337&gt;0.15,"Low","No Impact")))</f>
        <v>No Impact</v>
      </c>
    </row>
    <row r="338" spans="1:33" x14ac:dyDescent="0.3">
      <c r="A338">
        <v>406528</v>
      </c>
      <c r="B338" t="s">
        <v>241</v>
      </c>
      <c r="C338" s="1" t="s">
        <v>879</v>
      </c>
      <c r="D338" t="s">
        <v>878</v>
      </c>
      <c r="E338" s="4">
        <v>5.5</v>
      </c>
      <c r="F338" s="3">
        <f t="shared" si="129"/>
        <v>0.51111111111111107</v>
      </c>
      <c r="G338">
        <v>69.736320000000006</v>
      </c>
      <c r="H338">
        <f t="shared" si="150"/>
        <v>0.67474076164003749</v>
      </c>
      <c r="I338">
        <v>125.8</v>
      </c>
      <c r="J338" s="3">
        <f t="shared" si="151"/>
        <v>0.57892314772204334</v>
      </c>
      <c r="K338">
        <v>0</v>
      </c>
      <c r="L338" s="3">
        <f t="shared" si="152"/>
        <v>0</v>
      </c>
      <c r="M338">
        <v>44158</v>
      </c>
      <c r="N338">
        <f t="shared" si="153"/>
        <v>0.20779927420003502</v>
      </c>
      <c r="O338" s="15">
        <v>0.31309130800000001</v>
      </c>
      <c r="P338">
        <f t="shared" si="134"/>
        <v>0.31918233373727484</v>
      </c>
      <c r="Q338">
        <v>0.30249999999999999</v>
      </c>
      <c r="R338">
        <f t="shared" si="135"/>
        <v>0.67058301928618924</v>
      </c>
      <c r="S338">
        <f t="shared" si="136"/>
        <v>9.7554148864954879E-2</v>
      </c>
      <c r="T338" s="14">
        <f t="shared" si="137"/>
        <v>0.16659669291606016</v>
      </c>
      <c r="U338" t="str">
        <f t="shared" si="138"/>
        <v>Low</v>
      </c>
      <c r="V338">
        <f t="shared" si="139"/>
        <v>0.13218922139458839</v>
      </c>
      <c r="W338">
        <f t="shared" si="140"/>
        <v>0.19450654584434268</v>
      </c>
      <c r="X338" t="s">
        <v>1176</v>
      </c>
      <c r="Y338">
        <f t="shared" si="141"/>
        <v>6.2919076335321358E-2</v>
      </c>
      <c r="Z338">
        <f t="shared" si="142"/>
        <v>0.12384048744544826</v>
      </c>
      <c r="AA338" t="str">
        <f t="shared" si="143"/>
        <v>No Impact</v>
      </c>
      <c r="AB338">
        <f t="shared" si="144"/>
        <v>7.947886053330451E-2</v>
      </c>
      <c r="AC338">
        <f t="shared" si="145"/>
        <v>0.18330216324701809</v>
      </c>
      <c r="AD338" t="str">
        <f t="shared" si="146"/>
        <v>Low</v>
      </c>
      <c r="AE338">
        <f t="shared" si="147"/>
        <v>4.0962600413149079E-2</v>
      </c>
      <c r="AF338">
        <f t="shared" si="148"/>
        <v>0.21015583318155595</v>
      </c>
      <c r="AG338" t="s">
        <v>1175</v>
      </c>
    </row>
    <row r="339" spans="1:33" x14ac:dyDescent="0.3">
      <c r="A339">
        <v>406552</v>
      </c>
      <c r="B339" t="s">
        <v>304</v>
      </c>
      <c r="C339" s="1" t="s">
        <v>879</v>
      </c>
      <c r="D339" t="s">
        <v>1127</v>
      </c>
      <c r="E339" s="4">
        <v>5.4</v>
      </c>
      <c r="F339" s="3">
        <f t="shared" si="129"/>
        <v>0.48888888888888893</v>
      </c>
      <c r="G339">
        <v>67.31280000000001</v>
      </c>
      <c r="H339">
        <f t="shared" si="150"/>
        <v>0.65129175069925571</v>
      </c>
      <c r="I339">
        <v>124.2</v>
      </c>
      <c r="J339" s="3">
        <f t="shared" si="151"/>
        <v>0.57156005522319375</v>
      </c>
      <c r="K339">
        <v>0</v>
      </c>
      <c r="L339" s="3">
        <f t="shared" si="152"/>
        <v>0</v>
      </c>
      <c r="M339">
        <v>38864</v>
      </c>
      <c r="N339">
        <f t="shared" si="153"/>
        <v>0.18275113199244866</v>
      </c>
      <c r="O339" s="15">
        <v>0.42685585599999998</v>
      </c>
      <c r="P339">
        <f t="shared" si="134"/>
        <v>0.43516011082461009</v>
      </c>
      <c r="Q339">
        <v>0.41299999999999998</v>
      </c>
      <c r="R339">
        <f t="shared" si="135"/>
        <v>0.91553979162048327</v>
      </c>
      <c r="S339">
        <f t="shared" si="136"/>
        <v>0.12375760315585517</v>
      </c>
      <c r="T339" s="14">
        <f t="shared" si="137"/>
        <v>0.2113452646439957</v>
      </c>
      <c r="U339" t="str">
        <f t="shared" si="138"/>
        <v>Low</v>
      </c>
      <c r="V339">
        <f t="shared" si="139"/>
        <v>0.1677722934600834</v>
      </c>
      <c r="W339">
        <f t="shared" si="140"/>
        <v>0.24686437324488367</v>
      </c>
      <c r="X339" t="s">
        <v>1175</v>
      </c>
      <c r="Y339">
        <f t="shared" si="141"/>
        <v>7.9742912851626949E-2</v>
      </c>
      <c r="Z339">
        <f t="shared" si="142"/>
        <v>0.15695400779940491</v>
      </c>
      <c r="AA339" t="str">
        <f t="shared" si="143"/>
        <v>Low</v>
      </c>
      <c r="AB339">
        <f t="shared" si="144"/>
        <v>9.4364351210806469E-2</v>
      </c>
      <c r="AC339">
        <f t="shared" si="145"/>
        <v>0.21763258298216354</v>
      </c>
      <c r="AD339" t="str">
        <f t="shared" si="146"/>
        <v>Low</v>
      </c>
      <c r="AE339">
        <f t="shared" si="147"/>
        <v>3.3489070412254886E-2</v>
      </c>
      <c r="AF339">
        <f t="shared" si="148"/>
        <v>0.17181339621944586</v>
      </c>
      <c r="AG339" t="s">
        <v>1175</v>
      </c>
    </row>
    <row r="340" spans="1:33" x14ac:dyDescent="0.3">
      <c r="A340">
        <v>406576</v>
      </c>
      <c r="B340" t="s">
        <v>371</v>
      </c>
      <c r="C340" s="1" t="s">
        <v>879</v>
      </c>
      <c r="D340" t="s">
        <v>880</v>
      </c>
      <c r="E340" s="4">
        <v>5.5</v>
      </c>
      <c r="F340" s="3">
        <f t="shared" si="129"/>
        <v>0.51111111111111107</v>
      </c>
      <c r="G340">
        <v>67.185000000000002</v>
      </c>
      <c r="H340">
        <f t="shared" si="150"/>
        <v>0.65005520897555136</v>
      </c>
      <c r="I340">
        <v>124.2</v>
      </c>
      <c r="J340" s="3">
        <f t="shared" si="151"/>
        <v>0.57156005522319375</v>
      </c>
      <c r="K340">
        <v>0</v>
      </c>
      <c r="L340" s="3">
        <f t="shared" si="152"/>
        <v>0</v>
      </c>
      <c r="M340">
        <v>41242</v>
      </c>
      <c r="N340">
        <f t="shared" si="153"/>
        <v>0.19400245087602258</v>
      </c>
      <c r="O340" s="15">
        <v>0.73897785299999996</v>
      </c>
      <c r="P340">
        <f t="shared" si="134"/>
        <v>0.75335427612925243</v>
      </c>
      <c r="Q340">
        <v>0.32300000000000001</v>
      </c>
      <c r="R340">
        <f t="shared" si="135"/>
        <v>0.71602748836178232</v>
      </c>
      <c r="S340">
        <f t="shared" si="136"/>
        <v>0.14056569919028492</v>
      </c>
      <c r="T340" s="14">
        <f t="shared" si="137"/>
        <v>0.2400490486053303</v>
      </c>
      <c r="U340" t="str">
        <f t="shared" si="138"/>
        <v>Low</v>
      </c>
      <c r="V340">
        <f t="shared" si="139"/>
        <v>0.13699490081245203</v>
      </c>
      <c r="W340">
        <f t="shared" si="140"/>
        <v>0.20157774343626811</v>
      </c>
      <c r="X340" t="s">
        <v>1176</v>
      </c>
      <c r="Y340">
        <f t="shared" si="141"/>
        <v>0.14413649756811781</v>
      </c>
      <c r="Z340">
        <f t="shared" si="142"/>
        <v>0.28369669672812448</v>
      </c>
      <c r="AA340" t="str">
        <f t="shared" si="143"/>
        <v>Low</v>
      </c>
      <c r="AB340">
        <f t="shared" si="144"/>
        <v>0.10418038546668773</v>
      </c>
      <c r="AC340">
        <f t="shared" si="145"/>
        <v>0.24027131108592009</v>
      </c>
      <c r="AD340" t="str">
        <f t="shared" si="146"/>
        <v>Low</v>
      </c>
      <c r="AE340">
        <f t="shared" si="147"/>
        <v>3.7117774033983392E-2</v>
      </c>
      <c r="AF340">
        <f t="shared" si="148"/>
        <v>0.19043021315249609</v>
      </c>
      <c r="AG340" t="s">
        <v>1175</v>
      </c>
    </row>
    <row r="341" spans="1:33" x14ac:dyDescent="0.3">
      <c r="A341">
        <v>408704</v>
      </c>
      <c r="B341" t="s">
        <v>14</v>
      </c>
      <c r="C341" s="1" t="s">
        <v>882</v>
      </c>
      <c r="D341" t="s">
        <v>881</v>
      </c>
      <c r="E341" s="4">
        <v>6.9</v>
      </c>
      <c r="F341" s="3">
        <f t="shared" si="129"/>
        <v>0.8222222222222223</v>
      </c>
      <c r="G341">
        <v>73.582560000000001</v>
      </c>
      <c r="H341">
        <f t="shared" si="150"/>
        <v>0.71195544269935318</v>
      </c>
      <c r="I341">
        <v>165.8</v>
      </c>
      <c r="J341" s="3">
        <f t="shared" si="151"/>
        <v>0.76300046019328127</v>
      </c>
      <c r="K341">
        <v>0</v>
      </c>
      <c r="L341" s="3">
        <f t="shared" si="152"/>
        <v>0</v>
      </c>
      <c r="M341">
        <v>39423</v>
      </c>
      <c r="N341">
        <f t="shared" si="153"/>
        <v>0.18539599627164033</v>
      </c>
      <c r="O341" s="15">
        <v>0.57268364400000005</v>
      </c>
      <c r="P341">
        <f t="shared" si="134"/>
        <v>0.58382490128115183</v>
      </c>
      <c r="Q341">
        <v>0.28079999999999999</v>
      </c>
      <c r="R341">
        <f t="shared" si="135"/>
        <v>0.62247838616714701</v>
      </c>
      <c r="S341">
        <f t="shared" si="136"/>
        <v>0.2169086639670825</v>
      </c>
      <c r="T341" s="14">
        <f t="shared" si="137"/>
        <v>0.37042264734204894</v>
      </c>
      <c r="U341" t="str">
        <f t="shared" si="138"/>
        <v>Moderate</v>
      </c>
      <c r="V341">
        <f t="shared" si="139"/>
        <v>0.22385905186002139</v>
      </c>
      <c r="W341">
        <f t="shared" si="140"/>
        <v>0.32939184052917708</v>
      </c>
      <c r="X341" t="str">
        <f t="shared" ref="X341:X351" si="155">IF(W341&gt;0.7,"High",IF(W341&gt;0.3,"Moderate",IF(W341&gt;0.15,"Low","No Impact")))</f>
        <v>Moderate</v>
      </c>
      <c r="Y341">
        <f t="shared" si="141"/>
        <v>0.20995827607414361</v>
      </c>
      <c r="Z341">
        <f t="shared" si="142"/>
        <v>0.41325042843375903</v>
      </c>
      <c r="AA341" t="str">
        <f t="shared" si="143"/>
        <v>Moderate</v>
      </c>
      <c r="AB341">
        <f t="shared" si="144"/>
        <v>0.16467374061491924</v>
      </c>
      <c r="AC341">
        <f t="shared" si="145"/>
        <v>0.3797871872111756</v>
      </c>
      <c r="AD341" t="str">
        <f t="shared" si="146"/>
        <v>Moderate</v>
      </c>
      <c r="AE341">
        <f t="shared" si="147"/>
        <v>6.6673113261910513E-2</v>
      </c>
      <c r="AF341">
        <f t="shared" si="148"/>
        <v>0.34206186929156124</v>
      </c>
      <c r="AG341" t="str">
        <f t="shared" ref="AG341:AG383" si="156">IF(AF341&gt;0.7,"High",IF(AF341&gt;0.3,"Moderate",IF(AF341&gt;0.15,"Low","No Impact")))</f>
        <v>Moderate</v>
      </c>
    </row>
    <row r="342" spans="1:33" x14ac:dyDescent="0.3">
      <c r="A342">
        <v>408725</v>
      </c>
      <c r="B342" t="s">
        <v>134</v>
      </c>
      <c r="C342" s="1" t="s">
        <v>882</v>
      </c>
      <c r="D342" t="s">
        <v>883</v>
      </c>
      <c r="E342" s="4">
        <v>6.7</v>
      </c>
      <c r="F342" s="3">
        <f t="shared" si="129"/>
        <v>0.77777777777777779</v>
      </c>
      <c r="G342">
        <v>64.557000000000002</v>
      </c>
      <c r="H342">
        <f t="shared" si="150"/>
        <v>0.62462773127684257</v>
      </c>
      <c r="I342">
        <v>113.8</v>
      </c>
      <c r="J342" s="3">
        <f t="shared" si="151"/>
        <v>0.52369995398067193</v>
      </c>
      <c r="K342">
        <v>0</v>
      </c>
      <c r="L342" s="3">
        <f t="shared" si="152"/>
        <v>0</v>
      </c>
      <c r="M342">
        <v>18680</v>
      </c>
      <c r="N342">
        <f t="shared" si="153"/>
        <v>8.7252132687967526E-2</v>
      </c>
      <c r="O342" s="15">
        <v>0.84076068699999995</v>
      </c>
      <c r="P342">
        <f t="shared" si="134"/>
        <v>0.85711724131036704</v>
      </c>
      <c r="Q342">
        <v>0.27739999999999998</v>
      </c>
      <c r="R342">
        <f t="shared" si="135"/>
        <v>0.61494125471070715</v>
      </c>
      <c r="S342">
        <f t="shared" si="136"/>
        <v>0.20299176208702085</v>
      </c>
      <c r="T342" s="14">
        <f t="shared" si="137"/>
        <v>0.34665625856380128</v>
      </c>
      <c r="U342" t="str">
        <f t="shared" si="138"/>
        <v>Moderate</v>
      </c>
      <c r="V342">
        <f t="shared" si="139"/>
        <v>0.16959653330507718</v>
      </c>
      <c r="W342">
        <f t="shared" si="140"/>
        <v>0.2495486056452107</v>
      </c>
      <c r="X342" t="s">
        <v>1175</v>
      </c>
      <c r="Y342">
        <f t="shared" si="141"/>
        <v>0.23638699086896456</v>
      </c>
      <c r="Z342">
        <f t="shared" si="142"/>
        <v>0.46526875281767882</v>
      </c>
      <c r="AA342" t="str">
        <f t="shared" si="143"/>
        <v>Moderate</v>
      </c>
      <c r="AB342">
        <f t="shared" si="144"/>
        <v>0.13869712049681304</v>
      </c>
      <c r="AC342">
        <f t="shared" si="145"/>
        <v>0.31987728626965917</v>
      </c>
      <c r="AD342" t="str">
        <f t="shared" si="146"/>
        <v>Moderate</v>
      </c>
      <c r="AE342">
        <f t="shared" si="147"/>
        <v>2.406353308384767E-2</v>
      </c>
      <c r="AF342">
        <f t="shared" si="148"/>
        <v>0.12345631853256579</v>
      </c>
      <c r="AG342" t="s">
        <v>1175</v>
      </c>
    </row>
    <row r="343" spans="1:33" x14ac:dyDescent="0.3">
      <c r="A343">
        <v>408743</v>
      </c>
      <c r="B343" t="s">
        <v>240</v>
      </c>
      <c r="C343" s="1" t="s">
        <v>882</v>
      </c>
      <c r="D343" t="s">
        <v>884</v>
      </c>
      <c r="E343" s="4">
        <v>6.5</v>
      </c>
      <c r="F343" s="3">
        <f t="shared" si="129"/>
        <v>0.73333333333333328</v>
      </c>
      <c r="G343">
        <v>64.032480000000007</v>
      </c>
      <c r="H343">
        <f t="shared" si="150"/>
        <v>0.61955268538547015</v>
      </c>
      <c r="I343">
        <v>121.5</v>
      </c>
      <c r="J343" s="3">
        <f t="shared" si="151"/>
        <v>0.55913483663138519</v>
      </c>
      <c r="K343">
        <v>0</v>
      </c>
      <c r="L343" s="3">
        <f t="shared" si="152"/>
        <v>0</v>
      </c>
      <c r="M343">
        <v>48599</v>
      </c>
      <c r="N343">
        <f t="shared" si="153"/>
        <v>0.22881151438588523</v>
      </c>
      <c r="O343" s="15">
        <v>0.74131448</v>
      </c>
      <c r="P343">
        <f t="shared" si="134"/>
        <v>0.75573636097120389</v>
      </c>
      <c r="Q343">
        <v>0.34229999999999999</v>
      </c>
      <c r="R343">
        <f t="shared" si="135"/>
        <v>0.7588117933939259</v>
      </c>
      <c r="S343">
        <f t="shared" si="136"/>
        <v>0.1997249017299331</v>
      </c>
      <c r="T343" s="14">
        <f t="shared" si="137"/>
        <v>0.34107732483272224</v>
      </c>
      <c r="U343" t="str">
        <f t="shared" si="138"/>
        <v>Moderate</v>
      </c>
      <c r="V343">
        <f t="shared" si="139"/>
        <v>0.20013046192069683</v>
      </c>
      <c r="W343">
        <f t="shared" si="140"/>
        <v>0.29447699635229935</v>
      </c>
      <c r="X343" t="s">
        <v>1175</v>
      </c>
      <c r="Y343">
        <f t="shared" si="141"/>
        <v>0.19931934153916936</v>
      </c>
      <c r="Z343">
        <f t="shared" si="142"/>
        <v>0.39231034292313</v>
      </c>
      <c r="AA343" t="str">
        <f t="shared" si="143"/>
        <v>Moderate</v>
      </c>
      <c r="AB343">
        <f t="shared" si="144"/>
        <v>0.1509629781417075</v>
      </c>
      <c r="AC343">
        <f t="shared" si="145"/>
        <v>0.34816604412681273</v>
      </c>
      <c r="AD343" t="str">
        <f t="shared" si="146"/>
        <v>Moderate</v>
      </c>
      <c r="AE343">
        <f t="shared" si="147"/>
        <v>6.0347182879179451E-2</v>
      </c>
      <c r="AF343">
        <f t="shared" si="148"/>
        <v>0.30960711405574332</v>
      </c>
      <c r="AG343" t="str">
        <f t="shared" si="156"/>
        <v>Moderate</v>
      </c>
    </row>
    <row r="344" spans="1:33" x14ac:dyDescent="0.3">
      <c r="A344">
        <v>408747</v>
      </c>
      <c r="B344" t="s">
        <v>245</v>
      </c>
      <c r="C344" s="1" t="s">
        <v>882</v>
      </c>
      <c r="D344" t="s">
        <v>1136</v>
      </c>
      <c r="E344" s="4">
        <v>6.9</v>
      </c>
      <c r="F344" s="3">
        <f t="shared" si="129"/>
        <v>0.8222222222222223</v>
      </c>
      <c r="G344">
        <v>73.2834</v>
      </c>
      <c r="H344">
        <f t="shared" si="150"/>
        <v>0.70906089010104811</v>
      </c>
      <c r="I344">
        <v>137.1</v>
      </c>
      <c r="J344" s="3">
        <f t="shared" si="151"/>
        <v>0.63092498849516798</v>
      </c>
      <c r="K344">
        <v>0</v>
      </c>
      <c r="L344" s="3">
        <f t="shared" si="152"/>
        <v>0</v>
      </c>
      <c r="M344">
        <v>39782</v>
      </c>
      <c r="N344">
        <f t="shared" si="153"/>
        <v>0.18709457637223034</v>
      </c>
      <c r="O344" s="15">
        <v>0.52200981999999996</v>
      </c>
      <c r="P344">
        <f t="shared" si="134"/>
        <v>0.53216524484727878</v>
      </c>
      <c r="Q344">
        <v>0.32590000000000002</v>
      </c>
      <c r="R344">
        <f t="shared" si="135"/>
        <v>0.72245621813345162</v>
      </c>
      <c r="S344">
        <f t="shared" si="136"/>
        <v>0.21137508449417622</v>
      </c>
      <c r="T344" s="14">
        <f t="shared" si="137"/>
        <v>0.36097275668234424</v>
      </c>
      <c r="U344" t="str">
        <f t="shared" si="138"/>
        <v>Moderate</v>
      </c>
      <c r="V344">
        <f t="shared" si="139"/>
        <v>0.24343477081684006</v>
      </c>
      <c r="W344">
        <f t="shared" si="140"/>
        <v>0.35819604586861709</v>
      </c>
      <c r="X344" t="str">
        <f t="shared" si="155"/>
        <v>Moderate</v>
      </c>
      <c r="Y344">
        <f t="shared" si="141"/>
        <v>0.17931539817151237</v>
      </c>
      <c r="Z344">
        <f t="shared" si="142"/>
        <v>0.35293757647819279</v>
      </c>
      <c r="AA344" t="str">
        <f t="shared" si="143"/>
        <v>Moderate</v>
      </c>
      <c r="AB344">
        <f t="shared" si="144"/>
        <v>0.16106160570923267</v>
      </c>
      <c r="AC344">
        <f t="shared" si="145"/>
        <v>0.37145651742414509</v>
      </c>
      <c r="AD344" t="str">
        <f t="shared" si="146"/>
        <v>Moderate</v>
      </c>
      <c r="AE344">
        <f t="shared" si="147"/>
        <v>6.304233277681412E-2</v>
      </c>
      <c r="AF344">
        <f t="shared" si="148"/>
        <v>0.32343439715236977</v>
      </c>
      <c r="AG344" t="str">
        <f t="shared" si="156"/>
        <v>Moderate</v>
      </c>
    </row>
    <row r="345" spans="1:33" x14ac:dyDescent="0.3">
      <c r="A345">
        <v>408782</v>
      </c>
      <c r="B345" t="s">
        <v>464</v>
      </c>
      <c r="C345" s="1" t="s">
        <v>882</v>
      </c>
      <c r="D345" t="s">
        <v>885</v>
      </c>
      <c r="E345" s="4">
        <v>7</v>
      </c>
      <c r="F345" s="3">
        <f t="shared" si="129"/>
        <v>0.84444444444444444</v>
      </c>
      <c r="G345">
        <v>64.557000000000002</v>
      </c>
      <c r="H345">
        <f t="shared" si="150"/>
        <v>0.62462773127684257</v>
      </c>
      <c r="I345">
        <v>119.2</v>
      </c>
      <c r="J345" s="3">
        <f t="shared" si="151"/>
        <v>0.54855039116428905</v>
      </c>
      <c r="K345">
        <v>0</v>
      </c>
      <c r="L345" s="3">
        <f t="shared" si="152"/>
        <v>0</v>
      </c>
      <c r="M345">
        <v>45523</v>
      </c>
      <c r="N345">
        <f t="shared" si="153"/>
        <v>0.21425766371899144</v>
      </c>
      <c r="O345" s="15">
        <v>0.54732803699999999</v>
      </c>
      <c r="P345">
        <f t="shared" si="134"/>
        <v>0.55797601436288202</v>
      </c>
      <c r="Q345">
        <v>0.26900000000000002</v>
      </c>
      <c r="R345">
        <f t="shared" si="135"/>
        <v>0.59632010640656175</v>
      </c>
      <c r="S345">
        <f t="shared" si="136"/>
        <v>0.1752391383734305</v>
      </c>
      <c r="T345" s="14">
        <f t="shared" si="137"/>
        <v>0.29926211506275618</v>
      </c>
      <c r="U345" t="str">
        <f t="shared" si="138"/>
        <v>Low</v>
      </c>
      <c r="V345">
        <f t="shared" si="139"/>
        <v>0.18106033583787909</v>
      </c>
      <c r="W345">
        <f t="shared" si="140"/>
        <v>0.26641673308686464</v>
      </c>
      <c r="X345" t="s">
        <v>1175</v>
      </c>
      <c r="Y345">
        <f t="shared" si="141"/>
        <v>0.16941794090898188</v>
      </c>
      <c r="Z345">
        <f t="shared" si="142"/>
        <v>0.33345690379110532</v>
      </c>
      <c r="AA345" t="str">
        <f t="shared" si="143"/>
        <v>Moderate</v>
      </c>
      <c r="AB345">
        <f t="shared" si="144"/>
        <v>0.13696572635419491</v>
      </c>
      <c r="AC345">
        <f t="shared" si="145"/>
        <v>0.31588417049465212</v>
      </c>
      <c r="AD345" t="str">
        <f t="shared" si="146"/>
        <v>Moderate</v>
      </c>
      <c r="AE345">
        <f t="shared" si="147"/>
        <v>6.5054932966407644E-2</v>
      </c>
      <c r="AF345">
        <f t="shared" si="148"/>
        <v>0.33375990543161499</v>
      </c>
      <c r="AG345" t="str">
        <f t="shared" si="156"/>
        <v>Moderate</v>
      </c>
    </row>
    <row r="346" spans="1:33" x14ac:dyDescent="0.3">
      <c r="A346">
        <v>408786</v>
      </c>
      <c r="B346" t="s">
        <v>538</v>
      </c>
      <c r="C346" s="1" t="s">
        <v>882</v>
      </c>
      <c r="D346" t="s">
        <v>886</v>
      </c>
      <c r="E346" s="4">
        <v>6.9</v>
      </c>
      <c r="F346" s="3">
        <f t="shared" si="129"/>
        <v>0.8222222222222223</v>
      </c>
      <c r="G346">
        <v>82.526399999999995</v>
      </c>
      <c r="H346">
        <f t="shared" si="150"/>
        <v>0.79849246406191754</v>
      </c>
      <c r="I346">
        <v>165.8</v>
      </c>
      <c r="J346" s="3">
        <f t="shared" si="151"/>
        <v>0.76300046019328127</v>
      </c>
      <c r="K346">
        <v>0</v>
      </c>
      <c r="L346" s="3">
        <f t="shared" si="152"/>
        <v>0</v>
      </c>
      <c r="M346">
        <v>55956</v>
      </c>
      <c r="N346">
        <f t="shared" si="153"/>
        <v>0.26362057789574789</v>
      </c>
      <c r="O346" s="15">
        <v>0.53750267500000004</v>
      </c>
      <c r="P346">
        <f t="shared" si="134"/>
        <v>0.54795950514387326</v>
      </c>
      <c r="Q346">
        <v>0.37880000000000003</v>
      </c>
      <c r="R346">
        <f t="shared" si="135"/>
        <v>0.83972511638217695</v>
      </c>
      <c r="S346">
        <f t="shared" si="136"/>
        <v>0.26927082427682747</v>
      </c>
      <c r="T346" s="14">
        <f t="shared" si="137"/>
        <v>0.45984337258070518</v>
      </c>
      <c r="U346" t="str">
        <f t="shared" si="138"/>
        <v>Moderate</v>
      </c>
      <c r="V346">
        <f t="shared" si="139"/>
        <v>0.32588596968888284</v>
      </c>
      <c r="W346">
        <f t="shared" si="140"/>
        <v>0.47951681411381492</v>
      </c>
      <c r="X346" t="str">
        <f t="shared" si="155"/>
        <v>Moderate</v>
      </c>
      <c r="Y346">
        <f t="shared" si="141"/>
        <v>0.21265567886477199</v>
      </c>
      <c r="Z346">
        <f t="shared" si="142"/>
        <v>0.4185595921387037</v>
      </c>
      <c r="AA346" t="str">
        <f t="shared" si="143"/>
        <v>Moderate</v>
      </c>
      <c r="AB346">
        <f t="shared" si="144"/>
        <v>0.21366444735731013</v>
      </c>
      <c r="AC346">
        <f t="shared" si="145"/>
        <v>0.49277449559259784</v>
      </c>
      <c r="AD346" t="str">
        <f t="shared" si="146"/>
        <v>Moderate</v>
      </c>
      <c r="AE346">
        <f t="shared" si="147"/>
        <v>0.10230758373362726</v>
      </c>
      <c r="AF346">
        <f t="shared" si="148"/>
        <v>0.52488209448320378</v>
      </c>
      <c r="AG346" t="str">
        <f t="shared" si="156"/>
        <v>Moderate</v>
      </c>
    </row>
    <row r="347" spans="1:33" x14ac:dyDescent="0.3">
      <c r="A347">
        <v>408790</v>
      </c>
      <c r="B347" t="s">
        <v>509</v>
      </c>
      <c r="C347" s="1" t="s">
        <v>882</v>
      </c>
      <c r="D347" t="s">
        <v>887</v>
      </c>
      <c r="E347" s="4">
        <v>7</v>
      </c>
      <c r="F347" s="3">
        <f t="shared" si="129"/>
        <v>0.84444444444444444</v>
      </c>
      <c r="G347">
        <v>64.720079999999996</v>
      </c>
      <c r="H347">
        <f t="shared" si="150"/>
        <v>0.62620562818061165</v>
      </c>
      <c r="I347">
        <v>125.9</v>
      </c>
      <c r="J347" s="3">
        <f t="shared" si="151"/>
        <v>0.57938334100322142</v>
      </c>
      <c r="K347">
        <v>0</v>
      </c>
      <c r="L347" s="3">
        <f t="shared" si="152"/>
        <v>0</v>
      </c>
      <c r="M347">
        <v>36530</v>
      </c>
      <c r="N347">
        <f t="shared" si="153"/>
        <v>0.1717079956281671</v>
      </c>
      <c r="O347" s="15">
        <v>0.62694208299999998</v>
      </c>
      <c r="P347">
        <f t="shared" si="134"/>
        <v>0.63913890950319285</v>
      </c>
      <c r="Q347">
        <v>0.2913</v>
      </c>
      <c r="R347">
        <f t="shared" si="135"/>
        <v>0.64575482154732877</v>
      </c>
      <c r="S347">
        <f t="shared" si="136"/>
        <v>0.19875362888795556</v>
      </c>
      <c r="T347" s="14">
        <f t="shared" si="137"/>
        <v>0.33941864762344603</v>
      </c>
      <c r="U347" t="str">
        <f t="shared" si="138"/>
        <v>Moderate</v>
      </c>
      <c r="V347">
        <f t="shared" si="139"/>
        <v>0.19977701042947843</v>
      </c>
      <c r="W347">
        <f t="shared" si="140"/>
        <v>0.29395691893634118</v>
      </c>
      <c r="X347" t="s">
        <v>1175</v>
      </c>
      <c r="Y347">
        <f t="shared" si="141"/>
        <v>0.19773024734643266</v>
      </c>
      <c r="Z347">
        <f t="shared" si="142"/>
        <v>0.38918260788810743</v>
      </c>
      <c r="AA347" t="str">
        <f t="shared" si="143"/>
        <v>Moderate</v>
      </c>
      <c r="AB347">
        <f t="shared" si="144"/>
        <v>0.14783346899612362</v>
      </c>
      <c r="AC347">
        <f t="shared" si="145"/>
        <v>0.3409484545383652</v>
      </c>
      <c r="AD347" t="str">
        <f t="shared" si="146"/>
        <v>Moderate</v>
      </c>
      <c r="AE347">
        <f t="shared" si="147"/>
        <v>5.3121260405361158E-2</v>
      </c>
      <c r="AF347">
        <f t="shared" si="148"/>
        <v>0.27253501065717223</v>
      </c>
      <c r="AG347" t="s">
        <v>1175</v>
      </c>
    </row>
    <row r="348" spans="1:33" x14ac:dyDescent="0.3">
      <c r="A348">
        <v>453907</v>
      </c>
      <c r="B348" t="s">
        <v>34</v>
      </c>
      <c r="C348" s="1" t="s">
        <v>889</v>
      </c>
      <c r="D348" t="s">
        <v>888</v>
      </c>
      <c r="E348" s="4">
        <v>6.7</v>
      </c>
      <c r="F348" s="3">
        <f t="shared" si="129"/>
        <v>0.77777777777777779</v>
      </c>
      <c r="G348">
        <v>62.280720000000002</v>
      </c>
      <c r="H348">
        <f t="shared" si="150"/>
        <v>0.60260335573041302</v>
      </c>
      <c r="I348">
        <v>108.89999999999999</v>
      </c>
      <c r="J348" s="3">
        <f t="shared" si="151"/>
        <v>0.5011504832029452</v>
      </c>
      <c r="K348">
        <v>0</v>
      </c>
      <c r="L348" s="3">
        <f t="shared" si="152"/>
        <v>0</v>
      </c>
      <c r="M348">
        <v>31094</v>
      </c>
      <c r="N348">
        <f t="shared" si="153"/>
        <v>0.14598799165377355</v>
      </c>
      <c r="O348" s="15">
        <v>0.71091130800000002</v>
      </c>
      <c r="P348">
        <f t="shared" si="134"/>
        <v>0.72474171134657817</v>
      </c>
      <c r="Q348">
        <v>0.35920000000000002</v>
      </c>
      <c r="R348">
        <f t="shared" si="135"/>
        <v>0.79627577033917096</v>
      </c>
      <c r="S348">
        <f t="shared" si="136"/>
        <v>0.2018643762398549</v>
      </c>
      <c r="T348" s="14">
        <f t="shared" si="137"/>
        <v>0.3447309816179871</v>
      </c>
      <c r="U348" t="str">
        <f t="shared" si="138"/>
        <v>Moderate</v>
      </c>
      <c r="V348">
        <f t="shared" si="139"/>
        <v>0.2113581383907282</v>
      </c>
      <c r="W348">
        <f t="shared" si="140"/>
        <v>0.31099768196496919</v>
      </c>
      <c r="X348" t="str">
        <f t="shared" si="155"/>
        <v>Moderate</v>
      </c>
      <c r="Y348">
        <f t="shared" si="141"/>
        <v>0.19237061408898165</v>
      </c>
      <c r="Z348">
        <f t="shared" si="142"/>
        <v>0.37863350841318461</v>
      </c>
      <c r="AA348" t="str">
        <f t="shared" si="143"/>
        <v>Moderate</v>
      </c>
      <c r="AB348">
        <f t="shared" si="144"/>
        <v>0.14524906081317562</v>
      </c>
      <c r="AC348">
        <f t="shared" si="145"/>
        <v>0.33498803176092545</v>
      </c>
      <c r="AD348" t="str">
        <f t="shared" si="146"/>
        <v>Moderate</v>
      </c>
      <c r="AE348">
        <f t="shared" si="147"/>
        <v>3.8750080427789282E-2</v>
      </c>
      <c r="AF348">
        <f t="shared" si="148"/>
        <v>0.19880464999825212</v>
      </c>
      <c r="AG348" t="s">
        <v>1175</v>
      </c>
    </row>
    <row r="349" spans="1:33" x14ac:dyDescent="0.3">
      <c r="A349">
        <v>453915</v>
      </c>
      <c r="B349" t="s">
        <v>140</v>
      </c>
      <c r="C349" s="1" t="s">
        <v>889</v>
      </c>
      <c r="D349" t="s">
        <v>890</v>
      </c>
      <c r="E349" s="4">
        <v>6.7</v>
      </c>
      <c r="F349" s="3">
        <f t="shared" si="129"/>
        <v>0.77777777777777779</v>
      </c>
      <c r="G349">
        <v>62.280720000000002</v>
      </c>
      <c r="H349">
        <f t="shared" si="150"/>
        <v>0.60260335573041302</v>
      </c>
      <c r="I349">
        <v>109</v>
      </c>
      <c r="J349" s="3">
        <f t="shared" si="151"/>
        <v>0.50161067648412339</v>
      </c>
      <c r="K349">
        <v>0</v>
      </c>
      <c r="L349" s="3">
        <f t="shared" si="152"/>
        <v>0</v>
      </c>
      <c r="M349">
        <v>33936</v>
      </c>
      <c r="N349">
        <f t="shared" si="153"/>
        <v>0.15943468983170336</v>
      </c>
      <c r="O349" s="15">
        <v>0.86127333699999997</v>
      </c>
      <c r="P349">
        <f t="shared" si="134"/>
        <v>0.87802895406266079</v>
      </c>
      <c r="Q349">
        <v>0.31769999999999998</v>
      </c>
      <c r="R349">
        <f t="shared" si="135"/>
        <v>0.70427843050321437</v>
      </c>
      <c r="S349">
        <f t="shared" si="136"/>
        <v>0.21005520332616803</v>
      </c>
      <c r="T349" s="14">
        <f t="shared" si="137"/>
        <v>0.35871874862435027</v>
      </c>
      <c r="U349" t="str">
        <f t="shared" si="138"/>
        <v>Moderate</v>
      </c>
      <c r="V349">
        <f t="shared" si="139"/>
        <v>0.18698939328805009</v>
      </c>
      <c r="W349">
        <f t="shared" si="140"/>
        <v>0.27514089737634917</v>
      </c>
      <c r="X349" t="s">
        <v>1175</v>
      </c>
      <c r="Y349">
        <f t="shared" si="141"/>
        <v>0.23312101336428595</v>
      </c>
      <c r="Z349">
        <f t="shared" si="142"/>
        <v>0.45884049179220326</v>
      </c>
      <c r="AA349" t="str">
        <f t="shared" si="143"/>
        <v>Moderate</v>
      </c>
      <c r="AB349">
        <f t="shared" si="144"/>
        <v>0.15019833515062742</v>
      </c>
      <c r="AC349">
        <f t="shared" si="145"/>
        <v>0.3464025473499821</v>
      </c>
      <c r="AD349" t="str">
        <f t="shared" si="146"/>
        <v>Moderate</v>
      </c>
      <c r="AE349">
        <f t="shared" si="147"/>
        <v>4.2330695687211733E-2</v>
      </c>
      <c r="AF349">
        <f t="shared" si="148"/>
        <v>0.21717475286176488</v>
      </c>
      <c r="AG349" t="s">
        <v>1175</v>
      </c>
    </row>
    <row r="350" spans="1:33" x14ac:dyDescent="0.3">
      <c r="A350">
        <v>453929</v>
      </c>
      <c r="B350" t="s">
        <v>214</v>
      </c>
      <c r="C350" s="1" t="s">
        <v>889</v>
      </c>
      <c r="D350" t="s">
        <v>891</v>
      </c>
      <c r="E350" s="4">
        <v>6.7</v>
      </c>
      <c r="F350" s="3">
        <f t="shared" si="129"/>
        <v>0.77777777777777779</v>
      </c>
      <c r="G350">
        <v>63.055799999999998</v>
      </c>
      <c r="H350">
        <f t="shared" si="150"/>
        <v>0.61010272004347055</v>
      </c>
      <c r="I350">
        <v>124.3</v>
      </c>
      <c r="J350" s="3">
        <f t="shared" si="151"/>
        <v>0.57202024850437183</v>
      </c>
      <c r="K350">
        <v>0</v>
      </c>
      <c r="L350" s="3">
        <f t="shared" si="152"/>
        <v>0</v>
      </c>
      <c r="M350">
        <v>49714</v>
      </c>
      <c r="N350">
        <f t="shared" si="153"/>
        <v>0.23408704868158955</v>
      </c>
      <c r="O350" s="15">
        <v>0.59772746399999999</v>
      </c>
      <c r="P350">
        <f t="shared" si="134"/>
        <v>0.60935593554830636</v>
      </c>
      <c r="Q350">
        <v>0.3</v>
      </c>
      <c r="R350">
        <f t="shared" si="135"/>
        <v>0.66504101086233647</v>
      </c>
      <c r="S350">
        <f t="shared" si="136"/>
        <v>0.17764498459707073</v>
      </c>
      <c r="T350" s="14">
        <f t="shared" si="137"/>
        <v>0.30337066430629372</v>
      </c>
      <c r="U350" t="str">
        <f t="shared" si="138"/>
        <v>Moderate</v>
      </c>
      <c r="V350">
        <f t="shared" si="139"/>
        <v>0.18540722412087768</v>
      </c>
      <c r="W350">
        <f t="shared" si="140"/>
        <v>0.27281285386114068</v>
      </c>
      <c r="X350" t="s">
        <v>1175</v>
      </c>
      <c r="Y350">
        <f t="shared" si="141"/>
        <v>0.16988274507326379</v>
      </c>
      <c r="Z350">
        <f t="shared" si="142"/>
        <v>0.33437175470157604</v>
      </c>
      <c r="AA350" t="str">
        <f t="shared" si="143"/>
        <v>Moderate</v>
      </c>
      <c r="AB350">
        <f t="shared" si="144"/>
        <v>0.13869880116280836</v>
      </c>
      <c r="AC350">
        <f t="shared" si="145"/>
        <v>0.31988116239106518</v>
      </c>
      <c r="AD350" t="str">
        <f t="shared" si="146"/>
        <v>Moderate</v>
      </c>
      <c r="AE350">
        <f t="shared" si="147"/>
        <v>6.5261283424348671E-2</v>
      </c>
      <c r="AF350">
        <f t="shared" si="148"/>
        <v>0.33481857241023949</v>
      </c>
      <c r="AG350" t="str">
        <f t="shared" si="156"/>
        <v>Moderate</v>
      </c>
    </row>
    <row r="351" spans="1:33" x14ac:dyDescent="0.3">
      <c r="A351">
        <v>453936</v>
      </c>
      <c r="B351" t="s">
        <v>220</v>
      </c>
      <c r="C351" s="1" t="s">
        <v>889</v>
      </c>
      <c r="D351" t="s">
        <v>892</v>
      </c>
      <c r="E351" s="4">
        <v>6.7</v>
      </c>
      <c r="F351" s="3">
        <f t="shared" si="129"/>
        <v>0.77777777777777779</v>
      </c>
      <c r="G351">
        <v>50.439960000000006</v>
      </c>
      <c r="H351">
        <f t="shared" si="150"/>
        <v>0.48803689422517604</v>
      </c>
      <c r="I351">
        <v>151.29999999999998</v>
      </c>
      <c r="J351" s="3">
        <f t="shared" si="151"/>
        <v>0.69627243442245745</v>
      </c>
      <c r="K351">
        <v>0</v>
      </c>
      <c r="L351" s="3">
        <f t="shared" si="152"/>
        <v>0</v>
      </c>
      <c r="M351">
        <v>72151</v>
      </c>
      <c r="N351">
        <f t="shared" si="153"/>
        <v>0.34024593925801855</v>
      </c>
      <c r="O351" s="15">
        <v>0.62551191299999997</v>
      </c>
      <c r="P351">
        <f t="shared" si="134"/>
        <v>0.63768091630256063</v>
      </c>
      <c r="Q351">
        <v>0.374</v>
      </c>
      <c r="R351">
        <f t="shared" si="135"/>
        <v>0.82908446020837956</v>
      </c>
      <c r="S351">
        <f t="shared" si="136"/>
        <v>0.19078418623045335</v>
      </c>
      <c r="T351" s="14">
        <f t="shared" si="137"/>
        <v>0.32580894668738464</v>
      </c>
      <c r="U351" t="str">
        <f t="shared" si="138"/>
        <v>Moderate</v>
      </c>
      <c r="V351">
        <f t="shared" si="139"/>
        <v>0.21568030796231516</v>
      </c>
      <c r="W351">
        <f t="shared" si="140"/>
        <v>0.31735743100542552</v>
      </c>
      <c r="X351" t="str">
        <f t="shared" si="155"/>
        <v>Moderate</v>
      </c>
      <c r="Y351">
        <f t="shared" si="141"/>
        <v>0.1658880644985915</v>
      </c>
      <c r="Z351">
        <f t="shared" si="142"/>
        <v>0.32650922367966778</v>
      </c>
      <c r="AA351" t="str">
        <f t="shared" si="143"/>
        <v>Moderate</v>
      </c>
      <c r="AB351">
        <f t="shared" si="144"/>
        <v>0.15623390664408993</v>
      </c>
      <c r="AC351">
        <f t="shared" si="145"/>
        <v>0.36032239098840618</v>
      </c>
      <c r="AD351" t="str">
        <f t="shared" si="146"/>
        <v>Moderate</v>
      </c>
      <c r="AE351">
        <f t="shared" si="147"/>
        <v>8.8512512879149158E-2</v>
      </c>
      <c r="AF351">
        <f t="shared" si="148"/>
        <v>0.45410742246577929</v>
      </c>
      <c r="AG351" t="str">
        <f t="shared" si="156"/>
        <v>Moderate</v>
      </c>
    </row>
    <row r="352" spans="1:33" x14ac:dyDescent="0.3">
      <c r="A352">
        <v>453958</v>
      </c>
      <c r="B352" t="s">
        <v>307</v>
      </c>
      <c r="C352" s="1" t="s">
        <v>889</v>
      </c>
      <c r="D352" t="s">
        <v>893</v>
      </c>
      <c r="E352" s="4">
        <v>5.7</v>
      </c>
      <c r="F352" s="3">
        <f t="shared" si="129"/>
        <v>0.55555555555555558</v>
      </c>
      <c r="G352">
        <v>63.055799999999998</v>
      </c>
      <c r="H352">
        <f t="shared" si="150"/>
        <v>0.61010272004347055</v>
      </c>
      <c r="I352">
        <v>151.29999999999998</v>
      </c>
      <c r="J352" s="3">
        <f t="shared" si="151"/>
        <v>0.69627243442245745</v>
      </c>
      <c r="K352">
        <v>0</v>
      </c>
      <c r="L352" s="3">
        <f t="shared" si="152"/>
        <v>0</v>
      </c>
      <c r="M352">
        <v>42481</v>
      </c>
      <c r="N352">
        <f t="shared" si="153"/>
        <v>0.19986468136245997</v>
      </c>
      <c r="O352" s="15">
        <v>0.90690850300000003</v>
      </c>
      <c r="P352">
        <f t="shared" si="134"/>
        <v>0.92455192807115028</v>
      </c>
      <c r="Q352">
        <v>0.3639</v>
      </c>
      <c r="R352">
        <f t="shared" si="135"/>
        <v>0.80669474617601422</v>
      </c>
      <c r="S352">
        <f t="shared" si="136"/>
        <v>0.18432755258403727</v>
      </c>
      <c r="T352" s="14">
        <f t="shared" si="137"/>
        <v>0.31478272355511666</v>
      </c>
      <c r="U352" t="str">
        <f t="shared" si="138"/>
        <v>Moderate</v>
      </c>
      <c r="V352">
        <f t="shared" si="139"/>
        <v>0.17177918139214515</v>
      </c>
      <c r="W352">
        <f t="shared" si="140"/>
        <v>0.25276020894940215</v>
      </c>
      <c r="X352" t="s">
        <v>1175</v>
      </c>
      <c r="Y352">
        <f t="shared" si="141"/>
        <v>0.19687592377592938</v>
      </c>
      <c r="Z352">
        <f t="shared" si="142"/>
        <v>0.38750108531070321</v>
      </c>
      <c r="AA352" t="str">
        <f t="shared" si="143"/>
        <v>Moderate</v>
      </c>
      <c r="AB352">
        <f t="shared" si="144"/>
        <v>0.13408134438719174</v>
      </c>
      <c r="AC352">
        <f t="shared" si="145"/>
        <v>0.30923191792541938</v>
      </c>
      <c r="AD352" t="str">
        <f t="shared" si="146"/>
        <v>Moderate</v>
      </c>
      <c r="AE352">
        <f t="shared" si="147"/>
        <v>4.2559582191891723E-2</v>
      </c>
      <c r="AF352">
        <f t="shared" si="148"/>
        <v>0.21834903949420231</v>
      </c>
      <c r="AG352" t="s">
        <v>1175</v>
      </c>
    </row>
    <row r="353" spans="1:33" x14ac:dyDescent="0.3">
      <c r="A353">
        <v>453961</v>
      </c>
      <c r="B353" t="s">
        <v>333</v>
      </c>
      <c r="C353" s="1" t="s">
        <v>889</v>
      </c>
      <c r="D353" t="s">
        <v>894</v>
      </c>
      <c r="E353" s="4">
        <v>5.9</v>
      </c>
      <c r="F353" s="3">
        <f t="shared" si="129"/>
        <v>0.60000000000000009</v>
      </c>
      <c r="G353">
        <v>63.055799999999998</v>
      </c>
      <c r="H353">
        <f t="shared" si="150"/>
        <v>0.61010272004347055</v>
      </c>
      <c r="I353">
        <v>151.29999999999998</v>
      </c>
      <c r="J353" s="3">
        <f t="shared" si="151"/>
        <v>0.69627243442245745</v>
      </c>
      <c r="K353">
        <v>0</v>
      </c>
      <c r="L353" s="3">
        <f t="shared" si="152"/>
        <v>0</v>
      </c>
      <c r="M353">
        <v>49997</v>
      </c>
      <c r="N353">
        <f t="shared" si="153"/>
        <v>0.23542604079431093</v>
      </c>
      <c r="O353" s="15">
        <v>0.75408750599999996</v>
      </c>
      <c r="P353">
        <f t="shared" si="134"/>
        <v>0.768757879433693</v>
      </c>
      <c r="Q353">
        <v>0.36759999999999998</v>
      </c>
      <c r="R353">
        <f t="shared" si="135"/>
        <v>0.81489691864331626</v>
      </c>
      <c r="S353">
        <f t="shared" si="136"/>
        <v>0.18210236288251427</v>
      </c>
      <c r="T353" s="14">
        <f t="shared" si="137"/>
        <v>0.31098268788571848</v>
      </c>
      <c r="U353" t="str">
        <f t="shared" si="138"/>
        <v>Moderate</v>
      </c>
      <c r="V353">
        <f t="shared" si="139"/>
        <v>0.18740782975029616</v>
      </c>
      <c r="W353">
        <f t="shared" si="140"/>
        <v>0.27575659531350444</v>
      </c>
      <c r="X353" t="s">
        <v>1175</v>
      </c>
      <c r="Y353">
        <f t="shared" si="141"/>
        <v>0.17679689601473239</v>
      </c>
      <c r="Z353">
        <f t="shared" si="142"/>
        <v>0.34798053398974554</v>
      </c>
      <c r="AA353" t="str">
        <f t="shared" si="143"/>
        <v>Moderate</v>
      </c>
      <c r="AB353">
        <f t="shared" si="144"/>
        <v>0.13758173874418042</v>
      </c>
      <c r="AC353">
        <f t="shared" si="145"/>
        <v>0.31730488039051175</v>
      </c>
      <c r="AD353" t="str">
        <f t="shared" si="146"/>
        <v>Moderate</v>
      </c>
      <c r="AE353">
        <f t="shared" si="147"/>
        <v>5.4142655791877284E-2</v>
      </c>
      <c r="AF353">
        <f t="shared" si="148"/>
        <v>0.2777752101634563</v>
      </c>
      <c r="AG353" t="s">
        <v>1175</v>
      </c>
    </row>
    <row r="354" spans="1:33" x14ac:dyDescent="0.3">
      <c r="A354">
        <v>453985</v>
      </c>
      <c r="B354" t="s">
        <v>462</v>
      </c>
      <c r="C354" s="1" t="s">
        <v>889</v>
      </c>
      <c r="D354" t="s">
        <v>895</v>
      </c>
      <c r="E354" s="4">
        <v>6.7</v>
      </c>
      <c r="F354" s="3">
        <f t="shared" si="129"/>
        <v>0.77777777777777779</v>
      </c>
      <c r="G354">
        <v>52.992719999999998</v>
      </c>
      <c r="H354">
        <f t="shared" si="150"/>
        <v>0.51273637975415454</v>
      </c>
      <c r="I354">
        <v>151.29999999999998</v>
      </c>
      <c r="J354" s="3">
        <f t="shared" si="151"/>
        <v>0.69627243442245745</v>
      </c>
      <c r="K354">
        <v>0</v>
      </c>
      <c r="L354" s="3">
        <f t="shared" si="152"/>
        <v>0</v>
      </c>
      <c r="M354">
        <v>35824</v>
      </c>
      <c r="N354">
        <f t="shared" si="153"/>
        <v>0.16836761247770318</v>
      </c>
      <c r="O354" s="15">
        <v>0.87816459199999997</v>
      </c>
      <c r="P354">
        <f t="shared" si="134"/>
        <v>0.89524881949134716</v>
      </c>
      <c r="Q354">
        <v>0.33650000000000002</v>
      </c>
      <c r="R354">
        <f t="shared" si="135"/>
        <v>0.74595433385058751</v>
      </c>
      <c r="S354">
        <f t="shared" si="136"/>
        <v>0.21977928323014959</v>
      </c>
      <c r="T354" s="14">
        <f t="shared" si="137"/>
        <v>0.37532490605080099</v>
      </c>
      <c r="U354" t="str">
        <f t="shared" si="138"/>
        <v>Moderate</v>
      </c>
      <c r="V354">
        <f t="shared" si="139"/>
        <v>0.19978673387541174</v>
      </c>
      <c r="W354">
        <f t="shared" si="140"/>
        <v>0.29397122625930017</v>
      </c>
      <c r="X354" t="s">
        <v>1175</v>
      </c>
      <c r="Y354">
        <f t="shared" si="141"/>
        <v>0.23977183258488743</v>
      </c>
      <c r="Z354">
        <f t="shared" si="142"/>
        <v>0.47193096835612047</v>
      </c>
      <c r="AA354" t="str">
        <f t="shared" si="143"/>
        <v>Moderate</v>
      </c>
      <c r="AB354">
        <f t="shared" si="144"/>
        <v>0.15763959580103487</v>
      </c>
      <c r="AC354">
        <f t="shared" si="145"/>
        <v>0.36356433307957287</v>
      </c>
      <c r="AD354" t="str">
        <f t="shared" si="146"/>
        <v>Moderate</v>
      </c>
      <c r="AE354">
        <f t="shared" si="147"/>
        <v>4.5093397626212943E-2</v>
      </c>
      <c r="AF354">
        <f t="shared" si="148"/>
        <v>0.23134860710849689</v>
      </c>
      <c r="AG354" t="s">
        <v>1175</v>
      </c>
    </row>
    <row r="355" spans="1:33" x14ac:dyDescent="0.3">
      <c r="A355">
        <v>456113</v>
      </c>
      <c r="B355" t="s">
        <v>65</v>
      </c>
      <c r="C355" s="1" t="s">
        <v>897</v>
      </c>
      <c r="D355" t="s">
        <v>896</v>
      </c>
      <c r="E355" s="4">
        <v>4.4000000000000004</v>
      </c>
      <c r="F355" s="3">
        <f t="shared" si="129"/>
        <v>0.26666666666666672</v>
      </c>
      <c r="G355">
        <v>59.275079999999996</v>
      </c>
      <c r="H355">
        <f t="shared" si="150"/>
        <v>0.57352198431856094</v>
      </c>
      <c r="I355">
        <v>130.6</v>
      </c>
      <c r="J355" s="3">
        <f t="shared" si="151"/>
        <v>0.60101242521859188</v>
      </c>
      <c r="K355">
        <v>0</v>
      </c>
      <c r="L355" s="3">
        <f t="shared" si="152"/>
        <v>0</v>
      </c>
      <c r="M355">
        <v>67704</v>
      </c>
      <c r="N355">
        <f t="shared" si="153"/>
        <v>0.31920531054681034</v>
      </c>
      <c r="O355" s="15">
        <v>0.83858760399999999</v>
      </c>
      <c r="P355">
        <f t="shared" si="134"/>
        <v>0.85490188213040297</v>
      </c>
      <c r="Q355">
        <v>0.3543</v>
      </c>
      <c r="R355">
        <f t="shared" si="135"/>
        <v>0.78541343382841944</v>
      </c>
      <c r="S355">
        <f t="shared" si="136"/>
        <v>7.6463031360034017E-2</v>
      </c>
      <c r="T355" s="14">
        <f t="shared" si="137"/>
        <v>0.13057864071524702</v>
      </c>
      <c r="U355" t="str">
        <f t="shared" si="138"/>
        <v>No Impact</v>
      </c>
      <c r="V355">
        <f t="shared" si="139"/>
        <v>7.322383865727683E-2</v>
      </c>
      <c r="W355">
        <f t="shared" si="140"/>
        <v>0.10774339829248313</v>
      </c>
      <c r="X355" t="s">
        <v>1176</v>
      </c>
      <c r="Y355">
        <f t="shared" si="141"/>
        <v>7.9702224062791205E-2</v>
      </c>
      <c r="Z355">
        <f t="shared" si="142"/>
        <v>0.15687392208078868</v>
      </c>
      <c r="AA355" t="str">
        <f t="shared" si="143"/>
        <v>Low</v>
      </c>
      <c r="AB355">
        <f t="shared" si="144"/>
        <v>5.9954803251226534E-2</v>
      </c>
      <c r="AC355">
        <f t="shared" si="145"/>
        <v>0.13827381342984948</v>
      </c>
      <c r="AD355" t="str">
        <f t="shared" si="146"/>
        <v>No Impact</v>
      </c>
      <c r="AE355">
        <f t="shared" si="147"/>
        <v>2.9759407149549368E-2</v>
      </c>
      <c r="AF355">
        <f t="shared" si="148"/>
        <v>0.15267861272047362</v>
      </c>
      <c r="AG355" t="s">
        <v>1175</v>
      </c>
    </row>
    <row r="356" spans="1:33" x14ac:dyDescent="0.3">
      <c r="A356">
        <v>456116</v>
      </c>
      <c r="B356" t="s">
        <v>146</v>
      </c>
      <c r="C356" s="1" t="s">
        <v>897</v>
      </c>
      <c r="D356" t="s">
        <v>898</v>
      </c>
      <c r="E356" s="4">
        <v>5.3</v>
      </c>
      <c r="F356" s="3">
        <f t="shared" si="129"/>
        <v>0.46666666666666656</v>
      </c>
      <c r="G356">
        <v>57.887639999999998</v>
      </c>
      <c r="H356">
        <f t="shared" si="150"/>
        <v>0.56009766938009198</v>
      </c>
      <c r="I356">
        <v>140.4</v>
      </c>
      <c r="J356" s="3">
        <f t="shared" si="151"/>
        <v>0.64611136677404513</v>
      </c>
      <c r="K356">
        <v>0</v>
      </c>
      <c r="L356" s="3">
        <f t="shared" si="152"/>
        <v>0</v>
      </c>
      <c r="M356">
        <v>30622</v>
      </c>
      <c r="N356">
        <f t="shared" si="153"/>
        <v>0.14375476099227358</v>
      </c>
      <c r="O356" s="15">
        <v>0.58664485499999997</v>
      </c>
      <c r="P356">
        <f t="shared" si="134"/>
        <v>0.59805772025413495</v>
      </c>
      <c r="Q356">
        <v>0.35959999999999998</v>
      </c>
      <c r="R356">
        <f t="shared" si="135"/>
        <v>0.79716249168698727</v>
      </c>
      <c r="S356">
        <f t="shared" si="136"/>
        <v>0.11500471808226295</v>
      </c>
      <c r="T356" s="14">
        <f t="shared" si="137"/>
        <v>0.19639765120365488</v>
      </c>
      <c r="U356" t="str">
        <f t="shared" si="138"/>
        <v>Low</v>
      </c>
      <c r="V356">
        <f t="shared" si="139"/>
        <v>0.13141645575026262</v>
      </c>
      <c r="W356">
        <f t="shared" si="140"/>
        <v>0.19336947903481586</v>
      </c>
      <c r="X356" t="s">
        <v>1176</v>
      </c>
      <c r="Y356">
        <f t="shared" si="141"/>
        <v>9.8592980414263287E-2</v>
      </c>
      <c r="Z356">
        <f t="shared" si="142"/>
        <v>0.19405565790780036</v>
      </c>
      <c r="AA356" t="str">
        <f t="shared" si="143"/>
        <v>Low</v>
      </c>
      <c r="AB356">
        <f t="shared" si="144"/>
        <v>8.3868210247779587E-2</v>
      </c>
      <c r="AC356">
        <f t="shared" si="145"/>
        <v>0.19342532420468952</v>
      </c>
      <c r="AD356" t="str">
        <f t="shared" si="146"/>
        <v>Low</v>
      </c>
      <c r="AE356">
        <f t="shared" si="147"/>
        <v>2.3698733174024829E-2</v>
      </c>
      <c r="AF356">
        <f t="shared" si="148"/>
        <v>0.12158473742638275</v>
      </c>
      <c r="AG356" t="s">
        <v>1175</v>
      </c>
    </row>
    <row r="357" spans="1:33" x14ac:dyDescent="0.3">
      <c r="A357">
        <v>456120</v>
      </c>
      <c r="B357" t="s">
        <v>169</v>
      </c>
      <c r="C357" s="1" t="s">
        <v>897</v>
      </c>
      <c r="D357" t="s">
        <v>899</v>
      </c>
      <c r="E357" s="4">
        <v>5.4</v>
      </c>
      <c r="F357" s="3">
        <f t="shared" si="129"/>
        <v>0.48888888888888893</v>
      </c>
      <c r="G357">
        <v>59.275079999999996</v>
      </c>
      <c r="H357">
        <f t="shared" si="150"/>
        <v>0.57352198431856094</v>
      </c>
      <c r="I357">
        <v>130.1</v>
      </c>
      <c r="J357" s="3">
        <f t="shared" si="151"/>
        <v>0.59871145881270138</v>
      </c>
      <c r="K357">
        <v>0</v>
      </c>
      <c r="L357" s="3">
        <f t="shared" si="152"/>
        <v>0</v>
      </c>
      <c r="M357">
        <v>47760</v>
      </c>
      <c r="N357">
        <f t="shared" si="153"/>
        <v>0.22484185225665118</v>
      </c>
      <c r="O357" s="15">
        <v>0.69734470999999998</v>
      </c>
      <c r="P357">
        <f t="shared" si="134"/>
        <v>0.71091118236071615</v>
      </c>
      <c r="Q357">
        <v>0.38269999999999998</v>
      </c>
      <c r="R357">
        <f t="shared" si="135"/>
        <v>0.84837064952338725</v>
      </c>
      <c r="S357">
        <f t="shared" si="136"/>
        <v>0.13308165302351707</v>
      </c>
      <c r="T357" s="14">
        <f t="shared" si="137"/>
        <v>0.22726827653647017</v>
      </c>
      <c r="U357" t="str">
        <f t="shared" si="138"/>
        <v>Low</v>
      </c>
      <c r="V357">
        <f t="shared" si="139"/>
        <v>0.14481354955413722</v>
      </c>
      <c r="W357">
        <f t="shared" si="140"/>
        <v>0.21308229988853616</v>
      </c>
      <c r="X357" t="s">
        <v>1176</v>
      </c>
      <c r="Y357">
        <f t="shared" si="141"/>
        <v>0.12134975649289693</v>
      </c>
      <c r="Z357">
        <f t="shared" si="142"/>
        <v>0.23884668801201736</v>
      </c>
      <c r="AA357" t="str">
        <f t="shared" si="143"/>
        <v>Low</v>
      </c>
      <c r="AB357">
        <f t="shared" si="144"/>
        <v>0.10052253776288768</v>
      </c>
      <c r="AC357">
        <f t="shared" si="145"/>
        <v>0.23183521383395045</v>
      </c>
      <c r="AD357" t="str">
        <f t="shared" si="146"/>
        <v>Low</v>
      </c>
      <c r="AE357">
        <f t="shared" si="147"/>
        <v>3.8379624203058856E-2</v>
      </c>
      <c r="AF357">
        <f t="shared" si="148"/>
        <v>0.19690404955344917</v>
      </c>
      <c r="AG357" t="s">
        <v>1175</v>
      </c>
    </row>
    <row r="358" spans="1:33" x14ac:dyDescent="0.3">
      <c r="A358">
        <v>456122</v>
      </c>
      <c r="B358" t="s">
        <v>173</v>
      </c>
      <c r="C358" s="1" t="s">
        <v>897</v>
      </c>
      <c r="D358" t="s">
        <v>900</v>
      </c>
      <c r="E358" s="4">
        <v>5.3</v>
      </c>
      <c r="F358" s="3">
        <f t="shared" si="129"/>
        <v>0.46666666666666656</v>
      </c>
      <c r="G358">
        <v>62.203680000000006</v>
      </c>
      <c r="H358">
        <f t="shared" si="150"/>
        <v>0.60185794748006738</v>
      </c>
      <c r="I358">
        <v>131.39999999999998</v>
      </c>
      <c r="J358" s="3">
        <f t="shared" si="151"/>
        <v>0.60469397146801651</v>
      </c>
      <c r="K358">
        <v>0</v>
      </c>
      <c r="L358" s="3">
        <f t="shared" si="152"/>
        <v>0</v>
      </c>
      <c r="M358">
        <v>46008</v>
      </c>
      <c r="N358">
        <f t="shared" si="153"/>
        <v>0.21655240285210051</v>
      </c>
      <c r="O358" s="15">
        <v>0.76704802999999999</v>
      </c>
      <c r="P358">
        <f t="shared" si="134"/>
        <v>0.78197054357056506</v>
      </c>
      <c r="Q358">
        <v>0.37209999999999999</v>
      </c>
      <c r="R358">
        <f t="shared" si="135"/>
        <v>0.82487253380625136</v>
      </c>
      <c r="S358">
        <f t="shared" si="136"/>
        <v>0.13560544083006704</v>
      </c>
      <c r="T358" s="14">
        <f t="shared" si="137"/>
        <v>0.23157823881982872</v>
      </c>
      <c r="U358" t="str">
        <f t="shared" si="138"/>
        <v>Low</v>
      </c>
      <c r="V358">
        <f t="shared" si="139"/>
        <v>0.1392260453435426</v>
      </c>
      <c r="W358">
        <f t="shared" si="140"/>
        <v>0.20486070562821948</v>
      </c>
      <c r="X358" t="s">
        <v>1176</v>
      </c>
      <c r="Y358">
        <f t="shared" si="141"/>
        <v>0.13198483631659144</v>
      </c>
      <c r="Z358">
        <f t="shared" si="142"/>
        <v>0.25977918648622361</v>
      </c>
      <c r="AA358" t="str">
        <f t="shared" si="143"/>
        <v>Low</v>
      </c>
      <c r="AB358">
        <f t="shared" si="144"/>
        <v>0.10111733982782178</v>
      </c>
      <c r="AC358">
        <f t="shared" si="145"/>
        <v>0.23320700633921074</v>
      </c>
      <c r="AD358" t="str">
        <f t="shared" si="146"/>
        <v>Low</v>
      </c>
      <c r="AE358">
        <f t="shared" si="147"/>
        <v>3.6550780178869806E-2</v>
      </c>
      <c r="AF358">
        <f t="shared" si="148"/>
        <v>0.18752128977291571</v>
      </c>
      <c r="AG358" t="s">
        <v>1175</v>
      </c>
    </row>
    <row r="359" spans="1:33" x14ac:dyDescent="0.3">
      <c r="A359">
        <v>456123</v>
      </c>
      <c r="B359" t="s">
        <v>177</v>
      </c>
      <c r="C359" s="1" t="s">
        <v>897</v>
      </c>
      <c r="D359" t="s">
        <v>901</v>
      </c>
      <c r="E359" s="4">
        <v>5.4</v>
      </c>
      <c r="F359" s="3">
        <f t="shared" si="129"/>
        <v>0.48888888888888893</v>
      </c>
      <c r="G359">
        <v>56.218680000000006</v>
      </c>
      <c r="H359">
        <f t="shared" si="150"/>
        <v>0.54394947943335048</v>
      </c>
      <c r="I359">
        <v>137.6</v>
      </c>
      <c r="J359" s="3">
        <f t="shared" si="151"/>
        <v>0.63322595490105849</v>
      </c>
      <c r="K359">
        <v>0</v>
      </c>
      <c r="L359" s="3">
        <f t="shared" si="152"/>
        <v>0</v>
      </c>
      <c r="M359">
        <v>52514</v>
      </c>
      <c r="N359">
        <f t="shared" si="153"/>
        <v>0.24733502718201303</v>
      </c>
      <c r="O359" s="15">
        <v>0.448382471</v>
      </c>
      <c r="P359">
        <f t="shared" si="134"/>
        <v>0.45710551472947936</v>
      </c>
      <c r="Q359">
        <v>0.39029999999999998</v>
      </c>
      <c r="R359">
        <f t="shared" si="135"/>
        <v>0.86521835513189971</v>
      </c>
      <c r="S359">
        <f t="shared" si="136"/>
        <v>0.11126546720609057</v>
      </c>
      <c r="T359" s="14">
        <f t="shared" si="137"/>
        <v>0.19001199936616972</v>
      </c>
      <c r="U359" t="str">
        <f t="shared" si="138"/>
        <v>Low</v>
      </c>
      <c r="V359">
        <f t="shared" si="139"/>
        <v>0.1456056669825192</v>
      </c>
      <c r="W359">
        <f t="shared" si="140"/>
        <v>0.21424784139995617</v>
      </c>
      <c r="X359" t="s">
        <v>1176</v>
      </c>
      <c r="Y359">
        <f t="shared" si="141"/>
        <v>7.6925267429661937E-2</v>
      </c>
      <c r="Z359">
        <f t="shared" si="142"/>
        <v>0.15140817650580887</v>
      </c>
      <c r="AA359" t="str">
        <f t="shared" si="143"/>
        <v>Low</v>
      </c>
      <c r="AB359">
        <f t="shared" si="144"/>
        <v>8.86077746747536E-2</v>
      </c>
      <c r="AC359">
        <f t="shared" si="145"/>
        <v>0.20435618564990243</v>
      </c>
      <c r="AD359" t="str">
        <f t="shared" si="146"/>
        <v>Low</v>
      </c>
      <c r="AE359">
        <f t="shared" si="147"/>
        <v>4.1623460005637998E-2</v>
      </c>
      <c r="AF359">
        <f t="shared" si="148"/>
        <v>0.21354632833749704</v>
      </c>
      <c r="AG359" t="s">
        <v>1175</v>
      </c>
    </row>
    <row r="360" spans="1:33" x14ac:dyDescent="0.3">
      <c r="A360">
        <v>456124</v>
      </c>
      <c r="B360" t="s">
        <v>201</v>
      </c>
      <c r="C360" s="1" t="s">
        <v>897</v>
      </c>
      <c r="D360" t="s">
        <v>902</v>
      </c>
      <c r="E360" s="4">
        <v>5.4</v>
      </c>
      <c r="F360" s="3">
        <f t="shared" si="129"/>
        <v>0.48888888888888893</v>
      </c>
      <c r="G360">
        <v>57.887639999999998</v>
      </c>
      <c r="H360">
        <f t="shared" si="150"/>
        <v>0.56009766938009198</v>
      </c>
      <c r="I360">
        <v>135.5</v>
      </c>
      <c r="J360" s="3">
        <f t="shared" si="151"/>
        <v>0.6235618959963185</v>
      </c>
      <c r="K360">
        <v>0</v>
      </c>
      <c r="L360" s="3">
        <f t="shared" si="152"/>
        <v>0</v>
      </c>
      <c r="M360">
        <v>39702</v>
      </c>
      <c r="N360">
        <f t="shared" si="153"/>
        <v>0.18671606270078966</v>
      </c>
      <c r="O360" s="15">
        <v>0.94972968199999996</v>
      </c>
      <c r="P360">
        <f t="shared" si="134"/>
        <v>0.96820617045146429</v>
      </c>
      <c r="Q360">
        <v>0.37230000000000002</v>
      </c>
      <c r="R360">
        <f t="shared" si="135"/>
        <v>0.82531589448015963</v>
      </c>
      <c r="S360">
        <f t="shared" si="136"/>
        <v>0.15289839040275266</v>
      </c>
      <c r="T360" s="14">
        <f t="shared" si="137"/>
        <v>0.26111002442908809</v>
      </c>
      <c r="U360" t="str">
        <f t="shared" si="138"/>
        <v>Low</v>
      </c>
      <c r="V360">
        <f t="shared" si="139"/>
        <v>0.14071694383602168</v>
      </c>
      <c r="W360">
        <f t="shared" si="140"/>
        <v>0.20705445117658772</v>
      </c>
      <c r="X360" t="s">
        <v>1176</v>
      </c>
      <c r="Y360">
        <f t="shared" si="141"/>
        <v>0.16507983696948367</v>
      </c>
      <c r="Z360">
        <f t="shared" si="142"/>
        <v>0.32491842964705803</v>
      </c>
      <c r="AA360" t="str">
        <f t="shared" si="143"/>
        <v>Moderate</v>
      </c>
      <c r="AB360">
        <f t="shared" si="144"/>
        <v>0.10991720870404861</v>
      </c>
      <c r="AC360">
        <f t="shared" si="145"/>
        <v>0.25350215136870652</v>
      </c>
      <c r="AD360" t="str">
        <f t="shared" si="146"/>
        <v>Low</v>
      </c>
      <c r="AE360">
        <f t="shared" si="147"/>
        <v>3.1835220773131188E-2</v>
      </c>
      <c r="AF360">
        <f t="shared" si="148"/>
        <v>0.16332843321999022</v>
      </c>
      <c r="AG360" t="s">
        <v>1175</v>
      </c>
    </row>
    <row r="361" spans="1:33" x14ac:dyDescent="0.3">
      <c r="A361">
        <v>456131</v>
      </c>
      <c r="B361" t="s">
        <v>213</v>
      </c>
      <c r="C361" s="1" t="s">
        <v>897</v>
      </c>
      <c r="D361" t="s">
        <v>903</v>
      </c>
      <c r="E361" s="4">
        <v>5.4</v>
      </c>
      <c r="F361" s="3">
        <f t="shared" si="129"/>
        <v>0.48888888888888893</v>
      </c>
      <c r="G361">
        <v>61.353360000000002</v>
      </c>
      <c r="H361">
        <f t="shared" si="150"/>
        <v>0.59363059099727966</v>
      </c>
      <c r="I361">
        <v>140.5</v>
      </c>
      <c r="J361" s="3">
        <f t="shared" si="151"/>
        <v>0.6465715600552232</v>
      </c>
      <c r="K361">
        <v>0</v>
      </c>
      <c r="L361" s="3">
        <f t="shared" si="152"/>
        <v>0</v>
      </c>
      <c r="M361">
        <v>55685</v>
      </c>
      <c r="N361">
        <f t="shared" si="153"/>
        <v>0.26233836283374262</v>
      </c>
      <c r="O361" s="15">
        <v>0.76896176900000002</v>
      </c>
      <c r="P361">
        <f t="shared" si="134"/>
        <v>0.78392151335023086</v>
      </c>
      <c r="Q361">
        <v>0.40260000000000001</v>
      </c>
      <c r="R361">
        <f t="shared" si="135"/>
        <v>0.89248503657725564</v>
      </c>
      <c r="S361">
        <f t="shared" si="136"/>
        <v>0.15029662854524944</v>
      </c>
      <c r="T361" s="14">
        <f t="shared" si="137"/>
        <v>0.25666690308306311</v>
      </c>
      <c r="U361" t="str">
        <f t="shared" si="138"/>
        <v>Low</v>
      </c>
      <c r="V361">
        <f t="shared" si="139"/>
        <v>0.16002978756012057</v>
      </c>
      <c r="W361">
        <f t="shared" si="140"/>
        <v>0.23547185528545139</v>
      </c>
      <c r="X361" t="s">
        <v>1175</v>
      </c>
      <c r="Y361">
        <f t="shared" si="141"/>
        <v>0.14056346953037835</v>
      </c>
      <c r="Z361">
        <f t="shared" si="142"/>
        <v>0.27666408341556209</v>
      </c>
      <c r="AA361" t="str">
        <f t="shared" si="143"/>
        <v>Low</v>
      </c>
      <c r="AB361">
        <f t="shared" si="144"/>
        <v>0.11464325330650657</v>
      </c>
      <c r="AC361">
        <f t="shared" si="145"/>
        <v>0.2644018320312071</v>
      </c>
      <c r="AD361" t="str">
        <f t="shared" si="146"/>
        <v>Low</v>
      </c>
      <c r="AE361">
        <f t="shared" si="147"/>
        <v>4.703939086100252E-2</v>
      </c>
      <c r="AF361">
        <f t="shared" si="148"/>
        <v>0.24133239293991585</v>
      </c>
      <c r="AG361" t="s">
        <v>1175</v>
      </c>
    </row>
    <row r="362" spans="1:33" x14ac:dyDescent="0.3">
      <c r="A362">
        <v>456152</v>
      </c>
      <c r="B362" t="s">
        <v>355</v>
      </c>
      <c r="C362" s="1" t="s">
        <v>897</v>
      </c>
      <c r="D362" t="s">
        <v>904</v>
      </c>
      <c r="E362" s="4">
        <v>5.3</v>
      </c>
      <c r="F362" s="3">
        <f t="shared" si="129"/>
        <v>0.46666666666666656</v>
      </c>
      <c r="G362">
        <v>56.218680000000006</v>
      </c>
      <c r="H362">
        <f t="shared" si="150"/>
        <v>0.54394947943335048</v>
      </c>
      <c r="I362">
        <v>132.30000000000001</v>
      </c>
      <c r="J362" s="3">
        <f t="shared" si="151"/>
        <v>0.60883571099861955</v>
      </c>
      <c r="K362">
        <v>0</v>
      </c>
      <c r="L362" s="3">
        <f t="shared" si="152"/>
        <v>0</v>
      </c>
      <c r="M362">
        <v>87952</v>
      </c>
      <c r="N362">
        <f t="shared" si="153"/>
        <v>0.41500712078844398</v>
      </c>
      <c r="O362" s="15">
        <v>0.663446282</v>
      </c>
      <c r="P362">
        <f t="shared" si="134"/>
        <v>0.67635327837998671</v>
      </c>
      <c r="Q362">
        <v>0.35249999999999998</v>
      </c>
      <c r="R362">
        <f t="shared" si="135"/>
        <v>0.78142318776324537</v>
      </c>
      <c r="S362">
        <f t="shared" si="136"/>
        <v>0.11542812731421857</v>
      </c>
      <c r="T362" s="14">
        <f t="shared" si="137"/>
        <v>0.19712072222231122</v>
      </c>
      <c r="U362" t="str">
        <f t="shared" si="138"/>
        <v>Low</v>
      </c>
      <c r="V362">
        <f t="shared" si="139"/>
        <v>0.12374766268802712</v>
      </c>
      <c r="W362">
        <f t="shared" si="140"/>
        <v>0.18208542399920949</v>
      </c>
      <c r="X362" t="s">
        <v>1176</v>
      </c>
      <c r="Y362">
        <f t="shared" si="141"/>
        <v>0.10710859194041009</v>
      </c>
      <c r="Z362">
        <f t="shared" si="142"/>
        <v>0.21081651238496757</v>
      </c>
      <c r="AA362" t="str">
        <f t="shared" si="143"/>
        <v>Low</v>
      </c>
      <c r="AB362">
        <f t="shared" si="144"/>
        <v>9.8446720545635247E-2</v>
      </c>
      <c r="AC362">
        <f t="shared" si="145"/>
        <v>0.22704775483070605</v>
      </c>
      <c r="AD362" t="str">
        <f t="shared" si="146"/>
        <v>Low</v>
      </c>
      <c r="AE362">
        <f t="shared" si="147"/>
        <v>6.572131720772216E-2</v>
      </c>
      <c r="AF362">
        <f t="shared" si="148"/>
        <v>0.33717874442230455</v>
      </c>
      <c r="AG362" t="str">
        <f t="shared" si="156"/>
        <v>Moderate</v>
      </c>
    </row>
    <row r="363" spans="1:33" x14ac:dyDescent="0.3">
      <c r="A363">
        <v>456165</v>
      </c>
      <c r="B363" t="s">
        <v>351</v>
      </c>
      <c r="C363" s="1" t="s">
        <v>897</v>
      </c>
      <c r="D363" t="s">
        <v>905</v>
      </c>
      <c r="E363" s="4">
        <v>5.3</v>
      </c>
      <c r="F363" s="3">
        <f t="shared" si="129"/>
        <v>0.46666666666666656</v>
      </c>
      <c r="G363">
        <v>57.000600000000006</v>
      </c>
      <c r="H363">
        <f t="shared" si="150"/>
        <v>0.55151502485274706</v>
      </c>
      <c r="I363">
        <v>132.30000000000001</v>
      </c>
      <c r="J363" s="3">
        <f t="shared" si="151"/>
        <v>0.60883571099861955</v>
      </c>
      <c r="K363">
        <v>0</v>
      </c>
      <c r="L363" s="3">
        <f t="shared" si="152"/>
        <v>0</v>
      </c>
      <c r="M363">
        <v>36359</v>
      </c>
      <c r="N363">
        <f t="shared" si="153"/>
        <v>0.17089892265546267</v>
      </c>
      <c r="O363" s="15">
        <v>0.90594151300000003</v>
      </c>
      <c r="P363">
        <f t="shared" si="134"/>
        <v>0.92356612579234465</v>
      </c>
      <c r="Q363">
        <v>0.37969999999999998</v>
      </c>
      <c r="R363">
        <f t="shared" si="135"/>
        <v>0.84172023941476382</v>
      </c>
      <c r="S363">
        <f t="shared" si="136"/>
        <v>0.14102355336700709</v>
      </c>
      <c r="T363" s="14">
        <f t="shared" si="137"/>
        <v>0.24083094248239453</v>
      </c>
      <c r="U363" t="str">
        <f t="shared" si="138"/>
        <v>Low</v>
      </c>
      <c r="V363">
        <f t="shared" si="139"/>
        <v>0.13448512540827495</v>
      </c>
      <c r="W363">
        <f t="shared" si="140"/>
        <v>0.19788479676814016</v>
      </c>
      <c r="X363" t="s">
        <v>1176</v>
      </c>
      <c r="Y363">
        <f t="shared" si="141"/>
        <v>0.14756198132573919</v>
      </c>
      <c r="Z363">
        <f t="shared" si="142"/>
        <v>0.29043890597511807</v>
      </c>
      <c r="AA363" t="str">
        <f t="shared" si="143"/>
        <v>Low</v>
      </c>
      <c r="AB363">
        <f t="shared" si="144"/>
        <v>0.10089521808896483</v>
      </c>
      <c r="AC363">
        <f t="shared" si="145"/>
        <v>0.23269472678508191</v>
      </c>
      <c r="AD363" t="str">
        <f t="shared" si="146"/>
        <v>Low</v>
      </c>
      <c r="AE363">
        <f t="shared" si="147"/>
        <v>2.7305227995276658E-2</v>
      </c>
      <c r="AF363">
        <f t="shared" si="148"/>
        <v>0.14008761362029373</v>
      </c>
      <c r="AG363" t="s">
        <v>1175</v>
      </c>
    </row>
    <row r="364" spans="1:33" x14ac:dyDescent="0.3">
      <c r="A364">
        <v>456172</v>
      </c>
      <c r="B364" t="s">
        <v>366</v>
      </c>
      <c r="C364" s="1" t="s">
        <v>897</v>
      </c>
      <c r="D364" t="s">
        <v>906</v>
      </c>
      <c r="E364" s="4">
        <v>5.4</v>
      </c>
      <c r="F364" s="3">
        <f t="shared" si="129"/>
        <v>0.48888888888888893</v>
      </c>
      <c r="G364">
        <v>61.589880000000001</v>
      </c>
      <c r="H364">
        <f t="shared" si="150"/>
        <v>0.59591906399016337</v>
      </c>
      <c r="I364">
        <v>140.5</v>
      </c>
      <c r="J364" s="3">
        <f t="shared" si="151"/>
        <v>0.6465715600552232</v>
      </c>
      <c r="K364">
        <v>0</v>
      </c>
      <c r="L364" s="3">
        <f t="shared" si="152"/>
        <v>0</v>
      </c>
      <c r="M364">
        <v>50033</v>
      </c>
      <c r="N364">
        <f t="shared" si="153"/>
        <v>0.23559637194645924</v>
      </c>
      <c r="O364" s="15">
        <v>0.79514502899999995</v>
      </c>
      <c r="P364">
        <f t="shared" si="134"/>
        <v>0.81061415481969579</v>
      </c>
      <c r="Q364">
        <v>0.4032</v>
      </c>
      <c r="R364">
        <f t="shared" si="135"/>
        <v>0.89381511859898033</v>
      </c>
      <c r="S364">
        <f t="shared" si="136"/>
        <v>0.15319036523140961</v>
      </c>
      <c r="T364" s="14">
        <f t="shared" si="137"/>
        <v>0.26160864023820468</v>
      </c>
      <c r="U364" t="str">
        <f t="shared" si="138"/>
        <v>Low</v>
      </c>
      <c r="V364">
        <f t="shared" si="139"/>
        <v>0.16066828539373426</v>
      </c>
      <c r="W364">
        <f t="shared" si="140"/>
        <v>0.23641135706052108</v>
      </c>
      <c r="X364" t="s">
        <v>1175</v>
      </c>
      <c r="Y364">
        <f t="shared" si="141"/>
        <v>0.14571244506908498</v>
      </c>
      <c r="Z364">
        <f t="shared" si="142"/>
        <v>0.28679855578384378</v>
      </c>
      <c r="AA364" t="str">
        <f t="shared" si="143"/>
        <v>Low</v>
      </c>
      <c r="AB364">
        <f t="shared" si="144"/>
        <v>0.11477005307708119</v>
      </c>
      <c r="AC364">
        <f t="shared" si="145"/>
        <v>0.264694270449292</v>
      </c>
      <c r="AD364" t="str">
        <f t="shared" si="146"/>
        <v>Low</v>
      </c>
      <c r="AE364">
        <f t="shared" si="147"/>
        <v>4.234977048156776E-2</v>
      </c>
      <c r="AF364">
        <f t="shared" si="148"/>
        <v>0.21727261479582732</v>
      </c>
      <c r="AG364" t="s">
        <v>1175</v>
      </c>
    </row>
    <row r="365" spans="1:33" x14ac:dyDescent="0.3">
      <c r="A365">
        <v>456181</v>
      </c>
      <c r="B365" t="s">
        <v>412</v>
      </c>
      <c r="C365" s="1" t="s">
        <v>897</v>
      </c>
      <c r="D365" t="s">
        <v>907</v>
      </c>
      <c r="E365" s="4">
        <v>5.4</v>
      </c>
      <c r="F365" s="3">
        <f t="shared" si="129"/>
        <v>0.48888888888888893</v>
      </c>
      <c r="G365">
        <v>56.218680000000006</v>
      </c>
      <c r="H365">
        <f t="shared" si="150"/>
        <v>0.54394947943335048</v>
      </c>
      <c r="I365">
        <v>140.19999999999999</v>
      </c>
      <c r="J365" s="3">
        <f t="shared" si="151"/>
        <v>0.64519098021168886</v>
      </c>
      <c r="K365">
        <v>0</v>
      </c>
      <c r="L365" s="3">
        <f t="shared" si="152"/>
        <v>0</v>
      </c>
      <c r="M365">
        <v>71423</v>
      </c>
      <c r="N365">
        <f t="shared" si="153"/>
        <v>0.33680146484790846</v>
      </c>
      <c r="O365" s="15">
        <v>0.47625525899999999</v>
      </c>
      <c r="P365">
        <f t="shared" si="134"/>
        <v>0.48552055307223752</v>
      </c>
      <c r="Q365">
        <v>0.37590000000000001</v>
      </c>
      <c r="R365">
        <f t="shared" si="135"/>
        <v>0.83329638661050764</v>
      </c>
      <c r="S365">
        <f t="shared" si="136"/>
        <v>0.11174183140512664</v>
      </c>
      <c r="T365" s="14">
        <f t="shared" si="137"/>
        <v>0.1908255034672908</v>
      </c>
      <c r="U365" t="str">
        <f t="shared" si="138"/>
        <v>Low</v>
      </c>
      <c r="V365">
        <f t="shared" si="139"/>
        <v>0.14120847487071572</v>
      </c>
      <c r="W365">
        <f t="shared" si="140"/>
        <v>0.20777770230648315</v>
      </c>
      <c r="X365" t="s">
        <v>1176</v>
      </c>
      <c r="Y365">
        <f t="shared" si="141"/>
        <v>8.2275187939537545E-2</v>
      </c>
      <c r="Z365">
        <f t="shared" si="142"/>
        <v>0.16193815886293167</v>
      </c>
      <c r="AA365" t="str">
        <f t="shared" si="143"/>
        <v>Low</v>
      </c>
      <c r="AB365">
        <f t="shared" si="144"/>
        <v>9.4081281131055156E-2</v>
      </c>
      <c r="AC365">
        <f t="shared" si="145"/>
        <v>0.21697973821789845</v>
      </c>
      <c r="AD365" t="str">
        <f t="shared" si="146"/>
        <v>Low</v>
      </c>
      <c r="AE365">
        <f t="shared" si="147"/>
        <v>5.7073595841266818E-2</v>
      </c>
      <c r="AF365">
        <f t="shared" si="148"/>
        <v>0.29281219858392105</v>
      </c>
      <c r="AG365" t="s">
        <v>1175</v>
      </c>
    </row>
    <row r="366" spans="1:33" x14ac:dyDescent="0.3">
      <c r="A366">
        <v>456194</v>
      </c>
      <c r="B366" t="s">
        <v>525</v>
      </c>
      <c r="C366" s="1" t="s">
        <v>897</v>
      </c>
      <c r="D366" t="s">
        <v>908</v>
      </c>
      <c r="E366" s="4">
        <v>5.3</v>
      </c>
      <c r="F366" s="3">
        <f t="shared" si="129"/>
        <v>0.46666666666666656</v>
      </c>
      <c r="G366">
        <v>61.353360000000002</v>
      </c>
      <c r="H366">
        <f t="shared" si="150"/>
        <v>0.59363059099727966</v>
      </c>
      <c r="I366">
        <v>131.39999999999998</v>
      </c>
      <c r="J366" s="3">
        <f t="shared" si="151"/>
        <v>0.60469397146801651</v>
      </c>
      <c r="K366">
        <v>0</v>
      </c>
      <c r="L366" s="3">
        <f t="shared" si="152"/>
        <v>0</v>
      </c>
      <c r="M366">
        <v>46016</v>
      </c>
      <c r="N366">
        <f t="shared" si="153"/>
        <v>0.21659025421924458</v>
      </c>
      <c r="O366" s="15">
        <v>0.79630923399999998</v>
      </c>
      <c r="P366">
        <f t="shared" si="134"/>
        <v>0.81180100881197792</v>
      </c>
      <c r="Q366">
        <v>0.35730000000000001</v>
      </c>
      <c r="R366">
        <f t="shared" si="135"/>
        <v>0.79206384393704277</v>
      </c>
      <c r="S366">
        <f t="shared" si="136"/>
        <v>0.13412251478925147</v>
      </c>
      <c r="T366" s="14">
        <f t="shared" si="137"/>
        <v>0.22904579322819146</v>
      </c>
      <c r="U366" t="str">
        <f t="shared" si="138"/>
        <v>Low</v>
      </c>
      <c r="V366">
        <f t="shared" si="139"/>
        <v>0.13247200278800703</v>
      </c>
      <c r="W366">
        <f t="shared" si="140"/>
        <v>0.19492263750055061</v>
      </c>
      <c r="X366" t="s">
        <v>1176</v>
      </c>
      <c r="Y366">
        <f t="shared" si="141"/>
        <v>0.13577302679049588</v>
      </c>
      <c r="Z366">
        <f t="shared" si="142"/>
        <v>0.26723529331659629</v>
      </c>
      <c r="AA366" t="str">
        <f t="shared" si="143"/>
        <v>Low</v>
      </c>
      <c r="AB366">
        <f t="shared" si="144"/>
        <v>9.9775696406057435E-2</v>
      </c>
      <c r="AC366">
        <f t="shared" si="145"/>
        <v>0.2301127729812415</v>
      </c>
      <c r="AD366" t="str">
        <f t="shared" si="146"/>
        <v>Low</v>
      </c>
      <c r="AE366">
        <f t="shared" si="147"/>
        <v>3.6224535408874839E-2</v>
      </c>
      <c r="AF366">
        <f t="shared" si="148"/>
        <v>0.18584751318725223</v>
      </c>
      <c r="AG366" t="s">
        <v>1175</v>
      </c>
    </row>
    <row r="367" spans="1:33" x14ac:dyDescent="0.3">
      <c r="A367">
        <v>457204</v>
      </c>
      <c r="B367" t="s">
        <v>16</v>
      </c>
      <c r="C367" s="1" t="s">
        <v>910</v>
      </c>
      <c r="D367" t="s">
        <v>909</v>
      </c>
      <c r="E367" s="4">
        <v>5.7</v>
      </c>
      <c r="F367" s="3">
        <f t="shared" si="129"/>
        <v>0.55555555555555558</v>
      </c>
      <c r="G367">
        <v>62.191080000000007</v>
      </c>
      <c r="H367">
        <f t="shared" si="150"/>
        <v>0.60173603491575844</v>
      </c>
      <c r="I367">
        <v>140.5</v>
      </c>
      <c r="J367" s="3">
        <f t="shared" si="151"/>
        <v>0.6465715600552232</v>
      </c>
      <c r="K367">
        <v>0</v>
      </c>
      <c r="L367" s="3">
        <f t="shared" si="152"/>
        <v>0</v>
      </c>
      <c r="M367">
        <v>26281</v>
      </c>
      <c r="N367">
        <f t="shared" si="153"/>
        <v>0.12321566289572422</v>
      </c>
      <c r="O367" s="15">
        <v>0.84841649699999999</v>
      </c>
      <c r="P367">
        <f t="shared" si="134"/>
        <v>0.86492199104314849</v>
      </c>
      <c r="Q367">
        <v>0.3281</v>
      </c>
      <c r="R367">
        <f t="shared" si="135"/>
        <v>0.727333185546442</v>
      </c>
      <c r="S367">
        <f t="shared" si="136"/>
        <v>0.16365230814465323</v>
      </c>
      <c r="T367" s="14">
        <f t="shared" si="137"/>
        <v>0.27947487259328113</v>
      </c>
      <c r="U367" t="str">
        <f t="shared" si="138"/>
        <v>Low</v>
      </c>
      <c r="V367">
        <f t="shared" si="139"/>
        <v>0.14951090296949171</v>
      </c>
      <c r="W367">
        <f t="shared" si="140"/>
        <v>0.21999410387521229</v>
      </c>
      <c r="X367" t="s">
        <v>1176</v>
      </c>
      <c r="Y367">
        <f t="shared" si="141"/>
        <v>0.17779371331981478</v>
      </c>
      <c r="Z367">
        <f t="shared" si="142"/>
        <v>0.3499425198952214</v>
      </c>
      <c r="AA367" t="str">
        <f t="shared" si="143"/>
        <v>Moderate</v>
      </c>
      <c r="AB367">
        <f t="shared" si="144"/>
        <v>0.11453182151136401</v>
      </c>
      <c r="AC367">
        <f t="shared" si="145"/>
        <v>0.26414483678785466</v>
      </c>
      <c r="AD367" t="str">
        <f t="shared" si="146"/>
        <v>Low</v>
      </c>
      <c r="AE367">
        <f t="shared" si="147"/>
        <v>2.5328261360278506E-2</v>
      </c>
      <c r="AF367">
        <f t="shared" si="148"/>
        <v>0.12994492086739892</v>
      </c>
      <c r="AG367" t="s">
        <v>1175</v>
      </c>
    </row>
    <row r="368" spans="1:33" x14ac:dyDescent="0.3">
      <c r="A368">
        <v>457209</v>
      </c>
      <c r="B368" t="s">
        <v>48</v>
      </c>
      <c r="C368" s="1" t="s">
        <v>910</v>
      </c>
      <c r="D368" t="s">
        <v>911</v>
      </c>
      <c r="E368" s="4">
        <v>5.5</v>
      </c>
      <c r="F368" s="3">
        <f t="shared" si="129"/>
        <v>0.51111111111111107</v>
      </c>
      <c r="G368">
        <v>62.35560000000001</v>
      </c>
      <c r="H368">
        <f t="shared" si="150"/>
        <v>0.60332786468402011</v>
      </c>
      <c r="I368">
        <v>131.39999999999998</v>
      </c>
      <c r="J368" s="3">
        <f t="shared" si="151"/>
        <v>0.60469397146801651</v>
      </c>
      <c r="K368">
        <v>0</v>
      </c>
      <c r="L368" s="3">
        <f t="shared" si="152"/>
        <v>0</v>
      </c>
      <c r="M368">
        <v>31977</v>
      </c>
      <c r="N368">
        <f t="shared" si="153"/>
        <v>0.15016583630229993</v>
      </c>
      <c r="O368" s="15">
        <v>0.93585433799999995</v>
      </c>
      <c r="P368">
        <f t="shared" si="134"/>
        <v>0.95406088897553298</v>
      </c>
      <c r="Q368">
        <v>0.3574</v>
      </c>
      <c r="R368">
        <f t="shared" si="135"/>
        <v>0.7922855242739969</v>
      </c>
      <c r="S368">
        <f t="shared" si="136"/>
        <v>0.16167691827444466</v>
      </c>
      <c r="T368" s="14">
        <f t="shared" si="137"/>
        <v>0.27610142898862011</v>
      </c>
      <c r="U368" t="str">
        <f t="shared" si="138"/>
        <v>Low</v>
      </c>
      <c r="V368">
        <f t="shared" si="139"/>
        <v>0.14669973950897858</v>
      </c>
      <c r="W368">
        <f t="shared" si="140"/>
        <v>0.21585768723897189</v>
      </c>
      <c r="X368" t="s">
        <v>1176</v>
      </c>
      <c r="Y368">
        <f t="shared" si="141"/>
        <v>0.17665409703991078</v>
      </c>
      <c r="Z368">
        <f t="shared" si="142"/>
        <v>0.34769946987249162</v>
      </c>
      <c r="AA368" t="str">
        <f t="shared" si="143"/>
        <v>Moderate</v>
      </c>
      <c r="AB368">
        <f t="shared" si="144"/>
        <v>0.11407279519979945</v>
      </c>
      <c r="AC368">
        <f t="shared" si="145"/>
        <v>0.26308618401738842</v>
      </c>
      <c r="AD368" t="str">
        <f t="shared" si="146"/>
        <v>Low</v>
      </c>
      <c r="AE368">
        <f t="shared" si="147"/>
        <v>2.7804735027667761E-2</v>
      </c>
      <c r="AF368">
        <f t="shared" si="148"/>
        <v>0.14265030044958257</v>
      </c>
      <c r="AG368" t="s">
        <v>1175</v>
      </c>
    </row>
    <row r="369" spans="1:33" x14ac:dyDescent="0.3">
      <c r="A369">
        <v>457218</v>
      </c>
      <c r="B369" t="s">
        <v>159</v>
      </c>
      <c r="C369" s="1" t="s">
        <v>910</v>
      </c>
      <c r="D369" t="s">
        <v>1144</v>
      </c>
      <c r="E369" s="4">
        <v>5.7</v>
      </c>
      <c r="F369" s="3">
        <f t="shared" si="129"/>
        <v>0.55555555555555558</v>
      </c>
      <c r="G369">
        <v>56.83428</v>
      </c>
      <c r="H369">
        <f t="shared" si="150"/>
        <v>0.54990577900386983</v>
      </c>
      <c r="I369">
        <v>140.4</v>
      </c>
      <c r="J369" s="3">
        <f t="shared" si="151"/>
        <v>0.64611136677404513</v>
      </c>
      <c r="K369">
        <v>0</v>
      </c>
      <c r="L369" s="3">
        <f t="shared" si="152"/>
        <v>0</v>
      </c>
      <c r="M369">
        <v>33559</v>
      </c>
      <c r="N369">
        <f t="shared" si="153"/>
        <v>0.15765094415503919</v>
      </c>
      <c r="O369" s="15">
        <v>0.69046991199999996</v>
      </c>
      <c r="P369">
        <f t="shared" si="134"/>
        <v>0.70390263880315318</v>
      </c>
      <c r="Q369">
        <v>0.28920000000000001</v>
      </c>
      <c r="R369">
        <f t="shared" si="135"/>
        <v>0.64109953447129242</v>
      </c>
      <c r="S369">
        <f t="shared" si="136"/>
        <v>0.13045945156673205</v>
      </c>
      <c r="T369" s="14">
        <f t="shared" si="137"/>
        <v>0.22279024975910783</v>
      </c>
      <c r="U369" t="str">
        <f t="shared" si="138"/>
        <v>Low</v>
      </c>
      <c r="V369">
        <f t="shared" si="139"/>
        <v>0.12436781936670661</v>
      </c>
      <c r="W369">
        <f t="shared" si="140"/>
        <v>0.18299793813750057</v>
      </c>
      <c r="X369" t="s">
        <v>1176</v>
      </c>
      <c r="Y369">
        <f t="shared" si="141"/>
        <v>0.13655108376675748</v>
      </c>
      <c r="Z369">
        <f t="shared" si="142"/>
        <v>0.26876670415115866</v>
      </c>
      <c r="AA369" t="str">
        <f t="shared" si="143"/>
        <v>Low</v>
      </c>
      <c r="AB369">
        <f t="shared" si="144"/>
        <v>9.5198088478354717E-2</v>
      </c>
      <c r="AC369">
        <f t="shared" si="145"/>
        <v>0.21955543194723157</v>
      </c>
      <c r="AD369" t="str">
        <f t="shared" si="146"/>
        <v>Low</v>
      </c>
      <c r="AE369">
        <f t="shared" si="147"/>
        <v>3.0582933057086207E-2</v>
      </c>
      <c r="AF369">
        <f t="shared" si="148"/>
        <v>0.15690365633341391</v>
      </c>
      <c r="AG369" t="s">
        <v>1175</v>
      </c>
    </row>
    <row r="370" spans="1:33" x14ac:dyDescent="0.3">
      <c r="A370">
        <v>457238</v>
      </c>
      <c r="B370" t="s">
        <v>271</v>
      </c>
      <c r="C370" s="1" t="s">
        <v>910</v>
      </c>
      <c r="D370" t="s">
        <v>912</v>
      </c>
      <c r="E370" s="4">
        <v>5.7</v>
      </c>
      <c r="F370" s="3">
        <f t="shared" si="129"/>
        <v>0.55555555555555558</v>
      </c>
      <c r="G370">
        <v>66.778920000000014</v>
      </c>
      <c r="H370">
        <f t="shared" si="150"/>
        <v>0.64612614118868239</v>
      </c>
      <c r="I370">
        <v>130.5</v>
      </c>
      <c r="J370" s="3">
        <f t="shared" si="151"/>
        <v>0.60055223193741381</v>
      </c>
      <c r="K370">
        <v>0</v>
      </c>
      <c r="L370" s="3">
        <f t="shared" si="152"/>
        <v>0</v>
      </c>
      <c r="M370">
        <v>1928</v>
      </c>
      <c r="N370">
        <f t="shared" si="153"/>
        <v>7.9913698882911523E-3</v>
      </c>
      <c r="O370" s="15">
        <v>0.40621866099999998</v>
      </c>
      <c r="P370">
        <f t="shared" si="134"/>
        <v>0.41412143011523944</v>
      </c>
      <c r="Q370">
        <v>8.2400000000000001E-2</v>
      </c>
      <c r="R370">
        <f t="shared" si="135"/>
        <v>0.18266459765018844</v>
      </c>
      <c r="S370">
        <f t="shared" si="136"/>
        <v>6.275551596857705E-2</v>
      </c>
      <c r="T370" s="14">
        <f t="shared" si="137"/>
        <v>0.10716982869768771</v>
      </c>
      <c r="U370" t="str">
        <f t="shared" si="138"/>
        <v>No Impact</v>
      </c>
      <c r="V370">
        <f t="shared" si="139"/>
        <v>3.8416486115307708E-2</v>
      </c>
      <c r="W370">
        <f t="shared" si="140"/>
        <v>5.6526984113634812E-2</v>
      </c>
      <c r="X370" t="s">
        <v>1176</v>
      </c>
      <c r="Y370">
        <f t="shared" si="141"/>
        <v>8.7094545821846378E-2</v>
      </c>
      <c r="Z370">
        <f t="shared" si="142"/>
        <v>0.1714238611980777</v>
      </c>
      <c r="AA370" t="str">
        <f t="shared" si="143"/>
        <v>Low</v>
      </c>
      <c r="AB370">
        <f t="shared" si="144"/>
        <v>4.0162371148027252E-2</v>
      </c>
      <c r="AC370">
        <f t="shared" si="145"/>
        <v>9.2626510535819009E-2</v>
      </c>
      <c r="AD370" t="str">
        <f t="shared" si="146"/>
        <v>No Impact</v>
      </c>
      <c r="AE370">
        <f t="shared" si="147"/>
        <v>1.6806778889018536E-3</v>
      </c>
      <c r="AF370">
        <f t="shared" si="148"/>
        <v>8.6226035087999028E-3</v>
      </c>
      <c r="AG370" t="str">
        <f>IF(AF370&gt;0.7,"High",IF(AF370&gt;0.3,"Moderate",IF(AF370&gt;0.15,"Low","No Impact")))</f>
        <v>No Impact</v>
      </c>
    </row>
    <row r="371" spans="1:33" x14ac:dyDescent="0.3">
      <c r="A371">
        <v>457240</v>
      </c>
      <c r="B371" t="s">
        <v>249</v>
      </c>
      <c r="C371" s="1" t="s">
        <v>910</v>
      </c>
      <c r="D371" t="s">
        <v>913</v>
      </c>
      <c r="E371" s="4">
        <v>5.7</v>
      </c>
      <c r="F371" s="3">
        <f t="shared" si="129"/>
        <v>0.55555555555555558</v>
      </c>
      <c r="G371">
        <v>62.35560000000001</v>
      </c>
      <c r="H371">
        <f t="shared" si="150"/>
        <v>0.60332786468402011</v>
      </c>
      <c r="I371">
        <v>138</v>
      </c>
      <c r="J371" s="3">
        <f t="shared" si="151"/>
        <v>0.63506672802577091</v>
      </c>
      <c r="K371">
        <v>0</v>
      </c>
      <c r="L371" s="3">
        <f t="shared" si="152"/>
        <v>0</v>
      </c>
      <c r="M371">
        <v>27627</v>
      </c>
      <c r="N371">
        <f t="shared" si="153"/>
        <v>0.12958415541771348</v>
      </c>
      <c r="O371" s="15">
        <v>0.72643644600000001</v>
      </c>
      <c r="P371">
        <f t="shared" si="134"/>
        <v>0.74056888269185628</v>
      </c>
      <c r="Q371">
        <v>0.29559999999999997</v>
      </c>
      <c r="R371">
        <f t="shared" si="135"/>
        <v>0.6552870760363555</v>
      </c>
      <c r="S371">
        <f t="shared" si="136"/>
        <v>0.14282107035981759</v>
      </c>
      <c r="T371" s="14">
        <f t="shared" si="137"/>
        <v>0.2439006262421001</v>
      </c>
      <c r="U371" t="str">
        <f t="shared" si="138"/>
        <v>Low</v>
      </c>
      <c r="V371">
        <f t="shared" si="139"/>
        <v>0.13409521377512024</v>
      </c>
      <c r="W371">
        <f t="shared" si="140"/>
        <v>0.19731107098210907</v>
      </c>
      <c r="X371" t="s">
        <v>1176</v>
      </c>
      <c r="Y371">
        <f t="shared" si="141"/>
        <v>0.15154692694451496</v>
      </c>
      <c r="Z371">
        <f t="shared" si="142"/>
        <v>0.29828227616769282</v>
      </c>
      <c r="AA371" t="str">
        <f t="shared" si="143"/>
        <v>Low</v>
      </c>
      <c r="AB371">
        <f t="shared" si="144"/>
        <v>0.10167854926068261</v>
      </c>
      <c r="AC371">
        <f t="shared" si="145"/>
        <v>0.23450132412871799</v>
      </c>
      <c r="AD371" t="str">
        <f t="shared" si="146"/>
        <v>Low</v>
      </c>
      <c r="AE371">
        <f t="shared" si="147"/>
        <v>2.651756101724587E-2</v>
      </c>
      <c r="AF371">
        <f t="shared" si="148"/>
        <v>0.13604654180434228</v>
      </c>
      <c r="AG371" t="s">
        <v>1175</v>
      </c>
    </row>
    <row r="372" spans="1:33" x14ac:dyDescent="0.3">
      <c r="A372">
        <v>457247</v>
      </c>
      <c r="B372" t="s">
        <v>267</v>
      </c>
      <c r="C372" s="1" t="s">
        <v>910</v>
      </c>
      <c r="D372" t="s">
        <v>914</v>
      </c>
      <c r="E372" s="4">
        <v>5.7</v>
      </c>
      <c r="F372" s="3">
        <f t="shared" si="129"/>
        <v>0.55555555555555558</v>
      </c>
      <c r="G372">
        <v>63.070200000000007</v>
      </c>
      <c r="H372">
        <f t="shared" si="150"/>
        <v>0.61024204868839504</v>
      </c>
      <c r="I372">
        <v>140.5</v>
      </c>
      <c r="J372" s="3">
        <f t="shared" si="151"/>
        <v>0.6465715600552232</v>
      </c>
      <c r="K372">
        <v>0</v>
      </c>
      <c r="L372" s="3">
        <f t="shared" si="152"/>
        <v>0</v>
      </c>
      <c r="M372">
        <v>54514</v>
      </c>
      <c r="N372">
        <f t="shared" si="153"/>
        <v>0.25679786896802981</v>
      </c>
      <c r="O372" s="15">
        <v>0.51925480000000002</v>
      </c>
      <c r="P372">
        <f t="shared" si="134"/>
        <v>0.52935662739088851</v>
      </c>
      <c r="Q372">
        <v>0.38100000000000001</v>
      </c>
      <c r="R372">
        <f t="shared" si="135"/>
        <v>0.84460208379516732</v>
      </c>
      <c r="S372">
        <f t="shared" si="136"/>
        <v>0.1425142991554402</v>
      </c>
      <c r="T372" s="14">
        <f t="shared" si="137"/>
        <v>0.24337674213541902</v>
      </c>
      <c r="U372" t="str">
        <f t="shared" si="138"/>
        <v>Low</v>
      </c>
      <c r="V372">
        <f t="shared" si="139"/>
        <v>0.17521323320318163</v>
      </c>
      <c r="W372">
        <f t="shared" si="140"/>
        <v>0.25781315917460529</v>
      </c>
      <c r="X372" t="s">
        <v>1175</v>
      </c>
      <c r="Y372">
        <f t="shared" si="141"/>
        <v>0.10981536510769875</v>
      </c>
      <c r="Z372">
        <f t="shared" si="142"/>
        <v>0.21614411933607455</v>
      </c>
      <c r="AA372" t="str">
        <f t="shared" si="143"/>
        <v>Low</v>
      </c>
      <c r="AB372">
        <f t="shared" si="144"/>
        <v>0.11291474892293826</v>
      </c>
      <c r="AC372">
        <f t="shared" si="145"/>
        <v>0.26041538090993999</v>
      </c>
      <c r="AD372" t="str">
        <f t="shared" si="146"/>
        <v>Low</v>
      </c>
      <c r="AE372">
        <f t="shared" si="147"/>
        <v>5.3272879341471659E-2</v>
      </c>
      <c r="AF372">
        <f t="shared" si="148"/>
        <v>0.27331288128850489</v>
      </c>
      <c r="AG372" t="s">
        <v>1175</v>
      </c>
    </row>
    <row r="373" spans="1:33" x14ac:dyDescent="0.3">
      <c r="A373">
        <v>457256</v>
      </c>
      <c r="B373" t="s">
        <v>306</v>
      </c>
      <c r="C373" s="1" t="s">
        <v>910</v>
      </c>
      <c r="D373" t="s">
        <v>915</v>
      </c>
      <c r="E373" s="4">
        <v>5.8</v>
      </c>
      <c r="F373" s="3">
        <f t="shared" si="129"/>
        <v>0.57777777777777772</v>
      </c>
      <c r="G373">
        <v>63.070200000000007</v>
      </c>
      <c r="H373">
        <f t="shared" si="150"/>
        <v>0.61024204868839504</v>
      </c>
      <c r="I373">
        <v>140.5</v>
      </c>
      <c r="J373" s="3">
        <f t="shared" si="151"/>
        <v>0.6465715600552232</v>
      </c>
      <c r="K373">
        <v>0</v>
      </c>
      <c r="L373" s="3">
        <f t="shared" si="152"/>
        <v>0</v>
      </c>
      <c r="M373">
        <v>20648</v>
      </c>
      <c r="N373">
        <f t="shared" si="153"/>
        <v>9.6563569005408009E-2</v>
      </c>
      <c r="O373" s="15">
        <v>0.84726896699999998</v>
      </c>
      <c r="P373">
        <f t="shared" si="134"/>
        <v>0.86375213645416848</v>
      </c>
      <c r="Q373">
        <v>0.27089999999999997</v>
      </c>
      <c r="R373">
        <f t="shared" si="135"/>
        <v>0.60053203280868983</v>
      </c>
      <c r="S373">
        <f t="shared" si="136"/>
        <v>0.15795866911126499</v>
      </c>
      <c r="T373" s="14">
        <f t="shared" si="137"/>
        <v>0.26975164252406747</v>
      </c>
      <c r="U373" t="str">
        <f t="shared" si="138"/>
        <v>Low</v>
      </c>
      <c r="V373">
        <f t="shared" si="139"/>
        <v>0.12956397761084401</v>
      </c>
      <c r="W373">
        <f t="shared" si="140"/>
        <v>0.19064369609768131</v>
      </c>
      <c r="X373" t="s">
        <v>1176</v>
      </c>
      <c r="Y373">
        <f t="shared" si="141"/>
        <v>0.18635336061168595</v>
      </c>
      <c r="Z373">
        <f t="shared" si="142"/>
        <v>0.36679004777908769</v>
      </c>
      <c r="AA373" t="str">
        <f t="shared" si="143"/>
        <v>Moderate</v>
      </c>
      <c r="AB373">
        <f t="shared" si="144"/>
        <v>0.10854511135219762</v>
      </c>
      <c r="AC373">
        <f t="shared" si="145"/>
        <v>0.2503376820860298</v>
      </c>
      <c r="AD373" t="str">
        <f t="shared" si="146"/>
        <v>Low</v>
      </c>
      <c r="AE373">
        <f t="shared" si="147"/>
        <v>2.0833460013989842E-2</v>
      </c>
      <c r="AF373">
        <f t="shared" si="148"/>
        <v>0.10688464851194435</v>
      </c>
      <c r="AG373" t="s">
        <v>1175</v>
      </c>
    </row>
    <row r="374" spans="1:33" x14ac:dyDescent="0.3">
      <c r="A374">
        <v>457263</v>
      </c>
      <c r="B374" t="s">
        <v>343</v>
      </c>
      <c r="C374" s="1" t="s">
        <v>910</v>
      </c>
      <c r="D374" t="s">
        <v>1145</v>
      </c>
      <c r="E374" s="4">
        <v>5.8</v>
      </c>
      <c r="F374" s="3">
        <f t="shared" si="129"/>
        <v>0.57777777777777772</v>
      </c>
      <c r="G374">
        <v>68.708519999999993</v>
      </c>
      <c r="H374">
        <f t="shared" si="150"/>
        <v>0.66479617960855608</v>
      </c>
      <c r="I374">
        <v>130.5</v>
      </c>
      <c r="J374" s="3">
        <f t="shared" si="151"/>
        <v>0.60055223193741381</v>
      </c>
      <c r="K374">
        <v>0</v>
      </c>
      <c r="L374" s="3">
        <f t="shared" si="152"/>
        <v>0</v>
      </c>
      <c r="M374">
        <v>14378</v>
      </c>
      <c r="N374">
        <f t="shared" si="153"/>
        <v>6.6897560006245471E-2</v>
      </c>
      <c r="O374" s="15">
        <v>0.72856632799999999</v>
      </c>
      <c r="P374">
        <f t="shared" si="134"/>
        <v>0.74274020041922351</v>
      </c>
      <c r="Q374">
        <v>0.26819999999999999</v>
      </c>
      <c r="R374">
        <f t="shared" si="135"/>
        <v>0.59454666371092879</v>
      </c>
      <c r="S374">
        <f t="shared" si="136"/>
        <v>0.14913351599598462</v>
      </c>
      <c r="T374" s="14">
        <f t="shared" si="137"/>
        <v>0.25468061437621448</v>
      </c>
      <c r="U374" t="str">
        <f t="shared" si="138"/>
        <v>Low</v>
      </c>
      <c r="V374">
        <f t="shared" si="139"/>
        <v>0.13260705202629361</v>
      </c>
      <c r="W374">
        <f t="shared" si="140"/>
        <v>0.19512135234719929</v>
      </c>
      <c r="X374" t="s">
        <v>1176</v>
      </c>
      <c r="Y374">
        <f t="shared" si="141"/>
        <v>0.16565997996567561</v>
      </c>
      <c r="Z374">
        <f t="shared" si="142"/>
        <v>0.3260602962417547</v>
      </c>
      <c r="AA374" t="str">
        <f t="shared" si="143"/>
        <v>Moderate</v>
      </c>
      <c r="AB374">
        <f t="shared" si="144"/>
        <v>0.10133272828258616</v>
      </c>
      <c r="AC374">
        <f t="shared" si="145"/>
        <v>0.2337037569145439</v>
      </c>
      <c r="AD374" t="str">
        <f t="shared" si="146"/>
        <v>Low</v>
      </c>
      <c r="AE374">
        <f t="shared" si="147"/>
        <v>1.4920760239087736E-2</v>
      </c>
      <c r="AF374">
        <f t="shared" si="148"/>
        <v>7.6549944781854076E-2</v>
      </c>
      <c r="AG374" t="str">
        <f>IF(AF374&gt;0.7,"High",IF(AF374&gt;0.3,"Moderate",IF(AF374&gt;0.15,"Low","No Impact")))</f>
        <v>No Impact</v>
      </c>
    </row>
    <row r="375" spans="1:33" x14ac:dyDescent="0.3">
      <c r="A375">
        <v>457274</v>
      </c>
      <c r="B375" t="s">
        <v>382</v>
      </c>
      <c r="C375" s="1" t="s">
        <v>910</v>
      </c>
      <c r="D375" t="s">
        <v>916</v>
      </c>
      <c r="E375" s="4">
        <v>5.8</v>
      </c>
      <c r="F375" s="3">
        <f t="shared" si="129"/>
        <v>0.57777777777777772</v>
      </c>
      <c r="G375">
        <v>58.439160000000001</v>
      </c>
      <c r="H375">
        <f t="shared" si="150"/>
        <v>0.56543395648069772</v>
      </c>
      <c r="I375">
        <v>138</v>
      </c>
      <c r="J375" s="3">
        <f t="shared" si="151"/>
        <v>0.63506672802577091</v>
      </c>
      <c r="K375">
        <v>0</v>
      </c>
      <c r="L375" s="3">
        <f t="shared" si="152"/>
        <v>0</v>
      </c>
      <c r="M375">
        <v>65362</v>
      </c>
      <c r="N375">
        <f t="shared" si="153"/>
        <v>0.30812432281538471</v>
      </c>
      <c r="O375" s="15">
        <v>0.76487669899999999</v>
      </c>
      <c r="P375">
        <f t="shared" si="134"/>
        <v>0.77975697047483383</v>
      </c>
      <c r="Q375">
        <v>0.37919999999999998</v>
      </c>
      <c r="R375">
        <f t="shared" si="135"/>
        <v>0.84061183772999326</v>
      </c>
      <c r="S375">
        <f t="shared" si="136"/>
        <v>0.16532911255374186</v>
      </c>
      <c r="T375" s="14">
        <f t="shared" si="137"/>
        <v>0.28233841117643194</v>
      </c>
      <c r="U375" t="str">
        <f t="shared" si="138"/>
        <v>Low</v>
      </c>
      <c r="V375">
        <f t="shared" si="139"/>
        <v>0.17153824293623651</v>
      </c>
      <c r="W375">
        <f t="shared" si="140"/>
        <v>0.25240568604408925</v>
      </c>
      <c r="X375" t="s">
        <v>1175</v>
      </c>
      <c r="Y375">
        <f t="shared" si="141"/>
        <v>0.15911998217124718</v>
      </c>
      <c r="Z375">
        <f t="shared" si="142"/>
        <v>0.31318794397711242</v>
      </c>
      <c r="AA375" t="str">
        <f t="shared" si="143"/>
        <v>Moderate</v>
      </c>
      <c r="AB375">
        <f t="shared" si="144"/>
        <v>0.12978131070151308</v>
      </c>
      <c r="AC375">
        <f t="shared" si="145"/>
        <v>0.29931474660047741</v>
      </c>
      <c r="AD375" t="str">
        <f t="shared" si="146"/>
        <v>Low</v>
      </c>
      <c r="AE375">
        <f t="shared" si="147"/>
        <v>6.2876945778446228E-2</v>
      </c>
      <c r="AF375">
        <f t="shared" si="148"/>
        <v>0.32258589041478863</v>
      </c>
      <c r="AG375" t="str">
        <f t="shared" si="156"/>
        <v>Moderate</v>
      </c>
    </row>
    <row r="376" spans="1:33" x14ac:dyDescent="0.3">
      <c r="A376">
        <v>457283</v>
      </c>
      <c r="B376" t="s">
        <v>419</v>
      </c>
      <c r="C376" s="1" t="s">
        <v>910</v>
      </c>
      <c r="D376" t="s">
        <v>917</v>
      </c>
      <c r="E376" s="4">
        <v>5.3</v>
      </c>
      <c r="F376" s="3">
        <f t="shared" si="129"/>
        <v>0.46666666666666656</v>
      </c>
      <c r="G376">
        <v>54.493920000000003</v>
      </c>
      <c r="H376">
        <f t="shared" si="150"/>
        <v>0.52726139098752656</v>
      </c>
      <c r="I376">
        <v>140.19999999999999</v>
      </c>
      <c r="J376" s="3">
        <f t="shared" si="151"/>
        <v>0.64519098021168886</v>
      </c>
      <c r="K376">
        <v>0</v>
      </c>
      <c r="L376" s="3">
        <f t="shared" si="152"/>
        <v>0</v>
      </c>
      <c r="M376">
        <v>51043</v>
      </c>
      <c r="N376">
        <f t="shared" si="153"/>
        <v>0.24037510704839771</v>
      </c>
      <c r="O376" s="15">
        <v>0.60690794400000003</v>
      </c>
      <c r="P376">
        <f t="shared" si="134"/>
        <v>0.61871501692921904</v>
      </c>
      <c r="Q376">
        <v>0.376</v>
      </c>
      <c r="R376">
        <f t="shared" si="135"/>
        <v>0.83351806694746178</v>
      </c>
      <c r="S376">
        <f t="shared" si="136"/>
        <v>0.11519109273317739</v>
      </c>
      <c r="T376" s="14">
        <f t="shared" si="137"/>
        <v>0.19671592982990491</v>
      </c>
      <c r="U376" t="str">
        <f t="shared" si="138"/>
        <v>Low</v>
      </c>
      <c r="V376">
        <f t="shared" si="139"/>
        <v>0.1322292654127098</v>
      </c>
      <c r="W376">
        <f t="shared" si="140"/>
        <v>0.19456546761999394</v>
      </c>
      <c r="X376" t="s">
        <v>1176</v>
      </c>
      <c r="Y376">
        <f t="shared" si="141"/>
        <v>9.8152920053644996E-2</v>
      </c>
      <c r="Z376">
        <f t="shared" si="142"/>
        <v>0.19318950899496587</v>
      </c>
      <c r="AA376" t="str">
        <f t="shared" si="143"/>
        <v>Low</v>
      </c>
      <c r="AB376">
        <f t="shared" si="144"/>
        <v>8.9072702243426172E-2</v>
      </c>
      <c r="AC376">
        <f t="shared" si="145"/>
        <v>0.20542844849462635</v>
      </c>
      <c r="AD376" t="str">
        <f t="shared" si="146"/>
        <v>Low</v>
      </c>
      <c r="AE376">
        <f t="shared" si="147"/>
        <v>3.8133095236812124E-2</v>
      </c>
      <c r="AF376">
        <f t="shared" si="148"/>
        <v>0.19563924947282885</v>
      </c>
      <c r="AG376" t="s">
        <v>1175</v>
      </c>
    </row>
    <row r="377" spans="1:33" x14ac:dyDescent="0.3">
      <c r="A377">
        <v>458937</v>
      </c>
      <c r="B377" t="s">
        <v>224</v>
      </c>
      <c r="C377" s="1" t="s">
        <v>919</v>
      </c>
      <c r="D377" t="s">
        <v>918</v>
      </c>
      <c r="E377" s="4">
        <v>4.7</v>
      </c>
      <c r="F377" s="3">
        <f t="shared" si="129"/>
        <v>0.33333333333333331</v>
      </c>
      <c r="G377">
        <v>55.389240000000001</v>
      </c>
      <c r="H377">
        <f t="shared" si="150"/>
        <v>0.53592414948570311</v>
      </c>
      <c r="I377">
        <v>114.6</v>
      </c>
      <c r="J377" s="3">
        <f t="shared" si="151"/>
        <v>0.52738150023009667</v>
      </c>
      <c r="K377">
        <v>0</v>
      </c>
      <c r="L377" s="3">
        <f t="shared" si="152"/>
        <v>0</v>
      </c>
      <c r="M377">
        <v>16994</v>
      </c>
      <c r="N377">
        <f t="shared" si="153"/>
        <v>7.9274957062355392E-2</v>
      </c>
      <c r="O377" s="15">
        <v>0.49302737800000002</v>
      </c>
      <c r="P377">
        <f t="shared" si="134"/>
        <v>0.5026189647730801</v>
      </c>
      <c r="Q377">
        <v>0.37990000000000002</v>
      </c>
      <c r="R377">
        <f t="shared" si="135"/>
        <v>0.84216360008867219</v>
      </c>
      <c r="S377">
        <f t="shared" si="136"/>
        <v>7.1687211705784737E-2</v>
      </c>
      <c r="T377" s="14">
        <f t="shared" si="137"/>
        <v>0.12242280347389238</v>
      </c>
      <c r="U377" t="str">
        <f t="shared" si="138"/>
        <v>No Impact</v>
      </c>
      <c r="V377">
        <f t="shared" si="139"/>
        <v>8.9787541670974788E-2</v>
      </c>
      <c r="W377">
        <f t="shared" si="140"/>
        <v>0.13211564759992789</v>
      </c>
      <c r="X377" t="s">
        <v>1176</v>
      </c>
      <c r="Y377">
        <f t="shared" si="141"/>
        <v>5.3586881740594665E-2</v>
      </c>
      <c r="Z377">
        <f t="shared" si="142"/>
        <v>0.10547239314305391</v>
      </c>
      <c r="AA377" t="str">
        <f t="shared" si="143"/>
        <v>No Impact</v>
      </c>
      <c r="AB377">
        <f t="shared" si="144"/>
        <v>5.0459877825858798E-2</v>
      </c>
      <c r="AC377">
        <f t="shared" si="145"/>
        <v>0.11637565889340251</v>
      </c>
      <c r="AD377" t="str">
        <f t="shared" si="146"/>
        <v>No Impact</v>
      </c>
      <c r="AE377">
        <f t="shared" si="147"/>
        <v>8.4519249109692232E-3</v>
      </c>
      <c r="AF377">
        <f t="shared" si="148"/>
        <v>4.3362025450965132E-2</v>
      </c>
      <c r="AG377" t="str">
        <f t="shared" ref="AG377:AG378" si="157">IF(AF377&gt;0.7,"High",IF(AF377&gt;0.3,"Moderate",IF(AF377&gt;0.15,"Low","No Impact")))</f>
        <v>No Impact</v>
      </c>
    </row>
    <row r="378" spans="1:33" x14ac:dyDescent="0.3">
      <c r="A378">
        <v>458967</v>
      </c>
      <c r="B378" t="s">
        <v>363</v>
      </c>
      <c r="C378" s="1" t="s">
        <v>919</v>
      </c>
      <c r="D378" t="s">
        <v>920</v>
      </c>
      <c r="E378" s="4">
        <v>5.8</v>
      </c>
      <c r="F378" s="3">
        <f t="shared" si="129"/>
        <v>0.57777777777777772</v>
      </c>
      <c r="G378">
        <v>48.647880000000001</v>
      </c>
      <c r="H378">
        <f t="shared" si="150"/>
        <v>0.47069744436433048</v>
      </c>
      <c r="I378">
        <v>128.1</v>
      </c>
      <c r="J378" s="3">
        <f t="shared" si="151"/>
        <v>0.58950759318913948</v>
      </c>
      <c r="K378">
        <v>0</v>
      </c>
      <c r="L378" s="3">
        <f t="shared" si="152"/>
        <v>0</v>
      </c>
      <c r="M378">
        <v>17930</v>
      </c>
      <c r="N378">
        <f t="shared" si="153"/>
        <v>8.3703567018211245E-2</v>
      </c>
      <c r="O378" s="15">
        <v>0.87073674300000004</v>
      </c>
      <c r="P378">
        <f t="shared" si="134"/>
        <v>0.88767646561920444</v>
      </c>
      <c r="Q378">
        <v>0.36049999999999999</v>
      </c>
      <c r="R378">
        <f t="shared" si="135"/>
        <v>0.79915761471957436</v>
      </c>
      <c r="S378">
        <f t="shared" si="136"/>
        <v>0.14920408996561851</v>
      </c>
      <c r="T378" s="14">
        <f t="shared" si="137"/>
        <v>0.25480113605657112</v>
      </c>
      <c r="U378" t="str">
        <f t="shared" si="138"/>
        <v>Low</v>
      </c>
      <c r="V378">
        <f t="shared" si="139"/>
        <v>0.14137440787226821</v>
      </c>
      <c r="W378">
        <f t="shared" si="140"/>
        <v>0.20802186029934414</v>
      </c>
      <c r="X378" t="s">
        <v>1176</v>
      </c>
      <c r="Y378">
        <f t="shared" si="141"/>
        <v>0.15703377205896882</v>
      </c>
      <c r="Z378">
        <f t="shared" si="142"/>
        <v>0.30908176041139568</v>
      </c>
      <c r="AA378" t="str">
        <f t="shared" si="143"/>
        <v>Moderate</v>
      </c>
      <c r="AB378">
        <f t="shared" si="144"/>
        <v>0.10177380631205708</v>
      </c>
      <c r="AC378">
        <f t="shared" si="145"/>
        <v>0.23472101554684241</v>
      </c>
      <c r="AD378" t="str">
        <f t="shared" si="146"/>
        <v>Low</v>
      </c>
      <c r="AE378">
        <f t="shared" si="147"/>
        <v>1.4807519825921626E-2</v>
      </c>
      <c r="AF378">
        <f t="shared" si="148"/>
        <v>7.5968972550142247E-2</v>
      </c>
      <c r="AG378" t="str">
        <f t="shared" si="157"/>
        <v>No Impact</v>
      </c>
    </row>
    <row r="379" spans="1:33" x14ac:dyDescent="0.3">
      <c r="A379">
        <v>458970</v>
      </c>
      <c r="B379" t="s">
        <v>365</v>
      </c>
      <c r="C379" s="1" t="s">
        <v>919</v>
      </c>
      <c r="D379" t="s">
        <v>921</v>
      </c>
      <c r="E379" s="4">
        <v>5.8</v>
      </c>
      <c r="F379" s="3">
        <f t="shared" si="129"/>
        <v>0.57777777777777772</v>
      </c>
      <c r="G379">
        <v>51.989040000000003</v>
      </c>
      <c r="H379">
        <f t="shared" si="150"/>
        <v>0.50302517320292173</v>
      </c>
      <c r="I379">
        <v>122</v>
      </c>
      <c r="J379" s="3">
        <f t="shared" si="151"/>
        <v>0.56143580303727569</v>
      </c>
      <c r="K379">
        <v>0</v>
      </c>
      <c r="L379" s="3">
        <f t="shared" si="152"/>
        <v>0</v>
      </c>
      <c r="M379">
        <v>28699</v>
      </c>
      <c r="N379">
        <f t="shared" si="153"/>
        <v>0.13465623861501846</v>
      </c>
      <c r="O379" s="15">
        <v>0.79858452999999996</v>
      </c>
      <c r="P379">
        <f t="shared" si="134"/>
        <v>0.81412056949177514</v>
      </c>
      <c r="Q379">
        <v>0.38350000000000001</v>
      </c>
      <c r="R379">
        <f t="shared" si="135"/>
        <v>0.85014409221902021</v>
      </c>
      <c r="S379">
        <f t="shared" si="136"/>
        <v>0.15072557102716011</v>
      </c>
      <c r="T379" s="14">
        <f t="shared" si="137"/>
        <v>0.25739942342964978</v>
      </c>
      <c r="U379" t="str">
        <f t="shared" si="138"/>
        <v>Low</v>
      </c>
      <c r="V379">
        <f t="shared" si="139"/>
        <v>0.15398807257417513</v>
      </c>
      <c r="W379">
        <f t="shared" si="140"/>
        <v>0.22658192386370268</v>
      </c>
      <c r="X379" t="s">
        <v>1176</v>
      </c>
      <c r="Y379">
        <f t="shared" si="141"/>
        <v>0.14746306948014509</v>
      </c>
      <c r="Z379">
        <f t="shared" si="142"/>
        <v>0.29024422271074174</v>
      </c>
      <c r="AA379" t="str">
        <f t="shared" si="143"/>
        <v>Low</v>
      </c>
      <c r="AB379">
        <f t="shared" si="144"/>
        <v>0.10667142748759528</v>
      </c>
      <c r="AC379">
        <f t="shared" si="145"/>
        <v>0.24601640340490522</v>
      </c>
      <c r="AD379" t="str">
        <f t="shared" si="146"/>
        <v>Low</v>
      </c>
      <c r="AE379">
        <f t="shared" si="147"/>
        <v>2.4390517835972784E-2</v>
      </c>
      <c r="AF379">
        <f t="shared" si="148"/>
        <v>0.12513389154617893</v>
      </c>
      <c r="AG379" t="s">
        <v>1175</v>
      </c>
    </row>
    <row r="380" spans="1:33" x14ac:dyDescent="0.3">
      <c r="A380">
        <v>458988</v>
      </c>
      <c r="B380" t="s">
        <v>481</v>
      </c>
      <c r="C380" s="1" t="s">
        <v>919</v>
      </c>
      <c r="D380" t="s">
        <v>922</v>
      </c>
      <c r="E380" s="4">
        <v>5.8</v>
      </c>
      <c r="F380" s="3">
        <f t="shared" si="129"/>
        <v>0.57777777777777772</v>
      </c>
      <c r="G380">
        <v>48.647880000000001</v>
      </c>
      <c r="H380">
        <f t="shared" si="150"/>
        <v>0.47069744436433048</v>
      </c>
      <c r="I380">
        <v>121.5</v>
      </c>
      <c r="J380" s="3">
        <f t="shared" si="151"/>
        <v>0.55913483663138519</v>
      </c>
      <c r="K380">
        <v>0</v>
      </c>
      <c r="L380" s="3">
        <f t="shared" si="152"/>
        <v>0</v>
      </c>
      <c r="M380">
        <v>54612</v>
      </c>
      <c r="N380">
        <f t="shared" si="153"/>
        <v>0.25726154821554459</v>
      </c>
      <c r="O380" s="15">
        <v>0.83411692699999995</v>
      </c>
      <c r="P380">
        <f t="shared" si="134"/>
        <v>0.85034423047484953</v>
      </c>
      <c r="Q380">
        <v>0.37709999999999999</v>
      </c>
      <c r="R380">
        <f t="shared" si="135"/>
        <v>0.83595655065395702</v>
      </c>
      <c r="S380">
        <f t="shared" si="136"/>
        <v>0.14619767921671695</v>
      </c>
      <c r="T380" s="14">
        <f t="shared" si="137"/>
        <v>0.24966698139332211</v>
      </c>
      <c r="U380" t="str">
        <f t="shared" si="138"/>
        <v>Low</v>
      </c>
      <c r="V380">
        <f t="shared" si="139"/>
        <v>0.14495030661114913</v>
      </c>
      <c r="W380">
        <f t="shared" si="140"/>
        <v>0.21328352766262088</v>
      </c>
      <c r="X380" t="s">
        <v>1176</v>
      </c>
      <c r="Y380">
        <f t="shared" si="141"/>
        <v>0.14744505182228476</v>
      </c>
      <c r="Z380">
        <f t="shared" si="142"/>
        <v>0.29020875945123425</v>
      </c>
      <c r="AA380" t="str">
        <f t="shared" si="143"/>
        <v>Low</v>
      </c>
      <c r="AB380">
        <f t="shared" si="144"/>
        <v>0.11057883513896584</v>
      </c>
      <c r="AC380">
        <f t="shared" si="145"/>
        <v>0.25502806097495861</v>
      </c>
      <c r="AD380" t="str">
        <f t="shared" si="146"/>
        <v>Low</v>
      </c>
      <c r="AE380">
        <f t="shared" si="147"/>
        <v>4.4607749366794916E-2</v>
      </c>
      <c r="AF380">
        <f t="shared" si="148"/>
        <v>0.22885702177060888</v>
      </c>
      <c r="AG380" t="s">
        <v>1175</v>
      </c>
    </row>
    <row r="381" spans="1:33" x14ac:dyDescent="0.3">
      <c r="A381">
        <v>458990</v>
      </c>
      <c r="B381" t="s">
        <v>496</v>
      </c>
      <c r="C381" s="1" t="s">
        <v>919</v>
      </c>
      <c r="D381" t="s">
        <v>923</v>
      </c>
      <c r="E381" s="4">
        <v>5.8</v>
      </c>
      <c r="F381" s="3">
        <f t="shared" si="129"/>
        <v>0.57777777777777772</v>
      </c>
      <c r="G381">
        <v>55.389240000000001</v>
      </c>
      <c r="H381">
        <f t="shared" si="150"/>
        <v>0.53592414948570311</v>
      </c>
      <c r="I381">
        <v>114.6</v>
      </c>
      <c r="J381" s="3">
        <f t="shared" si="151"/>
        <v>0.52738150023009667</v>
      </c>
      <c r="K381">
        <v>0</v>
      </c>
      <c r="L381" s="3">
        <f t="shared" si="152"/>
        <v>0</v>
      </c>
      <c r="M381">
        <v>22103</v>
      </c>
      <c r="N381">
        <f t="shared" si="153"/>
        <v>0.1034477864047352</v>
      </c>
      <c r="O381" s="15">
        <v>0.84620272100000005</v>
      </c>
      <c r="P381">
        <f t="shared" si="134"/>
        <v>0.8626651472024004</v>
      </c>
      <c r="Q381">
        <v>0.39050000000000001</v>
      </c>
      <c r="R381">
        <f t="shared" si="135"/>
        <v>0.86566171580580809</v>
      </c>
      <c r="S381">
        <f t="shared" si="136"/>
        <v>0.15969730527591708</v>
      </c>
      <c r="T381" s="14">
        <f t="shared" si="137"/>
        <v>0.27272077339738654</v>
      </c>
      <c r="U381" t="str">
        <f t="shared" si="138"/>
        <v>Low</v>
      </c>
      <c r="V381">
        <f t="shared" si="139"/>
        <v>0.15997418804692587</v>
      </c>
      <c r="W381">
        <f t="shared" si="140"/>
        <v>0.23539004476301972</v>
      </c>
      <c r="X381" t="s">
        <v>1175</v>
      </c>
      <c r="Y381">
        <f t="shared" si="141"/>
        <v>0.15942042250490829</v>
      </c>
      <c r="Z381">
        <f t="shared" si="142"/>
        <v>0.31377928573760772</v>
      </c>
      <c r="AA381" t="str">
        <f t="shared" si="143"/>
        <v>Moderate</v>
      </c>
      <c r="AB381">
        <f t="shared" si="144"/>
        <v>0.11050809133406078</v>
      </c>
      <c r="AC381">
        <f t="shared" si="145"/>
        <v>0.25486490447789251</v>
      </c>
      <c r="AD381" t="str">
        <f t="shared" si="146"/>
        <v>Low</v>
      </c>
      <c r="AE381">
        <f t="shared" si="147"/>
        <v>1.9117139331897778E-2</v>
      </c>
      <c r="AF381">
        <f t="shared" si="148"/>
        <v>9.8079182078812083E-2</v>
      </c>
      <c r="AG381" t="s">
        <v>1175</v>
      </c>
    </row>
    <row r="382" spans="1:33" x14ac:dyDescent="0.3">
      <c r="A382">
        <v>501006</v>
      </c>
      <c r="B382" t="s">
        <v>2</v>
      </c>
      <c r="C382" s="1" t="s">
        <v>925</v>
      </c>
      <c r="D382" t="s">
        <v>924</v>
      </c>
      <c r="E382" s="4">
        <v>6.2</v>
      </c>
      <c r="F382" s="3">
        <f t="shared" si="129"/>
        <v>0.66666666666666663</v>
      </c>
      <c r="G382">
        <v>60.753960000000006</v>
      </c>
      <c r="H382">
        <f t="shared" si="150"/>
        <v>0.58783103615230015</v>
      </c>
      <c r="I382">
        <v>98</v>
      </c>
      <c r="J382" s="3">
        <f t="shared" si="151"/>
        <v>0.45098941555453292</v>
      </c>
      <c r="K382">
        <v>0</v>
      </c>
      <c r="L382" s="3">
        <f t="shared" si="152"/>
        <v>0</v>
      </c>
      <c r="M382">
        <v>21874</v>
      </c>
      <c r="N382">
        <f t="shared" si="153"/>
        <v>0.10236429102023628</v>
      </c>
      <c r="O382" s="15">
        <v>0.81099589800000005</v>
      </c>
      <c r="P382">
        <f t="shared" si="134"/>
        <v>0.82677339408923145</v>
      </c>
      <c r="Q382">
        <v>0.3836</v>
      </c>
      <c r="R382">
        <f t="shared" si="135"/>
        <v>0.85036577255597423</v>
      </c>
      <c r="S382">
        <f t="shared" si="136"/>
        <v>0.18187472805135002</v>
      </c>
      <c r="T382" s="14">
        <f t="shared" si="137"/>
        <v>0.3105939477808054</v>
      </c>
      <c r="U382" t="str">
        <f t="shared" si="138"/>
        <v>Moderate</v>
      </c>
      <c r="V382">
        <f t="shared" si="139"/>
        <v>0.18443316655368755</v>
      </c>
      <c r="W382">
        <f t="shared" si="140"/>
        <v>0.27137960105241016</v>
      </c>
      <c r="X382" t="s">
        <v>1175</v>
      </c>
      <c r="Y382">
        <f t="shared" si="141"/>
        <v>0.17931628954901249</v>
      </c>
      <c r="Z382">
        <f t="shared" si="142"/>
        <v>0.35293933093217628</v>
      </c>
      <c r="AA382" t="str">
        <f t="shared" si="143"/>
        <v>Moderate</v>
      </c>
      <c r="AB382">
        <f t="shared" si="144"/>
        <v>0.12611700971877432</v>
      </c>
      <c r="AC382">
        <f t="shared" si="145"/>
        <v>0.29086376614583526</v>
      </c>
      <c r="AD382" t="str">
        <f t="shared" si="146"/>
        <v>Low</v>
      </c>
      <c r="AE382">
        <f t="shared" si="147"/>
        <v>2.2201470172228351E-2</v>
      </c>
      <c r="AF382">
        <f t="shared" si="148"/>
        <v>0.11390313151121115</v>
      </c>
      <c r="AG382" t="s">
        <v>1175</v>
      </c>
    </row>
    <row r="383" spans="1:33" x14ac:dyDescent="0.3">
      <c r="A383">
        <v>501020</v>
      </c>
      <c r="B383" t="s">
        <v>87</v>
      </c>
      <c r="C383" s="1" t="s">
        <v>925</v>
      </c>
      <c r="D383" t="s">
        <v>926</v>
      </c>
      <c r="E383" s="4">
        <v>6.1</v>
      </c>
      <c r="F383" s="3">
        <f t="shared" si="129"/>
        <v>0.64444444444444438</v>
      </c>
      <c r="G383">
        <v>65.113200000000006</v>
      </c>
      <c r="H383">
        <f t="shared" si="150"/>
        <v>0.6300093001870487</v>
      </c>
      <c r="I383">
        <v>101.4</v>
      </c>
      <c r="J383" s="3">
        <f t="shared" si="151"/>
        <v>0.4666359871145882</v>
      </c>
      <c r="K383">
        <v>0</v>
      </c>
      <c r="L383" s="3">
        <f t="shared" si="152"/>
        <v>0</v>
      </c>
      <c r="M383">
        <v>69668</v>
      </c>
      <c r="N383">
        <f t="shared" si="153"/>
        <v>0.32849782118067877</v>
      </c>
      <c r="O383" s="15">
        <v>0.80755239599999995</v>
      </c>
      <c r="P383">
        <f t="shared" si="134"/>
        <v>0.82326290057981399</v>
      </c>
      <c r="Q383">
        <v>0.3422</v>
      </c>
      <c r="R383">
        <f t="shared" si="135"/>
        <v>0.75859011305697188</v>
      </c>
      <c r="S383">
        <f t="shared" si="136"/>
        <v>0.17601799804251997</v>
      </c>
      <c r="T383" s="14">
        <f t="shared" si="137"/>
        <v>0.3005922014468384</v>
      </c>
      <c r="U383" t="str">
        <f t="shared" si="138"/>
        <v>Moderate</v>
      </c>
      <c r="V383">
        <f t="shared" si="139"/>
        <v>0.16882164383674689</v>
      </c>
      <c r="W383">
        <f t="shared" si="140"/>
        <v>0.24840841378761455</v>
      </c>
      <c r="X383" t="s">
        <v>1175</v>
      </c>
      <c r="Y383">
        <f t="shared" si="141"/>
        <v>0.18321435224829311</v>
      </c>
      <c r="Z383">
        <f t="shared" si="142"/>
        <v>0.36061169379712243</v>
      </c>
      <c r="AA383" t="str">
        <f t="shared" si="143"/>
        <v>Moderate</v>
      </c>
      <c r="AB383">
        <f t="shared" si="144"/>
        <v>0.13963900563825962</v>
      </c>
      <c r="AC383">
        <f t="shared" si="145"/>
        <v>0.3220495567677375</v>
      </c>
      <c r="AD383" t="str">
        <f t="shared" si="146"/>
        <v>Moderate</v>
      </c>
      <c r="AE383">
        <f t="shared" si="147"/>
        <v>7.3106070345458005E-2</v>
      </c>
      <c r="AF383">
        <f t="shared" si="148"/>
        <v>0.37506571773083525</v>
      </c>
      <c r="AG383" t="str">
        <f t="shared" si="156"/>
        <v>Moderate</v>
      </c>
    </row>
    <row r="384" spans="1:33" x14ac:dyDescent="0.3">
      <c r="A384">
        <v>501027</v>
      </c>
      <c r="B384" t="s">
        <v>147</v>
      </c>
      <c r="C384" s="1" t="s">
        <v>925</v>
      </c>
      <c r="D384" t="s">
        <v>927</v>
      </c>
      <c r="E384" s="4">
        <v>4.8</v>
      </c>
      <c r="F384" s="3">
        <f t="shared" si="129"/>
        <v>0.35555555555555546</v>
      </c>
      <c r="G384">
        <v>64.334879999999998</v>
      </c>
      <c r="H384">
        <f t="shared" si="150"/>
        <v>0.62247858692888314</v>
      </c>
      <c r="I384">
        <v>149</v>
      </c>
      <c r="J384" s="3">
        <f t="shared" si="151"/>
        <v>0.68568798895536132</v>
      </c>
      <c r="K384">
        <v>0</v>
      </c>
      <c r="L384" s="3">
        <f t="shared" si="152"/>
        <v>0</v>
      </c>
      <c r="M384">
        <v>18408</v>
      </c>
      <c r="N384">
        <f t="shared" si="153"/>
        <v>8.5965186205069238E-2</v>
      </c>
      <c r="O384" s="15">
        <v>0.90189240699999995</v>
      </c>
      <c r="P384">
        <f t="shared" si="134"/>
        <v>0.9194382465775387</v>
      </c>
      <c r="Q384">
        <v>0.36120000000000002</v>
      </c>
      <c r="R384">
        <f t="shared" si="135"/>
        <v>0.80070937707825318</v>
      </c>
      <c r="S384">
        <f t="shared" si="136"/>
        <v>0.1180798111621529</v>
      </c>
      <c r="T384" s="14">
        <f t="shared" si="137"/>
        <v>0.20164909712860379</v>
      </c>
      <c r="U384" t="str">
        <f t="shared" si="138"/>
        <v>Low</v>
      </c>
      <c r="V384">
        <f t="shared" si="139"/>
        <v>0.10992964875912831</v>
      </c>
      <c r="W384">
        <f t="shared" si="140"/>
        <v>0.16175325068444066</v>
      </c>
      <c r="X384" t="s">
        <v>1176</v>
      </c>
      <c r="Y384">
        <f t="shared" si="141"/>
        <v>0.12622997356517748</v>
      </c>
      <c r="Z384">
        <f t="shared" si="142"/>
        <v>0.24845217646276793</v>
      </c>
      <c r="AA384" t="str">
        <f t="shared" si="143"/>
        <v>Low</v>
      </c>
      <c r="AB384">
        <f t="shared" si="144"/>
        <v>8.0475134989186015E-2</v>
      </c>
      <c r="AC384">
        <f t="shared" si="145"/>
        <v>0.18559987186696364</v>
      </c>
      <c r="AD384" t="str">
        <f t="shared" si="146"/>
        <v>Low</v>
      </c>
      <c r="AE384">
        <f t="shared" si="147"/>
        <v>1.1802188154108209E-2</v>
      </c>
      <c r="AF384">
        <f t="shared" si="148"/>
        <v>6.0550322974513099E-2</v>
      </c>
      <c r="AG384" t="str">
        <f>IF(AF384&gt;0.7,"High",IF(AF384&gt;0.3,"Moderate",IF(AF384&gt;0.15,"Low","No Impact")))</f>
        <v>No Impact</v>
      </c>
    </row>
    <row r="385" spans="1:33" x14ac:dyDescent="0.3">
      <c r="A385">
        <v>501033</v>
      </c>
      <c r="B385" t="s">
        <v>148</v>
      </c>
      <c r="C385" s="1" t="s">
        <v>925</v>
      </c>
      <c r="D385" t="s">
        <v>928</v>
      </c>
      <c r="E385" s="4">
        <v>6.1</v>
      </c>
      <c r="F385" s="3">
        <f t="shared" si="129"/>
        <v>0.64444444444444438</v>
      </c>
      <c r="G385">
        <v>61.828199999999995</v>
      </c>
      <c r="H385">
        <f t="shared" si="150"/>
        <v>0.59822495306366263</v>
      </c>
      <c r="I385">
        <v>98</v>
      </c>
      <c r="J385" s="3">
        <f t="shared" si="151"/>
        <v>0.45098941555453292</v>
      </c>
      <c r="K385">
        <v>0</v>
      </c>
      <c r="L385" s="3">
        <f t="shared" si="152"/>
        <v>0</v>
      </c>
      <c r="M385">
        <v>19139</v>
      </c>
      <c r="N385">
        <f t="shared" si="153"/>
        <v>8.9423854877858366E-2</v>
      </c>
      <c r="O385" s="15">
        <v>0.751776679</v>
      </c>
      <c r="P385">
        <f t="shared" si="134"/>
        <v>0.76640209651709057</v>
      </c>
      <c r="Q385">
        <v>0.38769999999999999</v>
      </c>
      <c r="R385">
        <f t="shared" si="135"/>
        <v>0.85945466637109291</v>
      </c>
      <c r="S385">
        <f t="shared" si="136"/>
        <v>0.17261446781228168</v>
      </c>
      <c r="T385" s="14">
        <f t="shared" si="137"/>
        <v>0.29477987170797243</v>
      </c>
      <c r="U385" t="str">
        <f t="shared" si="138"/>
        <v>Low</v>
      </c>
      <c r="V385">
        <f t="shared" si="139"/>
        <v>0.18249370206621479</v>
      </c>
      <c r="W385">
        <f t="shared" si="140"/>
        <v>0.26852582421443311</v>
      </c>
      <c r="X385" t="s">
        <v>1175</v>
      </c>
      <c r="Y385">
        <f t="shared" si="141"/>
        <v>0.16273523355834854</v>
      </c>
      <c r="Z385">
        <f t="shared" si="142"/>
        <v>0.32030366340742339</v>
      </c>
      <c r="AA385" t="str">
        <f t="shared" si="143"/>
        <v>Moderate</v>
      </c>
      <c r="AB385">
        <f t="shared" si="144"/>
        <v>0.11933915158821254</v>
      </c>
      <c r="AC385">
        <f t="shared" si="145"/>
        <v>0.27523198620866873</v>
      </c>
      <c r="AD385" t="str">
        <f t="shared" si="146"/>
        <v>Low</v>
      </c>
      <c r="AE385">
        <f t="shared" si="147"/>
        <v>1.8987959421522319E-2</v>
      </c>
      <c r="AF385">
        <f t="shared" si="148"/>
        <v>9.7416433341635744E-2</v>
      </c>
      <c r="AG385" t="s">
        <v>1175</v>
      </c>
    </row>
    <row r="386" spans="1:33" x14ac:dyDescent="0.3">
      <c r="A386">
        <v>501040</v>
      </c>
      <c r="B386" t="s">
        <v>172</v>
      </c>
      <c r="C386" s="1" t="s">
        <v>925</v>
      </c>
      <c r="D386" t="s">
        <v>929</v>
      </c>
      <c r="E386" s="4">
        <v>6.1</v>
      </c>
      <c r="F386" s="3">
        <f t="shared" si="129"/>
        <v>0.64444444444444438</v>
      </c>
      <c r="G386">
        <v>67.832280000000011</v>
      </c>
      <c r="H386">
        <f t="shared" si="150"/>
        <v>0.65631803156490465</v>
      </c>
      <c r="I386">
        <v>125.6</v>
      </c>
      <c r="J386" s="3">
        <f t="shared" si="151"/>
        <v>0.57800276115968707</v>
      </c>
      <c r="K386">
        <v>0</v>
      </c>
      <c r="L386" s="3">
        <f t="shared" si="152"/>
        <v>0</v>
      </c>
      <c r="M386">
        <v>26980</v>
      </c>
      <c r="N386">
        <f t="shared" si="153"/>
        <v>0.12652292609993707</v>
      </c>
      <c r="O386" s="15">
        <v>0.97328912700000003</v>
      </c>
      <c r="P386">
        <f t="shared" si="134"/>
        <v>0.99222395198839219</v>
      </c>
      <c r="Q386">
        <v>0.36809999999999998</v>
      </c>
      <c r="R386">
        <f t="shared" si="135"/>
        <v>0.81600532032808681</v>
      </c>
      <c r="S386">
        <f t="shared" si="136"/>
        <v>0.22031676777397799</v>
      </c>
      <c r="T386" s="14">
        <f t="shared" si="137"/>
        <v>0.37624278754059043</v>
      </c>
      <c r="U386" t="str">
        <f t="shared" si="138"/>
        <v>Moderate</v>
      </c>
      <c r="V386">
        <f t="shared" si="139"/>
        <v>0.1988460837499243</v>
      </c>
      <c r="W386">
        <f t="shared" si="140"/>
        <v>0.29258713000072201</v>
      </c>
      <c r="X386" t="s">
        <v>1175</v>
      </c>
      <c r="Y386">
        <f t="shared" si="141"/>
        <v>0.24178745179803168</v>
      </c>
      <c r="Z386">
        <f t="shared" si="142"/>
        <v>0.47589821136728444</v>
      </c>
      <c r="AA386" t="str">
        <f t="shared" si="143"/>
        <v>Moderate</v>
      </c>
      <c r="AB386">
        <f t="shared" si="144"/>
        <v>0.15292335567814791</v>
      </c>
      <c r="AC386">
        <f t="shared" si="145"/>
        <v>0.35268726449659654</v>
      </c>
      <c r="AD386" t="str">
        <f t="shared" si="146"/>
        <v>Moderate</v>
      </c>
      <c r="AE386">
        <f t="shared" si="147"/>
        <v>3.0831402360756904E-2</v>
      </c>
      <c r="AF386">
        <f t="shared" si="148"/>
        <v>0.15817841118311321</v>
      </c>
      <c r="AG386" t="s">
        <v>1175</v>
      </c>
    </row>
    <row r="387" spans="1:33" x14ac:dyDescent="0.3">
      <c r="A387">
        <v>501054</v>
      </c>
      <c r="B387" t="s">
        <v>235</v>
      </c>
      <c r="C387" s="1" t="s">
        <v>925</v>
      </c>
      <c r="D387" t="s">
        <v>930</v>
      </c>
      <c r="E387" s="4">
        <v>5.9</v>
      </c>
      <c r="F387" s="3">
        <f t="shared" ref="F387:F450" si="158">(E387-$AJ$5)/$AK$5</f>
        <v>0.60000000000000009</v>
      </c>
      <c r="G387">
        <v>64.336320000000015</v>
      </c>
      <c r="H387">
        <f t="shared" si="150"/>
        <v>0.62249251979337572</v>
      </c>
      <c r="I387">
        <v>108.89999999999999</v>
      </c>
      <c r="J387" s="3">
        <f t="shared" si="151"/>
        <v>0.5011504832029452</v>
      </c>
      <c r="K387">
        <v>0</v>
      </c>
      <c r="L387" s="3">
        <f t="shared" si="152"/>
        <v>0</v>
      </c>
      <c r="M387">
        <v>34433</v>
      </c>
      <c r="N387">
        <f t="shared" si="153"/>
        <v>0.16178620601552851</v>
      </c>
      <c r="O387" s="15">
        <v>0.93861198000000001</v>
      </c>
      <c r="P387">
        <f t="shared" ref="P387:P450" si="159">(O387-$AJ$11)/$AK$11</f>
        <v>0.95687217944154601</v>
      </c>
      <c r="Q387">
        <v>0.37859999999999999</v>
      </c>
      <c r="R387">
        <f t="shared" ref="R387:R450" si="160">(Q387-$AJ$12)/$AK$12</f>
        <v>0.83928175570826868</v>
      </c>
      <c r="S387">
        <f t="shared" ref="S387:S450" si="161">F387*(R387*0.5+P387*0.5)*(H387*0.4+J387*0.2+L387*0.4)</f>
        <v>0.1881796914338156</v>
      </c>
      <c r="T387" s="14">
        <f t="shared" ref="T387:T450" si="162">(S387-$AJ$10)/$AK$10</f>
        <v>0.32136115820390776</v>
      </c>
      <c r="U387" t="str">
        <f t="shared" ref="U387:U450" si="163">IF(T387&gt;0.7,"High",IF(T387&gt;0.3,"Moderate",IF(T387&gt;0.15,"Low","No Impact")))</f>
        <v>Moderate</v>
      </c>
      <c r="V387">
        <f t="shared" ref="V387:V450" si="164">F387*(R387*1)*(H387*0.4+J387*0.2+L387*0.4)</f>
        <v>0.17585996247258151</v>
      </c>
      <c r="W387">
        <f t="shared" ref="W387:W450" si="165">(V387-$AJ$13)/$AK$13</f>
        <v>0.25876477289136901</v>
      </c>
      <c r="X387" t="s">
        <v>1175</v>
      </c>
      <c r="Y387">
        <f t="shared" ref="Y387:Y450" si="166">F387*(P387*1)*(H387*0.4+J387*0.2+L387*0.4)</f>
        <v>0.2004994203950497</v>
      </c>
      <c r="Z387">
        <f t="shared" ref="Z387:Z450" si="167">(Y387-$AJ$14)/$AK$14</f>
        <v>0.39463303342095996</v>
      </c>
      <c r="AA387" t="str">
        <f t="shared" ref="AA387:AA450" si="168">IF(Z387&gt;0.7,"High",IF(Z387&gt;0.3,"Moderate",IF(Z387&gt;0.15,"Low","No Impact")))</f>
        <v>Moderate</v>
      </c>
      <c r="AB387">
        <f t="shared" ref="AB387:AB450" si="169">F387*(R387*0.35+P387*0.3+N387*0.35)*(H387*0.4+J387*0.2+L387*0.4)</f>
        <v>0.13356583992360405</v>
      </c>
      <c r="AC387">
        <f t="shared" ref="AC387:AC450" si="170">(AB387-$AJ$15)/$AK$15</f>
        <v>0.30804300954519009</v>
      </c>
      <c r="AD387" t="str">
        <f t="shared" ref="AD387:AD450" si="171">IF(AC387&gt;0.7,"High",IF(AC387&gt;0.3,"Moderate",IF(AC387&gt;0.15,"Low","No Impact")))</f>
        <v>Moderate</v>
      </c>
      <c r="AE387">
        <f t="shared" ref="AE387:AE450" si="172">F387*(N387*1)*(H387*0.4+J387*0.2+L387*0.4)</f>
        <v>3.3900076970530379E-2</v>
      </c>
      <c r="AF387">
        <f t="shared" ref="AF387:AF450" si="173">(AE387-$AJ$16)/$AK$16</f>
        <v>0.1739220373903258</v>
      </c>
      <c r="AG387" t="s">
        <v>1175</v>
      </c>
    </row>
    <row r="388" spans="1:33" x14ac:dyDescent="0.3">
      <c r="A388">
        <v>501067</v>
      </c>
      <c r="B388" t="s">
        <v>367</v>
      </c>
      <c r="C388" s="1" t="s">
        <v>925</v>
      </c>
      <c r="D388" t="s">
        <v>931</v>
      </c>
      <c r="E388" s="4">
        <v>6.2</v>
      </c>
      <c r="F388" s="3">
        <f t="shared" si="158"/>
        <v>0.66666666666666663</v>
      </c>
      <c r="G388">
        <v>60.753960000000006</v>
      </c>
      <c r="H388">
        <f t="shared" si="150"/>
        <v>0.58783103615230015</v>
      </c>
      <c r="I388">
        <v>113.5</v>
      </c>
      <c r="J388" s="3">
        <f t="shared" si="151"/>
        <v>0.52231937413713769</v>
      </c>
      <c r="K388">
        <v>0</v>
      </c>
      <c r="L388" s="3">
        <f t="shared" si="152"/>
        <v>0</v>
      </c>
      <c r="M388">
        <v>24547</v>
      </c>
      <c r="N388">
        <f t="shared" si="153"/>
        <v>0.11501137906724769</v>
      </c>
      <c r="O388" s="15">
        <v>0.97739393500000005</v>
      </c>
      <c r="P388">
        <f t="shared" si="159"/>
        <v>0.99640861685613558</v>
      </c>
      <c r="Q388">
        <v>0.38229999999999997</v>
      </c>
      <c r="R388">
        <f t="shared" si="160"/>
        <v>0.84748392817557072</v>
      </c>
      <c r="S388">
        <f t="shared" si="161"/>
        <v>0.20872635537973827</v>
      </c>
      <c r="T388" s="14">
        <f t="shared" si="162"/>
        <v>0.35644942767963106</v>
      </c>
      <c r="U388" t="str">
        <f t="shared" si="163"/>
        <v>Moderate</v>
      </c>
      <c r="V388">
        <f t="shared" si="164"/>
        <v>0.1918682648266242</v>
      </c>
      <c r="W388">
        <f t="shared" si="165"/>
        <v>0.2823197916959822</v>
      </c>
      <c r="X388" t="s">
        <v>1175</v>
      </c>
      <c r="Y388">
        <f t="shared" si="166"/>
        <v>0.22558444593285235</v>
      </c>
      <c r="Z388">
        <f t="shared" si="167"/>
        <v>0.44400664109483889</v>
      </c>
      <c r="AA388" t="str">
        <f t="shared" si="168"/>
        <v>Moderate</v>
      </c>
      <c r="AB388">
        <f t="shared" si="169"/>
        <v>0.14394262856584786</v>
      </c>
      <c r="AC388">
        <f t="shared" si="170"/>
        <v>0.33197500596433022</v>
      </c>
      <c r="AD388" t="str">
        <f t="shared" si="171"/>
        <v>Moderate</v>
      </c>
      <c r="AE388">
        <f t="shared" si="172"/>
        <v>2.6038291704781901E-2</v>
      </c>
      <c r="AF388">
        <f t="shared" si="173"/>
        <v>0.13358768321960054</v>
      </c>
      <c r="AG388" t="s">
        <v>1175</v>
      </c>
    </row>
    <row r="389" spans="1:33" x14ac:dyDescent="0.3">
      <c r="A389">
        <v>501081</v>
      </c>
      <c r="B389" t="s">
        <v>461</v>
      </c>
      <c r="C389" s="1" t="s">
        <v>925</v>
      </c>
      <c r="D389" t="s">
        <v>932</v>
      </c>
      <c r="E389" s="4">
        <v>6.2</v>
      </c>
      <c r="F389" s="3">
        <f t="shared" si="158"/>
        <v>0.66666666666666663</v>
      </c>
      <c r="G389">
        <v>68.092920000000007</v>
      </c>
      <c r="H389">
        <f t="shared" si="150"/>
        <v>0.65883988003803673</v>
      </c>
      <c r="I389">
        <v>147.79999999999998</v>
      </c>
      <c r="J389" s="3">
        <f t="shared" si="151"/>
        <v>0.68016566958122404</v>
      </c>
      <c r="K389">
        <v>0</v>
      </c>
      <c r="L389" s="3">
        <f t="shared" si="152"/>
        <v>0</v>
      </c>
      <c r="M389">
        <v>19425</v>
      </c>
      <c r="N389">
        <f t="shared" si="153"/>
        <v>9.0777041253258764E-2</v>
      </c>
      <c r="O389" s="16">
        <v>0.93699572499999995</v>
      </c>
      <c r="P389">
        <f t="shared" si="159"/>
        <v>0.95522448105569824</v>
      </c>
      <c r="Q389">
        <v>0.2823</v>
      </c>
      <c r="R389">
        <f t="shared" si="160"/>
        <v>0.62580359122145868</v>
      </c>
      <c r="S389">
        <f t="shared" si="161"/>
        <v>0.21057664722392033</v>
      </c>
      <c r="T389" s="14">
        <f t="shared" si="162"/>
        <v>0.35960923693179325</v>
      </c>
      <c r="U389" t="str">
        <f t="shared" si="163"/>
        <v>Moderate</v>
      </c>
      <c r="V389">
        <f t="shared" si="164"/>
        <v>0.16670117927798864</v>
      </c>
      <c r="W389">
        <f t="shared" si="165"/>
        <v>0.2452883088913291</v>
      </c>
      <c r="X389" t="s">
        <v>1175</v>
      </c>
      <c r="Y389">
        <f t="shared" si="166"/>
        <v>0.254452115169852</v>
      </c>
      <c r="Z389">
        <f t="shared" si="167"/>
        <v>0.50082543815841074</v>
      </c>
      <c r="AA389" t="str">
        <f t="shared" si="168"/>
        <v>Moderate</v>
      </c>
      <c r="AB389">
        <f t="shared" si="169"/>
        <v>0.14314444382424793</v>
      </c>
      <c r="AC389">
        <f t="shared" si="170"/>
        <v>0.33013415181991629</v>
      </c>
      <c r="AD389" t="str">
        <f t="shared" si="171"/>
        <v>Moderate</v>
      </c>
      <c r="AE389">
        <f t="shared" si="172"/>
        <v>2.4181132931417992E-2</v>
      </c>
      <c r="AF389">
        <f t="shared" si="173"/>
        <v>0.12405965654575091</v>
      </c>
      <c r="AG389" t="s">
        <v>1175</v>
      </c>
    </row>
    <row r="390" spans="1:33" x14ac:dyDescent="0.3">
      <c r="A390">
        <v>501085</v>
      </c>
      <c r="B390" t="s">
        <v>475</v>
      </c>
      <c r="C390" s="1" t="s">
        <v>925</v>
      </c>
      <c r="D390" t="s">
        <v>933</v>
      </c>
      <c r="E390" s="4">
        <v>6.1</v>
      </c>
      <c r="F390" s="3">
        <f t="shared" si="158"/>
        <v>0.64444444444444438</v>
      </c>
      <c r="G390">
        <v>63.607320000000009</v>
      </c>
      <c r="H390">
        <f t="shared" si="150"/>
        <v>0.61543900714407629</v>
      </c>
      <c r="I390">
        <v>124.10000000000001</v>
      </c>
      <c r="J390" s="3">
        <f t="shared" si="151"/>
        <v>0.57109986194201579</v>
      </c>
      <c r="K390">
        <v>0</v>
      </c>
      <c r="L390" s="3">
        <f t="shared" si="152"/>
        <v>0</v>
      </c>
      <c r="M390">
        <v>37871</v>
      </c>
      <c r="N390">
        <f t="shared" si="153"/>
        <v>0.17805283104569133</v>
      </c>
      <c r="O390" s="15">
        <v>0.52870257499999995</v>
      </c>
      <c r="P390">
        <f t="shared" si="159"/>
        <v>0.53898820385459745</v>
      </c>
      <c r="Q390">
        <v>0.36380000000000001</v>
      </c>
      <c r="R390">
        <f t="shared" si="160"/>
        <v>0.80647306583906009</v>
      </c>
      <c r="S390">
        <f t="shared" si="161"/>
        <v>0.15624500399569588</v>
      </c>
      <c r="T390" s="14">
        <f t="shared" si="162"/>
        <v>0.26682515560022951</v>
      </c>
      <c r="U390" t="str">
        <f t="shared" si="163"/>
        <v>Low</v>
      </c>
      <c r="V390">
        <f t="shared" si="164"/>
        <v>0.18730734244492248</v>
      </c>
      <c r="W390">
        <f t="shared" si="165"/>
        <v>0.27560873576441836</v>
      </c>
      <c r="X390" t="s">
        <v>1175</v>
      </c>
      <c r="Y390">
        <f t="shared" si="166"/>
        <v>0.12518266554646931</v>
      </c>
      <c r="Z390">
        <f t="shared" si="167"/>
        <v>0.24639081219780118</v>
      </c>
      <c r="AA390" t="str">
        <f t="shared" si="168"/>
        <v>Low</v>
      </c>
      <c r="AB390">
        <f t="shared" si="169"/>
        <v>0.11758614602098146</v>
      </c>
      <c r="AC390">
        <f t="shared" si="170"/>
        <v>0.2711890279868045</v>
      </c>
      <c r="AD390" t="str">
        <f t="shared" si="171"/>
        <v>Low</v>
      </c>
      <c r="AE390">
        <f t="shared" si="172"/>
        <v>4.1353647146622353E-2</v>
      </c>
      <c r="AF390">
        <f t="shared" si="173"/>
        <v>0.21216207182991142</v>
      </c>
      <c r="AG390" t="s">
        <v>1175</v>
      </c>
    </row>
    <row r="391" spans="1:33" x14ac:dyDescent="0.3">
      <c r="A391">
        <v>501088</v>
      </c>
      <c r="B391" t="s">
        <v>480</v>
      </c>
      <c r="C391" s="1" t="s">
        <v>925</v>
      </c>
      <c r="D391" t="s">
        <v>919</v>
      </c>
      <c r="E391" s="4">
        <v>6.2</v>
      </c>
      <c r="F391" s="3">
        <f t="shared" si="158"/>
        <v>0.66666666666666663</v>
      </c>
      <c r="G391">
        <v>62.400600000000004</v>
      </c>
      <c r="H391">
        <f t="shared" ref="H391:H454" si="174">(G391-$AJ$6)/$AK$6</f>
        <v>0.60376326669940894</v>
      </c>
      <c r="I391">
        <v>149</v>
      </c>
      <c r="J391" s="3">
        <f t="shared" ref="J391:J454" si="175">(I391-$AJ$7)/$AK$7</f>
        <v>0.68568798895536132</v>
      </c>
      <c r="K391">
        <v>0</v>
      </c>
      <c r="L391" s="3">
        <f t="shared" ref="L391:L454" si="176">(K391-$AJ$8)/$AK$8</f>
        <v>0</v>
      </c>
      <c r="M391">
        <v>36509</v>
      </c>
      <c r="N391">
        <f t="shared" ref="N391:N454" si="177">(M391-$AJ$9)/$AK$9</f>
        <v>0.17160863578941393</v>
      </c>
      <c r="O391" s="15">
        <v>0.92990620000000002</v>
      </c>
      <c r="P391">
        <f t="shared" si="159"/>
        <v>0.94799703309796468</v>
      </c>
      <c r="Q391">
        <v>0.37080000000000002</v>
      </c>
      <c r="R391">
        <f t="shared" si="160"/>
        <v>0.82199068942584796</v>
      </c>
      <c r="S391">
        <f t="shared" si="161"/>
        <v>0.22339776404471207</v>
      </c>
      <c r="T391" s="14">
        <f t="shared" si="162"/>
        <v>0.38150431455469574</v>
      </c>
      <c r="U391" t="str">
        <f t="shared" si="163"/>
        <v>Moderate</v>
      </c>
      <c r="V391">
        <f t="shared" si="164"/>
        <v>0.20749396139479187</v>
      </c>
      <c r="W391">
        <f t="shared" si="165"/>
        <v>0.30531183472204482</v>
      </c>
      <c r="X391" t="str">
        <f t="shared" ref="X391:X447" si="178">IF(W391&gt;0.7,"High",IF(W391&gt;0.3,"Moderate",IF(W391&gt;0.15,"Low","No Impact")))</f>
        <v>Moderate</v>
      </c>
      <c r="Y391">
        <f t="shared" si="166"/>
        <v>0.23930156669463226</v>
      </c>
      <c r="Z391">
        <f t="shared" si="167"/>
        <v>0.47100536740216187</v>
      </c>
      <c r="AA391" t="str">
        <f t="shared" si="168"/>
        <v>Moderate</v>
      </c>
      <c r="AB391">
        <f t="shared" si="169"/>
        <v>0.15957498136366921</v>
      </c>
      <c r="AC391">
        <f t="shared" si="170"/>
        <v>0.36802791443903721</v>
      </c>
      <c r="AD391" t="str">
        <f t="shared" si="171"/>
        <v>Moderate</v>
      </c>
      <c r="AE391">
        <f t="shared" si="172"/>
        <v>4.3318928191721007E-2</v>
      </c>
      <c r="AF391">
        <f t="shared" si="173"/>
        <v>0.22224481245924041</v>
      </c>
      <c r="AG391" t="s">
        <v>1175</v>
      </c>
    </row>
    <row r="392" spans="1:33" x14ac:dyDescent="0.3">
      <c r="A392">
        <v>501094</v>
      </c>
      <c r="B392" t="s">
        <v>484</v>
      </c>
      <c r="C392" s="1" t="s">
        <v>925</v>
      </c>
      <c r="D392" t="s">
        <v>1146</v>
      </c>
      <c r="E392" s="4">
        <v>6.1</v>
      </c>
      <c r="F392" s="3">
        <f t="shared" si="158"/>
        <v>0.64444444444444438</v>
      </c>
      <c r="G392">
        <v>67.832280000000011</v>
      </c>
      <c r="H392">
        <f t="shared" si="174"/>
        <v>0.65631803156490465</v>
      </c>
      <c r="I392">
        <v>100.8</v>
      </c>
      <c r="J392" s="3">
        <f t="shared" si="175"/>
        <v>0.46387482742751956</v>
      </c>
      <c r="K392">
        <v>0</v>
      </c>
      <c r="L392" s="3">
        <f t="shared" si="176"/>
        <v>0</v>
      </c>
      <c r="M392">
        <v>25068</v>
      </c>
      <c r="N392">
        <f t="shared" si="177"/>
        <v>0.11747644935250505</v>
      </c>
      <c r="O392" s="15">
        <v>0.92204198299999995</v>
      </c>
      <c r="P392">
        <f t="shared" si="159"/>
        <v>0.93997982191726859</v>
      </c>
      <c r="Q392">
        <v>0.36270000000000002</v>
      </c>
      <c r="R392">
        <f t="shared" si="160"/>
        <v>0.80403458213256485</v>
      </c>
      <c r="S392">
        <f t="shared" si="161"/>
        <v>0.1996656819564844</v>
      </c>
      <c r="T392" s="14">
        <f t="shared" si="162"/>
        <v>0.34097619311739719</v>
      </c>
      <c r="U392" t="str">
        <f t="shared" si="163"/>
        <v>Moderate</v>
      </c>
      <c r="V392">
        <f t="shared" si="164"/>
        <v>0.18410182024334737</v>
      </c>
      <c r="W392">
        <f t="shared" si="165"/>
        <v>0.27089204975569625</v>
      </c>
      <c r="X392" t="s">
        <v>1175</v>
      </c>
      <c r="Y392">
        <f t="shared" si="166"/>
        <v>0.21522954366962141</v>
      </c>
      <c r="Z392">
        <f t="shared" si="167"/>
        <v>0.42362560217280676</v>
      </c>
      <c r="AA392" t="str">
        <f t="shared" si="168"/>
        <v>Moderate</v>
      </c>
      <c r="AB392">
        <f t="shared" si="169"/>
        <v>0.13841910749866301</v>
      </c>
      <c r="AC392">
        <f t="shared" si="170"/>
        <v>0.31923610465696689</v>
      </c>
      <c r="AD392" t="str">
        <f t="shared" si="171"/>
        <v>Moderate</v>
      </c>
      <c r="AE392">
        <f t="shared" si="172"/>
        <v>2.6898878036014304E-2</v>
      </c>
      <c r="AF392">
        <f t="shared" si="173"/>
        <v>0.13800286281368579</v>
      </c>
      <c r="AG392" t="s">
        <v>1175</v>
      </c>
    </row>
    <row r="393" spans="1:33" x14ac:dyDescent="0.3">
      <c r="A393">
        <v>501095</v>
      </c>
      <c r="B393" t="s">
        <v>495</v>
      </c>
      <c r="C393" s="1" t="s">
        <v>925</v>
      </c>
      <c r="D393" t="s">
        <v>934</v>
      </c>
      <c r="E393" s="4">
        <v>6.2</v>
      </c>
      <c r="F393" s="3">
        <f t="shared" si="158"/>
        <v>0.66666666666666663</v>
      </c>
      <c r="G393">
        <v>68.092920000000007</v>
      </c>
      <c r="H393">
        <f t="shared" si="174"/>
        <v>0.65883988003803673</v>
      </c>
      <c r="I393">
        <v>116.8</v>
      </c>
      <c r="J393" s="3">
        <f t="shared" si="175"/>
        <v>0.53750575241601473</v>
      </c>
      <c r="K393">
        <v>0</v>
      </c>
      <c r="L393" s="3">
        <f t="shared" si="176"/>
        <v>0</v>
      </c>
      <c r="M393">
        <v>3652</v>
      </c>
      <c r="N393">
        <f t="shared" si="177"/>
        <v>1.6148339507837599E-2</v>
      </c>
      <c r="O393" s="15">
        <v>0.96362958300000001</v>
      </c>
      <c r="P393">
        <f t="shared" si="159"/>
        <v>0.98237648667083721</v>
      </c>
      <c r="Q393">
        <v>0.33339999999999997</v>
      </c>
      <c r="R393">
        <f t="shared" si="160"/>
        <v>0.73908224340500994</v>
      </c>
      <c r="S393">
        <f t="shared" si="161"/>
        <v>0.21290835309264927</v>
      </c>
      <c r="T393" s="14">
        <f t="shared" si="162"/>
        <v>0.36359117405187363</v>
      </c>
      <c r="U393" t="str">
        <f t="shared" si="163"/>
        <v>Moderate</v>
      </c>
      <c r="V393">
        <f t="shared" si="164"/>
        <v>0.18281795606735007</v>
      </c>
      <c r="W393">
        <f t="shared" si="165"/>
        <v>0.26900293970896172</v>
      </c>
      <c r="X393" t="s">
        <v>1175</v>
      </c>
      <c r="Y393">
        <f t="shared" si="166"/>
        <v>0.24299875011794855</v>
      </c>
      <c r="Z393">
        <f t="shared" si="167"/>
        <v>0.47828234958286958</v>
      </c>
      <c r="AA393" t="str">
        <f t="shared" si="168"/>
        <v>Moderate</v>
      </c>
      <c r="AB393">
        <f t="shared" si="169"/>
        <v>0.13828395738255847</v>
      </c>
      <c r="AC393">
        <f t="shared" si="170"/>
        <v>0.31892440782992609</v>
      </c>
      <c r="AD393" t="str">
        <f t="shared" si="171"/>
        <v>Moderate</v>
      </c>
      <c r="AE393">
        <f t="shared" si="172"/>
        <v>3.9944220674325241E-3</v>
      </c>
      <c r="AF393">
        <f t="shared" si="173"/>
        <v>2.049311052504884E-2</v>
      </c>
      <c r="AG393" t="str">
        <f t="shared" ref="AG393:AG394" si="179">IF(AF393&gt;0.7,"High",IF(AF393&gt;0.3,"Moderate",IF(AF393&gt;0.15,"Low","No Impact")))</f>
        <v>No Impact</v>
      </c>
    </row>
    <row r="394" spans="1:33" x14ac:dyDescent="0.3">
      <c r="A394">
        <v>503813</v>
      </c>
      <c r="B394" t="s">
        <v>7</v>
      </c>
      <c r="C394" s="1" t="s">
        <v>936</v>
      </c>
      <c r="D394" t="s">
        <v>935</v>
      </c>
      <c r="E394" s="4">
        <v>4.9000000000000004</v>
      </c>
      <c r="F394" s="3">
        <f t="shared" si="158"/>
        <v>0.37777777777777782</v>
      </c>
      <c r="G394">
        <v>60.681960000000004</v>
      </c>
      <c r="H394">
        <f t="shared" si="174"/>
        <v>0.58713439292767799</v>
      </c>
      <c r="I394">
        <v>78.600000000000009</v>
      </c>
      <c r="J394" s="3">
        <f t="shared" si="175"/>
        <v>0.3617119190059826</v>
      </c>
      <c r="K394">
        <v>0</v>
      </c>
      <c r="L394" s="3">
        <f t="shared" si="176"/>
        <v>0</v>
      </c>
      <c r="M394">
        <v>9388</v>
      </c>
      <c r="N394">
        <f t="shared" si="177"/>
        <v>4.328776975013366E-2</v>
      </c>
      <c r="O394" s="15">
        <v>0.88633129300000002</v>
      </c>
      <c r="P394">
        <f t="shared" si="159"/>
        <v>0.90357439933821593</v>
      </c>
      <c r="Q394">
        <v>0.36990000000000001</v>
      </c>
      <c r="R394">
        <f t="shared" si="160"/>
        <v>0.81999556639326088</v>
      </c>
      <c r="S394">
        <f t="shared" si="161"/>
        <v>0.10001176352070032</v>
      </c>
      <c r="T394" s="14">
        <f t="shared" si="162"/>
        <v>0.17079364895404486</v>
      </c>
      <c r="U394" t="str">
        <f t="shared" si="163"/>
        <v>Low</v>
      </c>
      <c r="V394">
        <f t="shared" si="164"/>
        <v>9.516202336392085E-2</v>
      </c>
      <c r="W394">
        <f t="shared" si="165"/>
        <v>0.14002379516876884</v>
      </c>
      <c r="X394" t="s">
        <v>1176</v>
      </c>
      <c r="Y394">
        <f t="shared" si="166"/>
        <v>0.10486150367747979</v>
      </c>
      <c r="Z394">
        <f t="shared" si="167"/>
        <v>0.20639368035972991</v>
      </c>
      <c r="AA394" t="str">
        <f t="shared" si="168"/>
        <v>Low</v>
      </c>
      <c r="AB394">
        <f t="shared" si="169"/>
        <v>6.6523428683289476E-2</v>
      </c>
      <c r="AC394">
        <f t="shared" si="170"/>
        <v>0.15342303981756272</v>
      </c>
      <c r="AD394" t="str">
        <f t="shared" si="171"/>
        <v>Low</v>
      </c>
      <c r="AE394">
        <f t="shared" si="172"/>
        <v>5.0236268647806922E-3</v>
      </c>
      <c r="AF394">
        <f t="shared" si="173"/>
        <v>2.5773375682036484E-2</v>
      </c>
      <c r="AG394" t="str">
        <f t="shared" si="179"/>
        <v>No Impact</v>
      </c>
    </row>
    <row r="395" spans="1:33" x14ac:dyDescent="0.3">
      <c r="A395">
        <v>503847</v>
      </c>
      <c r="B395" t="s">
        <v>227</v>
      </c>
      <c r="C395" s="1" t="s">
        <v>936</v>
      </c>
      <c r="D395" t="s">
        <v>937</v>
      </c>
      <c r="E395" s="4">
        <v>4.9000000000000004</v>
      </c>
      <c r="F395" s="3">
        <f t="shared" si="158"/>
        <v>0.37777777777777782</v>
      </c>
      <c r="G395">
        <v>62.749079999999999</v>
      </c>
      <c r="H395">
        <f t="shared" si="174"/>
        <v>0.60713501990658014</v>
      </c>
      <c r="I395">
        <v>82</v>
      </c>
      <c r="J395" s="3">
        <f t="shared" si="175"/>
        <v>0.37735849056603776</v>
      </c>
      <c r="K395">
        <v>0</v>
      </c>
      <c r="L395" s="3">
        <f t="shared" si="176"/>
        <v>0</v>
      </c>
      <c r="M395">
        <v>39555</v>
      </c>
      <c r="N395">
        <f t="shared" si="177"/>
        <v>0.18602054382951744</v>
      </c>
      <c r="O395" s="15">
        <v>0.84150902999999999</v>
      </c>
      <c r="P395">
        <f t="shared" si="159"/>
        <v>0.85788014292747605</v>
      </c>
      <c r="Q395">
        <v>0.35249999999999998</v>
      </c>
      <c r="R395">
        <f t="shared" si="160"/>
        <v>0.78142318776324537</v>
      </c>
      <c r="S395">
        <f t="shared" si="161"/>
        <v>9.8568340373868815E-2</v>
      </c>
      <c r="T395" s="14">
        <f t="shared" si="162"/>
        <v>0.16832866386075576</v>
      </c>
      <c r="U395" t="str">
        <f t="shared" si="163"/>
        <v>Low</v>
      </c>
      <c r="V395">
        <f t="shared" si="164"/>
        <v>9.397112212909034E-2</v>
      </c>
      <c r="W395">
        <f t="shared" si="165"/>
        <v>0.13827147313233595</v>
      </c>
      <c r="X395" t="s">
        <v>1176</v>
      </c>
      <c r="Y395">
        <f t="shared" si="166"/>
        <v>0.1031655586186473</v>
      </c>
      <c r="Z395">
        <f t="shared" si="167"/>
        <v>0.20305563608127933</v>
      </c>
      <c r="AA395" t="str">
        <f t="shared" si="168"/>
        <v>Low</v>
      </c>
      <c r="AB395">
        <f t="shared" si="169"/>
        <v>7.1669115213151349E-2</v>
      </c>
      <c r="AC395">
        <f t="shared" si="170"/>
        <v>0.16529054101204049</v>
      </c>
      <c r="AD395" t="str">
        <f t="shared" si="171"/>
        <v>Low</v>
      </c>
      <c r="AE395">
        <f t="shared" si="172"/>
        <v>2.2370156806787288E-2</v>
      </c>
      <c r="AF395">
        <f t="shared" si="173"/>
        <v>0.11476856680767114</v>
      </c>
      <c r="AG395" t="s">
        <v>1175</v>
      </c>
    </row>
    <row r="396" spans="1:33" x14ac:dyDescent="0.3">
      <c r="A396">
        <v>503858</v>
      </c>
      <c r="B396" t="s">
        <v>239</v>
      </c>
      <c r="C396" s="1" t="s">
        <v>936</v>
      </c>
      <c r="D396" t="s">
        <v>938</v>
      </c>
      <c r="E396" s="4">
        <v>4.8</v>
      </c>
      <c r="F396" s="3">
        <f t="shared" si="158"/>
        <v>0.35555555555555546</v>
      </c>
      <c r="G396">
        <v>65.023560000000003</v>
      </c>
      <c r="H396">
        <f t="shared" si="174"/>
        <v>0.62914197937239413</v>
      </c>
      <c r="I396">
        <v>96</v>
      </c>
      <c r="J396" s="3">
        <f t="shared" si="175"/>
        <v>0.44178554993097102</v>
      </c>
      <c r="K396">
        <v>0</v>
      </c>
      <c r="L396" s="3">
        <f t="shared" si="176"/>
        <v>0</v>
      </c>
      <c r="M396">
        <v>15941</v>
      </c>
      <c r="N396">
        <f t="shared" si="177"/>
        <v>7.4292770862017576E-2</v>
      </c>
      <c r="O396" s="15">
        <v>0.83478990600000003</v>
      </c>
      <c r="P396">
        <f t="shared" si="159"/>
        <v>0.85103030192521445</v>
      </c>
      <c r="Q396">
        <v>0.37359999999999999</v>
      </c>
      <c r="R396">
        <f t="shared" si="160"/>
        <v>0.82819773886056303</v>
      </c>
      <c r="S396">
        <f t="shared" si="161"/>
        <v>0.10150415609789276</v>
      </c>
      <c r="T396" s="14">
        <f t="shared" si="162"/>
        <v>0.17334226088685886</v>
      </c>
      <c r="U396" t="str">
        <f t="shared" si="163"/>
        <v>Low</v>
      </c>
      <c r="V396">
        <f t="shared" si="164"/>
        <v>0.10012399807936369</v>
      </c>
      <c r="W396">
        <f t="shared" si="165"/>
        <v>0.14732496959347322</v>
      </c>
      <c r="X396" t="s">
        <v>1176</v>
      </c>
      <c r="Y396">
        <f t="shared" si="166"/>
        <v>0.10288431411642183</v>
      </c>
      <c r="Z396">
        <f t="shared" si="167"/>
        <v>0.20250207652072039</v>
      </c>
      <c r="AA396" t="str">
        <f t="shared" si="168"/>
        <v>Low</v>
      </c>
      <c r="AB396">
        <f t="shared" si="169"/>
        <v>6.905223177142511E-2</v>
      </c>
      <c r="AC396">
        <f t="shared" si="170"/>
        <v>0.15925522051782282</v>
      </c>
      <c r="AD396" t="str">
        <f t="shared" si="171"/>
        <v>Low</v>
      </c>
      <c r="AE396">
        <f t="shared" si="172"/>
        <v>8.9815377392036232E-3</v>
      </c>
      <c r="AF396">
        <f t="shared" si="173"/>
        <v>4.6079168016589768E-2</v>
      </c>
      <c r="AG396" t="str">
        <f t="shared" ref="AG396:AG397" si="180">IF(AF396&gt;0.7,"High",IF(AF396&gt;0.3,"Moderate",IF(AF396&gt;0.15,"Low","No Impact")))</f>
        <v>No Impact</v>
      </c>
    </row>
    <row r="397" spans="1:33" x14ac:dyDescent="0.3">
      <c r="A397">
        <v>503861</v>
      </c>
      <c r="B397" t="s">
        <v>274</v>
      </c>
      <c r="C397" s="1" t="s">
        <v>936</v>
      </c>
      <c r="D397" t="s">
        <v>939</v>
      </c>
      <c r="E397" s="4">
        <v>4.9000000000000004</v>
      </c>
      <c r="F397" s="3">
        <f t="shared" si="158"/>
        <v>0.37777777777777782</v>
      </c>
      <c r="G397">
        <v>62.749079999999999</v>
      </c>
      <c r="H397">
        <f t="shared" si="174"/>
        <v>0.60713501990658014</v>
      </c>
      <c r="I397">
        <v>89.1</v>
      </c>
      <c r="J397" s="3">
        <f t="shared" si="175"/>
        <v>0.4100322135296825</v>
      </c>
      <c r="K397">
        <v>0</v>
      </c>
      <c r="L397" s="3">
        <f t="shared" si="176"/>
        <v>0</v>
      </c>
      <c r="M397">
        <v>16611</v>
      </c>
      <c r="N397">
        <f t="shared" si="177"/>
        <v>7.746282286033318E-2</v>
      </c>
      <c r="O397" s="15">
        <v>0.98052543800000003</v>
      </c>
      <c r="P397">
        <f t="shared" si="159"/>
        <v>0.99960104159008978</v>
      </c>
      <c r="Q397">
        <v>0.35930000000000001</v>
      </c>
      <c r="R397">
        <f t="shared" si="160"/>
        <v>0.7964974506761251</v>
      </c>
      <c r="S397">
        <f t="shared" si="161"/>
        <v>0.1102131468436285</v>
      </c>
      <c r="T397" s="14">
        <f t="shared" si="162"/>
        <v>0.18821491442089386</v>
      </c>
      <c r="U397" t="str">
        <f t="shared" si="163"/>
        <v>Low</v>
      </c>
      <c r="V397">
        <f t="shared" si="164"/>
        <v>9.7750196740248971E-2</v>
      </c>
      <c r="W397">
        <f t="shared" si="165"/>
        <v>0.14383209858537768</v>
      </c>
      <c r="X397" t="s">
        <v>1176</v>
      </c>
      <c r="Y397">
        <f t="shared" si="166"/>
        <v>0.12267609694700804</v>
      </c>
      <c r="Z397">
        <f t="shared" si="167"/>
        <v>0.24145725793647649</v>
      </c>
      <c r="AA397" t="str">
        <f t="shared" si="168"/>
        <v>Low</v>
      </c>
      <c r="AB397">
        <f t="shared" si="169"/>
        <v>7.4342718274069103E-2</v>
      </c>
      <c r="AC397">
        <f t="shared" si="170"/>
        <v>0.17145667401195577</v>
      </c>
      <c r="AD397" t="str">
        <f t="shared" si="171"/>
        <v>Low</v>
      </c>
      <c r="AE397">
        <f t="shared" si="172"/>
        <v>9.5066295167987695E-3</v>
      </c>
      <c r="AF397">
        <f t="shared" si="173"/>
        <v>4.8773115639648125E-2</v>
      </c>
      <c r="AG397" t="str">
        <f t="shared" si="180"/>
        <v>No Impact</v>
      </c>
    </row>
    <row r="398" spans="1:33" x14ac:dyDescent="0.3">
      <c r="A398">
        <v>503874</v>
      </c>
      <c r="B398" t="s">
        <v>398</v>
      </c>
      <c r="C398" s="1" t="s">
        <v>936</v>
      </c>
      <c r="D398" t="s">
        <v>940</v>
      </c>
      <c r="E398" s="4">
        <v>4.9000000000000004</v>
      </c>
      <c r="F398" s="3">
        <f t="shared" si="158"/>
        <v>0.37777777777777782</v>
      </c>
      <c r="G398">
        <v>62.384400000000007</v>
      </c>
      <c r="H398">
        <f t="shared" si="174"/>
        <v>0.60360652197386899</v>
      </c>
      <c r="I398">
        <v>75</v>
      </c>
      <c r="J398" s="3">
        <f t="shared" si="175"/>
        <v>0.34514496088357111</v>
      </c>
      <c r="K398">
        <v>0</v>
      </c>
      <c r="L398" s="3">
        <f t="shared" si="176"/>
        <v>0</v>
      </c>
      <c r="M398">
        <v>30322</v>
      </c>
      <c r="N398">
        <f t="shared" si="177"/>
        <v>0.14233533472437107</v>
      </c>
      <c r="O398" s="15">
        <v>0.97248174600000004</v>
      </c>
      <c r="P398">
        <f t="shared" si="159"/>
        <v>0.99140086381823078</v>
      </c>
      <c r="Q398">
        <v>0.37840000000000001</v>
      </c>
      <c r="R398">
        <f t="shared" si="160"/>
        <v>0.83883839503436053</v>
      </c>
      <c r="S398">
        <f t="shared" si="161"/>
        <v>0.1073337146489285</v>
      </c>
      <c r="T398" s="14">
        <f t="shared" si="162"/>
        <v>0.18329760555505453</v>
      </c>
      <c r="U398" t="str">
        <f t="shared" si="163"/>
        <v>Low</v>
      </c>
      <c r="V398">
        <f t="shared" si="164"/>
        <v>9.8386744239797513E-2</v>
      </c>
      <c r="W398">
        <f t="shared" si="165"/>
        <v>0.14476873058983936</v>
      </c>
      <c r="X398" t="s">
        <v>1176</v>
      </c>
      <c r="Y398">
        <f t="shared" si="166"/>
        <v>0.11628068505805951</v>
      </c>
      <c r="Z398">
        <f t="shared" si="167"/>
        <v>0.22886948691579503</v>
      </c>
      <c r="AA398" t="str">
        <f t="shared" si="168"/>
        <v>Low</v>
      </c>
      <c r="AB398">
        <f t="shared" si="169"/>
        <v>7.516260870164404E-2</v>
      </c>
      <c r="AC398">
        <f t="shared" si="170"/>
        <v>0.17334758799828592</v>
      </c>
      <c r="AD398" t="str">
        <f t="shared" si="171"/>
        <v>Low</v>
      </c>
      <c r="AE398">
        <f t="shared" si="172"/>
        <v>1.6694407715134495E-2</v>
      </c>
      <c r="AF398">
        <f t="shared" si="173"/>
        <v>8.5649522429256553E-2</v>
      </c>
      <c r="AG398" t="s">
        <v>1175</v>
      </c>
    </row>
    <row r="399" spans="1:33" x14ac:dyDescent="0.3">
      <c r="A399">
        <v>506403</v>
      </c>
      <c r="B399" t="s">
        <v>17</v>
      </c>
      <c r="C399" s="1" t="s">
        <v>942</v>
      </c>
      <c r="D399" t="s">
        <v>941</v>
      </c>
      <c r="E399" s="4">
        <v>6.3</v>
      </c>
      <c r="F399" s="3">
        <f t="shared" si="158"/>
        <v>0.68888888888888877</v>
      </c>
      <c r="G399">
        <v>59.847480000000004</v>
      </c>
      <c r="H399">
        <f t="shared" si="174"/>
        <v>0.57906029795430725</v>
      </c>
      <c r="I399">
        <v>89.7</v>
      </c>
      <c r="J399" s="3">
        <f t="shared" si="175"/>
        <v>0.41279337321675108</v>
      </c>
      <c r="K399">
        <v>0</v>
      </c>
      <c r="L399" s="3">
        <f t="shared" si="176"/>
        <v>0</v>
      </c>
      <c r="M399">
        <v>16370</v>
      </c>
      <c r="N399">
        <f t="shared" si="177"/>
        <v>7.6322550425118166E-2</v>
      </c>
      <c r="O399" s="15">
        <v>0.84875984000000004</v>
      </c>
      <c r="P399">
        <f t="shared" si="159"/>
        <v>0.8652720135995472</v>
      </c>
      <c r="Q399">
        <v>0.27539999999999998</v>
      </c>
      <c r="R399">
        <f t="shared" si="160"/>
        <v>0.61050764797162482</v>
      </c>
      <c r="S399">
        <f t="shared" si="161"/>
        <v>0.1597066876824689</v>
      </c>
      <c r="T399" s="14">
        <f t="shared" si="162"/>
        <v>0.27273679606706602</v>
      </c>
      <c r="U399" t="str">
        <f t="shared" si="163"/>
        <v>Low</v>
      </c>
      <c r="V399">
        <f t="shared" si="164"/>
        <v>0.13213646562733952</v>
      </c>
      <c r="W399">
        <f t="shared" si="165"/>
        <v>0.19442891968123585</v>
      </c>
      <c r="X399" t="s">
        <v>1176</v>
      </c>
      <c r="Y399">
        <f t="shared" si="166"/>
        <v>0.18727690973759828</v>
      </c>
      <c r="Z399">
        <f t="shared" si="167"/>
        <v>0.3686078235729226</v>
      </c>
      <c r="AA399" t="str">
        <f t="shared" si="168"/>
        <v>Moderate</v>
      </c>
      <c r="AB399">
        <f t="shared" si="169"/>
        <v>0.10821249519195815</v>
      </c>
      <c r="AC399">
        <f t="shared" si="170"/>
        <v>0.24957056915444387</v>
      </c>
      <c r="AD399" t="str">
        <f t="shared" si="171"/>
        <v>Low</v>
      </c>
      <c r="AE399">
        <f t="shared" si="172"/>
        <v>1.6519026574599509E-2</v>
      </c>
      <c r="AF399">
        <f t="shared" si="173"/>
        <v>8.474974142556739E-2</v>
      </c>
      <c r="AG399" t="s">
        <v>1175</v>
      </c>
    </row>
    <row r="400" spans="1:33" x14ac:dyDescent="0.3">
      <c r="A400">
        <v>506406</v>
      </c>
      <c r="B400" t="s">
        <v>21</v>
      </c>
      <c r="C400" s="1" t="s">
        <v>942</v>
      </c>
      <c r="D400" t="s">
        <v>943</v>
      </c>
      <c r="E400" s="4">
        <v>6.3</v>
      </c>
      <c r="F400" s="3">
        <f t="shared" si="158"/>
        <v>0.68888888888888877</v>
      </c>
      <c r="G400">
        <v>60.681960000000004</v>
      </c>
      <c r="H400">
        <f t="shared" si="174"/>
        <v>0.58713439292767799</v>
      </c>
      <c r="I400">
        <v>66.600000000000009</v>
      </c>
      <c r="J400" s="3">
        <f t="shared" si="175"/>
        <v>0.30648872526461118</v>
      </c>
      <c r="K400">
        <v>0</v>
      </c>
      <c r="L400" s="3">
        <f t="shared" si="176"/>
        <v>0</v>
      </c>
      <c r="M400">
        <v>16682</v>
      </c>
      <c r="N400">
        <f t="shared" si="177"/>
        <v>7.7798753743736779E-2</v>
      </c>
      <c r="O400" s="15">
        <v>0.81145989399999996</v>
      </c>
      <c r="P400">
        <f t="shared" si="159"/>
        <v>0.82724641688590617</v>
      </c>
      <c r="Q400">
        <v>0.36549999999999999</v>
      </c>
      <c r="R400">
        <f t="shared" si="160"/>
        <v>0.81024163156727991</v>
      </c>
      <c r="S400">
        <f t="shared" si="161"/>
        <v>0.16703645453467375</v>
      </c>
      <c r="T400" s="14">
        <f t="shared" si="162"/>
        <v>0.28525409985814815</v>
      </c>
      <c r="U400" t="str">
        <f t="shared" si="163"/>
        <v>Low</v>
      </c>
      <c r="V400">
        <f t="shared" si="164"/>
        <v>0.16530183482100333</v>
      </c>
      <c r="W400">
        <f t="shared" si="165"/>
        <v>0.24322927825401133</v>
      </c>
      <c r="X400" t="s">
        <v>1175</v>
      </c>
      <c r="Y400">
        <f t="shared" si="166"/>
        <v>0.16877107424834414</v>
      </c>
      <c r="Z400">
        <f t="shared" si="167"/>
        <v>0.33218370832748062</v>
      </c>
      <c r="AA400" t="str">
        <f t="shared" si="168"/>
        <v>Moderate</v>
      </c>
      <c r="AB400">
        <f t="shared" si="169"/>
        <v>0.11404221697401283</v>
      </c>
      <c r="AC400">
        <f t="shared" si="170"/>
        <v>0.26301566142940297</v>
      </c>
      <c r="AD400" t="str">
        <f t="shared" si="171"/>
        <v>Low</v>
      </c>
      <c r="AE400">
        <f t="shared" si="172"/>
        <v>1.5872150034738387E-2</v>
      </c>
      <c r="AF400">
        <f t="shared" si="173"/>
        <v>8.1430985369336212E-2</v>
      </c>
      <c r="AG400" t="s">
        <v>1175</v>
      </c>
    </row>
    <row r="401" spans="1:33" x14ac:dyDescent="0.3">
      <c r="A401">
        <v>506428</v>
      </c>
      <c r="B401" t="s">
        <v>141</v>
      </c>
      <c r="C401" s="1" t="s">
        <v>942</v>
      </c>
      <c r="D401" t="s">
        <v>944</v>
      </c>
      <c r="E401" s="4">
        <v>6.3</v>
      </c>
      <c r="F401" s="3">
        <f t="shared" si="158"/>
        <v>0.68888888888888877</v>
      </c>
      <c r="G401">
        <v>60.085799999999999</v>
      </c>
      <c r="H401">
        <f t="shared" si="174"/>
        <v>0.58136618702780651</v>
      </c>
      <c r="I401">
        <v>44.2</v>
      </c>
      <c r="J401" s="3">
        <f t="shared" si="175"/>
        <v>0.20340543028071792</v>
      </c>
      <c r="K401">
        <v>0</v>
      </c>
      <c r="L401" s="3">
        <f t="shared" si="176"/>
        <v>0</v>
      </c>
      <c r="M401">
        <v>18479</v>
      </c>
      <c r="N401">
        <f t="shared" si="177"/>
        <v>8.6301117088472837E-2</v>
      </c>
      <c r="O401" s="15">
        <v>0.757410468</v>
      </c>
      <c r="P401">
        <f t="shared" si="159"/>
        <v>0.77214548790118931</v>
      </c>
      <c r="Q401">
        <v>0.3911</v>
      </c>
      <c r="R401">
        <f t="shared" si="160"/>
        <v>0.86699179782753266</v>
      </c>
      <c r="S401">
        <f t="shared" si="161"/>
        <v>0.1542620217521527</v>
      </c>
      <c r="T401" s="14">
        <f t="shared" si="162"/>
        <v>0.26343874622933866</v>
      </c>
      <c r="U401" t="str">
        <f t="shared" si="163"/>
        <v>Low</v>
      </c>
      <c r="V401">
        <f t="shared" si="164"/>
        <v>0.16318817067961386</v>
      </c>
      <c r="W401">
        <f t="shared" si="165"/>
        <v>0.24011917966292043</v>
      </c>
      <c r="X401" t="s">
        <v>1175</v>
      </c>
      <c r="Y401">
        <f t="shared" si="166"/>
        <v>0.14533587282469154</v>
      </c>
      <c r="Z401">
        <f t="shared" si="167"/>
        <v>0.28605736737135701</v>
      </c>
      <c r="AA401" t="str">
        <f t="shared" si="168"/>
        <v>Low</v>
      </c>
      <c r="AB401">
        <f t="shared" si="169"/>
        <v>0.10640198390495924</v>
      </c>
      <c r="AC401">
        <f t="shared" si="170"/>
        <v>0.24539498544245825</v>
      </c>
      <c r="AD401" t="str">
        <f t="shared" si="171"/>
        <v>Low</v>
      </c>
      <c r="AE401">
        <f t="shared" si="172"/>
        <v>1.62438923419626E-2</v>
      </c>
      <c r="AF401">
        <f t="shared" si="173"/>
        <v>8.3338183972832588E-2</v>
      </c>
      <c r="AG401" t="s">
        <v>1175</v>
      </c>
    </row>
    <row r="402" spans="1:33" x14ac:dyDescent="0.3">
      <c r="A402">
        <v>506447</v>
      </c>
      <c r="B402" t="s">
        <v>317</v>
      </c>
      <c r="C402" s="1" t="s">
        <v>942</v>
      </c>
      <c r="D402" t="s">
        <v>945</v>
      </c>
      <c r="E402" s="4">
        <v>6.3</v>
      </c>
      <c r="F402" s="3">
        <f t="shared" si="158"/>
        <v>0.68888888888888877</v>
      </c>
      <c r="G402">
        <v>60.175080000000001</v>
      </c>
      <c r="H402">
        <f t="shared" si="174"/>
        <v>0.58223002462633799</v>
      </c>
      <c r="I402">
        <v>91.6</v>
      </c>
      <c r="J402" s="3">
        <f t="shared" si="175"/>
        <v>0.42153704555913485</v>
      </c>
      <c r="K402">
        <v>0</v>
      </c>
      <c r="L402" s="3">
        <f t="shared" si="176"/>
        <v>0</v>
      </c>
      <c r="M402">
        <v>23845</v>
      </c>
      <c r="N402">
        <f t="shared" si="177"/>
        <v>0.1116899216003558</v>
      </c>
      <c r="O402" s="15">
        <v>0.72773333399999995</v>
      </c>
      <c r="P402">
        <f t="shared" si="159"/>
        <v>0.74189100096169935</v>
      </c>
      <c r="Q402">
        <v>0.31040000000000001</v>
      </c>
      <c r="R402">
        <f t="shared" si="160"/>
        <v>0.68809576590556421</v>
      </c>
      <c r="S402">
        <f t="shared" si="161"/>
        <v>0.15623689020887829</v>
      </c>
      <c r="T402" s="14">
        <f t="shared" si="162"/>
        <v>0.26681129939763265</v>
      </c>
      <c r="U402" t="str">
        <f t="shared" si="163"/>
        <v>Low</v>
      </c>
      <c r="V402">
        <f t="shared" si="164"/>
        <v>0.15035935313793117</v>
      </c>
      <c r="W402">
        <f t="shared" si="165"/>
        <v>0.22124253479751566</v>
      </c>
      <c r="X402" t="s">
        <v>1176</v>
      </c>
      <c r="Y402">
        <f t="shared" si="166"/>
        <v>0.16211442727982545</v>
      </c>
      <c r="Z402">
        <f t="shared" si="167"/>
        <v>0.31908176129729443</v>
      </c>
      <c r="AA402" t="str">
        <f t="shared" si="168"/>
        <v>Moderate</v>
      </c>
      <c r="AB402">
        <f t="shared" si="169"/>
        <v>0.10980218097902561</v>
      </c>
      <c r="AC402">
        <f t="shared" si="170"/>
        <v>0.25323686282923052</v>
      </c>
      <c r="AD402" t="str">
        <f t="shared" si="171"/>
        <v>Low</v>
      </c>
      <c r="AE402">
        <f t="shared" si="172"/>
        <v>2.4405940562291641E-2</v>
      </c>
      <c r="AF402">
        <f t="shared" si="173"/>
        <v>0.12521301679376529</v>
      </c>
      <c r="AG402" t="s">
        <v>1175</v>
      </c>
    </row>
    <row r="403" spans="1:33" x14ac:dyDescent="0.3">
      <c r="A403">
        <v>506450</v>
      </c>
      <c r="B403" t="s">
        <v>313</v>
      </c>
      <c r="C403" s="1" t="s">
        <v>942</v>
      </c>
      <c r="D403" t="s">
        <v>946</v>
      </c>
      <c r="E403" s="4">
        <v>6.3</v>
      </c>
      <c r="F403" s="3">
        <f t="shared" si="158"/>
        <v>0.68888888888888877</v>
      </c>
      <c r="G403">
        <v>60.681960000000004</v>
      </c>
      <c r="H403">
        <f t="shared" si="174"/>
        <v>0.58713439292767799</v>
      </c>
      <c r="I403">
        <v>69.7</v>
      </c>
      <c r="J403" s="3">
        <f t="shared" si="175"/>
        <v>0.32075471698113212</v>
      </c>
      <c r="K403">
        <v>0</v>
      </c>
      <c r="L403" s="3">
        <f t="shared" si="176"/>
        <v>0</v>
      </c>
      <c r="M403">
        <v>24941</v>
      </c>
      <c r="N403">
        <f t="shared" si="177"/>
        <v>0.11687555889909299</v>
      </c>
      <c r="O403" s="15">
        <v>0.82378695700000004</v>
      </c>
      <c r="P403">
        <f t="shared" si="159"/>
        <v>0.83981329637419411</v>
      </c>
      <c r="Q403">
        <v>0.38800000000000001</v>
      </c>
      <c r="R403">
        <f t="shared" si="160"/>
        <v>0.8601197073819552</v>
      </c>
      <c r="S403">
        <f t="shared" si="161"/>
        <v>0.17507696357722002</v>
      </c>
      <c r="T403" s="14">
        <f t="shared" si="162"/>
        <v>0.29898516338989189</v>
      </c>
      <c r="U403" t="str">
        <f t="shared" si="163"/>
        <v>Low</v>
      </c>
      <c r="V403">
        <f t="shared" si="164"/>
        <v>0.17716833116202152</v>
      </c>
      <c r="W403">
        <f t="shared" si="165"/>
        <v>0.26068993949564317</v>
      </c>
      <c r="X403" t="s">
        <v>1175</v>
      </c>
      <c r="Y403">
        <f t="shared" si="166"/>
        <v>0.1729855959924185</v>
      </c>
      <c r="Z403">
        <f t="shared" si="167"/>
        <v>0.3404789417850419</v>
      </c>
      <c r="AA403" t="str">
        <f t="shared" si="168"/>
        <v>Moderate</v>
      </c>
      <c r="AB403">
        <f t="shared" si="169"/>
        <v>0.12233054593089994</v>
      </c>
      <c r="AC403">
        <f t="shared" si="170"/>
        <v>0.28213104151042062</v>
      </c>
      <c r="AD403" t="str">
        <f t="shared" si="171"/>
        <v>Low</v>
      </c>
      <c r="AE403">
        <f t="shared" si="172"/>
        <v>2.4074146361333877E-2</v>
      </c>
      <c r="AF403">
        <f t="shared" si="173"/>
        <v>0.12351076923028528</v>
      </c>
      <c r="AG403" t="s">
        <v>1175</v>
      </c>
    </row>
    <row r="404" spans="1:33" x14ac:dyDescent="0.3">
      <c r="A404">
        <v>506460</v>
      </c>
      <c r="B404" t="s">
        <v>370</v>
      </c>
      <c r="C404" s="1" t="s">
        <v>942</v>
      </c>
      <c r="D404" t="s">
        <v>947</v>
      </c>
      <c r="E404" s="4">
        <v>6.3</v>
      </c>
      <c r="F404" s="3">
        <f t="shared" si="158"/>
        <v>0.68888888888888877</v>
      </c>
      <c r="G404">
        <v>60.681960000000004</v>
      </c>
      <c r="H404">
        <f t="shared" si="174"/>
        <v>0.58713439292767799</v>
      </c>
      <c r="I404">
        <v>81.900000000000006</v>
      </c>
      <c r="J404" s="3">
        <f t="shared" si="175"/>
        <v>0.37689829728485968</v>
      </c>
      <c r="K404">
        <v>0</v>
      </c>
      <c r="L404" s="3">
        <f t="shared" si="176"/>
        <v>0</v>
      </c>
      <c r="M404">
        <v>27111</v>
      </c>
      <c r="N404">
        <f t="shared" si="177"/>
        <v>0.12714274223692118</v>
      </c>
      <c r="O404" s="15">
        <v>0.87503571199999997</v>
      </c>
      <c r="P404">
        <f t="shared" si="159"/>
        <v>0.89205906878647012</v>
      </c>
      <c r="Q404">
        <v>0.309</v>
      </c>
      <c r="R404">
        <f t="shared" si="160"/>
        <v>0.68499224118820656</v>
      </c>
      <c r="S404">
        <f t="shared" si="161"/>
        <v>0.16852082776473806</v>
      </c>
      <c r="T404" s="14">
        <f t="shared" si="162"/>
        <v>0.28778901686638497</v>
      </c>
      <c r="U404" t="str">
        <f t="shared" si="163"/>
        <v>Low</v>
      </c>
      <c r="V404">
        <f t="shared" si="164"/>
        <v>0.14639404408384565</v>
      </c>
      <c r="W404">
        <f t="shared" si="165"/>
        <v>0.21540787930005126</v>
      </c>
      <c r="X404" t="s">
        <v>1176</v>
      </c>
      <c r="Y404">
        <f t="shared" si="166"/>
        <v>0.19064761144563047</v>
      </c>
      <c r="Z404">
        <f t="shared" si="167"/>
        <v>0.37524220803736169</v>
      </c>
      <c r="AA404" t="str">
        <f t="shared" si="168"/>
        <v>Moderate</v>
      </c>
      <c r="AB404">
        <f t="shared" si="169"/>
        <v>0.11794256800661872</v>
      </c>
      <c r="AC404">
        <f t="shared" si="170"/>
        <v>0.2720110443136331</v>
      </c>
      <c r="AD404" t="str">
        <f t="shared" si="171"/>
        <v>Low</v>
      </c>
      <c r="AE404">
        <f t="shared" si="172"/>
        <v>2.7172483267381742E-2</v>
      </c>
      <c r="AF404">
        <f t="shared" si="173"/>
        <v>0.13940657582948346</v>
      </c>
      <c r="AG404" t="s">
        <v>1175</v>
      </c>
    </row>
    <row r="405" spans="1:33" x14ac:dyDescent="0.3">
      <c r="A405">
        <v>506469</v>
      </c>
      <c r="B405" t="s">
        <v>384</v>
      </c>
      <c r="C405" s="1" t="s">
        <v>942</v>
      </c>
      <c r="D405" t="s">
        <v>948</v>
      </c>
      <c r="E405" s="4">
        <v>6.3</v>
      </c>
      <c r="F405" s="3">
        <f t="shared" si="158"/>
        <v>0.68888888888888877</v>
      </c>
      <c r="G405">
        <v>58.512599999999999</v>
      </c>
      <c r="H405">
        <f t="shared" si="174"/>
        <v>0.56614453256981234</v>
      </c>
      <c r="I405">
        <v>45.5</v>
      </c>
      <c r="J405" s="3">
        <f t="shared" si="175"/>
        <v>0.20938794293603316</v>
      </c>
      <c r="K405">
        <v>0</v>
      </c>
      <c r="L405" s="3">
        <f t="shared" si="176"/>
        <v>0</v>
      </c>
      <c r="M405">
        <v>14414</v>
      </c>
      <c r="N405">
        <f t="shared" si="177"/>
        <v>6.7067891158393775E-2</v>
      </c>
      <c r="O405" s="15">
        <v>0.64852671399999995</v>
      </c>
      <c r="P405">
        <f t="shared" si="159"/>
        <v>0.66114345807864516</v>
      </c>
      <c r="Q405">
        <v>0.3846</v>
      </c>
      <c r="R405">
        <f t="shared" si="160"/>
        <v>0.85258257592551545</v>
      </c>
      <c r="S405">
        <f t="shared" si="161"/>
        <v>0.1399086086818154</v>
      </c>
      <c r="T405" s="14">
        <f t="shared" si="162"/>
        <v>0.2389269117517856</v>
      </c>
      <c r="U405" t="str">
        <f t="shared" si="163"/>
        <v>Low</v>
      </c>
      <c r="V405">
        <f t="shared" si="164"/>
        <v>0.15760268279004741</v>
      </c>
      <c r="W405">
        <f t="shared" si="165"/>
        <v>0.23190055226808917</v>
      </c>
      <c r="X405" t="s">
        <v>1176</v>
      </c>
      <c r="Y405">
        <f t="shared" si="166"/>
        <v>0.12221453457358343</v>
      </c>
      <c r="Z405">
        <f t="shared" si="167"/>
        <v>0.24054878768165658</v>
      </c>
      <c r="AA405" t="str">
        <f t="shared" si="168"/>
        <v>Low</v>
      </c>
      <c r="AB405">
        <f t="shared" si="169"/>
        <v>9.6164501152541021E-2</v>
      </c>
      <c r="AC405">
        <f t="shared" si="170"/>
        <v>0.22178427031480549</v>
      </c>
      <c r="AD405" t="str">
        <f t="shared" si="171"/>
        <v>Low</v>
      </c>
      <c r="AE405">
        <f t="shared" si="172"/>
        <v>1.2397719439855405E-2</v>
      </c>
      <c r="AF405">
        <f t="shared" si="173"/>
        <v>6.3605655699476293E-2</v>
      </c>
      <c r="AG405" t="str">
        <f>IF(AF405&gt;0.7,"High",IF(AF405&gt;0.3,"Moderate",IF(AF405&gt;0.15,"Low","No Impact")))</f>
        <v>No Impact</v>
      </c>
    </row>
    <row r="406" spans="1:33" x14ac:dyDescent="0.3">
      <c r="A406">
        <v>506475</v>
      </c>
      <c r="B406" t="s">
        <v>408</v>
      </c>
      <c r="C406" s="1" t="s">
        <v>942</v>
      </c>
      <c r="D406" t="s">
        <v>949</v>
      </c>
      <c r="E406" s="4">
        <v>6.3</v>
      </c>
      <c r="F406" s="3">
        <f t="shared" si="158"/>
        <v>0.68888888888888877</v>
      </c>
      <c r="G406">
        <v>60.681960000000004</v>
      </c>
      <c r="H406">
        <f t="shared" si="174"/>
        <v>0.58713439292767799</v>
      </c>
      <c r="I406">
        <v>51.1</v>
      </c>
      <c r="J406" s="3">
        <f t="shared" si="175"/>
        <v>0.23515876668200647</v>
      </c>
      <c r="K406">
        <v>0</v>
      </c>
      <c r="L406" s="3">
        <f t="shared" si="176"/>
        <v>0</v>
      </c>
      <c r="M406">
        <v>24149</v>
      </c>
      <c r="N406">
        <f t="shared" si="177"/>
        <v>0.11312827355183035</v>
      </c>
      <c r="O406" s="15">
        <v>0.92669031000000002</v>
      </c>
      <c r="P406">
        <f t="shared" si="159"/>
        <v>0.94471857965957551</v>
      </c>
      <c r="Q406">
        <v>0.3866</v>
      </c>
      <c r="R406">
        <f t="shared" si="160"/>
        <v>0.85701618266459767</v>
      </c>
      <c r="S406">
        <f t="shared" si="161"/>
        <v>0.17493745135090091</v>
      </c>
      <c r="T406" s="14">
        <f t="shared" si="162"/>
        <v>0.29874691339441201</v>
      </c>
      <c r="U406" t="str">
        <f t="shared" si="163"/>
        <v>Low</v>
      </c>
      <c r="V406">
        <f t="shared" si="164"/>
        <v>0.16642208375712972</v>
      </c>
      <c r="W406">
        <f t="shared" si="165"/>
        <v>0.24487764072073107</v>
      </c>
      <c r="X406" t="s">
        <v>1175</v>
      </c>
      <c r="Y406">
        <f t="shared" si="166"/>
        <v>0.18345281894467214</v>
      </c>
      <c r="Z406">
        <f t="shared" si="167"/>
        <v>0.3610810559308209</v>
      </c>
      <c r="AA406" t="str">
        <f t="shared" si="168"/>
        <v>Moderate</v>
      </c>
      <c r="AB406">
        <f t="shared" si="169"/>
        <v>0.12097242054065048</v>
      </c>
      <c r="AC406">
        <f t="shared" si="170"/>
        <v>0.27899879577459868</v>
      </c>
      <c r="AD406" t="str">
        <f t="shared" si="171"/>
        <v>Low</v>
      </c>
      <c r="AE406">
        <f t="shared" si="172"/>
        <v>2.1968130120724169E-2</v>
      </c>
      <c r="AF406">
        <f t="shared" si="173"/>
        <v>0.11270599625993576</v>
      </c>
      <c r="AG406" t="s">
        <v>1175</v>
      </c>
    </row>
    <row r="407" spans="1:33" x14ac:dyDescent="0.3">
      <c r="A407">
        <v>506479</v>
      </c>
      <c r="B407" t="s">
        <v>418</v>
      </c>
      <c r="C407" s="1" t="s">
        <v>942</v>
      </c>
      <c r="D407" t="s">
        <v>950</v>
      </c>
      <c r="E407" s="4">
        <v>6.3</v>
      </c>
      <c r="F407" s="3">
        <f t="shared" si="158"/>
        <v>0.68888888888888877</v>
      </c>
      <c r="G407">
        <v>58.512599999999999</v>
      </c>
      <c r="H407">
        <f t="shared" si="174"/>
        <v>0.56614453256981234</v>
      </c>
      <c r="I407">
        <v>24</v>
      </c>
      <c r="J407" s="3">
        <f t="shared" si="175"/>
        <v>0.11044638748274276</v>
      </c>
      <c r="K407">
        <v>0</v>
      </c>
      <c r="L407" s="3">
        <f t="shared" si="176"/>
        <v>0</v>
      </c>
      <c r="M407">
        <v>11888</v>
      </c>
      <c r="N407">
        <f t="shared" si="177"/>
        <v>5.5116321982654613E-2</v>
      </c>
      <c r="O407" s="15">
        <v>0.65545488799999996</v>
      </c>
      <c r="P407">
        <f t="shared" si="159"/>
        <v>0.66820641603804631</v>
      </c>
      <c r="Q407">
        <v>0.3422</v>
      </c>
      <c r="R407">
        <f t="shared" si="160"/>
        <v>0.75859011305697188</v>
      </c>
      <c r="S407">
        <f t="shared" si="161"/>
        <v>0.12214899898207227</v>
      </c>
      <c r="T407" s="14">
        <f t="shared" si="162"/>
        <v>0.20859819403058508</v>
      </c>
      <c r="U407" t="str">
        <f t="shared" si="163"/>
        <v>Low</v>
      </c>
      <c r="V407">
        <f t="shared" si="164"/>
        <v>0.1298868073450932</v>
      </c>
      <c r="W407">
        <f t="shared" si="165"/>
        <v>0.19111871589008345</v>
      </c>
      <c r="X407" t="s">
        <v>1176</v>
      </c>
      <c r="Y407">
        <f t="shared" si="166"/>
        <v>0.11441119061905135</v>
      </c>
      <c r="Z407">
        <f t="shared" si="167"/>
        <v>0.22518985402720232</v>
      </c>
      <c r="AA407" t="str">
        <f t="shared" si="168"/>
        <v>Low</v>
      </c>
      <c r="AB407">
        <f t="shared" si="169"/>
        <v>8.3086721221849305E-2</v>
      </c>
      <c r="AC407">
        <f t="shared" si="170"/>
        <v>0.1916229754034407</v>
      </c>
      <c r="AD407" t="str">
        <f t="shared" si="171"/>
        <v>Low</v>
      </c>
      <c r="AE407">
        <f t="shared" si="172"/>
        <v>9.4370899010036754E-3</v>
      </c>
      <c r="AF407">
        <f t="shared" si="173"/>
        <v>4.841634737422687E-2</v>
      </c>
      <c r="AG407" t="str">
        <f>IF(AF407&gt;0.7,"High",IF(AF407&gt;0.3,"Moderate",IF(AF407&gt;0.15,"Low","No Impact")))</f>
        <v>No Impact</v>
      </c>
    </row>
    <row r="408" spans="1:33" x14ac:dyDescent="0.3">
      <c r="A408">
        <v>506485</v>
      </c>
      <c r="B408" t="s">
        <v>438</v>
      </c>
      <c r="C408" s="1" t="s">
        <v>942</v>
      </c>
      <c r="D408" t="s">
        <v>951</v>
      </c>
      <c r="E408" s="4">
        <v>6.3</v>
      </c>
      <c r="F408" s="3">
        <f t="shared" si="158"/>
        <v>0.68888888888888877</v>
      </c>
      <c r="G408">
        <v>60.026400000000002</v>
      </c>
      <c r="H408">
        <f t="shared" si="174"/>
        <v>0.58079145636749319</v>
      </c>
      <c r="I408">
        <v>92.899999999999991</v>
      </c>
      <c r="J408" s="3">
        <f t="shared" si="175"/>
        <v>0.42751955821445009</v>
      </c>
      <c r="K408">
        <v>0</v>
      </c>
      <c r="L408" s="3">
        <f t="shared" si="176"/>
        <v>0</v>
      </c>
      <c r="M408">
        <v>16424</v>
      </c>
      <c r="N408">
        <f t="shared" si="177"/>
        <v>7.6578047153340614E-2</v>
      </c>
      <c r="O408" s="15">
        <v>0.75797883899999996</v>
      </c>
      <c r="P408">
        <f t="shared" si="159"/>
        <v>0.77272491625826323</v>
      </c>
      <c r="Q408">
        <v>0.36969999999999997</v>
      </c>
      <c r="R408">
        <f t="shared" si="160"/>
        <v>0.81955220571935261</v>
      </c>
      <c r="S408">
        <f t="shared" si="161"/>
        <v>0.17430897061799436</v>
      </c>
      <c r="T408" s="14">
        <f t="shared" si="162"/>
        <v>0.29767363447309586</v>
      </c>
      <c r="U408" t="str">
        <f t="shared" si="163"/>
        <v>Low</v>
      </c>
      <c r="V408">
        <f t="shared" si="164"/>
        <v>0.17943522440267198</v>
      </c>
      <c r="W408">
        <f t="shared" si="165"/>
        <v>0.26402550323817131</v>
      </c>
      <c r="X408" t="s">
        <v>1175</v>
      </c>
      <c r="Y408">
        <f t="shared" si="166"/>
        <v>0.16918271683331676</v>
      </c>
      <c r="Z408">
        <f t="shared" si="167"/>
        <v>0.33299392394642313</v>
      </c>
      <c r="AA408" t="str">
        <f t="shared" si="168"/>
        <v>Moderate</v>
      </c>
      <c r="AB408">
        <f t="shared" si="169"/>
        <v>0.11942532336371973</v>
      </c>
      <c r="AC408">
        <f t="shared" si="170"/>
        <v>0.27543072424737886</v>
      </c>
      <c r="AD408" t="str">
        <f t="shared" si="171"/>
        <v>Low</v>
      </c>
      <c r="AE408">
        <f t="shared" si="172"/>
        <v>1.6766227922255718E-2</v>
      </c>
      <c r="AF408">
        <f t="shared" si="173"/>
        <v>8.6017991113241446E-2</v>
      </c>
      <c r="AG408" t="s">
        <v>1175</v>
      </c>
    </row>
    <row r="409" spans="1:33" x14ac:dyDescent="0.3">
      <c r="A409">
        <v>506486</v>
      </c>
      <c r="B409" t="s">
        <v>458</v>
      </c>
      <c r="C409" s="1" t="s">
        <v>942</v>
      </c>
      <c r="D409" t="s">
        <v>952</v>
      </c>
      <c r="E409" s="4">
        <v>6.2</v>
      </c>
      <c r="F409" s="3">
        <f t="shared" si="158"/>
        <v>0.66666666666666663</v>
      </c>
      <c r="G409">
        <v>54.877680000000005</v>
      </c>
      <c r="H409">
        <f t="shared" si="174"/>
        <v>0.53097449937476271</v>
      </c>
      <c r="I409">
        <v>16.600000000000001</v>
      </c>
      <c r="J409" s="3">
        <f t="shared" si="175"/>
        <v>7.6392084675563743E-2</v>
      </c>
      <c r="K409">
        <v>0</v>
      </c>
      <c r="L409" s="3">
        <f t="shared" si="176"/>
        <v>0</v>
      </c>
      <c r="M409">
        <v>21186</v>
      </c>
      <c r="N409">
        <f t="shared" si="177"/>
        <v>9.9109073445846518E-2</v>
      </c>
      <c r="O409" s="15">
        <v>0.877067288</v>
      </c>
      <c r="P409">
        <f t="shared" si="159"/>
        <v>0.89413016802262224</v>
      </c>
      <c r="Q409">
        <v>0.35370000000000001</v>
      </c>
      <c r="R409">
        <f t="shared" si="160"/>
        <v>0.78408335180669475</v>
      </c>
      <c r="S409">
        <f t="shared" si="161"/>
        <v>0.12735862642540913</v>
      </c>
      <c r="T409" s="14">
        <f t="shared" si="162"/>
        <v>0.2174948602767959</v>
      </c>
      <c r="U409" t="str">
        <f t="shared" si="163"/>
        <v>Low</v>
      </c>
      <c r="V409">
        <f t="shared" si="164"/>
        <v>0.11900723895882775</v>
      </c>
      <c r="W409">
        <f t="shared" si="165"/>
        <v>0.17511024526922211</v>
      </c>
      <c r="X409" t="s">
        <v>1176</v>
      </c>
      <c r="Y409">
        <f t="shared" si="166"/>
        <v>0.1357100138919905</v>
      </c>
      <c r="Z409">
        <f t="shared" si="167"/>
        <v>0.26711126816364156</v>
      </c>
      <c r="AA409" t="str">
        <f t="shared" si="168"/>
        <v>Low</v>
      </c>
      <c r="AB409">
        <f t="shared" si="169"/>
        <v>8.7630467871888287E-2</v>
      </c>
      <c r="AC409">
        <f t="shared" si="170"/>
        <v>0.20210222214414517</v>
      </c>
      <c r="AD409" t="str">
        <f t="shared" si="171"/>
        <v>Low</v>
      </c>
      <c r="AE409">
        <f t="shared" si="172"/>
        <v>1.5042657339146889E-2</v>
      </c>
      <c r="AF409">
        <f t="shared" si="173"/>
        <v>7.7175329556428196E-2</v>
      </c>
      <c r="AG409" t="s">
        <v>1175</v>
      </c>
    </row>
    <row r="410" spans="1:33" x14ac:dyDescent="0.3">
      <c r="A410">
        <v>506909</v>
      </c>
      <c r="B410" t="s">
        <v>24</v>
      </c>
      <c r="C410" s="1" t="s">
        <v>954</v>
      </c>
      <c r="D410" t="s">
        <v>953</v>
      </c>
      <c r="E410" s="4">
        <v>5.8</v>
      </c>
      <c r="F410" s="3">
        <f t="shared" si="158"/>
        <v>0.57777777777777772</v>
      </c>
      <c r="G410">
        <v>45.869399999999999</v>
      </c>
      <c r="H410">
        <f t="shared" si="174"/>
        <v>0.44381398232616137</v>
      </c>
      <c r="I410">
        <v>103.6</v>
      </c>
      <c r="J410" s="3">
        <f t="shared" si="175"/>
        <v>0.47676023930050621</v>
      </c>
      <c r="K410">
        <v>0</v>
      </c>
      <c r="L410" s="3">
        <f t="shared" si="176"/>
        <v>0</v>
      </c>
      <c r="M410">
        <v>16182</v>
      </c>
      <c r="N410">
        <f t="shared" si="177"/>
        <v>7.5433043297232591E-2</v>
      </c>
      <c r="O410" s="15">
        <v>0.55527649300000004</v>
      </c>
      <c r="P410">
        <f t="shared" si="159"/>
        <v>0.56607910336875134</v>
      </c>
      <c r="Q410">
        <v>0.3629</v>
      </c>
      <c r="R410">
        <f t="shared" si="160"/>
        <v>0.80447794280647311</v>
      </c>
      <c r="S410">
        <f t="shared" si="161"/>
        <v>0.10804281896176361</v>
      </c>
      <c r="T410" s="14">
        <f t="shared" si="162"/>
        <v>0.1845085682339907</v>
      </c>
      <c r="U410" t="str">
        <f t="shared" si="163"/>
        <v>Low</v>
      </c>
      <c r="V410">
        <f t="shared" si="164"/>
        <v>0.12683611379173401</v>
      </c>
      <c r="W410">
        <f t="shared" si="165"/>
        <v>0.18662984864937066</v>
      </c>
      <c r="X410" t="s">
        <v>1176</v>
      </c>
      <c r="Y410">
        <f t="shared" si="166"/>
        <v>8.924952413179324E-2</v>
      </c>
      <c r="Z410">
        <f t="shared" si="167"/>
        <v>0.17566539778574009</v>
      </c>
      <c r="AA410" t="str">
        <f t="shared" si="168"/>
        <v>Low</v>
      </c>
      <c r="AB410">
        <f t="shared" si="169"/>
        <v>7.5330037447148709E-2</v>
      </c>
      <c r="AC410">
        <f t="shared" si="170"/>
        <v>0.17373372905560366</v>
      </c>
      <c r="AD410" t="str">
        <f t="shared" si="171"/>
        <v>Low</v>
      </c>
      <c r="AE410">
        <f t="shared" si="172"/>
        <v>1.1892972515725271E-2</v>
      </c>
      <c r="AF410">
        <f t="shared" si="173"/>
        <v>6.1016085962288774E-2</v>
      </c>
      <c r="AG410" t="str">
        <f>IF(AF410&gt;0.7,"High",IF(AF410&gt;0.3,"Moderate",IF(AF410&gt;0.15,"Low","No Impact")))</f>
        <v>No Impact</v>
      </c>
    </row>
    <row r="411" spans="1:33" x14ac:dyDescent="0.3">
      <c r="A411">
        <v>506915</v>
      </c>
      <c r="B411" t="s">
        <v>46</v>
      </c>
      <c r="C411" s="1" t="s">
        <v>954</v>
      </c>
      <c r="D411" t="s">
        <v>955</v>
      </c>
      <c r="E411" s="4">
        <v>6.5</v>
      </c>
      <c r="F411" s="3">
        <f t="shared" si="158"/>
        <v>0.73333333333333328</v>
      </c>
      <c r="G411">
        <v>47.632680000000001</v>
      </c>
      <c r="H411">
        <f t="shared" si="174"/>
        <v>0.46087477489715806</v>
      </c>
      <c r="I411">
        <v>103</v>
      </c>
      <c r="J411" s="3">
        <f t="shared" si="175"/>
        <v>0.47399907961343768</v>
      </c>
      <c r="K411">
        <v>0</v>
      </c>
      <c r="L411" s="3">
        <f t="shared" si="176"/>
        <v>0</v>
      </c>
      <c r="M411">
        <v>28067</v>
      </c>
      <c r="N411">
        <f t="shared" si="177"/>
        <v>0.13166598061063717</v>
      </c>
      <c r="O411" s="15">
        <v>0.26904695499999998</v>
      </c>
      <c r="P411">
        <f t="shared" si="159"/>
        <v>0.27428112115398479</v>
      </c>
      <c r="Q411">
        <v>0.36349999999999999</v>
      </c>
      <c r="R411">
        <f t="shared" si="160"/>
        <v>0.80580802482819769</v>
      </c>
      <c r="S411">
        <f t="shared" si="161"/>
        <v>0.11055241597714031</v>
      </c>
      <c r="T411" s="14">
        <f t="shared" si="162"/>
        <v>0.18879429639807463</v>
      </c>
      <c r="U411" t="str">
        <f t="shared" si="163"/>
        <v>Low</v>
      </c>
      <c r="V411">
        <f t="shared" si="164"/>
        <v>0.16495679877889316</v>
      </c>
      <c r="W411">
        <f t="shared" si="165"/>
        <v>0.24272158354157847</v>
      </c>
      <c r="X411" t="s">
        <v>1175</v>
      </c>
      <c r="Y411">
        <f t="shared" si="166"/>
        <v>5.6148033175387461E-2</v>
      </c>
      <c r="Z411">
        <f t="shared" si="167"/>
        <v>0.11051338008342154</v>
      </c>
      <c r="AA411" t="str">
        <f t="shared" si="168"/>
        <v>No Impact</v>
      </c>
      <c r="AB411">
        <f t="shared" si="169"/>
        <v>8.4012950273377643E-2</v>
      </c>
      <c r="AC411">
        <f t="shared" si="170"/>
        <v>0.19375913824810345</v>
      </c>
      <c r="AD411" t="str">
        <f t="shared" si="171"/>
        <v>Low</v>
      </c>
      <c r="AE411">
        <f t="shared" si="172"/>
        <v>2.6953316423282289E-2</v>
      </c>
      <c r="AF411">
        <f t="shared" si="173"/>
        <v>0.1382821552540576</v>
      </c>
      <c r="AG411" t="s">
        <v>1175</v>
      </c>
    </row>
    <row r="412" spans="1:33" x14ac:dyDescent="0.3">
      <c r="A412">
        <v>506941</v>
      </c>
      <c r="B412" t="s">
        <v>195</v>
      </c>
      <c r="C412" s="1" t="s">
        <v>954</v>
      </c>
      <c r="D412" t="s">
        <v>956</v>
      </c>
      <c r="E412" s="4">
        <v>6.5</v>
      </c>
      <c r="F412" s="3">
        <f t="shared" si="158"/>
        <v>0.73333333333333328</v>
      </c>
      <c r="G412">
        <v>49.581360000000004</v>
      </c>
      <c r="H412">
        <f t="shared" si="174"/>
        <v>0.47972942377155675</v>
      </c>
      <c r="I412">
        <v>92.600000000000009</v>
      </c>
      <c r="J412" s="3">
        <f t="shared" si="175"/>
        <v>0.42613897837091586</v>
      </c>
      <c r="K412">
        <v>0</v>
      </c>
      <c r="L412" s="3">
        <f t="shared" si="176"/>
        <v>0</v>
      </c>
      <c r="M412">
        <v>24217</v>
      </c>
      <c r="N412">
        <f t="shared" si="177"/>
        <v>0.11345001017255492</v>
      </c>
      <c r="O412" s="15">
        <v>0.43256945200000002</v>
      </c>
      <c r="P412">
        <f t="shared" si="159"/>
        <v>0.44098486181166707</v>
      </c>
      <c r="Q412">
        <v>0.31850000000000001</v>
      </c>
      <c r="R412">
        <f t="shared" si="160"/>
        <v>0.70605187319884732</v>
      </c>
      <c r="S412">
        <f t="shared" si="161"/>
        <v>0.11655098446010033</v>
      </c>
      <c r="T412" s="14">
        <f t="shared" si="162"/>
        <v>0.19903826534372188</v>
      </c>
      <c r="U412" t="str">
        <f t="shared" si="163"/>
        <v>Low</v>
      </c>
      <c r="V412">
        <f t="shared" si="164"/>
        <v>0.14348457793807146</v>
      </c>
      <c r="W412">
        <f t="shared" si="165"/>
        <v>0.21112681761971702</v>
      </c>
      <c r="X412" t="s">
        <v>1176</v>
      </c>
      <c r="Y412">
        <f t="shared" si="166"/>
        <v>8.9617390982129216E-2</v>
      </c>
      <c r="Z412">
        <f t="shared" si="167"/>
        <v>0.17638945180423582</v>
      </c>
      <c r="AA412" t="str">
        <f t="shared" si="168"/>
        <v>Low</v>
      </c>
      <c r="AB412">
        <f t="shared" si="169"/>
        <v>8.517421872847461E-2</v>
      </c>
      <c r="AC412">
        <f t="shared" si="170"/>
        <v>0.1964373726679414</v>
      </c>
      <c r="AD412" t="str">
        <f t="shared" si="171"/>
        <v>Low</v>
      </c>
      <c r="AE412">
        <f t="shared" si="172"/>
        <v>2.3055426158602434E-2</v>
      </c>
      <c r="AF412">
        <f t="shared" si="173"/>
        <v>0.11828429457231443</v>
      </c>
      <c r="AG412" t="s">
        <v>1175</v>
      </c>
    </row>
    <row r="413" spans="1:33" x14ac:dyDescent="0.3">
      <c r="A413">
        <v>506944</v>
      </c>
      <c r="B413" t="s">
        <v>300</v>
      </c>
      <c r="C413" s="1" t="s">
        <v>954</v>
      </c>
      <c r="D413" t="s">
        <v>957</v>
      </c>
      <c r="E413" s="4">
        <v>6.5</v>
      </c>
      <c r="F413" s="3">
        <f t="shared" si="158"/>
        <v>0.73333333333333328</v>
      </c>
      <c r="G413">
        <v>46.938960000000002</v>
      </c>
      <c r="H413">
        <f t="shared" si="174"/>
        <v>0.45416261742792358</v>
      </c>
      <c r="I413">
        <v>106.1</v>
      </c>
      <c r="J413" s="3">
        <f t="shared" si="175"/>
        <v>0.48826507132995861</v>
      </c>
      <c r="K413">
        <v>0</v>
      </c>
      <c r="L413" s="3">
        <f t="shared" si="176"/>
        <v>0</v>
      </c>
      <c r="M413">
        <v>32668</v>
      </c>
      <c r="N413">
        <f t="shared" si="177"/>
        <v>0.15343524813936874</v>
      </c>
      <c r="O413" s="15">
        <v>0.51199815699999995</v>
      </c>
      <c r="P413">
        <f t="shared" si="159"/>
        <v>0.52195881024088864</v>
      </c>
      <c r="Q413">
        <v>0.33589999999999998</v>
      </c>
      <c r="R413">
        <f t="shared" si="160"/>
        <v>0.74462425182886272</v>
      </c>
      <c r="S413">
        <f t="shared" si="161"/>
        <v>0.12971915927415498</v>
      </c>
      <c r="T413" s="14">
        <f t="shared" si="162"/>
        <v>0.22152602625688328</v>
      </c>
      <c r="U413" t="str">
        <f t="shared" si="163"/>
        <v>Low</v>
      </c>
      <c r="V413">
        <f t="shared" si="164"/>
        <v>0.15252380173874036</v>
      </c>
      <c r="W413">
        <f t="shared" si="165"/>
        <v>0.22442735891978144</v>
      </c>
      <c r="X413" t="s">
        <v>1176</v>
      </c>
      <c r="Y413">
        <f t="shared" si="166"/>
        <v>0.10691451680956957</v>
      </c>
      <c r="Z413">
        <f t="shared" si="167"/>
        <v>0.21043452396103968</v>
      </c>
      <c r="AA413" t="str">
        <f t="shared" si="168"/>
        <v>Low</v>
      </c>
      <c r="AB413">
        <f t="shared" si="169"/>
        <v>9.6457709567267666E-2</v>
      </c>
      <c r="AC413">
        <f t="shared" si="170"/>
        <v>0.22246049712959609</v>
      </c>
      <c r="AD413" t="str">
        <f t="shared" si="171"/>
        <v>Low</v>
      </c>
      <c r="AE413">
        <f t="shared" si="172"/>
        <v>3.1428639759536227E-2</v>
      </c>
      <c r="AF413">
        <f t="shared" si="173"/>
        <v>0.16124249700485621</v>
      </c>
      <c r="AG413" t="s">
        <v>1175</v>
      </c>
    </row>
    <row r="414" spans="1:33" x14ac:dyDescent="0.3">
      <c r="A414">
        <v>506963</v>
      </c>
      <c r="B414" t="s">
        <v>376</v>
      </c>
      <c r="C414" s="1" t="s">
        <v>954</v>
      </c>
      <c r="D414" t="s">
        <v>958</v>
      </c>
      <c r="E414" s="4">
        <v>6.5</v>
      </c>
      <c r="F414" s="3">
        <f t="shared" si="158"/>
        <v>0.73333333333333328</v>
      </c>
      <c r="G414">
        <v>53.346240000000002</v>
      </c>
      <c r="H414">
        <f t="shared" si="174"/>
        <v>0.51615689798704945</v>
      </c>
      <c r="I414">
        <v>103.6</v>
      </c>
      <c r="J414" s="3">
        <f t="shared" si="175"/>
        <v>0.47676023930050621</v>
      </c>
      <c r="K414">
        <v>0</v>
      </c>
      <c r="L414" s="3">
        <f t="shared" si="176"/>
        <v>0</v>
      </c>
      <c r="M414">
        <v>46818</v>
      </c>
      <c r="N414">
        <f t="shared" si="177"/>
        <v>0.22038485377543729</v>
      </c>
      <c r="O414" s="15">
        <v>0.196185839</v>
      </c>
      <c r="P414">
        <f t="shared" si="159"/>
        <v>0.20000253069377855</v>
      </c>
      <c r="Q414">
        <v>0.30459999999999998</v>
      </c>
      <c r="R414">
        <f t="shared" si="160"/>
        <v>0.67523830636222559</v>
      </c>
      <c r="S414">
        <f t="shared" si="161"/>
        <v>9.685890293296999E-2</v>
      </c>
      <c r="T414" s="14">
        <f t="shared" si="162"/>
        <v>0.16540939668745624</v>
      </c>
      <c r="U414" t="str">
        <f t="shared" si="163"/>
        <v>Low</v>
      </c>
      <c r="V414">
        <f t="shared" si="164"/>
        <v>0.14945107404392494</v>
      </c>
      <c r="W414">
        <f t="shared" si="165"/>
        <v>0.219906070089017</v>
      </c>
      <c r="X414" t="s">
        <v>1176</v>
      </c>
      <c r="Y414">
        <f t="shared" si="166"/>
        <v>4.4266731822015036E-2</v>
      </c>
      <c r="Z414">
        <f t="shared" si="167"/>
        <v>8.712800577744334E-2</v>
      </c>
      <c r="AA414" t="str">
        <f t="shared" si="168"/>
        <v>No Impact</v>
      </c>
      <c r="AB414">
        <f t="shared" si="169"/>
        <v>8.2660184572793796E-2</v>
      </c>
      <c r="AC414">
        <f t="shared" si="170"/>
        <v>0.19063925356908895</v>
      </c>
      <c r="AD414" t="str">
        <f t="shared" si="171"/>
        <v>Low</v>
      </c>
      <c r="AE414">
        <f t="shared" si="172"/>
        <v>4.8777968888044428E-2</v>
      </c>
      <c r="AF414">
        <f t="shared" si="173"/>
        <v>0.25025204916630261</v>
      </c>
      <c r="AG414" t="s">
        <v>1175</v>
      </c>
    </row>
    <row r="415" spans="1:33" x14ac:dyDescent="0.3">
      <c r="A415">
        <v>506991</v>
      </c>
      <c r="B415" t="s">
        <v>489</v>
      </c>
      <c r="C415" s="1" t="s">
        <v>954</v>
      </c>
      <c r="D415" t="s">
        <v>959</v>
      </c>
      <c r="E415" s="4">
        <v>6.5</v>
      </c>
      <c r="F415" s="3">
        <f t="shared" si="158"/>
        <v>0.73333333333333328</v>
      </c>
      <c r="G415">
        <v>58.119480000000003</v>
      </c>
      <c r="H415">
        <f t="shared" si="174"/>
        <v>0.5623408605633754</v>
      </c>
      <c r="I415">
        <v>113.5</v>
      </c>
      <c r="J415" s="3">
        <f t="shared" si="175"/>
        <v>0.52231937413713769</v>
      </c>
      <c r="K415">
        <v>0</v>
      </c>
      <c r="L415" s="3">
        <f t="shared" si="176"/>
        <v>0</v>
      </c>
      <c r="M415">
        <v>38033</v>
      </c>
      <c r="N415">
        <f t="shared" si="177"/>
        <v>0.17881932123035868</v>
      </c>
      <c r="O415" s="15">
        <v>0.38509350799999997</v>
      </c>
      <c r="P415">
        <f t="shared" si="159"/>
        <v>0.39258529844116247</v>
      </c>
      <c r="Q415">
        <v>0.32100000000000001</v>
      </c>
      <c r="R415">
        <f t="shared" si="160"/>
        <v>0.7115938816227001</v>
      </c>
      <c r="S415">
        <f t="shared" si="161"/>
        <v>0.13336285005506934</v>
      </c>
      <c r="T415" s="14">
        <f t="shared" si="162"/>
        <v>0.22774848671778467</v>
      </c>
      <c r="U415" t="str">
        <f t="shared" si="163"/>
        <v>Low</v>
      </c>
      <c r="V415">
        <f t="shared" si="164"/>
        <v>0.17189273235429808</v>
      </c>
      <c r="W415">
        <f t="shared" si="165"/>
        <v>0.2529272906917156</v>
      </c>
      <c r="X415" t="s">
        <v>1175</v>
      </c>
      <c r="Y415">
        <f t="shared" si="166"/>
        <v>9.4832967755840616E-2</v>
      </c>
      <c r="Z415">
        <f t="shared" si="167"/>
        <v>0.18665501206966814</v>
      </c>
      <c r="AA415" t="str">
        <f t="shared" si="168"/>
        <v>Low</v>
      </c>
      <c r="AB415">
        <f t="shared" si="169"/>
        <v>0.1037308150373548</v>
      </c>
      <c r="AC415">
        <f t="shared" si="170"/>
        <v>0.23923446642463955</v>
      </c>
      <c r="AD415" t="str">
        <f t="shared" si="171"/>
        <v>Low</v>
      </c>
      <c r="AE415">
        <f t="shared" si="172"/>
        <v>4.3195623961709388E-2</v>
      </c>
      <c r="AF415">
        <f t="shared" si="173"/>
        <v>0.22161220850022556</v>
      </c>
      <c r="AG415" t="s">
        <v>1175</v>
      </c>
    </row>
    <row r="416" spans="1:33" x14ac:dyDescent="0.3">
      <c r="A416">
        <v>507018</v>
      </c>
      <c r="B416" t="s">
        <v>72</v>
      </c>
      <c r="C416" s="1" t="s">
        <v>724</v>
      </c>
      <c r="D416" t="s">
        <v>960</v>
      </c>
      <c r="E416" s="4">
        <v>5</v>
      </c>
      <c r="F416" s="3">
        <f t="shared" si="158"/>
        <v>0.39999999999999997</v>
      </c>
      <c r="G416">
        <v>41.131439999999998</v>
      </c>
      <c r="H416">
        <f t="shared" si="174"/>
        <v>0.39797137492990026</v>
      </c>
      <c r="I416">
        <v>20.400000000000002</v>
      </c>
      <c r="J416" s="3">
        <f t="shared" si="175"/>
        <v>9.3879429360331362E-2</v>
      </c>
      <c r="K416">
        <v>0</v>
      </c>
      <c r="L416" s="3">
        <f t="shared" si="176"/>
        <v>0</v>
      </c>
      <c r="M416">
        <v>11807</v>
      </c>
      <c r="N416">
        <f t="shared" si="177"/>
        <v>5.4733076890320934E-2</v>
      </c>
      <c r="O416" s="15">
        <v>0.80603206299999997</v>
      </c>
      <c r="P416">
        <f t="shared" si="159"/>
        <v>0.82171299030572298</v>
      </c>
      <c r="Q416">
        <v>0.3357</v>
      </c>
      <c r="R416">
        <f t="shared" si="160"/>
        <v>0.74418089115495456</v>
      </c>
      <c r="S416">
        <f t="shared" si="161"/>
        <v>5.5734684241152431E-2</v>
      </c>
      <c r="T416" s="14">
        <f t="shared" si="162"/>
        <v>9.5180104417193545E-2</v>
      </c>
      <c r="U416" t="str">
        <f t="shared" si="163"/>
        <v>No Impact</v>
      </c>
      <c r="V416">
        <f t="shared" si="164"/>
        <v>5.2975092984118517E-2</v>
      </c>
      <c r="W416">
        <f t="shared" si="165"/>
        <v>7.7948884511287356E-2</v>
      </c>
      <c r="X416" t="s">
        <v>1176</v>
      </c>
      <c r="Y416">
        <f t="shared" si="166"/>
        <v>5.8494275498186366E-2</v>
      </c>
      <c r="Z416">
        <f t="shared" si="167"/>
        <v>0.11513137211134079</v>
      </c>
      <c r="AA416" t="str">
        <f t="shared" si="168"/>
        <v>No Impact</v>
      </c>
      <c r="AB416">
        <f t="shared" si="169"/>
        <v>3.7453240955008502E-2</v>
      </c>
      <c r="AC416">
        <f t="shared" si="170"/>
        <v>8.6378441281101156E-2</v>
      </c>
      <c r="AD416" t="str">
        <f t="shared" si="171"/>
        <v>No Impact</v>
      </c>
      <c r="AE416">
        <f t="shared" si="172"/>
        <v>3.8962164603174726E-3</v>
      </c>
      <c r="AF416">
        <f t="shared" si="173"/>
        <v>1.9989273342394313E-2</v>
      </c>
      <c r="AG416" t="str">
        <f t="shared" ref="AG416:AG418" si="181">IF(AF416&gt;0.7,"High",IF(AF416&gt;0.3,"Moderate",IF(AF416&gt;0.15,"Low","No Impact")))</f>
        <v>No Impact</v>
      </c>
    </row>
    <row r="417" spans="1:33" x14ac:dyDescent="0.3">
      <c r="A417">
        <v>507037</v>
      </c>
      <c r="B417" t="s">
        <v>189</v>
      </c>
      <c r="C417" s="1" t="s">
        <v>724</v>
      </c>
      <c r="D417" t="s">
        <v>961</v>
      </c>
      <c r="E417" s="4">
        <v>5.3</v>
      </c>
      <c r="F417" s="3">
        <f t="shared" si="158"/>
        <v>0.46666666666666656</v>
      </c>
      <c r="G417">
        <v>44.034480000000002</v>
      </c>
      <c r="H417">
        <f t="shared" si="174"/>
        <v>0.42606002974666568</v>
      </c>
      <c r="I417">
        <v>24.1</v>
      </c>
      <c r="J417" s="3">
        <f t="shared" si="175"/>
        <v>0.11090658076392086</v>
      </c>
      <c r="K417">
        <v>0</v>
      </c>
      <c r="L417" s="3">
        <f t="shared" si="176"/>
        <v>0</v>
      </c>
      <c r="M417">
        <v>29737</v>
      </c>
      <c r="N417">
        <f t="shared" si="177"/>
        <v>0.13956745350196118</v>
      </c>
      <c r="O417" s="15">
        <v>0.93276446800000001</v>
      </c>
      <c r="P417">
        <f t="shared" si="159"/>
        <v>0.95091090718956539</v>
      </c>
      <c r="Q417">
        <v>0.31950000000000001</v>
      </c>
      <c r="R417">
        <f t="shared" si="160"/>
        <v>0.70826867656838843</v>
      </c>
      <c r="S417">
        <f t="shared" si="161"/>
        <v>7.4565593206059599E-2</v>
      </c>
      <c r="T417" s="14">
        <f t="shared" si="162"/>
        <v>0.12733831803145751</v>
      </c>
      <c r="U417" t="str">
        <f t="shared" si="163"/>
        <v>No Impact</v>
      </c>
      <c r="V417">
        <f t="shared" si="164"/>
        <v>6.3660949706209849E-2</v>
      </c>
      <c r="W417">
        <f t="shared" si="165"/>
        <v>9.3672322916278403E-2</v>
      </c>
      <c r="X417" t="s">
        <v>1176</v>
      </c>
      <c r="Y417">
        <f t="shared" si="166"/>
        <v>8.5470236705909336E-2</v>
      </c>
      <c r="Z417">
        <f t="shared" si="167"/>
        <v>0.16822681438181977</v>
      </c>
      <c r="AA417" t="str">
        <f t="shared" si="168"/>
        <v>Low</v>
      </c>
      <c r="AB417">
        <f t="shared" si="169"/>
        <v>5.2313037819564541E-2</v>
      </c>
      <c r="AC417">
        <f t="shared" si="170"/>
        <v>0.12064960335372542</v>
      </c>
      <c r="AD417" t="str">
        <f t="shared" si="171"/>
        <v>No Impact</v>
      </c>
      <c r="AE417">
        <f t="shared" si="172"/>
        <v>1.2544669744623701E-2</v>
      </c>
      <c r="AF417">
        <f t="shared" si="173"/>
        <v>6.4359574235491684E-2</v>
      </c>
      <c r="AG417" t="str">
        <f t="shared" si="181"/>
        <v>No Impact</v>
      </c>
    </row>
    <row r="418" spans="1:33" x14ac:dyDescent="0.3">
      <c r="A418">
        <v>507056</v>
      </c>
      <c r="B418" t="s">
        <v>358</v>
      </c>
      <c r="C418" s="1" t="s">
        <v>724</v>
      </c>
      <c r="D418" t="s">
        <v>962</v>
      </c>
      <c r="E418" s="4">
        <v>5</v>
      </c>
      <c r="F418" s="3">
        <f t="shared" si="158"/>
        <v>0.39999999999999997</v>
      </c>
      <c r="G418">
        <v>51.306480000000001</v>
      </c>
      <c r="H418">
        <f t="shared" si="174"/>
        <v>0.49642099543350365</v>
      </c>
      <c r="I418">
        <v>45.5</v>
      </c>
      <c r="J418" s="3">
        <f t="shared" si="175"/>
        <v>0.20938794293603316</v>
      </c>
      <c r="K418">
        <v>0</v>
      </c>
      <c r="L418" s="3">
        <f t="shared" si="176"/>
        <v>0</v>
      </c>
      <c r="M418">
        <v>14402</v>
      </c>
      <c r="N418">
        <f t="shared" si="177"/>
        <v>6.7011114107677683E-2</v>
      </c>
      <c r="O418" s="15">
        <v>0.89724537599999998</v>
      </c>
      <c r="P418">
        <f t="shared" si="159"/>
        <v>0.91470081004822612</v>
      </c>
      <c r="Q418">
        <v>0.38569999999999999</v>
      </c>
      <c r="R418">
        <f t="shared" si="160"/>
        <v>0.85502105963201058</v>
      </c>
      <c r="S418">
        <f t="shared" si="161"/>
        <v>8.5104504249418567E-2</v>
      </c>
      <c r="T418" s="14">
        <f t="shared" si="162"/>
        <v>0.14533599160237498</v>
      </c>
      <c r="U418" t="str">
        <f t="shared" si="163"/>
        <v>No Impact</v>
      </c>
      <c r="V418">
        <f t="shared" si="164"/>
        <v>8.2234552953727807E-2</v>
      </c>
      <c r="W418">
        <f t="shared" si="165"/>
        <v>0.12100198999082766</v>
      </c>
      <c r="X418" t="s">
        <v>1176</v>
      </c>
      <c r="Y418">
        <f t="shared" si="166"/>
        <v>8.7974455545109312E-2</v>
      </c>
      <c r="Z418">
        <f t="shared" si="167"/>
        <v>0.17315574372693324</v>
      </c>
      <c r="AA418" t="str">
        <f t="shared" si="168"/>
        <v>Low</v>
      </c>
      <c r="AB418">
        <f t="shared" si="169"/>
        <v>5.7430187681114277E-2</v>
      </c>
      <c r="AC418">
        <f t="shared" si="170"/>
        <v>0.13245129040594725</v>
      </c>
      <c r="AD418" t="str">
        <f t="shared" si="171"/>
        <v>No Impact</v>
      </c>
      <c r="AE418">
        <f t="shared" si="172"/>
        <v>6.4450213822193061E-3</v>
      </c>
      <c r="AF418">
        <f t="shared" si="173"/>
        <v>3.306574350241831E-2</v>
      </c>
      <c r="AG418" t="str">
        <f t="shared" si="181"/>
        <v>No Impact</v>
      </c>
    </row>
    <row r="419" spans="1:33" x14ac:dyDescent="0.3">
      <c r="A419" s="6">
        <v>507066</v>
      </c>
      <c r="B419" s="6" t="s">
        <v>379</v>
      </c>
      <c r="C419" s="6" t="s">
        <v>724</v>
      </c>
      <c r="D419" s="6" t="s">
        <v>1118</v>
      </c>
      <c r="E419" s="4">
        <v>5</v>
      </c>
      <c r="F419" s="3">
        <f t="shared" si="158"/>
        <v>0.39999999999999997</v>
      </c>
      <c r="G419">
        <v>45.070200000000007</v>
      </c>
      <c r="H419">
        <f t="shared" si="174"/>
        <v>0.43608124253285546</v>
      </c>
      <c r="I419">
        <v>42.2</v>
      </c>
      <c r="J419" s="3">
        <f t="shared" si="175"/>
        <v>0.19420156465715604</v>
      </c>
      <c r="K419">
        <v>0</v>
      </c>
      <c r="L419" s="3">
        <f t="shared" si="176"/>
        <v>0</v>
      </c>
      <c r="M419" s="6">
        <v>71171</v>
      </c>
      <c r="N419">
        <f t="shared" si="177"/>
        <v>0.33560914678287035</v>
      </c>
      <c r="O419" s="15">
        <v>0.82675396199999995</v>
      </c>
      <c r="P419">
        <f t="shared" si="159"/>
        <v>0.84283802288659582</v>
      </c>
      <c r="Q419">
        <v>0.28710000000000002</v>
      </c>
      <c r="R419">
        <f t="shared" si="160"/>
        <v>0.63644424739525607</v>
      </c>
      <c r="S419">
        <f t="shared" si="161"/>
        <v>6.3098137296839704E-2</v>
      </c>
      <c r="T419" s="14">
        <f t="shared" si="162"/>
        <v>0.10775493533718165</v>
      </c>
      <c r="U419" t="str">
        <f t="shared" si="163"/>
        <v>No Impact</v>
      </c>
      <c r="V419">
        <f t="shared" si="164"/>
        <v>5.4294501206018198E-2</v>
      </c>
      <c r="W419">
        <f t="shared" si="165"/>
        <v>7.9890294961344199E-2</v>
      </c>
      <c r="X419" t="s">
        <v>1176</v>
      </c>
      <c r="Y419">
        <f t="shared" si="166"/>
        <v>7.1901773387661183E-2</v>
      </c>
      <c r="Z419">
        <f t="shared" si="167"/>
        <v>0.14152068312422789</v>
      </c>
      <c r="AA419" t="str">
        <f t="shared" si="168"/>
        <v>No Impact</v>
      </c>
      <c r="AB419">
        <f t="shared" si="169"/>
        <v>5.059429024725242E-2</v>
      </c>
      <c r="AC419">
        <f t="shared" si="170"/>
        <v>0.11668565437450779</v>
      </c>
      <c r="AD419" t="str">
        <f t="shared" si="171"/>
        <v>No Impact</v>
      </c>
      <c r="AE419">
        <f t="shared" si="172"/>
        <v>2.8630522310993421E-2</v>
      </c>
      <c r="AF419">
        <f t="shared" si="173"/>
        <v>0.14688694589708032</v>
      </c>
      <c r="AG419" t="s">
        <v>1175</v>
      </c>
    </row>
    <row r="420" spans="1:33" x14ac:dyDescent="0.3">
      <c r="A420">
        <v>507088</v>
      </c>
      <c r="B420" t="s">
        <v>485</v>
      </c>
      <c r="C420" s="1" t="s">
        <v>724</v>
      </c>
      <c r="D420" t="s">
        <v>1146</v>
      </c>
      <c r="E420" s="4">
        <v>5.2</v>
      </c>
      <c r="F420" s="3">
        <f t="shared" si="158"/>
        <v>0.44444444444444442</v>
      </c>
      <c r="G420">
        <v>41.855400000000003</v>
      </c>
      <c r="H420">
        <f t="shared" si="174"/>
        <v>0.40497612255347609</v>
      </c>
      <c r="I420">
        <v>24.1</v>
      </c>
      <c r="J420" s="3">
        <f t="shared" si="175"/>
        <v>0.11090658076392086</v>
      </c>
      <c r="K420">
        <v>0</v>
      </c>
      <c r="L420" s="3">
        <f t="shared" si="176"/>
        <v>0</v>
      </c>
      <c r="M420">
        <v>62302</v>
      </c>
      <c r="N420">
        <f t="shared" si="177"/>
        <v>0.29364617488277905</v>
      </c>
      <c r="O420" s="15">
        <v>0.69725627099999998</v>
      </c>
      <c r="P420">
        <f t="shared" si="159"/>
        <v>0.71082102282676507</v>
      </c>
      <c r="Q420">
        <v>0.30499999999999999</v>
      </c>
      <c r="R420">
        <f t="shared" si="160"/>
        <v>0.67612502771004213</v>
      </c>
      <c r="S420">
        <f t="shared" si="161"/>
        <v>5.6763622739714178E-2</v>
      </c>
      <c r="T420" s="14">
        <f t="shared" si="162"/>
        <v>9.693725932109927E-2</v>
      </c>
      <c r="U420" t="str">
        <f t="shared" si="163"/>
        <v>No Impact</v>
      </c>
      <c r="V420">
        <f t="shared" si="164"/>
        <v>5.5343617703020528E-2</v>
      </c>
      <c r="W420">
        <f t="shared" si="165"/>
        <v>8.1433991367657971E-2</v>
      </c>
      <c r="X420" t="s">
        <v>1176</v>
      </c>
      <c r="Y420">
        <f t="shared" si="166"/>
        <v>5.8183627776407815E-2</v>
      </c>
      <c r="Z420">
        <f t="shared" si="167"/>
        <v>0.11451993965667717</v>
      </c>
      <c r="AA420" t="str">
        <f t="shared" si="168"/>
        <v>No Impact</v>
      </c>
      <c r="AB420">
        <f t="shared" si="169"/>
        <v>4.5238006541282648E-2</v>
      </c>
      <c r="AC420">
        <f t="shared" si="170"/>
        <v>0.10433245273471331</v>
      </c>
      <c r="AD420" t="str">
        <f t="shared" si="171"/>
        <v>No Impact</v>
      </c>
      <c r="AE420">
        <f t="shared" si="172"/>
        <v>2.4036148606580352E-2</v>
      </c>
      <c r="AF420">
        <f t="shared" si="173"/>
        <v>0.12331582433594962</v>
      </c>
      <c r="AG420" t="s">
        <v>1175</v>
      </c>
    </row>
    <row r="421" spans="1:33" x14ac:dyDescent="0.3">
      <c r="A421">
        <v>507605</v>
      </c>
      <c r="B421" t="s">
        <v>15</v>
      </c>
      <c r="C421" s="1" t="s">
        <v>964</v>
      </c>
      <c r="D421" t="s">
        <v>963</v>
      </c>
      <c r="E421" s="4">
        <v>5</v>
      </c>
      <c r="F421" s="3">
        <f t="shared" si="158"/>
        <v>0.39999999999999997</v>
      </c>
      <c r="G421">
        <v>48.817439999999998</v>
      </c>
      <c r="H421">
        <f t="shared" si="174"/>
        <v>0.47233803915831563</v>
      </c>
      <c r="I421">
        <v>94.5</v>
      </c>
      <c r="J421" s="3">
        <f t="shared" si="175"/>
        <v>0.43488265071329962</v>
      </c>
      <c r="K421">
        <v>0</v>
      </c>
      <c r="L421" s="3">
        <f t="shared" si="176"/>
        <v>0</v>
      </c>
      <c r="M421">
        <v>10847</v>
      </c>
      <c r="N421">
        <f t="shared" si="177"/>
        <v>5.019091283303289E-2</v>
      </c>
      <c r="O421" s="15">
        <v>0.71715525300000005</v>
      </c>
      <c r="P421">
        <f t="shared" si="159"/>
        <v>0.73110712899281705</v>
      </c>
      <c r="Q421">
        <v>0.35699999999999998</v>
      </c>
      <c r="R421">
        <f t="shared" si="160"/>
        <v>0.79139880292618037</v>
      </c>
      <c r="S421">
        <f t="shared" si="161"/>
        <v>8.4015453935148088E-2</v>
      </c>
      <c r="T421" s="14">
        <f t="shared" si="162"/>
        <v>0.14347618161082029</v>
      </c>
      <c r="U421" t="str">
        <f t="shared" si="163"/>
        <v>No Impact</v>
      </c>
      <c r="V421">
        <f t="shared" si="164"/>
        <v>8.7342490137652024E-2</v>
      </c>
      <c r="W421">
        <f t="shared" si="165"/>
        <v>0.12851793726363345</v>
      </c>
      <c r="X421" t="s">
        <v>1176</v>
      </c>
      <c r="Y421">
        <f t="shared" si="166"/>
        <v>8.0688417732644194E-2</v>
      </c>
      <c r="Z421">
        <f t="shared" si="167"/>
        <v>0.15881499801361587</v>
      </c>
      <c r="AA421" t="str">
        <f t="shared" si="168"/>
        <v>Low</v>
      </c>
      <c r="AB421">
        <f t="shared" si="169"/>
        <v>5.6715153601641609E-2</v>
      </c>
      <c r="AC421">
        <f t="shared" si="170"/>
        <v>0.130802206703901</v>
      </c>
      <c r="AD421" t="str">
        <f t="shared" si="171"/>
        <v>No Impact</v>
      </c>
      <c r="AE421">
        <f t="shared" si="172"/>
        <v>5.5393049533432725E-3</v>
      </c>
      <c r="AF421">
        <f t="shared" si="173"/>
        <v>2.8419027014283286E-2</v>
      </c>
      <c r="AG421" t="str">
        <f>IF(AF421&gt;0.7,"High",IF(AF421&gt;0.3,"Moderate",IF(AF421&gt;0.15,"Low","No Impact")))</f>
        <v>No Impact</v>
      </c>
    </row>
    <row r="422" spans="1:33" x14ac:dyDescent="0.3">
      <c r="A422">
        <v>507616</v>
      </c>
      <c r="B422" t="s">
        <v>62</v>
      </c>
      <c r="C422" s="1" t="s">
        <v>964</v>
      </c>
      <c r="D422" t="s">
        <v>965</v>
      </c>
      <c r="E422" s="4">
        <v>4.9000000000000004</v>
      </c>
      <c r="F422" s="3">
        <f t="shared" si="158"/>
        <v>0.37777777777777782</v>
      </c>
      <c r="G422">
        <v>56.126159999999999</v>
      </c>
      <c r="H422">
        <f t="shared" si="174"/>
        <v>0.54305429288971085</v>
      </c>
      <c r="I422">
        <v>124.7</v>
      </c>
      <c r="J422" s="3">
        <f t="shared" si="175"/>
        <v>0.57386102162908426</v>
      </c>
      <c r="K422">
        <v>0</v>
      </c>
      <c r="L422" s="3">
        <f t="shared" si="176"/>
        <v>0</v>
      </c>
      <c r="M422">
        <v>28096</v>
      </c>
      <c r="N422">
        <f t="shared" si="177"/>
        <v>0.13180319181653441</v>
      </c>
      <c r="O422" s="15">
        <v>0.46232763999999998</v>
      </c>
      <c r="P422">
        <f t="shared" si="159"/>
        <v>0.47132197961384048</v>
      </c>
      <c r="Q422">
        <v>0.25740000000000002</v>
      </c>
      <c r="R422">
        <f t="shared" si="160"/>
        <v>0.57060518731988474</v>
      </c>
      <c r="S422">
        <f t="shared" si="161"/>
        <v>6.5339214031411033E-2</v>
      </c>
      <c r="T422" s="14">
        <f t="shared" si="162"/>
        <v>0.11158210185849021</v>
      </c>
      <c r="U422" t="str">
        <f t="shared" si="163"/>
        <v>No Impact</v>
      </c>
      <c r="V422">
        <f t="shared" si="164"/>
        <v>7.1565260307871054E-2</v>
      </c>
      <c r="W422">
        <f t="shared" si="165"/>
        <v>0.10530292438431064</v>
      </c>
      <c r="X422" t="s">
        <v>1176</v>
      </c>
      <c r="Y422">
        <f t="shared" si="166"/>
        <v>5.9113167754950999E-2</v>
      </c>
      <c r="Z422">
        <f t="shared" si="167"/>
        <v>0.11634950694767372</v>
      </c>
      <c r="AA422" t="str">
        <f t="shared" si="168"/>
        <v>No Impact</v>
      </c>
      <c r="AB422">
        <f t="shared" si="169"/>
        <v>4.8567552726775896E-2</v>
      </c>
      <c r="AC422">
        <f t="shared" si="170"/>
        <v>0.11201138791743434</v>
      </c>
      <c r="AD422" t="str">
        <f t="shared" si="171"/>
        <v>No Impact</v>
      </c>
      <c r="AE422">
        <f t="shared" si="172"/>
        <v>1.6530746550102095E-2</v>
      </c>
      <c r="AF422">
        <f t="shared" si="173"/>
        <v>8.4809869962129303E-2</v>
      </c>
      <c r="AG422" t="s">
        <v>1175</v>
      </c>
    </row>
    <row r="423" spans="1:33" x14ac:dyDescent="0.3">
      <c r="A423">
        <v>507619</v>
      </c>
      <c r="B423" t="s">
        <v>68</v>
      </c>
      <c r="C423" s="1" t="s">
        <v>964</v>
      </c>
      <c r="D423" t="s">
        <v>966</v>
      </c>
      <c r="E423" s="4">
        <v>5.0999999999999996</v>
      </c>
      <c r="F423" s="3">
        <f t="shared" si="158"/>
        <v>0.42222222222222211</v>
      </c>
      <c r="G423">
        <v>49.7988</v>
      </c>
      <c r="H423">
        <f t="shared" si="174"/>
        <v>0.48183328630991568</v>
      </c>
      <c r="I423">
        <v>98.8</v>
      </c>
      <c r="J423" s="3">
        <f t="shared" si="175"/>
        <v>0.45467096180395766</v>
      </c>
      <c r="K423">
        <v>0</v>
      </c>
      <c r="L423" s="3">
        <f t="shared" si="176"/>
        <v>0</v>
      </c>
      <c r="M423">
        <v>13803</v>
      </c>
      <c r="N423">
        <f t="shared" si="177"/>
        <v>6.4176992992765663E-2</v>
      </c>
      <c r="O423" s="15">
        <v>0.51886827099999999</v>
      </c>
      <c r="P423">
        <f t="shared" si="159"/>
        <v>0.52896257867370999</v>
      </c>
      <c r="Q423">
        <v>0.22209999999999999</v>
      </c>
      <c r="R423">
        <f t="shared" si="160"/>
        <v>0.49235202837508313</v>
      </c>
      <c r="S423">
        <f t="shared" si="161"/>
        <v>6.1161795535598071E-2</v>
      </c>
      <c r="T423" s="14">
        <f t="shared" si="162"/>
        <v>0.1044481755783048</v>
      </c>
      <c r="U423" t="str">
        <f t="shared" si="163"/>
        <v>No Impact</v>
      </c>
      <c r="V423">
        <f t="shared" si="164"/>
        <v>5.8969359457276743E-2</v>
      </c>
      <c r="W423">
        <f t="shared" si="165"/>
        <v>8.6768998997658692E-2</v>
      </c>
      <c r="X423" t="s">
        <v>1176</v>
      </c>
      <c r="Y423">
        <f t="shared" si="166"/>
        <v>6.3354231613919398E-2</v>
      </c>
      <c r="Z423">
        <f t="shared" si="167"/>
        <v>0.12469698192939205</v>
      </c>
      <c r="AA423" t="str">
        <f t="shared" si="168"/>
        <v>No Impact</v>
      </c>
      <c r="AB423">
        <f t="shared" si="169"/>
        <v>4.2335829039795179E-2</v>
      </c>
      <c r="AC423">
        <f t="shared" si="170"/>
        <v>9.7639158309253321E-2</v>
      </c>
      <c r="AD423" t="str">
        <f t="shared" si="171"/>
        <v>No Impact</v>
      </c>
      <c r="AE423">
        <f t="shared" si="172"/>
        <v>7.6865249873499927E-3</v>
      </c>
      <c r="AF423">
        <f t="shared" si="173"/>
        <v>3.9435193242000573E-2</v>
      </c>
      <c r="AG423" t="str">
        <f>IF(AF423&gt;0.7,"High",IF(AF423&gt;0.3,"Moderate",IF(AF423&gt;0.15,"Low","No Impact")))</f>
        <v>No Impact</v>
      </c>
    </row>
    <row r="424" spans="1:33" x14ac:dyDescent="0.3">
      <c r="A424">
        <v>507622</v>
      </c>
      <c r="B424" t="s">
        <v>104</v>
      </c>
      <c r="C424" s="1" t="s">
        <v>964</v>
      </c>
      <c r="D424" t="s">
        <v>967</v>
      </c>
      <c r="E424" s="4">
        <v>5</v>
      </c>
      <c r="F424" s="3">
        <f t="shared" si="158"/>
        <v>0.39999999999999997</v>
      </c>
      <c r="G424">
        <v>49.7988</v>
      </c>
      <c r="H424">
        <f t="shared" si="174"/>
        <v>0.48183328630991568</v>
      </c>
      <c r="I424">
        <v>98.8</v>
      </c>
      <c r="J424" s="3">
        <f t="shared" si="175"/>
        <v>0.45467096180395766</v>
      </c>
      <c r="K424">
        <v>0</v>
      </c>
      <c r="L424" s="3">
        <f t="shared" si="176"/>
        <v>0</v>
      </c>
      <c r="M424">
        <v>30646</v>
      </c>
      <c r="N424">
        <f t="shared" si="177"/>
        <v>0.14386831509370579</v>
      </c>
      <c r="O424" s="15">
        <v>0.82277182999999998</v>
      </c>
      <c r="P424">
        <f t="shared" si="159"/>
        <v>0.83877842061552332</v>
      </c>
      <c r="Q424">
        <v>0.31540000000000001</v>
      </c>
      <c r="R424">
        <f t="shared" si="160"/>
        <v>0.69917978275326986</v>
      </c>
      <c r="S424">
        <f t="shared" si="161"/>
        <v>8.7253753848517371E-2</v>
      </c>
      <c r="T424" s="14">
        <f t="shared" si="162"/>
        <v>0.14900634165541776</v>
      </c>
      <c r="U424" t="str">
        <f t="shared" si="163"/>
        <v>No Impact</v>
      </c>
      <c r="V424">
        <f t="shared" si="164"/>
        <v>7.9333834335138659E-2</v>
      </c>
      <c r="W424">
        <f t="shared" si="165"/>
        <v>0.11673379964205503</v>
      </c>
      <c r="X424" t="s">
        <v>1176</v>
      </c>
      <c r="Y424">
        <f t="shared" si="166"/>
        <v>9.5173673361896097E-2</v>
      </c>
      <c r="Z424">
        <f t="shared" si="167"/>
        <v>0.18732560596243991</v>
      </c>
      <c r="AA424" t="str">
        <f t="shared" si="168"/>
        <v>Low</v>
      </c>
      <c r="AB424">
        <f t="shared" si="169"/>
        <v>6.2032451302595285E-2</v>
      </c>
      <c r="AC424">
        <f t="shared" si="170"/>
        <v>0.14306549488736434</v>
      </c>
      <c r="AD424" t="str">
        <f t="shared" si="171"/>
        <v>No Impact</v>
      </c>
      <c r="AE424">
        <f t="shared" si="172"/>
        <v>1.6324306504936919E-2</v>
      </c>
      <c r="AF424">
        <f t="shared" si="173"/>
        <v>8.3750743362349292E-2</v>
      </c>
      <c r="AG424" t="s">
        <v>1175</v>
      </c>
    </row>
    <row r="425" spans="1:33" x14ac:dyDescent="0.3">
      <c r="A425">
        <v>507633</v>
      </c>
      <c r="B425" t="s">
        <v>163</v>
      </c>
      <c r="C425" s="1" t="s">
        <v>964</v>
      </c>
      <c r="D425" t="s">
        <v>742</v>
      </c>
      <c r="E425" s="4">
        <v>5</v>
      </c>
      <c r="F425" s="3">
        <f t="shared" si="158"/>
        <v>0.39999999999999997</v>
      </c>
      <c r="G425">
        <v>48.817439999999998</v>
      </c>
      <c r="H425">
        <f t="shared" si="174"/>
        <v>0.47233803915831563</v>
      </c>
      <c r="I425">
        <v>99.8</v>
      </c>
      <c r="J425" s="3">
        <f t="shared" si="175"/>
        <v>0.45927289461573861</v>
      </c>
      <c r="K425">
        <v>0</v>
      </c>
      <c r="L425" s="3">
        <f t="shared" si="176"/>
        <v>0</v>
      </c>
      <c r="M425">
        <v>16518</v>
      </c>
      <c r="N425">
        <f t="shared" si="177"/>
        <v>7.7022800717283402E-2</v>
      </c>
      <c r="O425" s="15">
        <v>0.53149380000000002</v>
      </c>
      <c r="P425">
        <f t="shared" si="159"/>
        <v>0.54183373066010643</v>
      </c>
      <c r="Q425">
        <v>0.24790000000000001</v>
      </c>
      <c r="R425">
        <f t="shared" si="160"/>
        <v>0.54954555530924409</v>
      </c>
      <c r="S425">
        <f t="shared" si="161"/>
        <v>6.1289633104653317E-2</v>
      </c>
      <c r="T425" s="14">
        <f t="shared" si="162"/>
        <v>0.10466648834596079</v>
      </c>
      <c r="U425" t="str">
        <f t="shared" si="163"/>
        <v>No Impact</v>
      </c>
      <c r="V425">
        <f t="shared" si="164"/>
        <v>6.1722713436476971E-2</v>
      </c>
      <c r="W425">
        <f t="shared" si="165"/>
        <v>9.0820353308782104E-2</v>
      </c>
      <c r="X425" t="s">
        <v>1176</v>
      </c>
      <c r="Y425">
        <f t="shared" si="166"/>
        <v>6.085655277282967E-2</v>
      </c>
      <c r="Z425">
        <f t="shared" si="167"/>
        <v>0.11978092493716483</v>
      </c>
      <c r="AA425" t="str">
        <f t="shared" si="168"/>
        <v>No Impact</v>
      </c>
      <c r="AB425">
        <f t="shared" si="169"/>
        <v>4.2887725829479161E-2</v>
      </c>
      <c r="AC425">
        <f t="shared" si="170"/>
        <v>9.8911998341928001E-2</v>
      </c>
      <c r="AD425" t="str">
        <f t="shared" si="171"/>
        <v>No Impact</v>
      </c>
      <c r="AE425">
        <f t="shared" si="172"/>
        <v>8.6508865567523716E-3</v>
      </c>
      <c r="AF425">
        <f t="shared" si="173"/>
        <v>4.4382784631754574E-2</v>
      </c>
      <c r="AG425" t="str">
        <f>IF(AF425&gt;0.7,"High",IF(AF425&gt;0.3,"Moderate",IF(AF425&gt;0.15,"Low","No Impact")))</f>
        <v>No Impact</v>
      </c>
    </row>
    <row r="426" spans="1:33" x14ac:dyDescent="0.3">
      <c r="A426">
        <v>507639</v>
      </c>
      <c r="B426" t="s">
        <v>212</v>
      </c>
      <c r="C426" s="1" t="s">
        <v>964</v>
      </c>
      <c r="D426" t="s">
        <v>968</v>
      </c>
      <c r="E426" s="4">
        <v>5.0999999999999996</v>
      </c>
      <c r="F426" s="3">
        <f t="shared" si="158"/>
        <v>0.42222222222222211</v>
      </c>
      <c r="G426">
        <v>48.729239999999997</v>
      </c>
      <c r="H426">
        <f t="shared" si="174"/>
        <v>0.47148465120815347</v>
      </c>
      <c r="I426">
        <v>103</v>
      </c>
      <c r="J426" s="3">
        <f t="shared" si="175"/>
        <v>0.47399907961343768</v>
      </c>
      <c r="K426">
        <v>0</v>
      </c>
      <c r="L426" s="3">
        <f t="shared" si="176"/>
        <v>0</v>
      </c>
      <c r="M426">
        <v>58204</v>
      </c>
      <c r="N426">
        <f t="shared" si="177"/>
        <v>0.27425681206323071</v>
      </c>
      <c r="O426" s="15">
        <v>0.71906071699999996</v>
      </c>
      <c r="P426">
        <f t="shared" si="159"/>
        <v>0.73304966278673611</v>
      </c>
      <c r="Q426">
        <v>0.32979999999999998</v>
      </c>
      <c r="R426">
        <f t="shared" si="160"/>
        <v>0.73110175127466193</v>
      </c>
      <c r="S426">
        <f t="shared" si="161"/>
        <v>8.7596597654119299E-2</v>
      </c>
      <c r="T426" s="14">
        <f t="shared" si="162"/>
        <v>0.14959182822738412</v>
      </c>
      <c r="U426" t="str">
        <f t="shared" si="163"/>
        <v>No Impact</v>
      </c>
      <c r="V426">
        <f t="shared" si="164"/>
        <v>8.7480058873122823E-2</v>
      </c>
      <c r="W426">
        <f t="shared" si="165"/>
        <v>0.12872035936182197</v>
      </c>
      <c r="X426" t="s">
        <v>1176</v>
      </c>
      <c r="Y426">
        <f t="shared" si="166"/>
        <v>8.7713136435115774E-2</v>
      </c>
      <c r="Z426">
        <f t="shared" si="167"/>
        <v>0.17264140232452707</v>
      </c>
      <c r="AA426" t="str">
        <f t="shared" si="168"/>
        <v>Low</v>
      </c>
      <c r="AB426">
        <f t="shared" si="169"/>
        <v>6.8417641481957267E-2</v>
      </c>
      <c r="AC426">
        <f t="shared" si="170"/>
        <v>0.15779166439667958</v>
      </c>
      <c r="AD426" t="str">
        <f t="shared" si="171"/>
        <v>Low</v>
      </c>
      <c r="AE426">
        <f t="shared" si="172"/>
        <v>3.2816228416655831E-2</v>
      </c>
      <c r="AF426">
        <f t="shared" si="173"/>
        <v>0.16836142615996522</v>
      </c>
      <c r="AG426" t="s">
        <v>1175</v>
      </c>
    </row>
    <row r="427" spans="1:33" x14ac:dyDescent="0.3">
      <c r="A427">
        <v>507655</v>
      </c>
      <c r="B427" t="s">
        <v>389</v>
      </c>
      <c r="C427" s="1" t="s">
        <v>964</v>
      </c>
      <c r="D427" t="s">
        <v>969</v>
      </c>
      <c r="E427" s="4">
        <v>5.0999999999999996</v>
      </c>
      <c r="F427" s="3">
        <f t="shared" si="158"/>
        <v>0.42222222222222211</v>
      </c>
      <c r="G427">
        <v>52.311959999999999</v>
      </c>
      <c r="H427">
        <f t="shared" si="174"/>
        <v>0.50614961806535208</v>
      </c>
      <c r="I427">
        <v>89</v>
      </c>
      <c r="J427" s="3">
        <f t="shared" si="175"/>
        <v>0.40957202024850442</v>
      </c>
      <c r="K427">
        <v>0</v>
      </c>
      <c r="L427" s="3">
        <f t="shared" si="176"/>
        <v>0</v>
      </c>
      <c r="M427">
        <v>95538</v>
      </c>
      <c r="N427">
        <f t="shared" si="177"/>
        <v>0.45089967968280553</v>
      </c>
      <c r="O427" s="15">
        <v>0.35950243900000001</v>
      </c>
      <c r="P427">
        <f t="shared" si="159"/>
        <v>0.36649636873426805</v>
      </c>
      <c r="Q427">
        <v>0.33600000000000002</v>
      </c>
      <c r="R427">
        <f t="shared" si="160"/>
        <v>0.74484593216581696</v>
      </c>
      <c r="S427">
        <f t="shared" si="161"/>
        <v>6.6718950665144702E-2</v>
      </c>
      <c r="T427" s="14">
        <f t="shared" si="162"/>
        <v>0.11393832722614079</v>
      </c>
      <c r="U427" t="str">
        <f t="shared" si="163"/>
        <v>No Impact</v>
      </c>
      <c r="V427">
        <f t="shared" si="164"/>
        <v>8.9433001805215559E-2</v>
      </c>
      <c r="W427">
        <f t="shared" si="165"/>
        <v>0.13159396872229009</v>
      </c>
      <c r="X427" t="s">
        <v>1176</v>
      </c>
      <c r="Y427">
        <f t="shared" si="166"/>
        <v>4.4004899525073846E-2</v>
      </c>
      <c r="Z427">
        <f t="shared" si="167"/>
        <v>8.6612654294701441E-2</v>
      </c>
      <c r="AA427" t="str">
        <f t="shared" si="168"/>
        <v>No Impact</v>
      </c>
      <c r="AB427">
        <f t="shared" si="169"/>
        <v>6.345171651353855E-2</v>
      </c>
      <c r="AC427">
        <f t="shared" si="170"/>
        <v>0.14633874744334585</v>
      </c>
      <c r="AD427" t="str">
        <f t="shared" si="171"/>
        <v>No Impact</v>
      </c>
      <c r="AE427">
        <f t="shared" si="172"/>
        <v>5.4139131497688418E-2</v>
      </c>
      <c r="AF427">
        <f t="shared" si="173"/>
        <v>0.27775712901201161</v>
      </c>
      <c r="AG427" t="s">
        <v>1175</v>
      </c>
    </row>
    <row r="428" spans="1:33" x14ac:dyDescent="0.3">
      <c r="A428">
        <v>507672</v>
      </c>
      <c r="B428" t="s">
        <v>457</v>
      </c>
      <c r="C428" s="1" t="s">
        <v>964</v>
      </c>
      <c r="D428" t="s">
        <v>970</v>
      </c>
      <c r="E428" s="4">
        <v>5</v>
      </c>
      <c r="F428" s="3">
        <f t="shared" si="158"/>
        <v>0.39999999999999997</v>
      </c>
      <c r="G428">
        <v>55.509120000000003</v>
      </c>
      <c r="H428">
        <f t="shared" si="174"/>
        <v>0.53708406045469903</v>
      </c>
      <c r="I428">
        <v>111.69999999999999</v>
      </c>
      <c r="J428" s="3">
        <f t="shared" si="175"/>
        <v>0.51403589507593184</v>
      </c>
      <c r="K428">
        <v>0</v>
      </c>
      <c r="L428" s="3">
        <f t="shared" si="176"/>
        <v>0</v>
      </c>
      <c r="M428">
        <v>62096</v>
      </c>
      <c r="N428">
        <f t="shared" si="177"/>
        <v>0.29267150217881932</v>
      </c>
      <c r="O428" s="15">
        <v>0.38126525300000003</v>
      </c>
      <c r="P428">
        <f t="shared" si="159"/>
        <v>0.388682566765707</v>
      </c>
      <c r="Q428">
        <v>0.3337</v>
      </c>
      <c r="R428">
        <f t="shared" si="160"/>
        <v>0.73974728441587234</v>
      </c>
      <c r="S428">
        <f t="shared" si="161"/>
        <v>7.1687072856172498E-2</v>
      </c>
      <c r="T428" s="14">
        <f t="shared" si="162"/>
        <v>0.12242256635546656</v>
      </c>
      <c r="U428" t="str">
        <f t="shared" si="163"/>
        <v>No Impact</v>
      </c>
      <c r="V428">
        <f t="shared" si="164"/>
        <v>9.3989568633882442E-2</v>
      </c>
      <c r="W428">
        <f t="shared" si="165"/>
        <v>0.13829861578354577</v>
      </c>
      <c r="X428" t="s">
        <v>1176</v>
      </c>
      <c r="Y428">
        <f t="shared" si="166"/>
        <v>4.9384577078462562E-2</v>
      </c>
      <c r="Z428">
        <f t="shared" si="167"/>
        <v>9.7201205960025128E-2</v>
      </c>
      <c r="AA428" t="str">
        <f t="shared" si="168"/>
        <v>No Impact</v>
      </c>
      <c r="AB428">
        <f t="shared" si="169"/>
        <v>6.0726739688893694E-2</v>
      </c>
      <c r="AC428">
        <f t="shared" si="170"/>
        <v>0.14005413108871043</v>
      </c>
      <c r="AD428" t="str">
        <f t="shared" si="171"/>
        <v>No Impact</v>
      </c>
      <c r="AE428">
        <f t="shared" si="172"/>
        <v>3.7185764409988803E-2</v>
      </c>
      <c r="AF428">
        <f t="shared" si="173"/>
        <v>0.19077903314862985</v>
      </c>
      <c r="AG428" t="s">
        <v>1175</v>
      </c>
    </row>
    <row r="429" spans="1:33" x14ac:dyDescent="0.3">
      <c r="A429">
        <v>507683</v>
      </c>
      <c r="B429" t="s">
        <v>502</v>
      </c>
      <c r="C429" s="1" t="s">
        <v>964</v>
      </c>
      <c r="D429" t="s">
        <v>971</v>
      </c>
      <c r="E429" s="4">
        <v>5</v>
      </c>
      <c r="F429" s="3">
        <f t="shared" si="158"/>
        <v>0.39999999999999997</v>
      </c>
      <c r="G429">
        <v>56.76876</v>
      </c>
      <c r="H429">
        <f t="shared" si="174"/>
        <v>0.54927183366946364</v>
      </c>
      <c r="I429">
        <v>124.7</v>
      </c>
      <c r="J429" s="3">
        <f t="shared" si="175"/>
        <v>0.57386102162908426</v>
      </c>
      <c r="K429">
        <v>0</v>
      </c>
      <c r="L429" s="3">
        <f t="shared" si="176"/>
        <v>0</v>
      </c>
      <c r="M429">
        <v>30851</v>
      </c>
      <c r="N429">
        <f t="shared" si="177"/>
        <v>0.1448382563767725</v>
      </c>
      <c r="O429" s="15">
        <v>0.35373111099999999</v>
      </c>
      <c r="P429">
        <f t="shared" si="159"/>
        <v>0.36061276260169767</v>
      </c>
      <c r="Q429">
        <v>0.29020000000000001</v>
      </c>
      <c r="R429">
        <f t="shared" si="160"/>
        <v>0.64331633784083353</v>
      </c>
      <c r="S429">
        <f t="shared" si="161"/>
        <v>6.7159029398861078E-2</v>
      </c>
      <c r="T429" s="14">
        <f t="shared" si="162"/>
        <v>0.1146898653463834</v>
      </c>
      <c r="U429" t="str">
        <f t="shared" si="163"/>
        <v>No Impact</v>
      </c>
      <c r="V429">
        <f t="shared" si="164"/>
        <v>8.6070820791579156E-2</v>
      </c>
      <c r="W429">
        <f t="shared" si="165"/>
        <v>0.12664677099643509</v>
      </c>
      <c r="X429" t="s">
        <v>1176</v>
      </c>
      <c r="Y429">
        <f t="shared" si="166"/>
        <v>4.8247238006143008E-2</v>
      </c>
      <c r="Z429">
        <f t="shared" si="167"/>
        <v>9.4962638051682549E-2</v>
      </c>
      <c r="AA429" t="str">
        <f t="shared" si="168"/>
        <v>No Impact</v>
      </c>
      <c r="AB429">
        <f t="shared" si="169"/>
        <v>5.1381347693876624E-2</v>
      </c>
      <c r="AC429">
        <f t="shared" si="170"/>
        <v>0.1185008456291111</v>
      </c>
      <c r="AD429" t="str">
        <f t="shared" si="171"/>
        <v>No Impact</v>
      </c>
      <c r="AE429">
        <f t="shared" si="172"/>
        <v>1.9378254328517225E-2</v>
      </c>
      <c r="AF429">
        <f t="shared" si="173"/>
        <v>9.9418814795419211E-2</v>
      </c>
      <c r="AG429" t="s">
        <v>1175</v>
      </c>
    </row>
    <row r="430" spans="1:33" x14ac:dyDescent="0.3">
      <c r="A430">
        <v>508110</v>
      </c>
      <c r="B430" t="s">
        <v>26</v>
      </c>
      <c r="C430" s="1" t="s">
        <v>973</v>
      </c>
      <c r="D430" t="s">
        <v>972</v>
      </c>
      <c r="E430" s="4">
        <v>4.3</v>
      </c>
      <c r="F430" s="3">
        <f t="shared" si="158"/>
        <v>0.24444444444444435</v>
      </c>
      <c r="G430">
        <v>46.938960000000002</v>
      </c>
      <c r="H430">
        <f t="shared" si="174"/>
        <v>0.45416261742792358</v>
      </c>
      <c r="I430">
        <v>121.39999999999999</v>
      </c>
      <c r="J430" s="3">
        <f t="shared" si="175"/>
        <v>0.55867464335020711</v>
      </c>
      <c r="K430">
        <v>0</v>
      </c>
      <c r="L430" s="3">
        <f t="shared" si="176"/>
        <v>0</v>
      </c>
      <c r="M430">
        <v>16015</v>
      </c>
      <c r="N430">
        <f t="shared" si="177"/>
        <v>7.4642896008100187E-2</v>
      </c>
      <c r="O430" s="15">
        <v>0.35543725900000001</v>
      </c>
      <c r="P430">
        <f t="shared" si="159"/>
        <v>0.36235210280829705</v>
      </c>
      <c r="Q430">
        <v>0.29459999999999997</v>
      </c>
      <c r="R430">
        <f t="shared" si="160"/>
        <v>0.65307027266681439</v>
      </c>
      <c r="S430">
        <f t="shared" si="161"/>
        <v>3.641304336143688E-2</v>
      </c>
      <c r="T430" s="14">
        <f t="shared" si="162"/>
        <v>6.2183850442097635E-2</v>
      </c>
      <c r="U430" t="str">
        <f t="shared" si="163"/>
        <v>No Impact</v>
      </c>
      <c r="V430">
        <f t="shared" si="164"/>
        <v>4.6838196067041434E-2</v>
      </c>
      <c r="W430">
        <f t="shared" si="165"/>
        <v>6.8918900001579617E-2</v>
      </c>
      <c r="X430" t="s">
        <v>1176</v>
      </c>
      <c r="Y430">
        <f t="shared" si="166"/>
        <v>2.5987890655832322E-2</v>
      </c>
      <c r="Z430">
        <f t="shared" si="167"/>
        <v>5.1150672164120337E-2</v>
      </c>
      <c r="AA430" t="str">
        <f t="shared" si="168"/>
        <v>No Impact</v>
      </c>
      <c r="AB430">
        <f t="shared" si="169"/>
        <v>2.6063421640251511E-2</v>
      </c>
      <c r="AC430">
        <f t="shared" si="170"/>
        <v>6.0110091365430551E-2</v>
      </c>
      <c r="AD430" t="str">
        <f t="shared" si="171"/>
        <v>No Impact</v>
      </c>
      <c r="AE430">
        <f t="shared" si="172"/>
        <v>5.3533880572494722E-3</v>
      </c>
      <c r="AF430">
        <f t="shared" si="173"/>
        <v>2.7465193033846359E-2</v>
      </c>
      <c r="AG430" t="str">
        <f t="shared" ref="AG430:AG434" si="182">IF(AF430&gt;0.7,"High",IF(AF430&gt;0.3,"Moderate",IF(AF430&gt;0.15,"Low","No Impact")))</f>
        <v>No Impact</v>
      </c>
    </row>
    <row r="431" spans="1:33" x14ac:dyDescent="0.3">
      <c r="A431">
        <v>508112</v>
      </c>
      <c r="B431" t="s">
        <v>29</v>
      </c>
      <c r="C431" s="1" t="s">
        <v>973</v>
      </c>
      <c r="D431" t="s">
        <v>974</v>
      </c>
      <c r="E431" s="4">
        <v>4.5999999999999996</v>
      </c>
      <c r="F431" s="3">
        <f t="shared" si="158"/>
        <v>0.31111111111111101</v>
      </c>
      <c r="G431">
        <v>59.847480000000004</v>
      </c>
      <c r="H431">
        <f t="shared" si="174"/>
        <v>0.57906029795430725</v>
      </c>
      <c r="I431">
        <v>97.5</v>
      </c>
      <c r="J431" s="3">
        <f t="shared" si="175"/>
        <v>0.44868844914864248</v>
      </c>
      <c r="K431">
        <v>0</v>
      </c>
      <c r="L431" s="3">
        <f t="shared" si="176"/>
        <v>0</v>
      </c>
      <c r="M431">
        <v>22499</v>
      </c>
      <c r="N431">
        <f t="shared" si="177"/>
        <v>0.10532142907836653</v>
      </c>
      <c r="O431" s="15">
        <v>0.40066613899999998</v>
      </c>
      <c r="P431">
        <f t="shared" si="159"/>
        <v>0.40846088673762654</v>
      </c>
      <c r="Q431">
        <v>0.2382</v>
      </c>
      <c r="R431">
        <f t="shared" si="160"/>
        <v>0.52804256262469518</v>
      </c>
      <c r="S431">
        <f t="shared" si="161"/>
        <v>4.6815446631728409E-2</v>
      </c>
      <c r="T431" s="14">
        <f t="shared" si="162"/>
        <v>7.9948404829310774E-2</v>
      </c>
      <c r="U431" t="str">
        <f t="shared" si="163"/>
        <v>No Impact</v>
      </c>
      <c r="V431">
        <f t="shared" si="164"/>
        <v>5.279328853870232E-2</v>
      </c>
      <c r="W431">
        <f t="shared" si="165"/>
        <v>7.7681372876647378E-2</v>
      </c>
      <c r="X431" t="s">
        <v>1176</v>
      </c>
      <c r="Y431">
        <f t="shared" si="166"/>
        <v>4.0837604724754499E-2</v>
      </c>
      <c r="Z431">
        <f t="shared" si="167"/>
        <v>8.0378625526310463E-2</v>
      </c>
      <c r="AA431" t="str">
        <f t="shared" si="168"/>
        <v>No Impact</v>
      </c>
      <c r="AB431">
        <f t="shared" si="169"/>
        <v>3.4414416770057625E-2</v>
      </c>
      <c r="AC431">
        <f t="shared" si="170"/>
        <v>7.9369998494035282E-2</v>
      </c>
      <c r="AD431" t="str">
        <f t="shared" si="171"/>
        <v>No Impact</v>
      </c>
      <c r="AE431">
        <f t="shared" si="172"/>
        <v>1.0529955325958488E-2</v>
      </c>
      <c r="AF431">
        <f t="shared" si="173"/>
        <v>5.4023219047905295E-2</v>
      </c>
      <c r="AG431" t="str">
        <f t="shared" si="182"/>
        <v>No Impact</v>
      </c>
    </row>
    <row r="432" spans="1:33" x14ac:dyDescent="0.3">
      <c r="A432">
        <v>508122</v>
      </c>
      <c r="B432" t="s">
        <v>82</v>
      </c>
      <c r="C432" s="1" t="s">
        <v>973</v>
      </c>
      <c r="D432" t="s">
        <v>975</v>
      </c>
      <c r="E432" s="4">
        <v>4.5999999999999996</v>
      </c>
      <c r="F432" s="3">
        <f t="shared" si="158"/>
        <v>0.31111111111111101</v>
      </c>
      <c r="G432">
        <v>46.500840000000004</v>
      </c>
      <c r="H432">
        <f t="shared" si="174"/>
        <v>0.44992354340609775</v>
      </c>
      <c r="I432">
        <v>130.70000000000002</v>
      </c>
      <c r="J432" s="3">
        <f t="shared" si="175"/>
        <v>0.60147261849977007</v>
      </c>
      <c r="K432">
        <v>0</v>
      </c>
      <c r="L432" s="3">
        <f t="shared" si="176"/>
        <v>0</v>
      </c>
      <c r="M432">
        <v>27245</v>
      </c>
      <c r="N432">
        <f t="shared" si="177"/>
        <v>0.12777675263658431</v>
      </c>
      <c r="O432" s="15">
        <v>0.67077505800000004</v>
      </c>
      <c r="P432">
        <f t="shared" si="159"/>
        <v>0.68382463183933517</v>
      </c>
      <c r="Q432">
        <v>0.23</v>
      </c>
      <c r="R432">
        <f t="shared" si="160"/>
        <v>0.50986477499445804</v>
      </c>
      <c r="S432">
        <f t="shared" si="161"/>
        <v>5.5754515553387E-2</v>
      </c>
      <c r="T432" s="14">
        <f t="shared" si="162"/>
        <v>9.5213971055085486E-2</v>
      </c>
      <c r="U432" t="str">
        <f t="shared" si="163"/>
        <v>No Impact</v>
      </c>
      <c r="V432">
        <f t="shared" si="164"/>
        <v>4.7629246544048161E-2</v>
      </c>
      <c r="W432">
        <f t="shared" si="165"/>
        <v>7.008287157390479E-2</v>
      </c>
      <c r="X432" t="s">
        <v>1176</v>
      </c>
      <c r="Y432">
        <f t="shared" si="166"/>
        <v>6.3879784562725833E-2</v>
      </c>
      <c r="Z432">
        <f t="shared" si="167"/>
        <v>0.12573140164991875</v>
      </c>
      <c r="AA432" t="str">
        <f t="shared" si="168"/>
        <v>No Impact</v>
      </c>
      <c r="AB432">
        <f t="shared" si="169"/>
        <v>4.0011884581052273E-2</v>
      </c>
      <c r="AC432">
        <f t="shared" si="170"/>
        <v>9.2279443239168826E-2</v>
      </c>
      <c r="AD432" t="str">
        <f t="shared" si="171"/>
        <v>No Impact</v>
      </c>
      <c r="AE432">
        <f t="shared" si="172"/>
        <v>1.1936322633764767E-2</v>
      </c>
      <c r="AF432">
        <f t="shared" si="173"/>
        <v>6.1238490792139E-2</v>
      </c>
      <c r="AG432" t="str">
        <f t="shared" si="182"/>
        <v>No Impact</v>
      </c>
    </row>
    <row r="433" spans="1:33" x14ac:dyDescent="0.3">
      <c r="A433">
        <v>508125</v>
      </c>
      <c r="B433" t="s">
        <v>102</v>
      </c>
      <c r="C433" s="1" t="s">
        <v>973</v>
      </c>
      <c r="D433" t="s">
        <v>976</v>
      </c>
      <c r="E433" s="4">
        <v>4.5999999999999996</v>
      </c>
      <c r="F433" s="3">
        <f t="shared" si="158"/>
        <v>0.31111111111111101</v>
      </c>
      <c r="G433">
        <v>47.287440000000004</v>
      </c>
      <c r="H433">
        <f t="shared" si="174"/>
        <v>0.45753437063509483</v>
      </c>
      <c r="I433">
        <v>130.70000000000002</v>
      </c>
      <c r="J433" s="3">
        <f t="shared" si="175"/>
        <v>0.60147261849977007</v>
      </c>
      <c r="K433">
        <v>0</v>
      </c>
      <c r="L433" s="3">
        <f t="shared" si="176"/>
        <v>0</v>
      </c>
      <c r="M433">
        <v>29401</v>
      </c>
      <c r="N433">
        <f t="shared" si="177"/>
        <v>0.13797769608191035</v>
      </c>
      <c r="O433" s="15">
        <v>0.178802766</v>
      </c>
      <c r="P433">
        <f t="shared" si="159"/>
        <v>0.18228127920612813</v>
      </c>
      <c r="Q433">
        <v>0.35339999999999999</v>
      </c>
      <c r="R433">
        <f t="shared" si="160"/>
        <v>0.78341831079583235</v>
      </c>
      <c r="S433">
        <f t="shared" si="161"/>
        <v>4.5562949268693587E-2</v>
      </c>
      <c r="T433" s="14">
        <f t="shared" si="162"/>
        <v>7.7809470493913721E-2</v>
      </c>
      <c r="U433" t="str">
        <f t="shared" si="163"/>
        <v>No Impact</v>
      </c>
      <c r="V433">
        <f t="shared" si="164"/>
        <v>7.3925367931208644E-2</v>
      </c>
      <c r="W433">
        <f t="shared" si="165"/>
        <v>0.10877564611451888</v>
      </c>
      <c r="X433" t="s">
        <v>1176</v>
      </c>
      <c r="Y433">
        <f t="shared" si="166"/>
        <v>1.7200530606178526E-2</v>
      </c>
      <c r="Z433">
        <f t="shared" si="167"/>
        <v>3.3854948588838349E-2</v>
      </c>
      <c r="AA433" t="str">
        <f t="shared" si="168"/>
        <v>No Impact</v>
      </c>
      <c r="AB433">
        <f t="shared" si="169"/>
        <v>3.5591013628383399E-2</v>
      </c>
      <c r="AC433">
        <f t="shared" si="170"/>
        <v>8.208358482319994E-2</v>
      </c>
      <c r="AD433" t="str">
        <f t="shared" si="171"/>
        <v>No Impact</v>
      </c>
      <c r="AE433">
        <f t="shared" si="172"/>
        <v>1.3019930487448048E-2</v>
      </c>
      <c r="AF433">
        <f t="shared" si="173"/>
        <v>6.6797867126552252E-2</v>
      </c>
      <c r="AG433" t="str">
        <f t="shared" si="182"/>
        <v>No Impact</v>
      </c>
    </row>
    <row r="434" spans="1:33" x14ac:dyDescent="0.3">
      <c r="A434">
        <v>508131</v>
      </c>
      <c r="B434" t="s">
        <v>160</v>
      </c>
      <c r="C434" s="1" t="s">
        <v>973</v>
      </c>
      <c r="D434" t="s">
        <v>1144</v>
      </c>
      <c r="E434" s="4">
        <v>4.5</v>
      </c>
      <c r="F434" s="3">
        <f t="shared" si="158"/>
        <v>0.28888888888888886</v>
      </c>
      <c r="G434">
        <v>55.125360000000001</v>
      </c>
      <c r="H434">
        <f t="shared" si="174"/>
        <v>0.53337095206746288</v>
      </c>
      <c r="I434">
        <v>113.69999999999999</v>
      </c>
      <c r="J434" s="3">
        <f t="shared" si="175"/>
        <v>0.52323976069949374</v>
      </c>
      <c r="K434">
        <v>0</v>
      </c>
      <c r="L434" s="3">
        <f t="shared" si="176"/>
        <v>0</v>
      </c>
      <c r="M434">
        <v>23168</v>
      </c>
      <c r="N434">
        <f t="shared" si="177"/>
        <v>0.10848674965578912</v>
      </c>
      <c r="O434" s="15">
        <v>0.244448947</v>
      </c>
      <c r="P434">
        <f t="shared" si="159"/>
        <v>0.24920457192340648</v>
      </c>
      <c r="Q434">
        <v>0.34589999999999999</v>
      </c>
      <c r="R434">
        <f t="shared" si="160"/>
        <v>0.76679228552427392</v>
      </c>
      <c r="S434">
        <f t="shared" si="161"/>
        <v>4.6667584162945808E-2</v>
      </c>
      <c r="T434" s="14">
        <f t="shared" si="162"/>
        <v>7.9695894827509772E-2</v>
      </c>
      <c r="U434" t="str">
        <f t="shared" si="163"/>
        <v>No Impact</v>
      </c>
      <c r="V434">
        <f t="shared" si="164"/>
        <v>7.0441838983826527E-2</v>
      </c>
      <c r="W434">
        <f t="shared" si="165"/>
        <v>0.10364989398620041</v>
      </c>
      <c r="X434" t="s">
        <v>1176</v>
      </c>
      <c r="Y434">
        <f t="shared" si="166"/>
        <v>2.2893329342065095E-2</v>
      </c>
      <c r="Z434">
        <f t="shared" si="167"/>
        <v>4.5059801098493737E-2</v>
      </c>
      <c r="AA434" t="str">
        <f t="shared" si="168"/>
        <v>No Impact</v>
      </c>
      <c r="AB434">
        <f t="shared" si="169"/>
        <v>3.5010812846413691E-2</v>
      </c>
      <c r="AC434">
        <f t="shared" si="170"/>
        <v>8.0745467269185772E-2</v>
      </c>
      <c r="AD434" t="str">
        <f t="shared" si="171"/>
        <v>No Impact</v>
      </c>
      <c r="AE434">
        <f t="shared" si="172"/>
        <v>9.9662011412996621E-3</v>
      </c>
      <c r="AF434">
        <f t="shared" si="173"/>
        <v>5.1130916577075511E-2</v>
      </c>
      <c r="AG434" t="str">
        <f t="shared" si="182"/>
        <v>No Impact</v>
      </c>
    </row>
    <row r="435" spans="1:33" x14ac:dyDescent="0.3">
      <c r="A435">
        <v>508134</v>
      </c>
      <c r="B435" t="s">
        <v>187</v>
      </c>
      <c r="C435" s="1" t="s">
        <v>973</v>
      </c>
      <c r="D435" t="s">
        <v>977</v>
      </c>
      <c r="E435" s="4">
        <v>4.7</v>
      </c>
      <c r="F435" s="3">
        <f t="shared" si="158"/>
        <v>0.33333333333333331</v>
      </c>
      <c r="G435">
        <v>48.093119999999999</v>
      </c>
      <c r="H435">
        <f t="shared" si="174"/>
        <v>0.4653298083186167</v>
      </c>
      <c r="I435">
        <v>72.2</v>
      </c>
      <c r="J435" s="3">
        <f t="shared" si="175"/>
        <v>0.33225954901058447</v>
      </c>
      <c r="K435">
        <v>0</v>
      </c>
      <c r="L435" s="3">
        <f t="shared" si="176"/>
        <v>0</v>
      </c>
      <c r="M435">
        <v>52038</v>
      </c>
      <c r="N435">
        <f t="shared" si="177"/>
        <v>0.24508287083694105</v>
      </c>
      <c r="O435" s="15">
        <v>0.28517345599999999</v>
      </c>
      <c r="P435">
        <f t="shared" si="159"/>
        <v>0.29072135469824051</v>
      </c>
      <c r="Q435">
        <v>0.34389999999999998</v>
      </c>
      <c r="R435">
        <f t="shared" si="160"/>
        <v>0.7623586787851917</v>
      </c>
      <c r="S435">
        <f t="shared" si="161"/>
        <v>4.4331831908242407E-2</v>
      </c>
      <c r="T435" s="14">
        <f t="shared" si="162"/>
        <v>7.5707047550050643E-2</v>
      </c>
      <c r="U435" t="str">
        <f t="shared" si="163"/>
        <v>No Impact</v>
      </c>
      <c r="V435">
        <f t="shared" si="164"/>
        <v>6.4186492435717793E-2</v>
      </c>
      <c r="W435">
        <f t="shared" si="165"/>
        <v>9.4445619709555242E-2</v>
      </c>
      <c r="X435" t="s">
        <v>1176</v>
      </c>
      <c r="Y435">
        <f t="shared" si="166"/>
        <v>2.4477171380767014E-2</v>
      </c>
      <c r="Z435">
        <f t="shared" si="167"/>
        <v>4.8177198580047792E-2</v>
      </c>
      <c r="AA435" t="str">
        <f t="shared" si="168"/>
        <v>No Impact</v>
      </c>
      <c r="AB435">
        <f t="shared" si="169"/>
        <v>3.703055371094377E-2</v>
      </c>
      <c r="AC435">
        <f t="shared" si="170"/>
        <v>8.5403597332734296E-2</v>
      </c>
      <c r="AD435" t="str">
        <f t="shared" si="171"/>
        <v>No Impact</v>
      </c>
      <c r="AE435">
        <f t="shared" si="172"/>
        <v>2.0634656983464096E-2</v>
      </c>
      <c r="AF435">
        <f t="shared" si="173"/>
        <v>0.1058647030959364</v>
      </c>
      <c r="AG435" t="s">
        <v>1175</v>
      </c>
    </row>
    <row r="436" spans="1:33" x14ac:dyDescent="0.3">
      <c r="A436">
        <v>508140</v>
      </c>
      <c r="B436" t="s">
        <v>325</v>
      </c>
      <c r="C436" s="1" t="s">
        <v>973</v>
      </c>
      <c r="D436" t="s">
        <v>978</v>
      </c>
      <c r="E436" s="4">
        <v>3.6</v>
      </c>
      <c r="F436" s="3">
        <f t="shared" si="158"/>
        <v>8.8888888888888865E-2</v>
      </c>
      <c r="G436">
        <v>46.500840000000004</v>
      </c>
      <c r="H436">
        <f t="shared" si="174"/>
        <v>0.44992354340609775</v>
      </c>
      <c r="I436">
        <v>130.70000000000002</v>
      </c>
      <c r="J436" s="3">
        <f t="shared" si="175"/>
        <v>0.60147261849977007</v>
      </c>
      <c r="K436">
        <v>0</v>
      </c>
      <c r="L436" s="3">
        <f t="shared" si="176"/>
        <v>0</v>
      </c>
      <c r="M436">
        <v>7843</v>
      </c>
      <c r="N436">
        <f t="shared" si="177"/>
        <v>3.5977724470435714E-2</v>
      </c>
      <c r="O436" s="15">
        <v>0.64438982199999995</v>
      </c>
      <c r="P436">
        <f t="shared" si="159"/>
        <v>0.65692608503365768</v>
      </c>
      <c r="Q436">
        <v>0.26860000000000001</v>
      </c>
      <c r="R436">
        <f t="shared" si="160"/>
        <v>0.59543338505874532</v>
      </c>
      <c r="S436">
        <f t="shared" si="161"/>
        <v>1.6712817338522448E-2</v>
      </c>
      <c r="T436" s="14">
        <f t="shared" si="162"/>
        <v>2.8541073140439806E-2</v>
      </c>
      <c r="U436" t="str">
        <f t="shared" si="163"/>
        <v>No Impact</v>
      </c>
      <c r="V436">
        <f t="shared" si="164"/>
        <v>1.5892193318920916E-2</v>
      </c>
      <c r="W436">
        <f t="shared" si="165"/>
        <v>2.3384173049379911E-2</v>
      </c>
      <c r="X436" t="s">
        <v>1176</v>
      </c>
      <c r="Y436">
        <f t="shared" si="166"/>
        <v>1.7533441358123982E-2</v>
      </c>
      <c r="Z436">
        <f t="shared" si="167"/>
        <v>3.4510200258094204E-2</v>
      </c>
      <c r="AA436" t="str">
        <f t="shared" si="168"/>
        <v>No Impact</v>
      </c>
      <c r="AB436">
        <f t="shared" si="169"/>
        <v>1.1158387595191289E-2</v>
      </c>
      <c r="AC436">
        <f t="shared" si="170"/>
        <v>2.5734598745161638E-2</v>
      </c>
      <c r="AD436" t="str">
        <f t="shared" si="171"/>
        <v>No Impact</v>
      </c>
      <c r="AE436">
        <f t="shared" si="172"/>
        <v>9.602500746622156E-4</v>
      </c>
      <c r="AF436">
        <f t="shared" si="173"/>
        <v>4.9264976458503916E-3</v>
      </c>
      <c r="AG436" t="str">
        <f t="shared" ref="AG436:AG437" si="183">IF(AF436&gt;0.7,"High",IF(AF436&gt;0.3,"Moderate",IF(AF436&gt;0.15,"Low","No Impact")))</f>
        <v>No Impact</v>
      </c>
    </row>
    <row r="437" spans="1:33" x14ac:dyDescent="0.3">
      <c r="A437">
        <v>508153</v>
      </c>
      <c r="B437" t="s">
        <v>344</v>
      </c>
      <c r="C437" s="1" t="s">
        <v>973</v>
      </c>
      <c r="D437" t="s">
        <v>979</v>
      </c>
      <c r="E437" s="4">
        <v>3.5</v>
      </c>
      <c r="F437" s="3">
        <f t="shared" si="158"/>
        <v>6.6666666666666624E-2</v>
      </c>
      <c r="G437">
        <v>58.274640000000005</v>
      </c>
      <c r="H437">
        <f t="shared" si="174"/>
        <v>0.56384212671243616</v>
      </c>
      <c r="I437">
        <v>112.10000000000001</v>
      </c>
      <c r="J437" s="3">
        <f t="shared" si="175"/>
        <v>0.51587666820064437</v>
      </c>
      <c r="K437">
        <v>0</v>
      </c>
      <c r="L437" s="3">
        <f t="shared" si="176"/>
        <v>0</v>
      </c>
      <c r="M437">
        <v>20804</v>
      </c>
      <c r="N437">
        <f t="shared" si="177"/>
        <v>9.7301670664717316E-2</v>
      </c>
      <c r="O437" s="15">
        <v>4.0379255000000003E-2</v>
      </c>
      <c r="P437">
        <f t="shared" si="159"/>
        <v>4.1164812040941502E-2</v>
      </c>
      <c r="Q437">
        <v>0.28260000000000002</v>
      </c>
      <c r="R437">
        <f t="shared" si="160"/>
        <v>0.62646863223232108</v>
      </c>
      <c r="S437">
        <f t="shared" si="161"/>
        <v>7.3153082598518722E-3</v>
      </c>
      <c r="T437" s="14">
        <f t="shared" si="162"/>
        <v>1.2492612338199241E-2</v>
      </c>
      <c r="U437" t="str">
        <f t="shared" si="163"/>
        <v>No Impact</v>
      </c>
      <c r="V437">
        <f t="shared" si="164"/>
        <v>1.3728524834149731E-2</v>
      </c>
      <c r="W437">
        <f t="shared" si="165"/>
        <v>2.0200496809477834E-2</v>
      </c>
      <c r="X437" t="s">
        <v>1176</v>
      </c>
      <c r="Y437">
        <f t="shared" si="166"/>
        <v>9.0209168555401259E-4</v>
      </c>
      <c r="Z437">
        <f t="shared" si="167"/>
        <v>1.7755421815812702E-3</v>
      </c>
      <c r="AA437" t="str">
        <f t="shared" si="168"/>
        <v>No Impact</v>
      </c>
      <c r="AB437">
        <f t="shared" si="169"/>
        <v>5.8219102406811673E-3</v>
      </c>
      <c r="AC437">
        <f t="shared" si="170"/>
        <v>1.3427076510484741E-2</v>
      </c>
      <c r="AD437" t="str">
        <f t="shared" si="171"/>
        <v>No Impact</v>
      </c>
      <c r="AE437">
        <f t="shared" si="172"/>
        <v>2.132282980178736E-3</v>
      </c>
      <c r="AF437">
        <f t="shared" si="173"/>
        <v>1.0939532689786672E-2</v>
      </c>
      <c r="AG437" t="str">
        <f t="shared" si="183"/>
        <v>No Impact</v>
      </c>
    </row>
    <row r="438" spans="1:33" x14ac:dyDescent="0.3">
      <c r="A438">
        <v>508172</v>
      </c>
      <c r="B438" t="s">
        <v>388</v>
      </c>
      <c r="C438" s="1" t="s">
        <v>973</v>
      </c>
      <c r="D438" t="s">
        <v>980</v>
      </c>
      <c r="E438" s="4">
        <v>4.5</v>
      </c>
      <c r="F438" s="3">
        <f t="shared" si="158"/>
        <v>0.28888888888888886</v>
      </c>
      <c r="G438">
        <v>53.699399999999997</v>
      </c>
      <c r="H438">
        <f t="shared" si="174"/>
        <v>0.51957393300382104</v>
      </c>
      <c r="I438">
        <v>130.70000000000002</v>
      </c>
      <c r="J438" s="3">
        <f t="shared" si="175"/>
        <v>0.60147261849977007</v>
      </c>
      <c r="K438">
        <v>0</v>
      </c>
      <c r="L438" s="3">
        <f t="shared" si="176"/>
        <v>0</v>
      </c>
      <c r="M438">
        <v>62600</v>
      </c>
      <c r="N438">
        <f t="shared" si="177"/>
        <v>0.29505613830889554</v>
      </c>
      <c r="O438" s="15">
        <v>0.55838212799999998</v>
      </c>
      <c r="P438">
        <f t="shared" si="159"/>
        <v>0.56924515685445254</v>
      </c>
      <c r="Q438">
        <v>0.31180000000000002</v>
      </c>
      <c r="R438">
        <f t="shared" si="160"/>
        <v>0.69119929062292185</v>
      </c>
      <c r="S438">
        <f t="shared" si="161"/>
        <v>5.9739650536655774E-2</v>
      </c>
      <c r="T438" s="14">
        <f t="shared" si="162"/>
        <v>0.10201952793566196</v>
      </c>
      <c r="U438" t="str">
        <f t="shared" si="163"/>
        <v>No Impact</v>
      </c>
      <c r="V438">
        <f t="shared" si="164"/>
        <v>6.5519752426437552E-2</v>
      </c>
      <c r="W438">
        <f t="shared" si="165"/>
        <v>9.640741200072292E-2</v>
      </c>
      <c r="X438" t="s">
        <v>1176</v>
      </c>
      <c r="Y438">
        <f t="shared" si="166"/>
        <v>5.3959548646873988E-2</v>
      </c>
      <c r="Z438">
        <f t="shared" si="167"/>
        <v>0.10620589487283869</v>
      </c>
      <c r="AA438" t="str">
        <f t="shared" si="168"/>
        <v>No Impact</v>
      </c>
      <c r="AB438">
        <f t="shared" si="169"/>
        <v>4.890885308945303E-2</v>
      </c>
      <c r="AC438">
        <f t="shared" si="170"/>
        <v>0.1127985292324447</v>
      </c>
      <c r="AD438" t="str">
        <f t="shared" si="171"/>
        <v>No Impact</v>
      </c>
      <c r="AE438">
        <f t="shared" si="172"/>
        <v>2.7968786131821959E-2</v>
      </c>
      <c r="AF438">
        <f t="shared" si="173"/>
        <v>0.14349195347283186</v>
      </c>
      <c r="AG438" t="s">
        <v>1175</v>
      </c>
    </row>
    <row r="439" spans="1:33" x14ac:dyDescent="0.3">
      <c r="A439">
        <v>508182</v>
      </c>
      <c r="B439" t="s">
        <v>420</v>
      </c>
      <c r="C439" s="1" t="s">
        <v>973</v>
      </c>
      <c r="D439" t="s">
        <v>981</v>
      </c>
      <c r="E439" s="4">
        <v>4.5999999999999996</v>
      </c>
      <c r="F439" s="3">
        <f t="shared" si="158"/>
        <v>0.31111111111111101</v>
      </c>
      <c r="G439">
        <v>55.125360000000001</v>
      </c>
      <c r="H439">
        <f t="shared" si="174"/>
        <v>0.53337095206746288</v>
      </c>
      <c r="I439">
        <v>130.70000000000002</v>
      </c>
      <c r="J439" s="3">
        <f t="shared" si="175"/>
        <v>0.60147261849977007</v>
      </c>
      <c r="K439">
        <v>0</v>
      </c>
      <c r="L439" s="3">
        <f t="shared" si="176"/>
        <v>0</v>
      </c>
      <c r="M439">
        <v>25708</v>
      </c>
      <c r="N439">
        <f t="shared" si="177"/>
        <v>0.12050455872403042</v>
      </c>
      <c r="O439" s="15">
        <v>0.331612982</v>
      </c>
      <c r="P439">
        <f t="shared" si="159"/>
        <v>0.33806433710493461</v>
      </c>
      <c r="Q439">
        <v>0.33040000000000003</v>
      </c>
      <c r="R439">
        <f t="shared" si="160"/>
        <v>0.73243183329638661</v>
      </c>
      <c r="S439">
        <f t="shared" si="161"/>
        <v>5.5558759134302964E-2</v>
      </c>
      <c r="T439" s="14">
        <f t="shared" si="162"/>
        <v>9.4879670849343983E-2</v>
      </c>
      <c r="U439" t="str">
        <f t="shared" si="163"/>
        <v>No Impact</v>
      </c>
      <c r="V439">
        <f t="shared" si="164"/>
        <v>7.6026435093465822E-2</v>
      </c>
      <c r="W439">
        <f t="shared" si="165"/>
        <v>0.11186720919361233</v>
      </c>
      <c r="X439" t="s">
        <v>1176</v>
      </c>
      <c r="Y439">
        <f t="shared" si="166"/>
        <v>3.5091083175140113E-2</v>
      </c>
      <c r="Z439">
        <f t="shared" si="167"/>
        <v>6.9068033075344801E-2</v>
      </c>
      <c r="AA439" t="str">
        <f t="shared" si="168"/>
        <v>No Impact</v>
      </c>
      <c r="AB439">
        <f t="shared" si="169"/>
        <v>4.1514508475454417E-2</v>
      </c>
      <c r="AC439">
        <f t="shared" si="170"/>
        <v>9.574494599729097E-2</v>
      </c>
      <c r="AD439" t="str">
        <f t="shared" si="171"/>
        <v>No Impact</v>
      </c>
      <c r="AE439">
        <f t="shared" si="172"/>
        <v>1.2508374971998143E-2</v>
      </c>
      <c r="AF439">
        <f t="shared" si="173"/>
        <v>6.4173366375045143E-2</v>
      </c>
      <c r="AG439" t="str">
        <f t="shared" ref="AG439:AG442" si="184">IF(AF439&gt;0.7,"High",IF(AF439&gt;0.3,"Moderate",IF(AF439&gt;0.15,"Low","No Impact")))</f>
        <v>No Impact</v>
      </c>
    </row>
    <row r="440" spans="1:33" x14ac:dyDescent="0.3">
      <c r="A440">
        <v>508185</v>
      </c>
      <c r="B440" t="s">
        <v>427</v>
      </c>
      <c r="C440" s="1" t="s">
        <v>973</v>
      </c>
      <c r="D440" t="s">
        <v>982</v>
      </c>
      <c r="E440" s="4">
        <v>4.5999999999999996</v>
      </c>
      <c r="F440" s="3">
        <f t="shared" si="158"/>
        <v>0.31111111111111101</v>
      </c>
      <c r="G440">
        <v>43.035119999999999</v>
      </c>
      <c r="H440">
        <f t="shared" si="174"/>
        <v>0.41639062178891012</v>
      </c>
      <c r="I440">
        <v>86.4</v>
      </c>
      <c r="J440" s="3">
        <f t="shared" si="175"/>
        <v>0.39760699493787399</v>
      </c>
      <c r="K440">
        <v>0</v>
      </c>
      <c r="L440" s="3">
        <f t="shared" si="176"/>
        <v>0</v>
      </c>
      <c r="M440">
        <v>13822</v>
      </c>
      <c r="N440">
        <f t="shared" si="177"/>
        <v>6.4266889989732817E-2</v>
      </c>
      <c r="O440" s="15">
        <v>0.27037165099999999</v>
      </c>
      <c r="P440">
        <f t="shared" si="159"/>
        <v>0.27563158841375435</v>
      </c>
      <c r="Q440">
        <v>0.26040000000000002</v>
      </c>
      <c r="R440">
        <f t="shared" si="160"/>
        <v>0.57725559742850818</v>
      </c>
      <c r="S440">
        <f t="shared" si="161"/>
        <v>3.2647451269722141E-2</v>
      </c>
      <c r="T440" s="14">
        <f t="shared" si="162"/>
        <v>5.5753214773091177E-2</v>
      </c>
      <c r="U440" t="str">
        <f t="shared" si="163"/>
        <v>No Impact</v>
      </c>
      <c r="V440">
        <f t="shared" si="164"/>
        <v>4.4193239856477398E-2</v>
      </c>
      <c r="W440">
        <f t="shared" si="165"/>
        <v>6.5027044894190256E-2</v>
      </c>
      <c r="X440" t="s">
        <v>1176</v>
      </c>
      <c r="Y440">
        <f t="shared" si="166"/>
        <v>2.1101662682966881E-2</v>
      </c>
      <c r="Z440">
        <f t="shared" si="167"/>
        <v>4.1533352756817722E-2</v>
      </c>
      <c r="AA440" t="str">
        <f t="shared" si="168"/>
        <v>No Impact</v>
      </c>
      <c r="AB440">
        <f t="shared" si="169"/>
        <v>2.3520171889278536E-2</v>
      </c>
      <c r="AC440">
        <f t="shared" si="170"/>
        <v>5.424459231445411E-2</v>
      </c>
      <c r="AD440" t="str">
        <f t="shared" si="171"/>
        <v>No Impact</v>
      </c>
      <c r="AE440">
        <f t="shared" si="172"/>
        <v>4.9201118132039534E-3</v>
      </c>
      <c r="AF440">
        <f t="shared" si="173"/>
        <v>2.5242298755973995E-2</v>
      </c>
      <c r="AG440" t="str">
        <f t="shared" si="184"/>
        <v>No Impact</v>
      </c>
    </row>
    <row r="441" spans="1:33" x14ac:dyDescent="0.3">
      <c r="A441">
        <v>508190</v>
      </c>
      <c r="B441" t="s">
        <v>470</v>
      </c>
      <c r="C441" s="1" t="s">
        <v>973</v>
      </c>
      <c r="D441" t="s">
        <v>983</v>
      </c>
      <c r="E441" s="4">
        <v>3.6</v>
      </c>
      <c r="F441" s="3">
        <f t="shared" si="158"/>
        <v>8.8888888888888865E-2</v>
      </c>
      <c r="G441">
        <v>45.512999999999998</v>
      </c>
      <c r="H441">
        <f t="shared" si="174"/>
        <v>0.44036559836428169</v>
      </c>
      <c r="I441">
        <v>112.10000000000001</v>
      </c>
      <c r="J441" s="3">
        <f t="shared" si="175"/>
        <v>0.51587666820064437</v>
      </c>
      <c r="K441">
        <v>0</v>
      </c>
      <c r="L441" s="3">
        <f t="shared" si="176"/>
        <v>0</v>
      </c>
      <c r="M441">
        <v>6230</v>
      </c>
      <c r="N441">
        <f t="shared" si="177"/>
        <v>2.8345942570013202E-2</v>
      </c>
      <c r="O441" s="15">
        <v>8.3439589999999994E-2</v>
      </c>
      <c r="P441">
        <f t="shared" si="159"/>
        <v>8.5062863074695697E-2</v>
      </c>
      <c r="Q441">
        <v>0.28220000000000001</v>
      </c>
      <c r="R441">
        <f t="shared" si="160"/>
        <v>0.62558191088450454</v>
      </c>
      <c r="S441">
        <f t="shared" si="161"/>
        <v>8.8221518265089588E-3</v>
      </c>
      <c r="T441" s="14">
        <f t="shared" si="162"/>
        <v>1.5065902740173038E-2</v>
      </c>
      <c r="U441" t="str">
        <f t="shared" si="163"/>
        <v>No Impact</v>
      </c>
      <c r="V441">
        <f t="shared" si="164"/>
        <v>1.5532313189310962E-2</v>
      </c>
      <c r="W441">
        <f t="shared" si="165"/>
        <v>2.2854636373167123E-2</v>
      </c>
      <c r="X441" t="s">
        <v>1176</v>
      </c>
      <c r="Y441">
        <f t="shared" si="166"/>
        <v>2.1119904637069563E-3</v>
      </c>
      <c r="Z441">
        <f t="shared" si="167"/>
        <v>4.1569257487459252E-3</v>
      </c>
      <c r="AA441" t="str">
        <f t="shared" si="168"/>
        <v>No Impact</v>
      </c>
      <c r="AB441">
        <f t="shared" si="169"/>
        <v>6.31623312365962E-3</v>
      </c>
      <c r="AC441">
        <f t="shared" si="170"/>
        <v>1.4567133793445961E-2</v>
      </c>
      <c r="AD441" t="str">
        <f t="shared" si="171"/>
        <v>No Impact</v>
      </c>
      <c r="AE441">
        <f t="shared" si="172"/>
        <v>7.0378962368199246E-4</v>
      </c>
      <c r="AF441">
        <f t="shared" si="173"/>
        <v>3.6107447588201672E-3</v>
      </c>
      <c r="AG441" t="str">
        <f t="shared" si="184"/>
        <v>No Impact</v>
      </c>
    </row>
    <row r="442" spans="1:33" x14ac:dyDescent="0.3">
      <c r="A442">
        <v>508194</v>
      </c>
      <c r="B442" t="s">
        <v>511</v>
      </c>
      <c r="C442" s="1" t="s">
        <v>973</v>
      </c>
      <c r="D442" t="s">
        <v>984</v>
      </c>
      <c r="E442" s="4">
        <v>4.7</v>
      </c>
      <c r="F442" s="3">
        <f t="shared" si="158"/>
        <v>0.33333333333333331</v>
      </c>
      <c r="G442">
        <v>58.274640000000005</v>
      </c>
      <c r="H442">
        <f t="shared" si="174"/>
        <v>0.56384212671243616</v>
      </c>
      <c r="I442">
        <v>91.6</v>
      </c>
      <c r="J442" s="3">
        <f t="shared" si="175"/>
        <v>0.42153704555913485</v>
      </c>
      <c r="K442">
        <v>0</v>
      </c>
      <c r="L442" s="3">
        <f t="shared" si="176"/>
        <v>0</v>
      </c>
      <c r="M442">
        <v>17904</v>
      </c>
      <c r="N442">
        <f t="shared" si="177"/>
        <v>8.3580550074993015E-2</v>
      </c>
      <c r="O442" s="15">
        <v>0.118377898</v>
      </c>
      <c r="P442">
        <f t="shared" si="159"/>
        <v>0.12068087737061381</v>
      </c>
      <c r="Q442">
        <v>0.37180000000000002</v>
      </c>
      <c r="R442">
        <f t="shared" si="160"/>
        <v>0.82420749279538907</v>
      </c>
      <c r="S442">
        <f t="shared" si="161"/>
        <v>4.8794706274115217E-2</v>
      </c>
      <c r="T442" s="14">
        <f t="shared" si="162"/>
        <v>8.3328456981683355E-2</v>
      </c>
      <c r="U442" t="str">
        <f t="shared" si="163"/>
        <v>No Impact</v>
      </c>
      <c r="V442">
        <f t="shared" si="164"/>
        <v>8.512532017472163E-2</v>
      </c>
      <c r="W442">
        <f t="shared" si="165"/>
        <v>0.1252555376028312</v>
      </c>
      <c r="X442" t="s">
        <v>1176</v>
      </c>
      <c r="Y442">
        <f t="shared" si="166"/>
        <v>1.2464092373508802E-2</v>
      </c>
      <c r="Z442">
        <f t="shared" si="167"/>
        <v>2.4532452874453665E-2</v>
      </c>
      <c r="AA442" t="str">
        <f t="shared" si="168"/>
        <v>No Impact</v>
      </c>
      <c r="AB442">
        <f t="shared" si="169"/>
        <v>3.6554401034868046E-2</v>
      </c>
      <c r="AC442">
        <f t="shared" si="170"/>
        <v>8.4305446013315674E-2</v>
      </c>
      <c r="AD442" t="str">
        <f t="shared" si="171"/>
        <v>No Impact</v>
      </c>
      <c r="AE442">
        <f t="shared" si="172"/>
        <v>8.6323178904652367E-3</v>
      </c>
      <c r="AF442">
        <f t="shared" si="173"/>
        <v>4.4287519353298506E-2</v>
      </c>
      <c r="AG442" t="str">
        <f t="shared" si="184"/>
        <v>No Impact</v>
      </c>
    </row>
    <row r="443" spans="1:33" x14ac:dyDescent="0.3">
      <c r="A443">
        <v>508811</v>
      </c>
      <c r="B443" t="s">
        <v>61</v>
      </c>
      <c r="C443" s="1" t="s">
        <v>986</v>
      </c>
      <c r="D443" t="s">
        <v>985</v>
      </c>
      <c r="E443" s="4">
        <v>7</v>
      </c>
      <c r="F443" s="3">
        <f t="shared" si="158"/>
        <v>0.84444444444444444</v>
      </c>
      <c r="G443">
        <v>55.064520000000002</v>
      </c>
      <c r="H443">
        <f t="shared" si="174"/>
        <v>0.53278228854265719</v>
      </c>
      <c r="I443">
        <v>131</v>
      </c>
      <c r="J443" s="3">
        <f t="shared" si="175"/>
        <v>0.6028531983433042</v>
      </c>
      <c r="K443">
        <v>0</v>
      </c>
      <c r="L443" s="3">
        <f t="shared" si="176"/>
        <v>0</v>
      </c>
      <c r="M443">
        <v>36657</v>
      </c>
      <c r="N443">
        <f t="shared" si="177"/>
        <v>0.17230888608157915</v>
      </c>
      <c r="O443" s="15">
        <v>0.71611513199999999</v>
      </c>
      <c r="P443">
        <f t="shared" si="159"/>
        <v>0.73004677298910081</v>
      </c>
      <c r="Q443">
        <v>0.2838</v>
      </c>
      <c r="R443">
        <f t="shared" si="160"/>
        <v>0.62912879627577034</v>
      </c>
      <c r="S443">
        <f t="shared" si="161"/>
        <v>0.19149235961825173</v>
      </c>
      <c r="T443" s="14">
        <f t="shared" si="162"/>
        <v>0.32701831959249494</v>
      </c>
      <c r="U443" t="str">
        <f t="shared" si="163"/>
        <v>Moderate</v>
      </c>
      <c r="V443">
        <f t="shared" si="164"/>
        <v>0.17727416593839646</v>
      </c>
      <c r="W443">
        <f t="shared" si="165"/>
        <v>0.26084566744808679</v>
      </c>
      <c r="X443" t="s">
        <v>1175</v>
      </c>
      <c r="Y443">
        <f t="shared" si="166"/>
        <v>0.20571055329810692</v>
      </c>
      <c r="Z443">
        <f t="shared" si="167"/>
        <v>0.40488984703688607</v>
      </c>
      <c r="AA443" t="str">
        <f t="shared" si="168"/>
        <v>Moderate</v>
      </c>
      <c r="AB443">
        <f t="shared" si="169"/>
        <v>0.14075257594234813</v>
      </c>
      <c r="AC443">
        <f t="shared" si="170"/>
        <v>0.32461778490157606</v>
      </c>
      <c r="AD443" t="str">
        <f t="shared" si="171"/>
        <v>Moderate</v>
      </c>
      <c r="AE443">
        <f t="shared" si="172"/>
        <v>4.8552719641363727E-2</v>
      </c>
      <c r="AF443">
        <f t="shared" si="173"/>
        <v>0.24909642323845002</v>
      </c>
      <c r="AG443" t="s">
        <v>1175</v>
      </c>
    </row>
    <row r="444" spans="1:33" x14ac:dyDescent="0.3">
      <c r="A444">
        <v>508827</v>
      </c>
      <c r="B444" t="s">
        <v>107</v>
      </c>
      <c r="C444" s="1" t="s">
        <v>986</v>
      </c>
      <c r="D444" t="s">
        <v>987</v>
      </c>
      <c r="E444" s="4">
        <v>5.4</v>
      </c>
      <c r="F444" s="3">
        <f t="shared" si="158"/>
        <v>0.48888888888888893</v>
      </c>
      <c r="G444">
        <v>57.862080000000006</v>
      </c>
      <c r="H444">
        <f t="shared" si="174"/>
        <v>0.55985036103535124</v>
      </c>
      <c r="I444">
        <v>122.30000000000001</v>
      </c>
      <c r="J444" s="3">
        <f t="shared" si="175"/>
        <v>0.56281638288081004</v>
      </c>
      <c r="K444">
        <v>0</v>
      </c>
      <c r="L444" s="3">
        <f t="shared" si="176"/>
        <v>0</v>
      </c>
      <c r="M444">
        <v>9272</v>
      </c>
      <c r="N444">
        <f t="shared" si="177"/>
        <v>4.2738924926544693E-2</v>
      </c>
      <c r="O444" s="15">
        <v>0.68192977200000005</v>
      </c>
      <c r="P444">
        <f t="shared" si="159"/>
        <v>0.69519635489813014</v>
      </c>
      <c r="Q444">
        <v>0.16350000000000001</v>
      </c>
      <c r="R444">
        <f t="shared" si="160"/>
        <v>0.36244735091997343</v>
      </c>
      <c r="S444">
        <f t="shared" si="161"/>
        <v>8.6997955048070744E-2</v>
      </c>
      <c r="T444" s="14">
        <f t="shared" si="162"/>
        <v>0.14856950493753202</v>
      </c>
      <c r="U444" t="str">
        <f t="shared" si="163"/>
        <v>No Impact</v>
      </c>
      <c r="V444">
        <f t="shared" si="164"/>
        <v>5.9627222606572494E-2</v>
      </c>
      <c r="W444">
        <f t="shared" si="165"/>
        <v>8.7736995385396213E-2</v>
      </c>
      <c r="X444" t="s">
        <v>1176</v>
      </c>
      <c r="Y444">
        <f t="shared" si="166"/>
        <v>0.11436868748956897</v>
      </c>
      <c r="Z444">
        <f t="shared" si="167"/>
        <v>0.22510619723216285</v>
      </c>
      <c r="AA444" t="str">
        <f t="shared" si="168"/>
        <v>Low</v>
      </c>
      <c r="AB444">
        <f t="shared" si="169"/>
        <v>5.7641018986808186E-2</v>
      </c>
      <c r="AC444">
        <f t="shared" si="170"/>
        <v>0.13293753082452614</v>
      </c>
      <c r="AD444" t="str">
        <f t="shared" si="171"/>
        <v>No Impact</v>
      </c>
      <c r="AE444">
        <f t="shared" si="172"/>
        <v>7.0310995075346687E-3</v>
      </c>
      <c r="AF444">
        <f t="shared" si="173"/>
        <v>3.6072577431242737E-2</v>
      </c>
      <c r="AG444" t="str">
        <f>IF(AF444&gt;0.7,"High",IF(AF444&gt;0.3,"Moderate",IF(AF444&gt;0.15,"Low","No Impact")))</f>
        <v>No Impact</v>
      </c>
    </row>
    <row r="445" spans="1:33" x14ac:dyDescent="0.3">
      <c r="A445">
        <v>508844</v>
      </c>
      <c r="B445" t="s">
        <v>253</v>
      </c>
      <c r="C445" s="1" t="s">
        <v>986</v>
      </c>
      <c r="D445" t="s">
        <v>988</v>
      </c>
      <c r="E445" s="4">
        <v>6.9</v>
      </c>
      <c r="F445" s="3">
        <f t="shared" si="158"/>
        <v>0.8222222222222223</v>
      </c>
      <c r="G445">
        <v>56.1708</v>
      </c>
      <c r="H445">
        <f t="shared" si="174"/>
        <v>0.54348621168897659</v>
      </c>
      <c r="I445">
        <v>110.3</v>
      </c>
      <c r="J445" s="3">
        <f t="shared" si="175"/>
        <v>0.50759318913943863</v>
      </c>
      <c r="K445">
        <v>0</v>
      </c>
      <c r="L445" s="3">
        <f t="shared" si="176"/>
        <v>0</v>
      </c>
      <c r="M445">
        <v>21302</v>
      </c>
      <c r="N445">
        <f t="shared" si="177"/>
        <v>9.96579182694355E-2</v>
      </c>
      <c r="O445" s="15">
        <v>0.43067603599999998</v>
      </c>
      <c r="P445">
        <f t="shared" si="159"/>
        <v>0.43905461040521315</v>
      </c>
      <c r="Q445">
        <v>0.3745</v>
      </c>
      <c r="R445">
        <f t="shared" si="160"/>
        <v>0.83019286189315011</v>
      </c>
      <c r="S445">
        <f t="shared" si="161"/>
        <v>0.16640942178835305</v>
      </c>
      <c r="T445" s="14">
        <f t="shared" si="162"/>
        <v>0.28418329371507256</v>
      </c>
      <c r="U445" t="str">
        <f t="shared" si="163"/>
        <v>Low</v>
      </c>
      <c r="V445">
        <f t="shared" si="164"/>
        <v>0.21769106046796463</v>
      </c>
      <c r="W445">
        <f t="shared" si="165"/>
        <v>0.3203161028267405</v>
      </c>
      <c r="X445" t="str">
        <f t="shared" si="178"/>
        <v>Moderate</v>
      </c>
      <c r="Y445">
        <f t="shared" si="166"/>
        <v>0.11512778310874143</v>
      </c>
      <c r="Z445">
        <f t="shared" si="167"/>
        <v>0.22660028737097898</v>
      </c>
      <c r="AA445" t="str">
        <f t="shared" si="168"/>
        <v>Low</v>
      </c>
      <c r="AB445">
        <f t="shared" si="169"/>
        <v>0.11987642213580234</v>
      </c>
      <c r="AC445">
        <f t="shared" si="170"/>
        <v>0.27647109372683515</v>
      </c>
      <c r="AD445" t="str">
        <f t="shared" si="171"/>
        <v>Low</v>
      </c>
      <c r="AE445">
        <f t="shared" si="172"/>
        <v>2.6132045826835079E-2</v>
      </c>
      <c r="AF445">
        <f t="shared" si="173"/>
        <v>0.13406868236114836</v>
      </c>
      <c r="AG445" t="s">
        <v>1175</v>
      </c>
    </row>
    <row r="446" spans="1:33" s="17" customFormat="1" x14ac:dyDescent="0.3">
      <c r="A446" s="17">
        <v>508850</v>
      </c>
      <c r="B446" s="17" t="s">
        <v>266</v>
      </c>
      <c r="C446" s="18" t="s">
        <v>986</v>
      </c>
      <c r="D446" s="17" t="s">
        <v>989</v>
      </c>
      <c r="E446" s="19">
        <v>6.9</v>
      </c>
      <c r="F446" s="3">
        <f t="shared" si="158"/>
        <v>0.8222222222222223</v>
      </c>
      <c r="G446" s="17">
        <v>62.400600000000004</v>
      </c>
      <c r="H446">
        <f t="shared" si="174"/>
        <v>0.60376326669940894</v>
      </c>
      <c r="I446" s="17">
        <v>151.29999999999998</v>
      </c>
      <c r="J446" s="3">
        <f t="shared" si="175"/>
        <v>0.69627243442245745</v>
      </c>
      <c r="K446" s="17">
        <v>0</v>
      </c>
      <c r="L446" s="3">
        <f t="shared" si="176"/>
        <v>0</v>
      </c>
      <c r="M446" s="17">
        <v>13658</v>
      </c>
      <c r="N446">
        <f t="shared" si="177"/>
        <v>6.349093696327944E-2</v>
      </c>
      <c r="O446" s="17">
        <v>0.43067603599999998</v>
      </c>
      <c r="P446">
        <f t="shared" si="159"/>
        <v>0.43905461040521315</v>
      </c>
      <c r="Q446" s="17">
        <v>0.27139999999999997</v>
      </c>
      <c r="R446">
        <f t="shared" si="160"/>
        <v>0.60164043449346039</v>
      </c>
      <c r="S446">
        <f t="shared" si="161"/>
        <v>0.16290476363312886</v>
      </c>
      <c r="T446" s="14">
        <f t="shared" si="162"/>
        <v>0.2781982642185834</v>
      </c>
      <c r="U446" t="str">
        <f t="shared" si="163"/>
        <v>Low</v>
      </c>
      <c r="V446">
        <f t="shared" si="164"/>
        <v>0.18835506761316961</v>
      </c>
      <c r="W446">
        <f t="shared" si="165"/>
        <v>0.27715038493460009</v>
      </c>
      <c r="X446" t="s">
        <v>1175</v>
      </c>
      <c r="Y446">
        <f t="shared" si="166"/>
        <v>0.13745445965308811</v>
      </c>
      <c r="Z446">
        <f t="shared" si="167"/>
        <v>0.27054477396123383</v>
      </c>
      <c r="AA446" t="str">
        <f t="shared" si="168"/>
        <v>Low</v>
      </c>
      <c r="AB446">
        <f t="shared" si="169"/>
        <v>0.11411758064642125</v>
      </c>
      <c r="AC446">
        <f t="shared" si="170"/>
        <v>0.26318947273079818</v>
      </c>
      <c r="AD446" t="str">
        <f t="shared" si="171"/>
        <v>Low</v>
      </c>
      <c r="AE446">
        <f t="shared" si="172"/>
        <v>1.9877054531101293E-2</v>
      </c>
      <c r="AF446">
        <f t="shared" si="173"/>
        <v>0.10197787528249547</v>
      </c>
      <c r="AG446" t="s">
        <v>1175</v>
      </c>
    </row>
    <row r="447" spans="1:33" x14ac:dyDescent="0.3">
      <c r="A447">
        <v>508861</v>
      </c>
      <c r="B447" t="s">
        <v>443</v>
      </c>
      <c r="C447" s="1" t="s">
        <v>986</v>
      </c>
      <c r="D447" t="s">
        <v>990</v>
      </c>
      <c r="E447" s="4">
        <v>6.8</v>
      </c>
      <c r="F447" s="3">
        <f t="shared" si="158"/>
        <v>0.79999999999999993</v>
      </c>
      <c r="G447">
        <v>58.931640000000009</v>
      </c>
      <c r="H447">
        <f t="shared" si="174"/>
        <v>0.57019899613711333</v>
      </c>
      <c r="I447">
        <v>129.70000000000002</v>
      </c>
      <c r="J447" s="3">
        <f t="shared" si="175"/>
        <v>0.59687068568798907</v>
      </c>
      <c r="K447">
        <v>0</v>
      </c>
      <c r="L447" s="3">
        <f t="shared" si="176"/>
        <v>0</v>
      </c>
      <c r="M447">
        <v>35856</v>
      </c>
      <c r="N447">
        <f t="shared" si="177"/>
        <v>0.16851901794627944</v>
      </c>
      <c r="O447" s="15">
        <v>0.57198661699999997</v>
      </c>
      <c r="P447">
        <f t="shared" si="159"/>
        <v>0.58311431398967106</v>
      </c>
      <c r="Q447">
        <v>0.3649</v>
      </c>
      <c r="R447">
        <f t="shared" si="160"/>
        <v>0.80891154954555533</v>
      </c>
      <c r="S447">
        <f t="shared" si="161"/>
        <v>0.19346583453064436</v>
      </c>
      <c r="T447" s="14">
        <f t="shared" si="162"/>
        <v>0.33038849295552175</v>
      </c>
      <c r="U447" t="str">
        <f t="shared" si="163"/>
        <v>Moderate</v>
      </c>
      <c r="V447">
        <f t="shared" si="164"/>
        <v>0.22484747172277988</v>
      </c>
      <c r="W447">
        <f t="shared" si="165"/>
        <v>0.33084622638091915</v>
      </c>
      <c r="X447" t="str">
        <f t="shared" si="178"/>
        <v>Moderate</v>
      </c>
      <c r="Y447">
        <f t="shared" si="166"/>
        <v>0.16208419733850885</v>
      </c>
      <c r="Z447">
        <f t="shared" si="167"/>
        <v>0.31902226120787575</v>
      </c>
      <c r="AA447" t="str">
        <f t="shared" si="168"/>
        <v>Moderate</v>
      </c>
      <c r="AB447">
        <f t="shared" si="169"/>
        <v>0.14371659174959095</v>
      </c>
      <c r="AC447">
        <f t="shared" si="170"/>
        <v>0.33145369706388367</v>
      </c>
      <c r="AD447" t="str">
        <f t="shared" si="171"/>
        <v>Moderate</v>
      </c>
      <c r="AE447">
        <f t="shared" si="172"/>
        <v>4.6842049843043805E-2</v>
      </c>
      <c r="AF447">
        <f t="shared" si="173"/>
        <v>0.24031994827986694</v>
      </c>
      <c r="AG447" t="s">
        <v>1175</v>
      </c>
    </row>
    <row r="448" spans="1:33" x14ac:dyDescent="0.3">
      <c r="A448">
        <v>508867</v>
      </c>
      <c r="B448" t="s">
        <v>472</v>
      </c>
      <c r="C448" s="1" t="s">
        <v>986</v>
      </c>
      <c r="D448" t="s">
        <v>991</v>
      </c>
      <c r="E448" s="4">
        <v>6.9</v>
      </c>
      <c r="F448" s="3">
        <f t="shared" si="158"/>
        <v>0.8222222222222223</v>
      </c>
      <c r="G448">
        <v>57.862080000000006</v>
      </c>
      <c r="H448">
        <f t="shared" si="174"/>
        <v>0.55985036103535124</v>
      </c>
      <c r="I448">
        <v>122.30000000000001</v>
      </c>
      <c r="J448" s="3">
        <f t="shared" si="175"/>
        <v>0.56281638288081004</v>
      </c>
      <c r="K448">
        <v>0</v>
      </c>
      <c r="L448" s="3">
        <f t="shared" si="176"/>
        <v>0</v>
      </c>
      <c r="M448">
        <v>61653</v>
      </c>
      <c r="N448">
        <f t="shared" si="177"/>
        <v>0.29057548272321659</v>
      </c>
      <c r="O448" s="15">
        <v>0.82197755400000005</v>
      </c>
      <c r="P448">
        <f t="shared" si="159"/>
        <v>0.83796869239620309</v>
      </c>
      <c r="Q448">
        <v>0.22470000000000001</v>
      </c>
      <c r="R448">
        <f t="shared" si="160"/>
        <v>0.49811571713589009</v>
      </c>
      <c r="S448">
        <f t="shared" si="161"/>
        <v>0.18483431175506931</v>
      </c>
      <c r="T448" s="14">
        <f t="shared" si="162"/>
        <v>0.31564813423196741</v>
      </c>
      <c r="U448" t="str">
        <f t="shared" si="163"/>
        <v>Moderate</v>
      </c>
      <c r="V448">
        <f t="shared" si="164"/>
        <v>0.13781895080032891</v>
      </c>
      <c r="W448">
        <f t="shared" si="165"/>
        <v>0.20279027131905633</v>
      </c>
      <c r="X448" t="s">
        <v>1176</v>
      </c>
      <c r="Y448">
        <f t="shared" si="166"/>
        <v>0.23184967270980966</v>
      </c>
      <c r="Z448">
        <f t="shared" si="167"/>
        <v>0.45633817523687942</v>
      </c>
      <c r="AA448" t="str">
        <f t="shared" si="168"/>
        <v>Moderate</v>
      </c>
      <c r="AB448">
        <f t="shared" si="169"/>
        <v>0.14593034325305596</v>
      </c>
      <c r="AC448">
        <f t="shared" si="170"/>
        <v>0.33655927402804303</v>
      </c>
      <c r="AD448" t="str">
        <f t="shared" si="171"/>
        <v>Moderate</v>
      </c>
      <c r="AE448">
        <f t="shared" si="172"/>
        <v>8.0396596171422766E-2</v>
      </c>
      <c r="AF448">
        <f t="shared" si="173"/>
        <v>0.41246926423017938</v>
      </c>
      <c r="AG448" t="str">
        <f t="shared" ref="AG448:AG449" si="185">IF(AF448&gt;0.7,"High",IF(AF448&gt;0.3,"Moderate",IF(AF448&gt;0.15,"Low","No Impact")))</f>
        <v>Moderate</v>
      </c>
    </row>
    <row r="449" spans="1:33" x14ac:dyDescent="0.3">
      <c r="A449">
        <v>508878</v>
      </c>
      <c r="B449" t="s">
        <v>490</v>
      </c>
      <c r="C449" s="1" t="s">
        <v>986</v>
      </c>
      <c r="D449" t="s">
        <v>992</v>
      </c>
      <c r="E449" s="4">
        <v>7</v>
      </c>
      <c r="F449" s="3">
        <f t="shared" si="158"/>
        <v>0.84444444444444444</v>
      </c>
      <c r="G449">
        <v>58.931640000000009</v>
      </c>
      <c r="H449">
        <f t="shared" si="174"/>
        <v>0.57019899613711333</v>
      </c>
      <c r="I449">
        <v>131</v>
      </c>
      <c r="J449" s="3">
        <f t="shared" si="175"/>
        <v>0.6028531983433042</v>
      </c>
      <c r="K449">
        <v>0</v>
      </c>
      <c r="L449" s="3">
        <f t="shared" si="176"/>
        <v>0</v>
      </c>
      <c r="M449">
        <v>46801</v>
      </c>
      <c r="N449">
        <f t="shared" si="177"/>
        <v>0.22030441962025615</v>
      </c>
      <c r="O449" s="15">
        <v>0.83116147500000004</v>
      </c>
      <c r="P449">
        <f t="shared" si="159"/>
        <v>0.84733128171994998</v>
      </c>
      <c r="Q449">
        <v>0.30599999999999999</v>
      </c>
      <c r="R449">
        <f t="shared" si="160"/>
        <v>0.67834183107958324</v>
      </c>
      <c r="S449">
        <f t="shared" si="161"/>
        <v>0.22459110194327944</v>
      </c>
      <c r="T449" s="14">
        <f t="shared" si="162"/>
        <v>0.38354222016656198</v>
      </c>
      <c r="U449" t="str">
        <f t="shared" si="163"/>
        <v>Moderate</v>
      </c>
      <c r="V449">
        <f t="shared" si="164"/>
        <v>0.19971452345624918</v>
      </c>
      <c r="W449">
        <f t="shared" si="165"/>
        <v>0.29386497403194684</v>
      </c>
      <c r="X449" t="s">
        <v>1175</v>
      </c>
      <c r="Y449">
        <f t="shared" si="166"/>
        <v>0.24946768043030976</v>
      </c>
      <c r="Z449">
        <f t="shared" si="167"/>
        <v>0.49101482325848389</v>
      </c>
      <c r="AA449" t="str">
        <f t="shared" si="168"/>
        <v>Moderate</v>
      </c>
      <c r="AB449">
        <f t="shared" si="169"/>
        <v>0.16744176967636901</v>
      </c>
      <c r="AC449">
        <f t="shared" si="170"/>
        <v>0.3861710949759547</v>
      </c>
      <c r="AD449" t="str">
        <f t="shared" si="171"/>
        <v>Moderate</v>
      </c>
      <c r="AE449">
        <f t="shared" si="172"/>
        <v>6.4861092393111094E-2</v>
      </c>
      <c r="AF449">
        <f t="shared" si="173"/>
        <v>0.3327654195646374</v>
      </c>
      <c r="AG449" t="str">
        <f t="shared" si="185"/>
        <v>Moderate</v>
      </c>
    </row>
    <row r="450" spans="1:33" x14ac:dyDescent="0.3">
      <c r="A450">
        <v>508889</v>
      </c>
      <c r="B450" t="s">
        <v>514</v>
      </c>
      <c r="C450" s="1" t="s">
        <v>986</v>
      </c>
      <c r="D450" t="s">
        <v>993</v>
      </c>
      <c r="E450" s="4">
        <v>6.9</v>
      </c>
      <c r="F450" s="3">
        <f t="shared" si="158"/>
        <v>0.8222222222222223</v>
      </c>
      <c r="G450">
        <v>56.533679999999997</v>
      </c>
      <c r="H450">
        <f t="shared" si="174"/>
        <v>0.54699729354107229</v>
      </c>
      <c r="I450">
        <v>117.9</v>
      </c>
      <c r="J450" s="3">
        <f t="shared" si="175"/>
        <v>0.54256787850897381</v>
      </c>
      <c r="K450">
        <v>0</v>
      </c>
      <c r="L450" s="3">
        <f t="shared" si="176"/>
        <v>0</v>
      </c>
      <c r="M450">
        <v>22985</v>
      </c>
      <c r="N450">
        <f t="shared" si="177"/>
        <v>0.10762089963236859</v>
      </c>
      <c r="O450" s="15">
        <v>0.71967203899999999</v>
      </c>
      <c r="P450">
        <f t="shared" si="159"/>
        <v>0.73367287773278933</v>
      </c>
      <c r="Q450">
        <v>0.29730000000000001</v>
      </c>
      <c r="R450">
        <f t="shared" si="160"/>
        <v>0.65905564176457554</v>
      </c>
      <c r="S450">
        <f t="shared" si="161"/>
        <v>0.18740806029200888</v>
      </c>
      <c r="T450" s="14">
        <f t="shared" si="162"/>
        <v>0.32004341623319982</v>
      </c>
      <c r="U450" t="str">
        <f t="shared" si="163"/>
        <v>Moderate</v>
      </c>
      <c r="V450">
        <f t="shared" si="164"/>
        <v>0.17736743050566631</v>
      </c>
      <c r="W450">
        <f t="shared" si="165"/>
        <v>0.26098289927862445</v>
      </c>
      <c r="X450" t="s">
        <v>1175</v>
      </c>
      <c r="Y450">
        <f t="shared" si="166"/>
        <v>0.1974486900783515</v>
      </c>
      <c r="Z450">
        <f t="shared" si="167"/>
        <v>0.38862843272607628</v>
      </c>
      <c r="AA450" t="str">
        <f t="shared" si="168"/>
        <v>Moderate</v>
      </c>
      <c r="AB450">
        <f t="shared" si="169"/>
        <v>0.13145037128638515</v>
      </c>
      <c r="AC450">
        <f t="shared" si="170"/>
        <v>0.30316410243855191</v>
      </c>
      <c r="AD450" t="str">
        <f t="shared" si="171"/>
        <v>Moderate</v>
      </c>
      <c r="AE450">
        <f t="shared" si="172"/>
        <v>2.8963324531132834E-2</v>
      </c>
      <c r="AF450">
        <f t="shared" si="173"/>
        <v>0.14859436503435802</v>
      </c>
      <c r="AG450" t="s">
        <v>1175</v>
      </c>
    </row>
    <row r="451" spans="1:33" x14ac:dyDescent="0.3">
      <c r="A451">
        <v>508894</v>
      </c>
      <c r="B451" t="s">
        <v>530</v>
      </c>
      <c r="C451" s="1" t="s">
        <v>986</v>
      </c>
      <c r="D451" t="s">
        <v>994</v>
      </c>
      <c r="E451" s="4">
        <v>6.9</v>
      </c>
      <c r="F451" s="3">
        <f t="shared" ref="F451:F514" si="186">(E451-$AJ$5)/$AK$5</f>
        <v>0.8222222222222223</v>
      </c>
      <c r="G451">
        <v>56.1708</v>
      </c>
      <c r="H451">
        <f t="shared" si="174"/>
        <v>0.54348621168897659</v>
      </c>
      <c r="I451">
        <v>110.3</v>
      </c>
      <c r="J451" s="3">
        <f t="shared" si="175"/>
        <v>0.50759318913943863</v>
      </c>
      <c r="K451">
        <v>0</v>
      </c>
      <c r="L451" s="3">
        <f t="shared" si="176"/>
        <v>0</v>
      </c>
      <c r="M451">
        <v>56867</v>
      </c>
      <c r="N451">
        <f t="shared" si="177"/>
        <v>0.26793090232927852</v>
      </c>
      <c r="O451" s="15">
        <v>0.82708688399999997</v>
      </c>
      <c r="P451">
        <f t="shared" ref="P451:P514" si="187">(O451-$AJ$11)/$AK$11</f>
        <v>0.8431774217079534</v>
      </c>
      <c r="Q451">
        <v>0.28799999999999998</v>
      </c>
      <c r="R451">
        <f t="shared" ref="R451:R514" si="188">(Q451-$AJ$12)/$AK$12</f>
        <v>0.63843937042784304</v>
      </c>
      <c r="S451">
        <f t="shared" ref="S451:S514" si="189">F451*(R451*0.5+P451*0.5)*(H451*0.4+J451*0.2+L451*0.4)</f>
        <v>0.1942528932082635</v>
      </c>
      <c r="T451" s="14">
        <f t="shared" ref="T451:T514" si="190">(S451-$AJ$10)/$AK$10</f>
        <v>0.33173258107835241</v>
      </c>
      <c r="U451" t="str">
        <f t="shared" ref="U451:U514" si="191">IF(T451&gt;0.7,"High",IF(T451&gt;0.3,"Moderate",IF(T451&gt;0.15,"Low","No Impact")))</f>
        <v>Moderate</v>
      </c>
      <c r="V451">
        <f t="shared" ref="V451:V514" si="192">F451*(R451*1)*(H451*0.4+J451*0.2+L451*0.4)</f>
        <v>0.16740994770300086</v>
      </c>
      <c r="W451">
        <f t="shared" ref="W451:W514" si="193">(V451-$AJ$13)/$AK$13</f>
        <v>0.24633120858237992</v>
      </c>
      <c r="X451" t="s">
        <v>1175</v>
      </c>
      <c r="Y451">
        <f t="shared" ref="Y451:Y514" si="194">F451*(P451*1)*(H451*0.4+J451*0.2+L451*0.4)</f>
        <v>0.22109583871352617</v>
      </c>
      <c r="Z451">
        <f t="shared" ref="Z451:Z514" si="195">(Y451-$AJ$14)/$AK$14</f>
        <v>0.43517193883331734</v>
      </c>
      <c r="AA451" t="str">
        <f t="shared" ref="AA451:AA514" si="196">IF(Z451&gt;0.7,"High",IF(Z451&gt;0.3,"Moderate",IF(Z451&gt;0.15,"Low","No Impact")))</f>
        <v>Moderate</v>
      </c>
      <c r="AB451">
        <f t="shared" ref="AB451:AB514" si="197">F451*(R451*0.35+P451*0.3+N451*0.35)*(H451*0.4+J451*0.2+L451*0.4)</f>
        <v>0.14951188919382397</v>
      </c>
      <c r="AC451">
        <f t="shared" ref="AC451:AC514" si="198">(AB451-$AJ$15)/$AK$15</f>
        <v>0.344819396459419</v>
      </c>
      <c r="AD451" t="str">
        <f t="shared" ref="AD451:AD514" si="199">IF(AC451&gt;0.7,"High",IF(AC451&gt;0.3,"Moderate",IF(AC451&gt;0.15,"Low","No Impact")))</f>
        <v>Moderate</v>
      </c>
      <c r="AE451">
        <f t="shared" ref="AE451:AE514" si="200">F451*(N451*1)*(H451*0.4+J451*0.2+L451*0.4)</f>
        <v>7.025615966775943E-2</v>
      </c>
      <c r="AF451">
        <f t="shared" ref="AF451:AF514" si="201">(AE451-$AJ$16)/$AK$16</f>
        <v>0.36044444498633194</v>
      </c>
      <c r="AG451" t="str">
        <f t="shared" ref="AG451" si="202">IF(AF451&gt;0.7,"High",IF(AF451&gt;0.3,"Moderate",IF(AF451&gt;0.15,"Low","No Impact")))</f>
        <v>Moderate</v>
      </c>
    </row>
    <row r="452" spans="1:33" x14ac:dyDescent="0.3">
      <c r="A452">
        <v>552710</v>
      </c>
      <c r="B452" t="s">
        <v>78</v>
      </c>
      <c r="C452" s="1" t="s">
        <v>996</v>
      </c>
      <c r="D452" t="s">
        <v>995</v>
      </c>
      <c r="E452" s="4">
        <v>6.4</v>
      </c>
      <c r="F452" s="3">
        <f t="shared" si="186"/>
        <v>0.71111111111111114</v>
      </c>
      <c r="G452">
        <v>55.732679999999995</v>
      </c>
      <c r="H452">
        <f t="shared" si="174"/>
        <v>0.53924713766715071</v>
      </c>
      <c r="I452">
        <v>37.1</v>
      </c>
      <c r="J452" s="3">
        <f t="shared" si="175"/>
        <v>0.17073170731707318</v>
      </c>
      <c r="K452">
        <v>0</v>
      </c>
      <c r="L452" s="3">
        <f t="shared" si="176"/>
        <v>0</v>
      </c>
      <c r="M452">
        <v>22770</v>
      </c>
      <c r="N452">
        <f t="shared" si="177"/>
        <v>0.10660364414037179</v>
      </c>
      <c r="O452" s="15">
        <v>0.91436956300000005</v>
      </c>
      <c r="P452">
        <f t="shared" si="187"/>
        <v>0.93215813904572586</v>
      </c>
      <c r="Q452">
        <v>0.3755</v>
      </c>
      <c r="R452">
        <f t="shared" si="188"/>
        <v>0.83240966526269122</v>
      </c>
      <c r="S452">
        <f t="shared" si="189"/>
        <v>0.15675334750522035</v>
      </c>
      <c r="T452" s="14">
        <f t="shared" si="190"/>
        <v>0.26769327190832581</v>
      </c>
      <c r="U452" t="str">
        <f t="shared" si="191"/>
        <v>Low</v>
      </c>
      <c r="V452">
        <f t="shared" si="192"/>
        <v>0.14789230678133863</v>
      </c>
      <c r="W452">
        <f t="shared" si="193"/>
        <v>0.21761246072493828</v>
      </c>
      <c r="X452" t="s">
        <v>1176</v>
      </c>
      <c r="Y452">
        <f t="shared" si="194"/>
        <v>0.16561438822910202</v>
      </c>
      <c r="Z452">
        <f t="shared" si="195"/>
        <v>0.32597056029504962</v>
      </c>
      <c r="AA452" t="str">
        <f t="shared" si="196"/>
        <v>Moderate</v>
      </c>
      <c r="AB452">
        <f t="shared" si="197"/>
        <v>0.10807563216033825</v>
      </c>
      <c r="AC452">
        <f t="shared" si="198"/>
        <v>0.24925492182890174</v>
      </c>
      <c r="AD452" t="str">
        <f t="shared" si="199"/>
        <v>Low</v>
      </c>
      <c r="AE452">
        <f t="shared" si="200"/>
        <v>1.8940023766111775E-2</v>
      </c>
      <c r="AF452">
        <f t="shared" si="201"/>
        <v>9.7170502724431257E-2</v>
      </c>
      <c r="AG452" t="s">
        <v>1175</v>
      </c>
    </row>
    <row r="453" spans="1:33" x14ac:dyDescent="0.3">
      <c r="A453">
        <v>552712</v>
      </c>
      <c r="B453" t="s">
        <v>79</v>
      </c>
      <c r="C453" s="1" t="s">
        <v>996</v>
      </c>
      <c r="D453" t="s">
        <v>997</v>
      </c>
      <c r="E453" s="4">
        <v>6</v>
      </c>
      <c r="F453" s="3">
        <f t="shared" si="186"/>
        <v>0.62222222222222223</v>
      </c>
      <c r="G453">
        <v>42.120720000000006</v>
      </c>
      <c r="H453">
        <f t="shared" si="174"/>
        <v>0.40754325283620879</v>
      </c>
      <c r="I453">
        <v>4.7</v>
      </c>
      <c r="J453" s="3">
        <f t="shared" si="175"/>
        <v>2.1629084215370457E-2</v>
      </c>
      <c r="K453">
        <v>0</v>
      </c>
      <c r="L453" s="3">
        <f t="shared" si="176"/>
        <v>0</v>
      </c>
      <c r="M453">
        <v>46581</v>
      </c>
      <c r="N453">
        <f t="shared" si="177"/>
        <v>0.21926350702379432</v>
      </c>
      <c r="O453" s="15">
        <v>0.85719442999999995</v>
      </c>
      <c r="P453">
        <f t="shared" si="187"/>
        <v>0.87387069408516782</v>
      </c>
      <c r="Q453">
        <v>0.3417</v>
      </c>
      <c r="R453">
        <f t="shared" si="188"/>
        <v>0.75748171137220133</v>
      </c>
      <c r="S453">
        <f t="shared" si="189"/>
        <v>8.4931963837598878E-2</v>
      </c>
      <c r="T453" s="14">
        <f t="shared" si="190"/>
        <v>0.14504133819872195</v>
      </c>
      <c r="U453" t="str">
        <f t="shared" si="191"/>
        <v>No Impact</v>
      </c>
      <c r="V453">
        <f t="shared" si="192"/>
        <v>7.8872485310578125E-2</v>
      </c>
      <c r="W453">
        <f t="shared" si="193"/>
        <v>0.1160549590811589</v>
      </c>
      <c r="X453" t="s">
        <v>1176</v>
      </c>
      <c r="Y453">
        <f t="shared" si="194"/>
        <v>9.0991442364619632E-2</v>
      </c>
      <c r="Z453">
        <f t="shared" si="195"/>
        <v>0.1790939287751919</v>
      </c>
      <c r="AA453" t="str">
        <f t="shared" si="196"/>
        <v>Low</v>
      </c>
      <c r="AB453">
        <f t="shared" si="197"/>
        <v>6.2893556822660401E-2</v>
      </c>
      <c r="AC453">
        <f t="shared" si="198"/>
        <v>0.14505146327635179</v>
      </c>
      <c r="AD453" t="str">
        <f t="shared" si="199"/>
        <v>No Impact</v>
      </c>
      <c r="AE453">
        <f t="shared" si="200"/>
        <v>2.2830726441634752E-2</v>
      </c>
      <c r="AF453">
        <f t="shared" si="201"/>
        <v>0.11713148796924915</v>
      </c>
      <c r="AG453" t="s">
        <v>1175</v>
      </c>
    </row>
    <row r="454" spans="1:33" x14ac:dyDescent="0.3">
      <c r="A454">
        <v>552717</v>
      </c>
      <c r="B454" t="s">
        <v>77</v>
      </c>
      <c r="C454" s="1" t="s">
        <v>996</v>
      </c>
      <c r="D454" t="s">
        <v>998</v>
      </c>
      <c r="E454" s="4">
        <v>6.4</v>
      </c>
      <c r="F454" s="3">
        <f t="shared" si="186"/>
        <v>0.71111111111111114</v>
      </c>
      <c r="G454">
        <v>43.727400000000003</v>
      </c>
      <c r="H454">
        <f t="shared" si="174"/>
        <v>0.42308884639365218</v>
      </c>
      <c r="I454">
        <v>6.1000000000000005</v>
      </c>
      <c r="J454" s="3">
        <f t="shared" si="175"/>
        <v>2.8071790151863788E-2</v>
      </c>
      <c r="K454">
        <v>0</v>
      </c>
      <c r="L454" s="3">
        <f t="shared" si="176"/>
        <v>0</v>
      </c>
      <c r="M454">
        <v>39215</v>
      </c>
      <c r="N454">
        <f t="shared" si="177"/>
        <v>0.18441186072589461</v>
      </c>
      <c r="O454" s="15">
        <v>0.88505238200000003</v>
      </c>
      <c r="P454">
        <f t="shared" si="187"/>
        <v>0.90227060780139601</v>
      </c>
      <c r="Q454">
        <v>0.36840000000000001</v>
      </c>
      <c r="R454">
        <f t="shared" si="188"/>
        <v>0.81667036133894921</v>
      </c>
      <c r="S454">
        <f t="shared" si="189"/>
        <v>0.10686458691369952</v>
      </c>
      <c r="T454" s="14">
        <f t="shared" si="190"/>
        <v>0.18249645942079282</v>
      </c>
      <c r="U454" t="str">
        <f t="shared" si="191"/>
        <v>Low</v>
      </c>
      <c r="V454">
        <f t="shared" si="192"/>
        <v>0.10154291784992994</v>
      </c>
      <c r="W454">
        <f t="shared" si="193"/>
        <v>0.14941280383965017</v>
      </c>
      <c r="X454" t="s">
        <v>1176</v>
      </c>
      <c r="Y454">
        <f t="shared" si="194"/>
        <v>0.11218625597746908</v>
      </c>
      <c r="Z454">
        <f t="shared" si="195"/>
        <v>0.22081062587262223</v>
      </c>
      <c r="AA454" t="str">
        <f t="shared" si="196"/>
        <v>Low</v>
      </c>
      <c r="AB454">
        <f t="shared" si="197"/>
        <v>7.7221169629781025E-2</v>
      </c>
      <c r="AC454">
        <f t="shared" si="198"/>
        <v>0.17809524880735325</v>
      </c>
      <c r="AD454" t="str">
        <f t="shared" si="199"/>
        <v>Low</v>
      </c>
      <c r="AE454">
        <f t="shared" si="200"/>
        <v>2.2929347397328107E-2</v>
      </c>
      <c r="AF454">
        <f t="shared" si="201"/>
        <v>0.11763745606951276</v>
      </c>
      <c r="AG454" t="s">
        <v>1175</v>
      </c>
    </row>
    <row r="455" spans="1:33" x14ac:dyDescent="0.3">
      <c r="A455">
        <v>552721</v>
      </c>
      <c r="B455" t="s">
        <v>85</v>
      </c>
      <c r="C455" s="1" t="s">
        <v>996</v>
      </c>
      <c r="D455" t="s">
        <v>999</v>
      </c>
      <c r="E455" s="4">
        <v>6.4</v>
      </c>
      <c r="F455" s="3">
        <f t="shared" si="186"/>
        <v>0.71111111111111114</v>
      </c>
      <c r="G455">
        <v>40.368960000000001</v>
      </c>
      <c r="H455">
        <f t="shared" ref="H455:H518" si="203">(G455-$AJ$6)/$AK$6</f>
        <v>0.3905939231811516</v>
      </c>
      <c r="I455">
        <v>4.2</v>
      </c>
      <c r="J455" s="3">
        <f t="shared" ref="J455:J518" si="204">(I455-$AJ$7)/$AK$7</f>
        <v>1.9328117809479985E-2</v>
      </c>
      <c r="K455">
        <v>0</v>
      </c>
      <c r="L455" s="3">
        <f t="shared" ref="L455:L518" si="205">(K455-$AJ$8)/$AK$8</f>
        <v>0</v>
      </c>
      <c r="M455">
        <v>24638</v>
      </c>
      <c r="N455">
        <f t="shared" ref="N455:N518" si="206">(M455-$AJ$9)/$AK$9</f>
        <v>0.11544193836851145</v>
      </c>
      <c r="O455" s="15">
        <v>0.84261406699999997</v>
      </c>
      <c r="P455">
        <f t="shared" si="187"/>
        <v>0.85900667783762452</v>
      </c>
      <c r="Q455">
        <v>0.3548</v>
      </c>
      <c r="R455">
        <f t="shared" si="188"/>
        <v>0.78652183551318999</v>
      </c>
      <c r="S455">
        <f t="shared" si="189"/>
        <v>9.3672664493311159E-2</v>
      </c>
      <c r="T455" s="14">
        <f t="shared" si="190"/>
        <v>0.15996814387488745</v>
      </c>
      <c r="U455" t="str">
        <f t="shared" si="191"/>
        <v>Low</v>
      </c>
      <c r="V455">
        <f t="shared" si="192"/>
        <v>8.9546422826382505E-2</v>
      </c>
      <c r="W455">
        <f t="shared" si="193"/>
        <v>0.13176085926616785</v>
      </c>
      <c r="X455" t="s">
        <v>1176</v>
      </c>
      <c r="Y455">
        <f t="shared" si="194"/>
        <v>9.779890616023984E-2</v>
      </c>
      <c r="Z455">
        <f t="shared" si="195"/>
        <v>0.19249272106235052</v>
      </c>
      <c r="AA455" t="str">
        <f t="shared" si="196"/>
        <v>Low</v>
      </c>
      <c r="AB455">
        <f t="shared" si="197"/>
        <v>6.5281039319563597E-2</v>
      </c>
      <c r="AC455">
        <f t="shared" si="198"/>
        <v>0.1505577161775665</v>
      </c>
      <c r="AD455" t="str">
        <f t="shared" si="199"/>
        <v>Low</v>
      </c>
      <c r="AE455">
        <f t="shared" si="200"/>
        <v>1.3143198520736501E-2</v>
      </c>
      <c r="AF455">
        <f t="shared" si="201"/>
        <v>6.7430285380742749E-2</v>
      </c>
      <c r="AG455" t="str">
        <f>IF(AF455&gt;0.7,"High",IF(AF455&gt;0.3,"Moderate",IF(AF455&gt;0.15,"Low","No Impact")))</f>
        <v>No Impact</v>
      </c>
    </row>
    <row r="456" spans="1:33" x14ac:dyDescent="0.3">
      <c r="A456">
        <v>552730</v>
      </c>
      <c r="B456" t="s">
        <v>111</v>
      </c>
      <c r="C456" s="1" t="s">
        <v>996</v>
      </c>
      <c r="D456" t="s">
        <v>1000</v>
      </c>
      <c r="E456" s="4">
        <v>6.4</v>
      </c>
      <c r="F456" s="3">
        <f t="shared" si="186"/>
        <v>0.71111111111111114</v>
      </c>
      <c r="G456">
        <v>46.740960000000001</v>
      </c>
      <c r="H456">
        <f t="shared" si="203"/>
        <v>0.45224684856021263</v>
      </c>
      <c r="I456">
        <v>10.9</v>
      </c>
      <c r="J456" s="3">
        <f t="shared" si="204"/>
        <v>5.0161067648412341E-2</v>
      </c>
      <c r="K456">
        <v>0</v>
      </c>
      <c r="L456" s="3">
        <f t="shared" si="205"/>
        <v>0</v>
      </c>
      <c r="M456">
        <v>37811</v>
      </c>
      <c r="N456">
        <f t="shared" si="206"/>
        <v>0.17776894579211083</v>
      </c>
      <c r="O456" s="15">
        <v>0.82910714399999996</v>
      </c>
      <c r="P456">
        <f t="shared" si="187"/>
        <v>0.8452369847973128</v>
      </c>
      <c r="Q456">
        <v>0.37</v>
      </c>
      <c r="R456">
        <f t="shared" si="188"/>
        <v>0.82021724673021501</v>
      </c>
      <c r="S456">
        <f t="shared" si="189"/>
        <v>0.11306196036495485</v>
      </c>
      <c r="T456" s="14">
        <f t="shared" si="190"/>
        <v>0.19307993468819712</v>
      </c>
      <c r="U456" t="str">
        <f t="shared" si="191"/>
        <v>Low</v>
      </c>
      <c r="V456">
        <f t="shared" si="192"/>
        <v>0.11136345638920209</v>
      </c>
      <c r="W456">
        <f t="shared" si="193"/>
        <v>0.16386299130163087</v>
      </c>
      <c r="X456" t="s">
        <v>1176</v>
      </c>
      <c r="Y456">
        <f t="shared" si="194"/>
        <v>0.11476046434070761</v>
      </c>
      <c r="Z456">
        <f t="shared" si="195"/>
        <v>0.22587731211560905</v>
      </c>
      <c r="AA456" t="str">
        <f t="shared" si="196"/>
        <v>Low</v>
      </c>
      <c r="AB456">
        <f t="shared" si="197"/>
        <v>8.1853034712378619E-2</v>
      </c>
      <c r="AC456">
        <f t="shared" si="198"/>
        <v>0.18877772316357144</v>
      </c>
      <c r="AD456" t="str">
        <f t="shared" si="199"/>
        <v>Low</v>
      </c>
      <c r="AE456">
        <f t="shared" si="200"/>
        <v>2.4136244782701773E-2</v>
      </c>
      <c r="AF456">
        <f t="shared" si="201"/>
        <v>0.12382936095420426</v>
      </c>
      <c r="AG456" t="s">
        <v>1175</v>
      </c>
    </row>
    <row r="457" spans="1:33" x14ac:dyDescent="0.3">
      <c r="A457">
        <v>552738</v>
      </c>
      <c r="B457" t="s">
        <v>168</v>
      </c>
      <c r="C457" s="1" t="s">
        <v>996</v>
      </c>
      <c r="D457" t="s">
        <v>1001</v>
      </c>
      <c r="E457" s="4">
        <v>6.4</v>
      </c>
      <c r="F457" s="3">
        <f t="shared" si="186"/>
        <v>0.71111111111111114</v>
      </c>
      <c r="G457">
        <v>52.543799999999997</v>
      </c>
      <c r="H457">
        <f t="shared" si="203"/>
        <v>0.50839280924863539</v>
      </c>
      <c r="I457">
        <v>19.5</v>
      </c>
      <c r="J457" s="3">
        <f t="shared" si="204"/>
        <v>8.973768982972849E-2</v>
      </c>
      <c r="K457">
        <v>0</v>
      </c>
      <c r="L457" s="3">
        <f t="shared" si="205"/>
        <v>0</v>
      </c>
      <c r="M457">
        <v>22131</v>
      </c>
      <c r="N457">
        <f t="shared" si="206"/>
        <v>0.10358026618973944</v>
      </c>
      <c r="O457" s="15">
        <v>0.85572912999999995</v>
      </c>
      <c r="P457">
        <f t="shared" si="187"/>
        <v>0.87237688744897335</v>
      </c>
      <c r="Q457">
        <v>0.36859999999999998</v>
      </c>
      <c r="R457">
        <f t="shared" si="188"/>
        <v>0.81711372201285737</v>
      </c>
      <c r="S457">
        <f t="shared" si="189"/>
        <v>0.13293943029824734</v>
      </c>
      <c r="T457" s="14">
        <f t="shared" si="190"/>
        <v>0.22702539772543931</v>
      </c>
      <c r="U457" t="str">
        <f t="shared" si="191"/>
        <v>Low</v>
      </c>
      <c r="V457">
        <f t="shared" si="192"/>
        <v>0.12859098723001672</v>
      </c>
      <c r="W457">
        <f t="shared" si="193"/>
        <v>0.18921201357381226</v>
      </c>
      <c r="X457" t="s">
        <v>1176</v>
      </c>
      <c r="Y457">
        <f t="shared" si="194"/>
        <v>0.13728787336647799</v>
      </c>
      <c r="Z457">
        <f t="shared" si="195"/>
        <v>0.27021689046171171</v>
      </c>
      <c r="AA457" t="str">
        <f t="shared" si="196"/>
        <v>Low</v>
      </c>
      <c r="AB457">
        <f t="shared" si="197"/>
        <v>9.1898436708460846E-2</v>
      </c>
      <c r="AC457">
        <f t="shared" si="198"/>
        <v>0.21194544228048298</v>
      </c>
      <c r="AD457" t="str">
        <f t="shared" si="199"/>
        <v>Low</v>
      </c>
      <c r="AE457">
        <f t="shared" si="200"/>
        <v>1.6300654765747446E-2</v>
      </c>
      <c r="AF457">
        <f t="shared" si="201"/>
        <v>8.3629399724361869E-2</v>
      </c>
      <c r="AG457" t="s">
        <v>1175</v>
      </c>
    </row>
    <row r="458" spans="1:33" x14ac:dyDescent="0.3">
      <c r="A458">
        <v>552743</v>
      </c>
      <c r="B458" t="s">
        <v>184</v>
      </c>
      <c r="C458" s="1" t="s">
        <v>996</v>
      </c>
      <c r="D458" t="s">
        <v>1002</v>
      </c>
      <c r="E458" s="4">
        <v>6.4</v>
      </c>
      <c r="F458" s="3">
        <f t="shared" si="186"/>
        <v>0.71111111111111114</v>
      </c>
      <c r="G458">
        <v>65.941200000000009</v>
      </c>
      <c r="H458">
        <f t="shared" si="203"/>
        <v>0.63802069727020361</v>
      </c>
      <c r="I458">
        <v>104.3</v>
      </c>
      <c r="J458" s="3">
        <f t="shared" si="204"/>
        <v>0.47998159226875292</v>
      </c>
      <c r="K458">
        <v>0</v>
      </c>
      <c r="L458" s="3">
        <f t="shared" si="205"/>
        <v>0</v>
      </c>
      <c r="M458">
        <v>17312</v>
      </c>
      <c r="N458">
        <f t="shared" si="206"/>
        <v>8.0779548906332058E-2</v>
      </c>
      <c r="O458" s="15">
        <v>0.87750984700000001</v>
      </c>
      <c r="P458">
        <f t="shared" si="187"/>
        <v>0.89458133677380469</v>
      </c>
      <c r="Q458">
        <v>0.38140000000000002</v>
      </c>
      <c r="R458">
        <f t="shared" si="188"/>
        <v>0.84548880514298386</v>
      </c>
      <c r="S458">
        <f t="shared" si="189"/>
        <v>0.2172873363815935</v>
      </c>
      <c r="T458" s="14">
        <f t="shared" si="190"/>
        <v>0.37106931970493739</v>
      </c>
      <c r="U458" t="str">
        <f t="shared" si="191"/>
        <v>Moderate</v>
      </c>
      <c r="V458">
        <f t="shared" si="192"/>
        <v>0.21115701716208227</v>
      </c>
      <c r="W458">
        <f t="shared" si="193"/>
        <v>0.31070174712953269</v>
      </c>
      <c r="X458" t="str">
        <f t="shared" ref="X458:X479" si="207">IF(W458&gt;0.7,"High",IF(W458&gt;0.3,"Moderate",IF(W458&gt;0.15,"Low","No Impact")))</f>
        <v>Moderate</v>
      </c>
      <c r="Y458">
        <f t="shared" si="194"/>
        <v>0.22341765560110477</v>
      </c>
      <c r="Z458">
        <f t="shared" si="195"/>
        <v>0.43974185549236705</v>
      </c>
      <c r="AA458" t="str">
        <f t="shared" si="196"/>
        <v>Moderate</v>
      </c>
      <c r="AB458">
        <f t="shared" si="197"/>
        <v>0.14799126753651912</v>
      </c>
      <c r="AC458">
        <f t="shared" si="198"/>
        <v>0.34131238544549736</v>
      </c>
      <c r="AD458" t="str">
        <f t="shared" si="199"/>
        <v>Moderate</v>
      </c>
      <c r="AE458">
        <f t="shared" si="200"/>
        <v>2.0174328141311128E-2</v>
      </c>
      <c r="AF458">
        <f t="shared" si="201"/>
        <v>0.10350301730488726</v>
      </c>
      <c r="AG458" t="s">
        <v>1175</v>
      </c>
    </row>
    <row r="459" spans="1:33" x14ac:dyDescent="0.3">
      <c r="A459">
        <v>552747</v>
      </c>
      <c r="B459" t="s">
        <v>199</v>
      </c>
      <c r="C459" s="1" t="s">
        <v>996</v>
      </c>
      <c r="D459" t="s">
        <v>1003</v>
      </c>
      <c r="E459" s="4">
        <v>6.4</v>
      </c>
      <c r="F459" s="3">
        <f t="shared" si="186"/>
        <v>0.71111111111111114</v>
      </c>
      <c r="G459">
        <v>62.021520000000002</v>
      </c>
      <c r="H459">
        <f t="shared" si="203"/>
        <v>0.60009544012177329</v>
      </c>
      <c r="I459">
        <v>62.7</v>
      </c>
      <c r="J459" s="3">
        <f t="shared" si="204"/>
        <v>0.28854118729866546</v>
      </c>
      <c r="K459">
        <v>0</v>
      </c>
      <c r="L459" s="3">
        <f t="shared" si="205"/>
        <v>0</v>
      </c>
      <c r="M459">
        <v>12348</v>
      </c>
      <c r="N459">
        <f t="shared" si="206"/>
        <v>5.7292775593438462E-2</v>
      </c>
      <c r="O459" s="15">
        <v>0.97355368099999995</v>
      </c>
      <c r="P459">
        <f t="shared" si="187"/>
        <v>0.99249365274648382</v>
      </c>
      <c r="Q459">
        <v>0.38179999999999997</v>
      </c>
      <c r="R459">
        <f t="shared" si="188"/>
        <v>0.84637552649080017</v>
      </c>
      <c r="S459">
        <f t="shared" si="189"/>
        <v>0.19467260552146295</v>
      </c>
      <c r="T459" s="14">
        <f t="shared" si="190"/>
        <v>0.33244933873723959</v>
      </c>
      <c r="U459" t="str">
        <f t="shared" si="191"/>
        <v>Moderate</v>
      </c>
      <c r="V459">
        <f t="shared" si="192"/>
        <v>0.17920375288459056</v>
      </c>
      <c r="W459">
        <f t="shared" si="193"/>
        <v>0.26368491022333712</v>
      </c>
      <c r="X459" t="s">
        <v>1175</v>
      </c>
      <c r="Y459">
        <f t="shared" si="194"/>
        <v>0.21014145815833535</v>
      </c>
      <c r="Z459">
        <f t="shared" si="195"/>
        <v>0.41361097661594592</v>
      </c>
      <c r="AA459" t="str">
        <f t="shared" si="196"/>
        <v>Moderate</v>
      </c>
      <c r="AB459">
        <f t="shared" si="197"/>
        <v>0.13000947643871555</v>
      </c>
      <c r="AC459">
        <f t="shared" si="198"/>
        <v>0.29984096543310068</v>
      </c>
      <c r="AD459" t="str">
        <f t="shared" si="199"/>
        <v>Low</v>
      </c>
      <c r="AE459">
        <f t="shared" si="200"/>
        <v>1.2130644233166456E-2</v>
      </c>
      <c r="AF459">
        <f t="shared" si="201"/>
        <v>6.2235444530806559E-2</v>
      </c>
      <c r="AG459" t="str">
        <f t="shared" ref="AG459:AG461" si="208">IF(AF459&gt;0.7,"High",IF(AF459&gt;0.3,"Moderate",IF(AF459&gt;0.15,"Low","No Impact")))</f>
        <v>No Impact</v>
      </c>
    </row>
    <row r="460" spans="1:33" x14ac:dyDescent="0.3">
      <c r="A460">
        <v>552756</v>
      </c>
      <c r="B460" t="s">
        <v>236</v>
      </c>
      <c r="C460" s="1" t="s">
        <v>996</v>
      </c>
      <c r="D460" t="s">
        <v>1004</v>
      </c>
      <c r="E460" s="4">
        <v>5</v>
      </c>
      <c r="F460" s="3">
        <f t="shared" si="186"/>
        <v>0.39999999999999997</v>
      </c>
      <c r="G460">
        <v>43.727400000000003</v>
      </c>
      <c r="H460">
        <f t="shared" si="203"/>
        <v>0.42308884639365218</v>
      </c>
      <c r="I460">
        <v>6.1000000000000005</v>
      </c>
      <c r="J460" s="3">
        <f t="shared" si="204"/>
        <v>2.8071790151863788E-2</v>
      </c>
      <c r="K460">
        <v>0</v>
      </c>
      <c r="L460" s="3">
        <f t="shared" si="205"/>
        <v>0</v>
      </c>
      <c r="M460">
        <v>26833</v>
      </c>
      <c r="N460">
        <f t="shared" si="206"/>
        <v>0.12582740722866484</v>
      </c>
      <c r="O460" s="15">
        <v>0.92987052199999998</v>
      </c>
      <c r="P460">
        <f t="shared" si="187"/>
        <v>0.94796066100135223</v>
      </c>
      <c r="Q460">
        <v>0.35560000000000003</v>
      </c>
      <c r="R460">
        <f t="shared" si="188"/>
        <v>0.78829527820882295</v>
      </c>
      <c r="S460">
        <f t="shared" si="189"/>
        <v>6.071683428418221E-2</v>
      </c>
      <c r="T460" s="14">
        <f t="shared" si="190"/>
        <v>0.10368829940877057</v>
      </c>
      <c r="U460" t="str">
        <f t="shared" si="191"/>
        <v>No Impact</v>
      </c>
      <c r="V460">
        <f t="shared" si="192"/>
        <v>5.5133339150196088E-2</v>
      </c>
      <c r="W460">
        <f t="shared" si="193"/>
        <v>8.1124582215054364E-2</v>
      </c>
      <c r="X460" t="s">
        <v>1176</v>
      </c>
      <c r="Y460">
        <f t="shared" si="194"/>
        <v>6.6300329418168338E-2</v>
      </c>
      <c r="Z460">
        <f t="shared" si="195"/>
        <v>0.1304956396559572</v>
      </c>
      <c r="AA460" t="str">
        <f t="shared" si="196"/>
        <v>No Impact</v>
      </c>
      <c r="AB460">
        <f t="shared" si="197"/>
        <v>4.2266894807877743E-2</v>
      </c>
      <c r="AC460">
        <f t="shared" si="198"/>
        <v>9.7480175231898517E-2</v>
      </c>
      <c r="AD460" t="str">
        <f t="shared" si="199"/>
        <v>No Impact</v>
      </c>
      <c r="AE460">
        <f t="shared" si="200"/>
        <v>8.8003636567389083E-3</v>
      </c>
      <c r="AF460">
        <f t="shared" si="201"/>
        <v>4.5149666718643504E-2</v>
      </c>
      <c r="AG460" t="str">
        <f t="shared" si="208"/>
        <v>No Impact</v>
      </c>
    </row>
    <row r="461" spans="1:33" x14ac:dyDescent="0.3">
      <c r="A461">
        <v>552760</v>
      </c>
      <c r="B461" t="s">
        <v>273</v>
      </c>
      <c r="C461" s="1" t="s">
        <v>996</v>
      </c>
      <c r="D461" t="s">
        <v>1005</v>
      </c>
      <c r="E461" s="4">
        <v>6.3</v>
      </c>
      <c r="F461" s="3">
        <f t="shared" si="186"/>
        <v>0.68888888888888877</v>
      </c>
      <c r="G461">
        <v>42.303240000000002</v>
      </c>
      <c r="H461">
        <f t="shared" si="203"/>
        <v>0.40930924341062591</v>
      </c>
      <c r="I461">
        <v>4.8999999999999995</v>
      </c>
      <c r="J461" s="3">
        <f t="shared" si="204"/>
        <v>2.2549470777726646E-2</v>
      </c>
      <c r="K461">
        <v>0</v>
      </c>
      <c r="L461" s="3">
        <f t="shared" si="205"/>
        <v>0</v>
      </c>
      <c r="M461">
        <v>15773</v>
      </c>
      <c r="N461">
        <f t="shared" si="206"/>
        <v>7.3497892151992164E-2</v>
      </c>
      <c r="O461" s="15">
        <v>0.86236501200000004</v>
      </c>
      <c r="P461">
        <f t="shared" si="187"/>
        <v>0.87914186702216923</v>
      </c>
      <c r="Q461">
        <v>0.35630000000000001</v>
      </c>
      <c r="R461">
        <f t="shared" si="188"/>
        <v>0.78984704056750166</v>
      </c>
      <c r="S461">
        <f t="shared" si="189"/>
        <v>9.6713110467175914E-2</v>
      </c>
      <c r="T461" s="14">
        <f t="shared" si="190"/>
        <v>0.16516042170345024</v>
      </c>
      <c r="U461" t="str">
        <f t="shared" si="191"/>
        <v>Low</v>
      </c>
      <c r="V461">
        <f t="shared" si="192"/>
        <v>9.1538731910322885E-2</v>
      </c>
      <c r="W461">
        <f t="shared" si="193"/>
        <v>0.13469239297279889</v>
      </c>
      <c r="X461" t="s">
        <v>1176</v>
      </c>
      <c r="Y461">
        <f t="shared" si="194"/>
        <v>0.10188748902402896</v>
      </c>
      <c r="Z461">
        <f t="shared" si="195"/>
        <v>0.20054007528786874</v>
      </c>
      <c r="AA461" t="str">
        <f t="shared" si="196"/>
        <v>Low</v>
      </c>
      <c r="AB461">
        <f t="shared" si="197"/>
        <v>6.5586097006257837E-2</v>
      </c>
      <c r="AC461">
        <f t="shared" si="198"/>
        <v>0.15126127097831449</v>
      </c>
      <c r="AD461" t="str">
        <f t="shared" si="199"/>
        <v>Low</v>
      </c>
      <c r="AE461">
        <f t="shared" si="200"/>
        <v>8.5179832298175936E-3</v>
      </c>
      <c r="AF461">
        <f t="shared" si="201"/>
        <v>4.3700933159365789E-2</v>
      </c>
      <c r="AG461" t="str">
        <f t="shared" si="208"/>
        <v>No Impact</v>
      </c>
    </row>
    <row r="462" spans="1:33" x14ac:dyDescent="0.3">
      <c r="A462">
        <v>552764</v>
      </c>
      <c r="B462" t="s">
        <v>152</v>
      </c>
      <c r="C462" s="1" t="s">
        <v>996</v>
      </c>
      <c r="D462" t="s">
        <v>1006</v>
      </c>
      <c r="E462" s="4">
        <v>6.4</v>
      </c>
      <c r="F462" s="3">
        <f t="shared" si="186"/>
        <v>0.71111111111111114</v>
      </c>
      <c r="G462">
        <v>48.438360000000003</v>
      </c>
      <c r="H462">
        <f t="shared" si="203"/>
        <v>0.46867021258067998</v>
      </c>
      <c r="I462">
        <v>10.9</v>
      </c>
      <c r="J462" s="3">
        <f t="shared" si="204"/>
        <v>5.0161067648412341E-2</v>
      </c>
      <c r="K462">
        <v>0</v>
      </c>
      <c r="L462" s="3">
        <f t="shared" si="205"/>
        <v>0</v>
      </c>
      <c r="M462">
        <v>51759</v>
      </c>
      <c r="N462">
        <f t="shared" si="206"/>
        <v>0.24376280440779172</v>
      </c>
      <c r="O462" s="15">
        <v>0.665584858</v>
      </c>
      <c r="P462">
        <f t="shared" si="187"/>
        <v>0.67853345924452391</v>
      </c>
      <c r="Q462">
        <v>0.36699999999999999</v>
      </c>
      <c r="R462">
        <f t="shared" si="188"/>
        <v>0.81356683662159168</v>
      </c>
      <c r="S462">
        <f t="shared" si="189"/>
        <v>0.10477875694860034</v>
      </c>
      <c r="T462" s="14">
        <f t="shared" si="190"/>
        <v>0.17893441333445176</v>
      </c>
      <c r="U462" t="str">
        <f t="shared" si="191"/>
        <v>Low</v>
      </c>
      <c r="V462">
        <f t="shared" si="192"/>
        <v>0.11426111511670699</v>
      </c>
      <c r="W462">
        <f t="shared" si="193"/>
        <v>0.16812667924968444</v>
      </c>
      <c r="X462" t="s">
        <v>1176</v>
      </c>
      <c r="Y462">
        <f t="shared" si="194"/>
        <v>9.5296398780493688E-2</v>
      </c>
      <c r="Z462">
        <f t="shared" si="195"/>
        <v>0.18756716029772727</v>
      </c>
      <c r="AA462" t="str">
        <f t="shared" si="196"/>
        <v>Low</v>
      </c>
      <c r="AB462">
        <f t="shared" si="197"/>
        <v>8.0562624113150821E-2</v>
      </c>
      <c r="AC462">
        <f t="shared" si="198"/>
        <v>0.18580164810753538</v>
      </c>
      <c r="AD462" t="str">
        <f t="shared" si="199"/>
        <v>Low</v>
      </c>
      <c r="AE462">
        <f t="shared" si="200"/>
        <v>3.423518339472937E-2</v>
      </c>
      <c r="AF462">
        <f t="shared" si="201"/>
        <v>0.17564127808968882</v>
      </c>
      <c r="AG462" t="s">
        <v>1175</v>
      </c>
    </row>
    <row r="463" spans="1:33" x14ac:dyDescent="0.3">
      <c r="A463">
        <v>552769</v>
      </c>
      <c r="B463" t="s">
        <v>378</v>
      </c>
      <c r="C463" s="1" t="s">
        <v>996</v>
      </c>
      <c r="D463" t="s">
        <v>724</v>
      </c>
      <c r="E463" s="4">
        <v>6.3</v>
      </c>
      <c r="F463" s="3">
        <f t="shared" si="186"/>
        <v>0.68888888888888877</v>
      </c>
      <c r="G463">
        <v>62.021520000000002</v>
      </c>
      <c r="H463">
        <f t="shared" si="203"/>
        <v>0.60009544012177329</v>
      </c>
      <c r="I463">
        <v>62.7</v>
      </c>
      <c r="J463" s="3">
        <f t="shared" si="204"/>
        <v>0.28854118729866546</v>
      </c>
      <c r="K463">
        <v>0</v>
      </c>
      <c r="L463" s="3">
        <f t="shared" si="205"/>
        <v>0</v>
      </c>
      <c r="M463">
        <v>37424</v>
      </c>
      <c r="N463">
        <f t="shared" si="206"/>
        <v>0.17593788590651657</v>
      </c>
      <c r="O463" s="15">
        <v>0.86275718099999998</v>
      </c>
      <c r="P463">
        <f t="shared" si="187"/>
        <v>0.87954166546256352</v>
      </c>
      <c r="Q463">
        <v>0.31269999999999998</v>
      </c>
      <c r="R463">
        <f t="shared" si="188"/>
        <v>0.69319441365550871</v>
      </c>
      <c r="S463">
        <f t="shared" si="189"/>
        <v>0.16129524817260901</v>
      </c>
      <c r="T463" s="14">
        <f t="shared" si="190"/>
        <v>0.27544963736837053</v>
      </c>
      <c r="U463" t="str">
        <f t="shared" si="191"/>
        <v>Low</v>
      </c>
      <c r="V463">
        <f t="shared" si="192"/>
        <v>0.14218401480956613</v>
      </c>
      <c r="W463">
        <f t="shared" si="193"/>
        <v>0.20921313631416666</v>
      </c>
      <c r="X463" t="s">
        <v>1176</v>
      </c>
      <c r="Y463">
        <f t="shared" si="194"/>
        <v>0.18040648153565192</v>
      </c>
      <c r="Z463">
        <f t="shared" si="195"/>
        <v>0.35508510157755296</v>
      </c>
      <c r="AA463" t="str">
        <f t="shared" si="196"/>
        <v>Moderate</v>
      </c>
      <c r="AB463">
        <f t="shared" si="197"/>
        <v>0.11651692494712848</v>
      </c>
      <c r="AC463">
        <f t="shared" si="198"/>
        <v>0.26872308252015525</v>
      </c>
      <c r="AD463" t="str">
        <f t="shared" si="199"/>
        <v>Low</v>
      </c>
      <c r="AE463">
        <f t="shared" si="200"/>
        <v>3.6087358008813512E-2</v>
      </c>
      <c r="AF463">
        <f t="shared" si="201"/>
        <v>0.18514373387361488</v>
      </c>
      <c r="AG463" t="s">
        <v>1175</v>
      </c>
    </row>
    <row r="464" spans="1:33" x14ac:dyDescent="0.3">
      <c r="A464">
        <v>552777</v>
      </c>
      <c r="B464" t="s">
        <v>402</v>
      </c>
      <c r="C464" s="1" t="s">
        <v>996</v>
      </c>
      <c r="D464" t="s">
        <v>1007</v>
      </c>
      <c r="E464" s="4">
        <v>6.4</v>
      </c>
      <c r="F464" s="3">
        <f t="shared" si="186"/>
        <v>0.71111111111111114</v>
      </c>
      <c r="G464">
        <v>51.052320000000002</v>
      </c>
      <c r="H464">
        <f t="shared" si="203"/>
        <v>0.49396184485058742</v>
      </c>
      <c r="I464">
        <v>23.8</v>
      </c>
      <c r="J464" s="3">
        <f t="shared" si="204"/>
        <v>0.10952600092038657</v>
      </c>
      <c r="K464">
        <v>0</v>
      </c>
      <c r="L464" s="3">
        <f t="shared" si="205"/>
        <v>0</v>
      </c>
      <c r="M464">
        <v>48158</v>
      </c>
      <c r="N464">
        <f t="shared" si="206"/>
        <v>0.22672495777206852</v>
      </c>
      <c r="O464" s="15">
        <v>0.94276360199999998</v>
      </c>
      <c r="P464">
        <f t="shared" si="187"/>
        <v>0.96110456905088959</v>
      </c>
      <c r="Q464">
        <v>0.36649999999999999</v>
      </c>
      <c r="R464">
        <f t="shared" si="188"/>
        <v>0.81245843493682113</v>
      </c>
      <c r="S464">
        <f t="shared" si="189"/>
        <v>0.1384103943128292</v>
      </c>
      <c r="T464" s="14">
        <f t="shared" si="190"/>
        <v>0.23636835773787129</v>
      </c>
      <c r="U464" t="str">
        <f t="shared" si="191"/>
        <v>Low</v>
      </c>
      <c r="V464">
        <f t="shared" si="192"/>
        <v>0.12680992114692158</v>
      </c>
      <c r="W464">
        <f t="shared" si="193"/>
        <v>0.18659130813286523</v>
      </c>
      <c r="X464" t="s">
        <v>1176</v>
      </c>
      <c r="Y464">
        <f t="shared" si="194"/>
        <v>0.15001086747873679</v>
      </c>
      <c r="Z464">
        <f t="shared" si="195"/>
        <v>0.29525892674702792</v>
      </c>
      <c r="AA464" t="str">
        <f t="shared" si="196"/>
        <v>Low</v>
      </c>
      <c r="AB464">
        <f t="shared" si="197"/>
        <v>0.10177240121992004</v>
      </c>
      <c r="AC464">
        <f t="shared" si="198"/>
        <v>0.23471777498165874</v>
      </c>
      <c r="AD464" t="str">
        <f t="shared" si="199"/>
        <v>Low</v>
      </c>
      <c r="AE464">
        <f t="shared" si="200"/>
        <v>3.5387624499647032E-2</v>
      </c>
      <c r="AF464">
        <f t="shared" si="201"/>
        <v>0.18155379873422534</v>
      </c>
      <c r="AG464" t="s">
        <v>1175</v>
      </c>
    </row>
    <row r="465" spans="1:33" x14ac:dyDescent="0.3">
      <c r="A465">
        <v>553221</v>
      </c>
      <c r="B465" t="s">
        <v>170</v>
      </c>
      <c r="C465" s="1" t="s">
        <v>1009</v>
      </c>
      <c r="D465" t="s">
        <v>1008</v>
      </c>
      <c r="E465" s="4">
        <v>7</v>
      </c>
      <c r="F465" s="3">
        <f t="shared" si="186"/>
        <v>0.84444444444444444</v>
      </c>
      <c r="G465">
        <v>70.458839999999995</v>
      </c>
      <c r="H465">
        <f t="shared" si="203"/>
        <v>0.68173157639912074</v>
      </c>
      <c r="I465">
        <v>110.10000000000001</v>
      </c>
      <c r="J465" s="3">
        <f t="shared" si="204"/>
        <v>0.50667280257708247</v>
      </c>
      <c r="K465">
        <v>0</v>
      </c>
      <c r="L465" s="3">
        <f t="shared" si="205"/>
        <v>0</v>
      </c>
      <c r="M465">
        <v>4647</v>
      </c>
      <c r="N465">
        <f t="shared" si="206"/>
        <v>2.0856103296380935E-2</v>
      </c>
      <c r="O465" s="15">
        <v>0.89488769499999998</v>
      </c>
      <c r="P465">
        <f t="shared" si="187"/>
        <v>0.91229726161184466</v>
      </c>
      <c r="Q465">
        <v>0.24390000000000001</v>
      </c>
      <c r="R465">
        <f t="shared" si="188"/>
        <v>0.54067834183107955</v>
      </c>
      <c r="S465">
        <f t="shared" si="189"/>
        <v>0.22945767309934956</v>
      </c>
      <c r="T465" s="14">
        <f t="shared" si="190"/>
        <v>0.39185303697830315</v>
      </c>
      <c r="U465" t="str">
        <f t="shared" si="191"/>
        <v>Moderate</v>
      </c>
      <c r="V465">
        <f t="shared" si="192"/>
        <v>0.17077065013039314</v>
      </c>
      <c r="W465">
        <f t="shared" si="193"/>
        <v>0.25127623067923849</v>
      </c>
      <c r="X465" t="s">
        <v>1175</v>
      </c>
      <c r="Y465">
        <f t="shared" si="194"/>
        <v>0.28814469606830601</v>
      </c>
      <c r="Z465">
        <f t="shared" si="195"/>
        <v>0.56714086878429537</v>
      </c>
      <c r="AA465" t="str">
        <f t="shared" si="196"/>
        <v>Moderate</v>
      </c>
      <c r="AB465">
        <f t="shared" si="197"/>
        <v>0.14851869128713235</v>
      </c>
      <c r="AC465">
        <f t="shared" si="198"/>
        <v>0.34252878328747133</v>
      </c>
      <c r="AD465" t="str">
        <f t="shared" si="199"/>
        <v>Moderate</v>
      </c>
      <c r="AE465">
        <f t="shared" si="200"/>
        <v>6.5872997742941544E-3</v>
      </c>
      <c r="AF465">
        <f t="shared" si="201"/>
        <v>3.379569310836724E-2</v>
      </c>
      <c r="AG465" t="str">
        <f>IF(AF465&gt;0.7,"High",IF(AF465&gt;0.3,"Moderate",IF(AF465&gt;0.15,"Low","No Impact")))</f>
        <v>No Impact</v>
      </c>
    </row>
    <row r="466" spans="1:33" x14ac:dyDescent="0.3">
      <c r="A466">
        <v>553224</v>
      </c>
      <c r="B466" t="s">
        <v>174</v>
      </c>
      <c r="C466" s="1" t="s">
        <v>1009</v>
      </c>
      <c r="D466" t="s">
        <v>1010</v>
      </c>
      <c r="E466" s="4">
        <v>7.1</v>
      </c>
      <c r="F466" s="3">
        <f t="shared" si="186"/>
        <v>0.86666666666666659</v>
      </c>
      <c r="G466">
        <v>70.458839999999995</v>
      </c>
      <c r="H466">
        <f t="shared" si="203"/>
        <v>0.68173157639912074</v>
      </c>
      <c r="I466">
        <v>106</v>
      </c>
      <c r="J466" s="3">
        <f t="shared" si="204"/>
        <v>0.48780487804878053</v>
      </c>
      <c r="K466">
        <v>0</v>
      </c>
      <c r="L466" s="3">
        <f t="shared" si="205"/>
        <v>0</v>
      </c>
      <c r="M466">
        <v>17828</v>
      </c>
      <c r="N466">
        <f t="shared" si="206"/>
        <v>8.3220962087124387E-2</v>
      </c>
      <c r="O466" s="15">
        <v>0.50413797800000004</v>
      </c>
      <c r="P466">
        <f t="shared" si="187"/>
        <v>0.51394571561734614</v>
      </c>
      <c r="Q466">
        <v>0.3619</v>
      </c>
      <c r="R466">
        <f t="shared" si="188"/>
        <v>0.80226113943693189</v>
      </c>
      <c r="S466">
        <f t="shared" si="189"/>
        <v>0.21117647830445271</v>
      </c>
      <c r="T466" s="14">
        <f t="shared" si="190"/>
        <v>0.36063358982183069</v>
      </c>
      <c r="U466" t="str">
        <f t="shared" si="191"/>
        <v>Moderate</v>
      </c>
      <c r="V466">
        <f t="shared" si="192"/>
        <v>0.2574347359706195</v>
      </c>
      <c r="W466">
        <f t="shared" si="193"/>
        <v>0.37879594679302236</v>
      </c>
      <c r="X466" t="str">
        <f t="shared" si="207"/>
        <v>Moderate</v>
      </c>
      <c r="Y466">
        <f t="shared" si="194"/>
        <v>0.16491822063828593</v>
      </c>
      <c r="Z466">
        <f t="shared" si="195"/>
        <v>0.32460032826349661</v>
      </c>
      <c r="AA466" t="str">
        <f t="shared" si="196"/>
        <v>Moderate</v>
      </c>
      <c r="AB466">
        <f t="shared" si="197"/>
        <v>0.14892419171543494</v>
      </c>
      <c r="AC466">
        <f t="shared" si="198"/>
        <v>0.34346398926811456</v>
      </c>
      <c r="AD466" t="str">
        <f t="shared" si="199"/>
        <v>Moderate</v>
      </c>
      <c r="AE466">
        <f t="shared" si="200"/>
        <v>2.670447981209241E-2</v>
      </c>
      <c r="AF466">
        <f t="shared" si="201"/>
        <v>0.13700551595813298</v>
      </c>
      <c r="AG466" t="s">
        <v>1175</v>
      </c>
    </row>
    <row r="467" spans="1:33" x14ac:dyDescent="0.3">
      <c r="A467">
        <v>553230</v>
      </c>
      <c r="B467" t="s">
        <v>186</v>
      </c>
      <c r="C467" s="1" t="s">
        <v>1009</v>
      </c>
      <c r="D467" t="s">
        <v>1011</v>
      </c>
      <c r="E467" s="4">
        <v>6.7</v>
      </c>
      <c r="F467" s="3">
        <f t="shared" si="186"/>
        <v>0.77777777777777779</v>
      </c>
      <c r="G467">
        <v>70.458839999999995</v>
      </c>
      <c r="H467">
        <f t="shared" si="203"/>
        <v>0.68173157639912074</v>
      </c>
      <c r="I467">
        <v>106.6</v>
      </c>
      <c r="J467" s="3">
        <f t="shared" si="204"/>
        <v>0.49056603773584906</v>
      </c>
      <c r="K467">
        <v>0</v>
      </c>
      <c r="L467" s="3">
        <f t="shared" si="205"/>
        <v>0</v>
      </c>
      <c r="M467">
        <v>31462</v>
      </c>
      <c r="N467">
        <f t="shared" si="206"/>
        <v>0.14772915454240063</v>
      </c>
      <c r="O467" s="15">
        <v>0.863912244</v>
      </c>
      <c r="P467">
        <f t="shared" si="187"/>
        <v>0.88071919960207268</v>
      </c>
      <c r="Q467">
        <v>0.36609999999999998</v>
      </c>
      <c r="R467">
        <f t="shared" si="188"/>
        <v>0.8115717135890046</v>
      </c>
      <c r="S467">
        <f t="shared" si="189"/>
        <v>0.24403219181692165</v>
      </c>
      <c r="T467" s="14">
        <f t="shared" si="190"/>
        <v>0.41674246144093596</v>
      </c>
      <c r="U467" t="str">
        <f t="shared" si="191"/>
        <v>Moderate</v>
      </c>
      <c r="V467">
        <f t="shared" si="192"/>
        <v>0.2340609673431224</v>
      </c>
      <c r="W467">
        <f t="shared" si="193"/>
        <v>0.34440319562060762</v>
      </c>
      <c r="X467" t="str">
        <f t="shared" si="207"/>
        <v>Moderate</v>
      </c>
      <c r="Y467">
        <f t="shared" si="194"/>
        <v>0.25400341629072093</v>
      </c>
      <c r="Z467">
        <f t="shared" si="195"/>
        <v>0.49994228647939243</v>
      </c>
      <c r="AA467" t="str">
        <f t="shared" si="196"/>
        <v>Moderate</v>
      </c>
      <c r="AB467">
        <f t="shared" si="197"/>
        <v>0.17303437909721145</v>
      </c>
      <c r="AC467">
        <f t="shared" si="198"/>
        <v>0.39906933481177248</v>
      </c>
      <c r="AD467" t="str">
        <f t="shared" si="199"/>
        <v>Moderate</v>
      </c>
      <c r="AE467">
        <f t="shared" si="200"/>
        <v>4.2605758971149515E-2</v>
      </c>
      <c r="AF467">
        <f t="shared" si="201"/>
        <v>0.21858594631702813</v>
      </c>
      <c r="AG467" t="s">
        <v>1175</v>
      </c>
    </row>
    <row r="468" spans="1:33" x14ac:dyDescent="0.3">
      <c r="A468">
        <v>553267</v>
      </c>
      <c r="B468" t="s">
        <v>394</v>
      </c>
      <c r="C468" s="1" t="s">
        <v>1009</v>
      </c>
      <c r="D468" t="s">
        <v>1012</v>
      </c>
      <c r="E468" s="4">
        <v>7</v>
      </c>
      <c r="F468" s="3">
        <f t="shared" si="186"/>
        <v>0.84444444444444444</v>
      </c>
      <c r="G468">
        <v>70.458839999999995</v>
      </c>
      <c r="H468">
        <f t="shared" si="203"/>
        <v>0.68173157639912074</v>
      </c>
      <c r="I468">
        <v>106</v>
      </c>
      <c r="J468" s="3">
        <f t="shared" si="204"/>
        <v>0.48780487804878053</v>
      </c>
      <c r="K468">
        <v>0</v>
      </c>
      <c r="L468" s="3">
        <f t="shared" si="205"/>
        <v>0</v>
      </c>
      <c r="M468">
        <v>6784</v>
      </c>
      <c r="N468">
        <f t="shared" si="206"/>
        <v>3.0967149744739842E-2</v>
      </c>
      <c r="O468" s="15">
        <v>0.96817020399999998</v>
      </c>
      <c r="P468">
        <f t="shared" si="187"/>
        <v>0.98700544304990245</v>
      </c>
      <c r="Q468">
        <v>0.37430000000000002</v>
      </c>
      <c r="R468">
        <f t="shared" si="188"/>
        <v>0.82974950121924185</v>
      </c>
      <c r="S468">
        <f t="shared" si="189"/>
        <v>0.28401202940429277</v>
      </c>
      <c r="T468" s="14">
        <f t="shared" si="190"/>
        <v>0.48501745335950036</v>
      </c>
      <c r="U468" t="str">
        <f t="shared" si="191"/>
        <v>Moderate</v>
      </c>
      <c r="V468">
        <f t="shared" si="192"/>
        <v>0.25942831803689287</v>
      </c>
      <c r="W468">
        <f t="shared" si="193"/>
        <v>0.38172935359788263</v>
      </c>
      <c r="X468" t="str">
        <f t="shared" si="207"/>
        <v>Moderate</v>
      </c>
      <c r="Y468">
        <f t="shared" si="194"/>
        <v>0.30859574077169266</v>
      </c>
      <c r="Z468">
        <f t="shared" si="195"/>
        <v>0.60739364254305872</v>
      </c>
      <c r="AA468" t="str">
        <f t="shared" si="196"/>
        <v>Moderate</v>
      </c>
      <c r="AB468">
        <f t="shared" si="197"/>
        <v>0.18676738454252803</v>
      </c>
      <c r="AC468">
        <f t="shared" si="198"/>
        <v>0.43074177688150711</v>
      </c>
      <c r="AD468" t="str">
        <f t="shared" si="199"/>
        <v>Moderate</v>
      </c>
      <c r="AE468">
        <f t="shared" si="200"/>
        <v>9.6821457088790974E-3</v>
      </c>
      <c r="AF468">
        <f t="shared" si="201"/>
        <v>4.9673589516097995E-2</v>
      </c>
      <c r="AG468" t="str">
        <f t="shared" ref="AG468:AG469" si="209">IF(AF468&gt;0.7,"High",IF(AF468&gt;0.3,"Moderate",IF(AF468&gt;0.15,"Low","No Impact")))</f>
        <v>No Impact</v>
      </c>
    </row>
    <row r="469" spans="1:33" x14ac:dyDescent="0.3">
      <c r="A469">
        <v>553282</v>
      </c>
      <c r="B469" t="s">
        <v>451</v>
      </c>
      <c r="C469" s="1" t="s">
        <v>1009</v>
      </c>
      <c r="D469" t="s">
        <v>1013</v>
      </c>
      <c r="E469" s="4">
        <v>5.9</v>
      </c>
      <c r="F469" s="3">
        <f t="shared" si="186"/>
        <v>0.60000000000000009</v>
      </c>
      <c r="G469">
        <v>65.941200000000009</v>
      </c>
      <c r="H469">
        <f t="shared" si="203"/>
        <v>0.63802069727020361</v>
      </c>
      <c r="I469">
        <v>104.7</v>
      </c>
      <c r="J469" s="3">
        <f t="shared" si="204"/>
        <v>0.48182236539346529</v>
      </c>
      <c r="K469">
        <v>0</v>
      </c>
      <c r="L469" s="3">
        <f t="shared" si="205"/>
        <v>0</v>
      </c>
      <c r="M469">
        <v>9977</v>
      </c>
      <c r="N469">
        <f t="shared" si="206"/>
        <v>4.6074576656115598E-2</v>
      </c>
      <c r="O469" s="15">
        <v>0.98091678299999996</v>
      </c>
      <c r="P469">
        <f t="shared" si="187"/>
        <v>1</v>
      </c>
      <c r="Q469">
        <v>0.3861</v>
      </c>
      <c r="R469">
        <f t="shared" si="188"/>
        <v>0.85590778097982712</v>
      </c>
      <c r="S469">
        <f t="shared" si="189"/>
        <v>0.19574598179782376</v>
      </c>
      <c r="T469" s="14">
        <f t="shared" si="190"/>
        <v>0.33428238161626478</v>
      </c>
      <c r="U469" t="str">
        <f t="shared" si="191"/>
        <v>Moderate</v>
      </c>
      <c r="V469">
        <f t="shared" si="192"/>
        <v>0.18054831240358279</v>
      </c>
      <c r="W469">
        <f t="shared" si="193"/>
        <v>0.26566332892466715</v>
      </c>
      <c r="X469" t="s">
        <v>1175</v>
      </c>
      <c r="Y469">
        <f t="shared" si="194"/>
        <v>0.21094365119206474</v>
      </c>
      <c r="Z469">
        <f t="shared" si="195"/>
        <v>0.41518989325154537</v>
      </c>
      <c r="AA469" t="str">
        <f t="shared" si="196"/>
        <v>Moderate</v>
      </c>
      <c r="AB469">
        <f t="shared" si="197"/>
        <v>0.12987670349831282</v>
      </c>
      <c r="AC469">
        <f t="shared" si="198"/>
        <v>0.29953475108839089</v>
      </c>
      <c r="AD469" t="str">
        <f t="shared" si="199"/>
        <v>Low</v>
      </c>
      <c r="AE469">
        <f t="shared" si="200"/>
        <v>9.7191394269696973E-3</v>
      </c>
      <c r="AF469">
        <f t="shared" si="201"/>
        <v>4.9863383268677189E-2</v>
      </c>
      <c r="AG469" t="str">
        <f t="shared" si="209"/>
        <v>No Impact</v>
      </c>
    </row>
    <row r="470" spans="1:33" x14ac:dyDescent="0.3">
      <c r="A470">
        <v>553288</v>
      </c>
      <c r="B470" t="s">
        <v>452</v>
      </c>
      <c r="C470" s="1" t="s">
        <v>1009</v>
      </c>
      <c r="D470" t="s">
        <v>1014</v>
      </c>
      <c r="E470" s="4">
        <v>7</v>
      </c>
      <c r="F470" s="3">
        <f t="shared" si="186"/>
        <v>0.84444444444444444</v>
      </c>
      <c r="G470">
        <v>70.458839999999995</v>
      </c>
      <c r="H470">
        <f t="shared" si="203"/>
        <v>0.68173157639912074</v>
      </c>
      <c r="I470">
        <v>110.10000000000001</v>
      </c>
      <c r="J470" s="3">
        <f t="shared" si="204"/>
        <v>0.50667280257708247</v>
      </c>
      <c r="K470">
        <v>0</v>
      </c>
      <c r="L470" s="3">
        <f t="shared" si="205"/>
        <v>0</v>
      </c>
      <c r="M470">
        <v>16704</v>
      </c>
      <c r="N470">
        <f t="shared" si="206"/>
        <v>7.7902845003382973E-2</v>
      </c>
      <c r="O470" s="15">
        <v>0.93502386800000004</v>
      </c>
      <c r="P470">
        <f t="shared" si="187"/>
        <v>0.95321426262109343</v>
      </c>
      <c r="Q470">
        <v>0.32569999999999999</v>
      </c>
      <c r="R470">
        <f t="shared" si="188"/>
        <v>0.72201285745954336</v>
      </c>
      <c r="S470">
        <f t="shared" si="189"/>
        <v>0.26455620863542412</v>
      </c>
      <c r="T470" s="14">
        <f t="shared" si="190"/>
        <v>0.45179205561093261</v>
      </c>
      <c r="U470" t="str">
        <f t="shared" si="191"/>
        <v>Moderate</v>
      </c>
      <c r="V470">
        <f t="shared" si="192"/>
        <v>0.22804428350745817</v>
      </c>
      <c r="W470">
        <f t="shared" si="193"/>
        <v>0.33555009566309135</v>
      </c>
      <c r="X470" t="str">
        <f t="shared" si="207"/>
        <v>Moderate</v>
      </c>
      <c r="Y470">
        <f t="shared" si="194"/>
        <v>0.30106813376339009</v>
      </c>
      <c r="Z470">
        <f t="shared" si="195"/>
        <v>0.59257742820072212</v>
      </c>
      <c r="AA470" t="str">
        <f t="shared" si="196"/>
        <v>Moderate</v>
      </c>
      <c r="AB470">
        <f t="shared" si="197"/>
        <v>0.17874777279000165</v>
      </c>
      <c r="AC470">
        <f t="shared" si="198"/>
        <v>0.41224613951610595</v>
      </c>
      <c r="AD470" t="str">
        <f t="shared" si="199"/>
        <v>Moderate</v>
      </c>
      <c r="AE470">
        <f t="shared" si="200"/>
        <v>2.4605238381069251E-2</v>
      </c>
      <c r="AF470">
        <f t="shared" si="201"/>
        <v>0.1262355006872202</v>
      </c>
      <c r="AG470" t="s">
        <v>1175</v>
      </c>
    </row>
    <row r="471" spans="1:33" x14ac:dyDescent="0.3">
      <c r="A471">
        <v>553291</v>
      </c>
      <c r="B471" t="s">
        <v>505</v>
      </c>
      <c r="C471" s="1" t="s">
        <v>1009</v>
      </c>
      <c r="D471" t="s">
        <v>1015</v>
      </c>
      <c r="E471" s="4">
        <v>7.1</v>
      </c>
      <c r="F471" s="3">
        <f t="shared" si="186"/>
        <v>0.86666666666666659</v>
      </c>
      <c r="G471">
        <v>65.400840000000002</v>
      </c>
      <c r="H471">
        <f t="shared" si="203"/>
        <v>0.63279238986941422</v>
      </c>
      <c r="I471">
        <v>101.7</v>
      </c>
      <c r="J471" s="3">
        <f t="shared" si="204"/>
        <v>0.46801656695812244</v>
      </c>
      <c r="K471">
        <v>0</v>
      </c>
      <c r="L471" s="3">
        <f t="shared" si="205"/>
        <v>0</v>
      </c>
      <c r="M471">
        <v>13827</v>
      </c>
      <c r="N471">
        <f t="shared" si="206"/>
        <v>6.4290547094197861E-2</v>
      </c>
      <c r="O471" s="15">
        <v>0.79189258100000004</v>
      </c>
      <c r="P471">
        <f t="shared" si="187"/>
        <v>0.80729843216475994</v>
      </c>
      <c r="Q471">
        <v>0.35759999999999997</v>
      </c>
      <c r="R471">
        <f t="shared" si="188"/>
        <v>0.79272888494790505</v>
      </c>
      <c r="S471">
        <f t="shared" si="189"/>
        <v>0.24039682434719681</v>
      </c>
      <c r="T471" s="14">
        <f t="shared" si="190"/>
        <v>0.41053421499486037</v>
      </c>
      <c r="U471" t="str">
        <f t="shared" si="191"/>
        <v>Moderate</v>
      </c>
      <c r="V471">
        <f t="shared" si="192"/>
        <v>0.23820781616861841</v>
      </c>
      <c r="W471">
        <f t="shared" si="193"/>
        <v>0.35050497330472158</v>
      </c>
      <c r="X471" t="str">
        <f t="shared" si="207"/>
        <v>Moderate</v>
      </c>
      <c r="Y471">
        <f t="shared" si="194"/>
        <v>0.2425858325257752</v>
      </c>
      <c r="Z471">
        <f t="shared" si="195"/>
        <v>0.47746962443069119</v>
      </c>
      <c r="AA471" t="str">
        <f t="shared" si="196"/>
        <v>Moderate</v>
      </c>
      <c r="AB471">
        <f t="shared" si="197"/>
        <v>0.16291003894410702</v>
      </c>
      <c r="AC471">
        <f t="shared" si="198"/>
        <v>0.37571956055657874</v>
      </c>
      <c r="AD471" t="str">
        <f t="shared" si="199"/>
        <v>Moderate</v>
      </c>
      <c r="AE471">
        <f t="shared" si="200"/>
        <v>1.9318724363880092E-2</v>
      </c>
      <c r="AF471">
        <f t="shared" si="201"/>
        <v>9.9113400363927948E-2</v>
      </c>
      <c r="AG471" t="s">
        <v>1175</v>
      </c>
    </row>
    <row r="472" spans="1:33" x14ac:dyDescent="0.3">
      <c r="A472">
        <v>554906</v>
      </c>
      <c r="B472" t="s">
        <v>74</v>
      </c>
      <c r="C472" s="1" t="s">
        <v>1017</v>
      </c>
      <c r="D472" t="s">
        <v>1016</v>
      </c>
      <c r="E472" s="4">
        <v>7.5</v>
      </c>
      <c r="F472" s="3">
        <f t="shared" si="186"/>
        <v>0.95555555555555549</v>
      </c>
      <c r="G472">
        <v>0</v>
      </c>
      <c r="H472">
        <f t="shared" si="203"/>
        <v>0</v>
      </c>
      <c r="I472">
        <v>0</v>
      </c>
      <c r="J472" s="3">
        <f t="shared" si="204"/>
        <v>0</v>
      </c>
      <c r="K472">
        <v>0</v>
      </c>
      <c r="L472" s="3">
        <f t="shared" si="205"/>
        <v>0</v>
      </c>
      <c r="M472">
        <v>22341</v>
      </c>
      <c r="N472">
        <f t="shared" si="206"/>
        <v>0.10457386457727121</v>
      </c>
      <c r="O472" s="15">
        <v>0.77325283300000003</v>
      </c>
      <c r="P472">
        <f t="shared" si="187"/>
        <v>0.7882960577299043</v>
      </c>
      <c r="Q472">
        <v>0.37430000000000002</v>
      </c>
      <c r="R472">
        <f t="shared" si="188"/>
        <v>0.82974950121924185</v>
      </c>
      <c r="S472">
        <f t="shared" si="189"/>
        <v>0</v>
      </c>
      <c r="T472" s="14">
        <f t="shared" si="190"/>
        <v>0</v>
      </c>
      <c r="U472" t="str">
        <f t="shared" si="191"/>
        <v>No Impact</v>
      </c>
      <c r="V472">
        <f t="shared" si="192"/>
        <v>0</v>
      </c>
      <c r="W472">
        <f t="shared" si="193"/>
        <v>0</v>
      </c>
      <c r="X472" t="s">
        <v>1176</v>
      </c>
      <c r="Y472">
        <f t="shared" si="194"/>
        <v>0</v>
      </c>
      <c r="Z472">
        <f t="shared" si="195"/>
        <v>0</v>
      </c>
      <c r="AA472" t="str">
        <f t="shared" si="196"/>
        <v>No Impact</v>
      </c>
      <c r="AB472">
        <f t="shared" si="197"/>
        <v>0</v>
      </c>
      <c r="AC472">
        <f t="shared" si="198"/>
        <v>0</v>
      </c>
      <c r="AD472" t="str">
        <f t="shared" si="199"/>
        <v>No Impact</v>
      </c>
      <c r="AE472">
        <f t="shared" si="200"/>
        <v>0</v>
      </c>
      <c r="AF472">
        <f t="shared" si="201"/>
        <v>0</v>
      </c>
      <c r="AG472" t="str">
        <f>IF(AF472&gt;0.7,"High",IF(AF472&gt;0.3,"Moderate",IF(AF472&gt;0.15,"Low","No Impact")))</f>
        <v>No Impact</v>
      </c>
    </row>
    <row r="473" spans="1:33" x14ac:dyDescent="0.3">
      <c r="A473">
        <v>554908</v>
      </c>
      <c r="B473" t="s">
        <v>101</v>
      </c>
      <c r="C473" s="1" t="s">
        <v>1017</v>
      </c>
      <c r="D473" t="s">
        <v>1018</v>
      </c>
      <c r="E473" s="4">
        <v>7.4</v>
      </c>
      <c r="F473" s="3">
        <f t="shared" si="186"/>
        <v>0.93333333333333335</v>
      </c>
      <c r="G473">
        <v>62.568359999999998</v>
      </c>
      <c r="H473">
        <f t="shared" si="203"/>
        <v>0.60538644541277853</v>
      </c>
      <c r="I473">
        <v>91</v>
      </c>
      <c r="J473" s="3">
        <f t="shared" si="204"/>
        <v>0.41877588587206632</v>
      </c>
      <c r="K473">
        <v>0</v>
      </c>
      <c r="L473" s="3">
        <f t="shared" si="205"/>
        <v>0</v>
      </c>
      <c r="M473">
        <v>15830</v>
      </c>
      <c r="N473">
        <f t="shared" si="206"/>
        <v>7.3767583142893639E-2</v>
      </c>
      <c r="O473" s="15">
        <v>0.71762112700000003</v>
      </c>
      <c r="P473">
        <f t="shared" si="187"/>
        <v>0.73158206632498823</v>
      </c>
      <c r="Q473">
        <v>0.27660000000000001</v>
      </c>
      <c r="R473">
        <f t="shared" si="188"/>
        <v>0.61316781201507431</v>
      </c>
      <c r="S473">
        <f t="shared" si="189"/>
        <v>0.20452464845991056</v>
      </c>
      <c r="T473" s="14">
        <f t="shared" si="190"/>
        <v>0.34927402319309481</v>
      </c>
      <c r="U473" t="str">
        <f t="shared" si="191"/>
        <v>Moderate</v>
      </c>
      <c r="V473">
        <f t="shared" si="192"/>
        <v>0.18651488015617756</v>
      </c>
      <c r="W473">
        <f t="shared" si="193"/>
        <v>0.27444268681678469</v>
      </c>
      <c r="X473" t="s">
        <v>1175</v>
      </c>
      <c r="Y473">
        <f t="shared" si="194"/>
        <v>0.22253441676364347</v>
      </c>
      <c r="Z473">
        <f t="shared" si="195"/>
        <v>0.43800342043367319</v>
      </c>
      <c r="AA473" t="str">
        <f t="shared" si="196"/>
        <v>Moderate</v>
      </c>
      <c r="AB473">
        <f t="shared" si="197"/>
        <v>0.13989411424195741</v>
      </c>
      <c r="AC473">
        <f t="shared" si="198"/>
        <v>0.32263791395613906</v>
      </c>
      <c r="AD473" t="str">
        <f t="shared" si="199"/>
        <v>Moderate</v>
      </c>
      <c r="AE473">
        <f t="shared" si="200"/>
        <v>2.2438803309149279E-2</v>
      </c>
      <c r="AF473">
        <f t="shared" si="201"/>
        <v>0.11512075301541622</v>
      </c>
      <c r="AG473" t="s">
        <v>1175</v>
      </c>
    </row>
    <row r="474" spans="1:33" x14ac:dyDescent="0.3">
      <c r="A474">
        <v>554909</v>
      </c>
      <c r="B474" t="s">
        <v>110</v>
      </c>
      <c r="C474" s="1" t="s">
        <v>1017</v>
      </c>
      <c r="D474" t="s">
        <v>1019</v>
      </c>
      <c r="E474" s="4">
        <v>7.5</v>
      </c>
      <c r="F474" s="3">
        <f t="shared" si="186"/>
        <v>0.95555555555555549</v>
      </c>
      <c r="G474">
        <v>63.480960000000003</v>
      </c>
      <c r="H474">
        <f t="shared" si="203"/>
        <v>0.61421639828486441</v>
      </c>
      <c r="I474">
        <v>91</v>
      </c>
      <c r="J474" s="3">
        <f t="shared" si="204"/>
        <v>0.41877588587206632</v>
      </c>
      <c r="K474">
        <v>0</v>
      </c>
      <c r="L474" s="3">
        <f t="shared" si="205"/>
        <v>0</v>
      </c>
      <c r="M474">
        <v>8414</v>
      </c>
      <c r="N474">
        <f t="shared" si="206"/>
        <v>3.86793658003435E-2</v>
      </c>
      <c r="O474" s="15">
        <v>0.44112407199999998</v>
      </c>
      <c r="P474">
        <f t="shared" si="187"/>
        <v>0.44970590741742872</v>
      </c>
      <c r="Q474">
        <v>0.28920000000000001</v>
      </c>
      <c r="R474">
        <f t="shared" si="188"/>
        <v>0.64109953447129242</v>
      </c>
      <c r="S474">
        <f t="shared" si="189"/>
        <v>0.17169271194123559</v>
      </c>
      <c r="T474" s="14">
        <f t="shared" si="190"/>
        <v>0.2932057563927456</v>
      </c>
      <c r="U474" t="str">
        <f t="shared" si="191"/>
        <v>Low</v>
      </c>
      <c r="V474">
        <f t="shared" si="192"/>
        <v>0.20181805750263002</v>
      </c>
      <c r="W474">
        <f t="shared" si="193"/>
        <v>0.29696016694639921</v>
      </c>
      <c r="X474" t="s">
        <v>1175</v>
      </c>
      <c r="Y474">
        <f t="shared" si="194"/>
        <v>0.1415673663798411</v>
      </c>
      <c r="Z474">
        <f t="shared" si="195"/>
        <v>0.27864000363600289</v>
      </c>
      <c r="AA474" t="str">
        <f t="shared" si="196"/>
        <v>Low</v>
      </c>
      <c r="AB474">
        <f t="shared" si="197"/>
        <v>0.11736822095997906</v>
      </c>
      <c r="AC474">
        <f t="shared" si="198"/>
        <v>0.27068642723435993</v>
      </c>
      <c r="AD474" t="str">
        <f t="shared" si="199"/>
        <v>Low</v>
      </c>
      <c r="AE474">
        <f t="shared" si="200"/>
        <v>1.2176259771732116E-2</v>
      </c>
      <c r="AF474">
        <f t="shared" si="201"/>
        <v>6.2469471946463857E-2</v>
      </c>
      <c r="AG474" t="str">
        <f t="shared" ref="AG474:AG475" si="210">IF(AF474&gt;0.7,"High",IF(AF474&gt;0.3,"Moderate",IF(AF474&gt;0.15,"Low","No Impact")))</f>
        <v>No Impact</v>
      </c>
    </row>
    <row r="475" spans="1:33" x14ac:dyDescent="0.3">
      <c r="A475">
        <v>554918</v>
      </c>
      <c r="B475" t="s">
        <v>411</v>
      </c>
      <c r="C475" s="1" t="s">
        <v>1017</v>
      </c>
      <c r="D475" t="s">
        <v>1020</v>
      </c>
      <c r="E475" s="4">
        <v>6.6</v>
      </c>
      <c r="F475" s="3">
        <f t="shared" si="186"/>
        <v>0.75555555555555542</v>
      </c>
      <c r="G475">
        <v>0</v>
      </c>
      <c r="H475">
        <f t="shared" si="203"/>
        <v>0</v>
      </c>
      <c r="I475">
        <v>0</v>
      </c>
      <c r="J475" s="3">
        <f t="shared" si="204"/>
        <v>0</v>
      </c>
      <c r="K475">
        <v>0</v>
      </c>
      <c r="L475" s="3">
        <f t="shared" si="205"/>
        <v>0</v>
      </c>
      <c r="M475">
        <v>21184</v>
      </c>
      <c r="N475">
        <f t="shared" si="206"/>
        <v>9.9099610604060501E-2</v>
      </c>
      <c r="O475" s="15">
        <v>0.56007221600000001</v>
      </c>
      <c r="P475">
        <f t="shared" si="187"/>
        <v>0.57096812462224944</v>
      </c>
      <c r="Q475">
        <v>0.36670000000000003</v>
      </c>
      <c r="R475">
        <f t="shared" si="188"/>
        <v>0.81290179561072939</v>
      </c>
      <c r="S475">
        <f t="shared" si="189"/>
        <v>0</v>
      </c>
      <c r="T475" s="14">
        <f t="shared" si="190"/>
        <v>0</v>
      </c>
      <c r="U475" t="str">
        <f t="shared" si="191"/>
        <v>No Impact</v>
      </c>
      <c r="V475">
        <f t="shared" si="192"/>
        <v>0</v>
      </c>
      <c r="W475">
        <f t="shared" si="193"/>
        <v>0</v>
      </c>
      <c r="X475" t="s">
        <v>1176</v>
      </c>
      <c r="Y475">
        <f t="shared" si="194"/>
        <v>0</v>
      </c>
      <c r="Z475">
        <f t="shared" si="195"/>
        <v>0</v>
      </c>
      <c r="AA475" t="str">
        <f t="shared" si="196"/>
        <v>No Impact</v>
      </c>
      <c r="AB475">
        <f t="shared" si="197"/>
        <v>0</v>
      </c>
      <c r="AC475">
        <f t="shared" si="198"/>
        <v>0</v>
      </c>
      <c r="AD475" t="str">
        <f t="shared" si="199"/>
        <v>No Impact</v>
      </c>
      <c r="AE475">
        <f t="shared" si="200"/>
        <v>0</v>
      </c>
      <c r="AF475">
        <f t="shared" si="201"/>
        <v>0</v>
      </c>
      <c r="AG475" t="str">
        <f t="shared" si="210"/>
        <v>No Impact</v>
      </c>
    </row>
    <row r="476" spans="1:33" x14ac:dyDescent="0.3">
      <c r="A476">
        <v>554952</v>
      </c>
      <c r="B476" t="s">
        <v>290</v>
      </c>
      <c r="C476" s="1" t="s">
        <v>1017</v>
      </c>
      <c r="D476" t="s">
        <v>1021</v>
      </c>
      <c r="E476" s="4">
        <v>7.5</v>
      </c>
      <c r="F476" s="3">
        <f t="shared" si="186"/>
        <v>0.95555555555555549</v>
      </c>
      <c r="G476">
        <v>65.608919999999998</v>
      </c>
      <c r="H476">
        <f t="shared" si="203"/>
        <v>0.63480568878857224</v>
      </c>
      <c r="I476">
        <v>68.099999999999994</v>
      </c>
      <c r="J476" s="3">
        <f t="shared" si="204"/>
        <v>0.31339162448228258</v>
      </c>
      <c r="K476">
        <v>0</v>
      </c>
      <c r="L476" s="3">
        <f t="shared" si="205"/>
        <v>0</v>
      </c>
      <c r="M476">
        <v>24931</v>
      </c>
      <c r="N476">
        <f t="shared" si="206"/>
        <v>0.1168282446901629</v>
      </c>
      <c r="O476" s="15">
        <v>0.78768276599999998</v>
      </c>
      <c r="P476">
        <f t="shared" si="187"/>
        <v>0.80300671744139174</v>
      </c>
      <c r="Q476">
        <v>0.34429999999999999</v>
      </c>
      <c r="R476">
        <f t="shared" si="188"/>
        <v>0.76324540013300823</v>
      </c>
      <c r="S476">
        <f t="shared" si="189"/>
        <v>0.23691870572532228</v>
      </c>
      <c r="T476" s="14">
        <f t="shared" si="190"/>
        <v>0.4045945080042721</v>
      </c>
      <c r="U476" t="str">
        <f t="shared" si="191"/>
        <v>Moderate</v>
      </c>
      <c r="V476">
        <f t="shared" si="192"/>
        <v>0.23090422074622144</v>
      </c>
      <c r="W476">
        <f t="shared" si="193"/>
        <v>0.33975827926365099</v>
      </c>
      <c r="X476" t="str">
        <f t="shared" si="207"/>
        <v>Moderate</v>
      </c>
      <c r="Y476">
        <f t="shared" si="194"/>
        <v>0.2429331907044231</v>
      </c>
      <c r="Z476">
        <f t="shared" si="195"/>
        <v>0.47815331225110136</v>
      </c>
      <c r="AA476" t="str">
        <f t="shared" si="196"/>
        <v>Moderate</v>
      </c>
      <c r="AB476">
        <f t="shared" si="197"/>
        <v>0.16606682960206623</v>
      </c>
      <c r="AC476">
        <f t="shared" si="198"/>
        <v>0.38300006952008386</v>
      </c>
      <c r="AD476" t="str">
        <f t="shared" si="199"/>
        <v>Moderate</v>
      </c>
      <c r="AE476">
        <f t="shared" si="200"/>
        <v>3.5343986084462355E-2</v>
      </c>
      <c r="AF476">
        <f t="shared" si="201"/>
        <v>0.18132991481549557</v>
      </c>
      <c r="AG476" t="s">
        <v>1175</v>
      </c>
    </row>
    <row r="477" spans="1:33" x14ac:dyDescent="0.3">
      <c r="A477">
        <v>554961</v>
      </c>
      <c r="B477" t="s">
        <v>361</v>
      </c>
      <c r="C477" s="1" t="s">
        <v>1017</v>
      </c>
      <c r="D477" t="s">
        <v>1022</v>
      </c>
      <c r="E477" s="4">
        <v>7.5</v>
      </c>
      <c r="F477" s="3">
        <f t="shared" si="186"/>
        <v>0.95555555555555549</v>
      </c>
      <c r="G477">
        <v>65.608919999999998</v>
      </c>
      <c r="H477">
        <f t="shared" si="203"/>
        <v>0.63480568878857224</v>
      </c>
      <c r="I477">
        <v>68.099999999999994</v>
      </c>
      <c r="J477" s="3">
        <f t="shared" si="204"/>
        <v>0.31339162448228258</v>
      </c>
      <c r="K477">
        <v>0</v>
      </c>
      <c r="L477" s="3">
        <f t="shared" si="205"/>
        <v>0</v>
      </c>
      <c r="M477">
        <v>39159</v>
      </c>
      <c r="N477">
        <f t="shared" si="206"/>
        <v>0.18414690115588611</v>
      </c>
      <c r="O477" s="15">
        <v>0.80431783300000004</v>
      </c>
      <c r="P477">
        <f t="shared" si="187"/>
        <v>0.81996541086808994</v>
      </c>
      <c r="Q477">
        <v>0.34649999999999997</v>
      </c>
      <c r="R477">
        <f t="shared" si="188"/>
        <v>0.76812236754599861</v>
      </c>
      <c r="S477">
        <f t="shared" si="189"/>
        <v>0.24022167109516823</v>
      </c>
      <c r="T477" s="14">
        <f t="shared" si="190"/>
        <v>0.41023509955096626</v>
      </c>
      <c r="U477" t="str">
        <f t="shared" si="191"/>
        <v>Moderate</v>
      </c>
      <c r="V477">
        <f t="shared" si="192"/>
        <v>0.23237964707686823</v>
      </c>
      <c r="W477">
        <f t="shared" si="193"/>
        <v>0.34192925868386598</v>
      </c>
      <c r="X477" t="str">
        <f t="shared" si="207"/>
        <v>Moderate</v>
      </c>
      <c r="Y477">
        <f t="shared" si="194"/>
        <v>0.24806369511346824</v>
      </c>
      <c r="Z477">
        <f t="shared" si="195"/>
        <v>0.48825142881389161</v>
      </c>
      <c r="AA477" t="str">
        <f t="shared" si="196"/>
        <v>Moderate</v>
      </c>
      <c r="AB477">
        <f t="shared" si="197"/>
        <v>0.17525043707811372</v>
      </c>
      <c r="AC477">
        <f t="shared" si="198"/>
        <v>0.40418023120679553</v>
      </c>
      <c r="AD477" t="str">
        <f t="shared" si="199"/>
        <v>Moderate</v>
      </c>
      <c r="AE477">
        <f t="shared" si="200"/>
        <v>5.5709863049055355E-2</v>
      </c>
      <c r="AF477">
        <f t="shared" si="201"/>
        <v>0.28581566031990469</v>
      </c>
      <c r="AG477" t="s">
        <v>1175</v>
      </c>
    </row>
    <row r="478" spans="1:33" x14ac:dyDescent="0.3">
      <c r="A478">
        <v>554977</v>
      </c>
      <c r="B478" t="s">
        <v>422</v>
      </c>
      <c r="C478" s="1" t="s">
        <v>1017</v>
      </c>
      <c r="D478" t="s">
        <v>1023</v>
      </c>
      <c r="E478" s="4">
        <v>7</v>
      </c>
      <c r="F478" s="3">
        <f t="shared" si="186"/>
        <v>0.84444444444444444</v>
      </c>
      <c r="G478">
        <v>58.423320000000004</v>
      </c>
      <c r="H478">
        <f t="shared" si="203"/>
        <v>0.56528069497128086</v>
      </c>
      <c r="I478">
        <v>72.7</v>
      </c>
      <c r="J478" s="3">
        <f t="shared" si="204"/>
        <v>0.33456051541647497</v>
      </c>
      <c r="K478">
        <v>0</v>
      </c>
      <c r="L478" s="3">
        <f t="shared" si="205"/>
        <v>0</v>
      </c>
      <c r="M478">
        <v>11356</v>
      </c>
      <c r="N478">
        <f t="shared" si="206"/>
        <v>5.259920606757415E-2</v>
      </c>
      <c r="O478" s="15">
        <v>0.82237690399999996</v>
      </c>
      <c r="P478">
        <f t="shared" si="187"/>
        <v>0.83837581153915275</v>
      </c>
      <c r="Q478">
        <v>0.37259999999999999</v>
      </c>
      <c r="R478">
        <f t="shared" si="188"/>
        <v>0.82598093549102192</v>
      </c>
      <c r="S478">
        <f t="shared" si="189"/>
        <v>0.20591655573206372</v>
      </c>
      <c r="T478" s="14">
        <f t="shared" si="190"/>
        <v>0.35165103279324555</v>
      </c>
      <c r="U478" t="str">
        <f t="shared" si="191"/>
        <v>Moderate</v>
      </c>
      <c r="V478">
        <f t="shared" si="192"/>
        <v>0.20438304424835615</v>
      </c>
      <c r="W478">
        <f t="shared" si="193"/>
        <v>0.30073435297143419</v>
      </c>
      <c r="X478" t="str">
        <f t="shared" si="207"/>
        <v>Moderate</v>
      </c>
      <c r="Y478">
        <f t="shared" si="194"/>
        <v>0.20745006721577131</v>
      </c>
      <c r="Z478">
        <f t="shared" si="195"/>
        <v>0.40831364573242995</v>
      </c>
      <c r="AA478" t="str">
        <f t="shared" si="196"/>
        <v>Moderate</v>
      </c>
      <c r="AB478">
        <f t="shared" si="197"/>
        <v>0.13832443903782266</v>
      </c>
      <c r="AC478">
        <f t="shared" si="198"/>
        <v>0.31901777070568893</v>
      </c>
      <c r="AD478" t="str">
        <f t="shared" si="199"/>
        <v>Moderate</v>
      </c>
      <c r="AE478">
        <f t="shared" si="200"/>
        <v>1.3015295389047467E-2</v>
      </c>
      <c r="AF478">
        <f t="shared" si="201"/>
        <v>6.677408706970947E-2</v>
      </c>
      <c r="AG478" t="str">
        <f>IF(AF478&gt;0.7,"High",IF(AF478&gt;0.3,"Moderate",IF(AF478&gt;0.15,"Low","No Impact")))</f>
        <v>No Impact</v>
      </c>
    </row>
    <row r="479" spans="1:33" x14ac:dyDescent="0.3">
      <c r="A479">
        <v>554979</v>
      </c>
      <c r="B479" t="s">
        <v>441</v>
      </c>
      <c r="C479" s="1" t="s">
        <v>1017</v>
      </c>
      <c r="D479" t="s">
        <v>1024</v>
      </c>
      <c r="E479" s="4">
        <v>7.4</v>
      </c>
      <c r="F479" s="3">
        <f t="shared" si="186"/>
        <v>0.93333333333333335</v>
      </c>
      <c r="G479">
        <v>67.792320000000004</v>
      </c>
      <c r="H479">
        <f t="shared" si="203"/>
        <v>0.65593139457523919</v>
      </c>
      <c r="I479">
        <v>92.7</v>
      </c>
      <c r="J479" s="3">
        <f t="shared" si="204"/>
        <v>0.42659917165209393</v>
      </c>
      <c r="K479">
        <v>0</v>
      </c>
      <c r="L479" s="3">
        <f t="shared" si="205"/>
        <v>0</v>
      </c>
      <c r="M479">
        <v>21408</v>
      </c>
      <c r="N479">
        <f t="shared" si="206"/>
        <v>0.10015944888409438</v>
      </c>
      <c r="O479" s="15">
        <v>0.90877591899999999</v>
      </c>
      <c r="P479">
        <f t="shared" si="187"/>
        <v>0.92645567366136095</v>
      </c>
      <c r="Q479">
        <v>0.32450000000000001</v>
      </c>
      <c r="R479">
        <f t="shared" si="188"/>
        <v>0.71935269341609398</v>
      </c>
      <c r="S479">
        <f t="shared" si="189"/>
        <v>0.26704302248724349</v>
      </c>
      <c r="T479" s="14">
        <f t="shared" si="190"/>
        <v>0.45603887615553568</v>
      </c>
      <c r="U479" t="str">
        <f t="shared" si="191"/>
        <v>Moderate</v>
      </c>
      <c r="V479">
        <f t="shared" si="192"/>
        <v>0.23343922819555415</v>
      </c>
      <c r="W479">
        <f t="shared" si="193"/>
        <v>0.34348835299778352</v>
      </c>
      <c r="X479" t="str">
        <f t="shared" si="207"/>
        <v>Moderate</v>
      </c>
      <c r="Y479">
        <f t="shared" si="194"/>
        <v>0.3006468167789329</v>
      </c>
      <c r="Z479">
        <f t="shared" si="195"/>
        <v>0.59174817094261878</v>
      </c>
      <c r="AA479" t="str">
        <f t="shared" si="196"/>
        <v>Moderate</v>
      </c>
      <c r="AB479">
        <f t="shared" si="197"/>
        <v>0.1832738365062537</v>
      </c>
      <c r="AC479">
        <f t="shared" si="198"/>
        <v>0.4226846040916668</v>
      </c>
      <c r="AD479" t="str">
        <f t="shared" si="199"/>
        <v>Moderate</v>
      </c>
      <c r="AE479">
        <f t="shared" si="200"/>
        <v>3.2503033154656913E-2</v>
      </c>
      <c r="AF479">
        <f t="shared" si="201"/>
        <v>0.16675459918682289</v>
      </c>
      <c r="AG479" t="s">
        <v>1175</v>
      </c>
    </row>
    <row r="480" spans="1:33" x14ac:dyDescent="0.3">
      <c r="A480">
        <v>554994</v>
      </c>
      <c r="B480" t="s">
        <v>529</v>
      </c>
      <c r="C480" s="1" t="s">
        <v>1017</v>
      </c>
      <c r="D480" t="s">
        <v>1025</v>
      </c>
      <c r="E480" s="4">
        <v>6.7</v>
      </c>
      <c r="F480" s="3">
        <f t="shared" si="186"/>
        <v>0.77777777777777779</v>
      </c>
      <c r="G480">
        <v>65.608919999999998</v>
      </c>
      <c r="H480">
        <f t="shared" si="203"/>
        <v>0.63480568878857224</v>
      </c>
      <c r="I480">
        <v>92.7</v>
      </c>
      <c r="J480" s="3">
        <f t="shared" si="204"/>
        <v>0.42659917165209393</v>
      </c>
      <c r="K480">
        <v>0</v>
      </c>
      <c r="L480" s="3">
        <f t="shared" si="205"/>
        <v>0</v>
      </c>
      <c r="M480">
        <v>22322</v>
      </c>
      <c r="N480">
        <f t="shared" si="206"/>
        <v>0.10448396758030404</v>
      </c>
      <c r="O480" s="15">
        <v>0.82203183800000001</v>
      </c>
      <c r="P480">
        <f t="shared" si="187"/>
        <v>0.83802403246270085</v>
      </c>
      <c r="Q480">
        <v>0.34250000000000003</v>
      </c>
      <c r="R480">
        <f t="shared" si="188"/>
        <v>0.75925515406783428</v>
      </c>
      <c r="S480">
        <f t="shared" si="189"/>
        <v>0.2107250293755748</v>
      </c>
      <c r="T480" s="14">
        <f t="shared" si="190"/>
        <v>0.35986263441453509</v>
      </c>
      <c r="U480" t="str">
        <f t="shared" si="191"/>
        <v>Moderate</v>
      </c>
      <c r="V480">
        <f t="shared" si="192"/>
        <v>0.20033324918234932</v>
      </c>
      <c r="W480">
        <f t="shared" si="193"/>
        <v>0.29477538263061415</v>
      </c>
      <c r="X480" t="s">
        <v>1175</v>
      </c>
      <c r="Y480">
        <f t="shared" si="194"/>
        <v>0.22111680956880028</v>
      </c>
      <c r="Z480">
        <f t="shared" si="195"/>
        <v>0.43521321472435953</v>
      </c>
      <c r="AA480" t="str">
        <f t="shared" si="196"/>
        <v>Moderate</v>
      </c>
      <c r="AB480">
        <f t="shared" si="197"/>
        <v>0.14610069518859214</v>
      </c>
      <c r="AC480">
        <f t="shared" si="198"/>
        <v>0.33695215684100199</v>
      </c>
      <c r="AD480" t="str">
        <f t="shared" si="199"/>
        <v>Moderate</v>
      </c>
      <c r="AE480">
        <f t="shared" si="200"/>
        <v>2.7568614583228051E-2</v>
      </c>
      <c r="AF480">
        <f t="shared" si="201"/>
        <v>0.14143890058160696</v>
      </c>
      <c r="AG480" t="s">
        <v>1175</v>
      </c>
    </row>
    <row r="481" spans="1:33" x14ac:dyDescent="0.3">
      <c r="A481">
        <v>555202</v>
      </c>
      <c r="B481" t="s">
        <v>3</v>
      </c>
      <c r="C481" s="1" t="s">
        <v>1027</v>
      </c>
      <c r="D481" t="s">
        <v>1026</v>
      </c>
      <c r="E481" s="4">
        <v>6.2</v>
      </c>
      <c r="F481" s="3">
        <f t="shared" si="186"/>
        <v>0.66666666666666663</v>
      </c>
      <c r="G481">
        <v>50.085000000000001</v>
      </c>
      <c r="H481">
        <f t="shared" si="203"/>
        <v>0.48460244312778872</v>
      </c>
      <c r="I481">
        <v>29.9</v>
      </c>
      <c r="J481" s="3">
        <f t="shared" si="204"/>
        <v>0.13759779107225034</v>
      </c>
      <c r="K481">
        <v>0</v>
      </c>
      <c r="L481" s="3">
        <f t="shared" si="205"/>
        <v>0</v>
      </c>
      <c r="M481">
        <v>25242</v>
      </c>
      <c r="N481">
        <f t="shared" si="206"/>
        <v>0.11829971658788851</v>
      </c>
      <c r="O481" s="15">
        <v>0.72411103799999998</v>
      </c>
      <c r="P481">
        <f t="shared" si="187"/>
        <v>0.7381982351096138</v>
      </c>
      <c r="Q481">
        <v>0.35399999999999998</v>
      </c>
      <c r="R481">
        <f t="shared" si="188"/>
        <v>0.78474839281755704</v>
      </c>
      <c r="S481">
        <f t="shared" si="189"/>
        <v>0.11237342701447865</v>
      </c>
      <c r="T481" s="14">
        <f t="shared" si="190"/>
        <v>0.19190410177400155</v>
      </c>
      <c r="U481" t="str">
        <f t="shared" si="191"/>
        <v>Low</v>
      </c>
      <c r="V481">
        <f t="shared" si="192"/>
        <v>0.11580821629322427</v>
      </c>
      <c r="W481">
        <f t="shared" si="193"/>
        <v>0.17040312284123746</v>
      </c>
      <c r="X481" t="s">
        <v>1176</v>
      </c>
      <c r="Y481">
        <f t="shared" si="194"/>
        <v>0.10893863773573305</v>
      </c>
      <c r="Z481">
        <f t="shared" si="195"/>
        <v>0.21441850047094113</v>
      </c>
      <c r="AA481" t="str">
        <f t="shared" si="196"/>
        <v>Low</v>
      </c>
      <c r="AB481">
        <f t="shared" si="197"/>
        <v>7.9324741032189644E-2</v>
      </c>
      <c r="AC481">
        <f t="shared" si="198"/>
        <v>0.18294671731128945</v>
      </c>
      <c r="AD481" t="str">
        <f t="shared" si="199"/>
        <v>Low</v>
      </c>
      <c r="AE481">
        <f t="shared" si="200"/>
        <v>1.7457925739546434E-2</v>
      </c>
      <c r="AF481">
        <f t="shared" si="201"/>
        <v>8.9566699682435011E-2</v>
      </c>
      <c r="AG481" t="s">
        <v>1175</v>
      </c>
    </row>
    <row r="482" spans="1:33" x14ac:dyDescent="0.3">
      <c r="A482">
        <v>555233</v>
      </c>
      <c r="B482" t="s">
        <v>206</v>
      </c>
      <c r="C482" s="1" t="s">
        <v>1027</v>
      </c>
      <c r="D482" t="s">
        <v>1028</v>
      </c>
      <c r="E482" s="4">
        <v>5.9</v>
      </c>
      <c r="F482" s="3">
        <f t="shared" si="186"/>
        <v>0.60000000000000009</v>
      </c>
      <c r="G482">
        <v>0</v>
      </c>
      <c r="H482">
        <f t="shared" si="203"/>
        <v>0</v>
      </c>
      <c r="I482">
        <v>0</v>
      </c>
      <c r="J482" s="3">
        <f t="shared" si="204"/>
        <v>0</v>
      </c>
      <c r="K482">
        <v>0</v>
      </c>
      <c r="L482" s="3">
        <f t="shared" si="205"/>
        <v>0</v>
      </c>
      <c r="M482">
        <v>21858</v>
      </c>
      <c r="N482">
        <f t="shared" si="206"/>
        <v>0.10228858828594815</v>
      </c>
      <c r="O482" s="15">
        <v>0.816001223</v>
      </c>
      <c r="P482">
        <f t="shared" si="187"/>
        <v>0.83187609503873683</v>
      </c>
      <c r="Q482">
        <v>0.30990000000000001</v>
      </c>
      <c r="R482">
        <f t="shared" si="188"/>
        <v>0.68698736422079365</v>
      </c>
      <c r="S482">
        <f t="shared" si="189"/>
        <v>0</v>
      </c>
      <c r="T482" s="14">
        <f t="shared" si="190"/>
        <v>0</v>
      </c>
      <c r="U482" t="str">
        <f t="shared" si="191"/>
        <v>No Impact</v>
      </c>
      <c r="V482">
        <f t="shared" si="192"/>
        <v>0</v>
      </c>
      <c r="W482">
        <f t="shared" si="193"/>
        <v>0</v>
      </c>
      <c r="X482" t="s">
        <v>1176</v>
      </c>
      <c r="Y482">
        <f t="shared" si="194"/>
        <v>0</v>
      </c>
      <c r="Z482">
        <f t="shared" si="195"/>
        <v>0</v>
      </c>
      <c r="AA482" t="str">
        <f t="shared" si="196"/>
        <v>No Impact</v>
      </c>
      <c r="AB482">
        <f t="shared" si="197"/>
        <v>0</v>
      </c>
      <c r="AC482">
        <f t="shared" si="198"/>
        <v>0</v>
      </c>
      <c r="AD482" t="str">
        <f t="shared" si="199"/>
        <v>No Impact</v>
      </c>
      <c r="AE482">
        <f t="shared" si="200"/>
        <v>0</v>
      </c>
      <c r="AF482">
        <f t="shared" si="201"/>
        <v>0</v>
      </c>
      <c r="AG482" t="str">
        <f t="shared" ref="AG482:AG483" si="211">IF(AF482&gt;0.7,"High",IF(AF482&gt;0.3,"Moderate",IF(AF482&gt;0.15,"Low","No Impact")))</f>
        <v>No Impact</v>
      </c>
    </row>
    <row r="483" spans="1:33" x14ac:dyDescent="0.3">
      <c r="A483">
        <v>555239</v>
      </c>
      <c r="B483" t="s">
        <v>246</v>
      </c>
      <c r="C483" s="1" t="s">
        <v>1027</v>
      </c>
      <c r="D483" t="s">
        <v>1136</v>
      </c>
      <c r="E483" s="4">
        <v>6.2</v>
      </c>
      <c r="F483" s="3">
        <f t="shared" si="186"/>
        <v>0.66666666666666663</v>
      </c>
      <c r="G483">
        <v>0</v>
      </c>
      <c r="H483">
        <f t="shared" si="203"/>
        <v>0</v>
      </c>
      <c r="I483">
        <v>0</v>
      </c>
      <c r="J483" s="3">
        <f t="shared" si="204"/>
        <v>0</v>
      </c>
      <c r="K483">
        <v>0</v>
      </c>
      <c r="L483" s="3">
        <f t="shared" si="205"/>
        <v>0</v>
      </c>
      <c r="M483">
        <v>24184</v>
      </c>
      <c r="N483">
        <f t="shared" si="206"/>
        <v>0.11329387328308564</v>
      </c>
      <c r="O483" s="15">
        <v>0.85924734199999997</v>
      </c>
      <c r="P483">
        <f t="shared" si="187"/>
        <v>0.87596354440191082</v>
      </c>
      <c r="Q483">
        <v>0.33929999999999999</v>
      </c>
      <c r="R483">
        <f t="shared" si="188"/>
        <v>0.75216138328530258</v>
      </c>
      <c r="S483">
        <f t="shared" si="189"/>
        <v>0</v>
      </c>
      <c r="T483" s="14">
        <f t="shared" si="190"/>
        <v>0</v>
      </c>
      <c r="U483" t="str">
        <f t="shared" si="191"/>
        <v>No Impact</v>
      </c>
      <c r="V483">
        <f t="shared" si="192"/>
        <v>0</v>
      </c>
      <c r="W483">
        <f t="shared" si="193"/>
        <v>0</v>
      </c>
      <c r="X483" t="s">
        <v>1176</v>
      </c>
      <c r="Y483">
        <f t="shared" si="194"/>
        <v>0</v>
      </c>
      <c r="Z483">
        <f t="shared" si="195"/>
        <v>0</v>
      </c>
      <c r="AA483" t="str">
        <f t="shared" si="196"/>
        <v>No Impact</v>
      </c>
      <c r="AB483">
        <f t="shared" si="197"/>
        <v>0</v>
      </c>
      <c r="AC483">
        <f t="shared" si="198"/>
        <v>0</v>
      </c>
      <c r="AD483" t="str">
        <f t="shared" si="199"/>
        <v>No Impact</v>
      </c>
      <c r="AE483">
        <f t="shared" si="200"/>
        <v>0</v>
      </c>
      <c r="AF483">
        <f t="shared" si="201"/>
        <v>0</v>
      </c>
      <c r="AG483" t="str">
        <f t="shared" si="211"/>
        <v>No Impact</v>
      </c>
    </row>
    <row r="484" spans="1:33" x14ac:dyDescent="0.3">
      <c r="A484">
        <v>555255</v>
      </c>
      <c r="B484" t="s">
        <v>299</v>
      </c>
      <c r="C484" s="1" t="s">
        <v>1027</v>
      </c>
      <c r="D484" t="s">
        <v>1029</v>
      </c>
      <c r="E484" s="4">
        <v>6.2</v>
      </c>
      <c r="F484" s="3">
        <f t="shared" si="186"/>
        <v>0.66666666666666663</v>
      </c>
      <c r="G484">
        <v>54.452159999999999</v>
      </c>
      <c r="H484">
        <f t="shared" si="203"/>
        <v>0.52685733791724576</v>
      </c>
      <c r="I484">
        <v>52</v>
      </c>
      <c r="J484" s="3">
        <f t="shared" si="204"/>
        <v>0.23930050621260932</v>
      </c>
      <c r="K484">
        <v>0</v>
      </c>
      <c r="L484" s="3">
        <f t="shared" si="205"/>
        <v>0</v>
      </c>
      <c r="M484">
        <v>29622</v>
      </c>
      <c r="N484">
        <f t="shared" si="206"/>
        <v>0.1390233400992652</v>
      </c>
      <c r="O484" s="15">
        <v>0.82609774199999997</v>
      </c>
      <c r="P484">
        <f t="shared" si="187"/>
        <v>0.84216903647370867</v>
      </c>
      <c r="Q484">
        <v>0.34870000000000001</v>
      </c>
      <c r="R484">
        <f t="shared" si="188"/>
        <v>0.7729993349589892</v>
      </c>
      <c r="S484">
        <f t="shared" si="189"/>
        <v>0.13922914838831793</v>
      </c>
      <c r="T484" s="14">
        <f t="shared" si="190"/>
        <v>0.23776657321999078</v>
      </c>
      <c r="U484" t="str">
        <f t="shared" si="191"/>
        <v>Low</v>
      </c>
      <c r="V484">
        <f t="shared" si="192"/>
        <v>0.13326665010857139</v>
      </c>
      <c r="W484">
        <f t="shared" si="193"/>
        <v>0.19609190155897227</v>
      </c>
      <c r="X484" t="s">
        <v>1176</v>
      </c>
      <c r="Y484">
        <f t="shared" si="194"/>
        <v>0.1451916466680645</v>
      </c>
      <c r="Z484">
        <f t="shared" si="195"/>
        <v>0.28577349420316417</v>
      </c>
      <c r="AA484" t="str">
        <f t="shared" si="196"/>
        <v>Low</v>
      </c>
      <c r="AB484">
        <f t="shared" si="197"/>
        <v>9.8589588377424223E-2</v>
      </c>
      <c r="AC484">
        <f t="shared" si="198"/>
        <v>0.22737725103195514</v>
      </c>
      <c r="AD484" t="str">
        <f t="shared" si="199"/>
        <v>Low</v>
      </c>
      <c r="AE484">
        <f t="shared" si="200"/>
        <v>2.3967905254299652E-2</v>
      </c>
      <c r="AF484">
        <f t="shared" si="201"/>
        <v>0.12296570646225502</v>
      </c>
      <c r="AG484" t="s">
        <v>1175</v>
      </c>
    </row>
    <row r="485" spans="1:33" x14ac:dyDescent="0.3">
      <c r="A485">
        <v>555270</v>
      </c>
      <c r="B485" t="s">
        <v>405</v>
      </c>
      <c r="C485" s="1" t="s">
        <v>1027</v>
      </c>
      <c r="D485" t="s">
        <v>1030</v>
      </c>
      <c r="E485" s="4">
        <v>6.2</v>
      </c>
      <c r="F485" s="3">
        <f t="shared" si="186"/>
        <v>0.66666666666666663</v>
      </c>
      <c r="G485">
        <v>0</v>
      </c>
      <c r="H485">
        <f t="shared" si="203"/>
        <v>0</v>
      </c>
      <c r="I485">
        <v>0</v>
      </c>
      <c r="J485" s="3">
        <f t="shared" si="204"/>
        <v>0</v>
      </c>
      <c r="K485">
        <v>0</v>
      </c>
      <c r="L485" s="3">
        <f t="shared" si="205"/>
        <v>0</v>
      </c>
      <c r="M485">
        <v>23187</v>
      </c>
      <c r="N485">
        <f t="shared" si="206"/>
        <v>0.10857664665275629</v>
      </c>
      <c r="O485" s="15">
        <v>0.81932746400000001</v>
      </c>
      <c r="P485">
        <f t="shared" si="187"/>
        <v>0.83526704629744319</v>
      </c>
      <c r="Q485">
        <v>0.32</v>
      </c>
      <c r="R485">
        <f t="shared" si="188"/>
        <v>0.70937707825315899</v>
      </c>
      <c r="S485">
        <f t="shared" si="189"/>
        <v>0</v>
      </c>
      <c r="T485" s="14">
        <f t="shared" si="190"/>
        <v>0</v>
      </c>
      <c r="U485" t="str">
        <f t="shared" si="191"/>
        <v>No Impact</v>
      </c>
      <c r="V485">
        <f t="shared" si="192"/>
        <v>0</v>
      </c>
      <c r="W485">
        <f t="shared" si="193"/>
        <v>0</v>
      </c>
      <c r="X485" t="s">
        <v>1176</v>
      </c>
      <c r="Y485">
        <f t="shared" si="194"/>
        <v>0</v>
      </c>
      <c r="Z485">
        <f t="shared" si="195"/>
        <v>0</v>
      </c>
      <c r="AA485" t="str">
        <f t="shared" si="196"/>
        <v>No Impact</v>
      </c>
      <c r="AB485">
        <f t="shared" si="197"/>
        <v>0</v>
      </c>
      <c r="AC485">
        <f t="shared" si="198"/>
        <v>0</v>
      </c>
      <c r="AD485" t="str">
        <f t="shared" si="199"/>
        <v>No Impact</v>
      </c>
      <c r="AE485">
        <f t="shared" si="200"/>
        <v>0</v>
      </c>
      <c r="AF485">
        <f t="shared" si="201"/>
        <v>0</v>
      </c>
      <c r="AG485" t="str">
        <f t="shared" ref="AG485:AG489" si="212">IF(AF485&gt;0.7,"High",IF(AF485&gt;0.3,"Moderate",IF(AF485&gt;0.15,"Low","No Impact")))</f>
        <v>No Impact</v>
      </c>
    </row>
    <row r="486" spans="1:33" x14ac:dyDescent="0.3">
      <c r="A486">
        <v>557312</v>
      </c>
      <c r="B486" t="s">
        <v>151</v>
      </c>
      <c r="C486" s="1" t="s">
        <v>1032</v>
      </c>
      <c r="D486" t="s">
        <v>1031</v>
      </c>
      <c r="E486" s="4">
        <v>5.9</v>
      </c>
      <c r="F486" s="3">
        <f t="shared" si="186"/>
        <v>0.60000000000000009</v>
      </c>
      <c r="G486">
        <v>0</v>
      </c>
      <c r="H486">
        <f t="shared" si="203"/>
        <v>0</v>
      </c>
      <c r="I486">
        <v>0</v>
      </c>
      <c r="J486" s="3">
        <f t="shared" si="204"/>
        <v>0</v>
      </c>
      <c r="K486">
        <v>0</v>
      </c>
      <c r="L486" s="3">
        <f t="shared" si="205"/>
        <v>0</v>
      </c>
      <c r="M486">
        <v>27341</v>
      </c>
      <c r="N486">
        <f t="shared" si="206"/>
        <v>0.1282309690423131</v>
      </c>
      <c r="O486" s="15">
        <v>0.86790169399999995</v>
      </c>
      <c r="P486">
        <f t="shared" si="187"/>
        <v>0.88478626224096324</v>
      </c>
      <c r="Q486">
        <v>0.3226</v>
      </c>
      <c r="R486">
        <f t="shared" si="188"/>
        <v>0.71514076701396589</v>
      </c>
      <c r="S486">
        <f t="shared" si="189"/>
        <v>0</v>
      </c>
      <c r="T486" s="14">
        <f t="shared" si="190"/>
        <v>0</v>
      </c>
      <c r="U486" t="str">
        <f t="shared" si="191"/>
        <v>No Impact</v>
      </c>
      <c r="V486">
        <f t="shared" si="192"/>
        <v>0</v>
      </c>
      <c r="W486">
        <f t="shared" si="193"/>
        <v>0</v>
      </c>
      <c r="X486" t="s">
        <v>1176</v>
      </c>
      <c r="Y486">
        <f t="shared" si="194"/>
        <v>0</v>
      </c>
      <c r="Z486">
        <f t="shared" si="195"/>
        <v>0</v>
      </c>
      <c r="AA486" t="str">
        <f t="shared" si="196"/>
        <v>No Impact</v>
      </c>
      <c r="AB486">
        <f t="shared" si="197"/>
        <v>0</v>
      </c>
      <c r="AC486">
        <f t="shared" si="198"/>
        <v>0</v>
      </c>
      <c r="AD486" t="str">
        <f t="shared" si="199"/>
        <v>No Impact</v>
      </c>
      <c r="AE486">
        <f t="shared" si="200"/>
        <v>0</v>
      </c>
      <c r="AF486">
        <f t="shared" si="201"/>
        <v>0</v>
      </c>
      <c r="AG486" t="str">
        <f t="shared" si="212"/>
        <v>No Impact</v>
      </c>
    </row>
    <row r="487" spans="1:33" x14ac:dyDescent="0.3">
      <c r="A487">
        <v>557315</v>
      </c>
      <c r="B487" t="s">
        <v>154</v>
      </c>
      <c r="C487" s="1" t="s">
        <v>1032</v>
      </c>
      <c r="D487" t="s">
        <v>1033</v>
      </c>
      <c r="E487" s="4">
        <v>5.9</v>
      </c>
      <c r="F487" s="3">
        <f t="shared" si="186"/>
        <v>0.60000000000000009</v>
      </c>
      <c r="G487">
        <v>0</v>
      </c>
      <c r="H487">
        <f t="shared" si="203"/>
        <v>0</v>
      </c>
      <c r="I487">
        <v>0</v>
      </c>
      <c r="J487" s="3">
        <f t="shared" si="204"/>
        <v>0</v>
      </c>
      <c r="K487">
        <v>0</v>
      </c>
      <c r="L487" s="3">
        <f t="shared" si="205"/>
        <v>0</v>
      </c>
      <c r="M487">
        <v>28057</v>
      </c>
      <c r="N487">
        <f t="shared" si="206"/>
        <v>0.13161866640170711</v>
      </c>
      <c r="O487" s="15">
        <v>0.86834111899999999</v>
      </c>
      <c r="P487">
        <f t="shared" si="187"/>
        <v>0.88523423602183393</v>
      </c>
      <c r="Q487">
        <v>0.36130000000000001</v>
      </c>
      <c r="R487">
        <f t="shared" si="188"/>
        <v>0.80093105741520731</v>
      </c>
      <c r="S487">
        <f t="shared" si="189"/>
        <v>0</v>
      </c>
      <c r="T487" s="14">
        <f t="shared" si="190"/>
        <v>0</v>
      </c>
      <c r="U487" t="str">
        <f t="shared" si="191"/>
        <v>No Impact</v>
      </c>
      <c r="V487">
        <f t="shared" si="192"/>
        <v>0</v>
      </c>
      <c r="W487">
        <f t="shared" si="193"/>
        <v>0</v>
      </c>
      <c r="X487" t="s">
        <v>1176</v>
      </c>
      <c r="Y487">
        <f t="shared" si="194"/>
        <v>0</v>
      </c>
      <c r="Z487">
        <f t="shared" si="195"/>
        <v>0</v>
      </c>
      <c r="AA487" t="str">
        <f t="shared" si="196"/>
        <v>No Impact</v>
      </c>
      <c r="AB487">
        <f t="shared" si="197"/>
        <v>0</v>
      </c>
      <c r="AC487">
        <f t="shared" si="198"/>
        <v>0</v>
      </c>
      <c r="AD487" t="str">
        <f t="shared" si="199"/>
        <v>No Impact</v>
      </c>
      <c r="AE487">
        <f t="shared" si="200"/>
        <v>0</v>
      </c>
      <c r="AF487">
        <f t="shared" si="201"/>
        <v>0</v>
      </c>
      <c r="AG487" t="str">
        <f t="shared" si="212"/>
        <v>No Impact</v>
      </c>
    </row>
    <row r="488" spans="1:33" x14ac:dyDescent="0.3">
      <c r="A488">
        <v>557336</v>
      </c>
      <c r="B488" t="s">
        <v>218</v>
      </c>
      <c r="C488" s="1" t="s">
        <v>1032</v>
      </c>
      <c r="D488" t="s">
        <v>1034</v>
      </c>
      <c r="E488" s="4">
        <v>5.9</v>
      </c>
      <c r="F488" s="3">
        <f t="shared" si="186"/>
        <v>0.60000000000000009</v>
      </c>
      <c r="G488">
        <v>0</v>
      </c>
      <c r="H488">
        <f t="shared" si="203"/>
        <v>0</v>
      </c>
      <c r="I488">
        <v>0</v>
      </c>
      <c r="J488" s="3">
        <f t="shared" si="204"/>
        <v>0</v>
      </c>
      <c r="K488">
        <v>0</v>
      </c>
      <c r="L488" s="3">
        <f t="shared" si="205"/>
        <v>0</v>
      </c>
      <c r="M488">
        <v>28976</v>
      </c>
      <c r="N488">
        <f t="shared" si="206"/>
        <v>0.13596684220238181</v>
      </c>
      <c r="O488" s="15">
        <v>0.79005879000000001</v>
      </c>
      <c r="P488">
        <f t="shared" si="187"/>
        <v>0.80542896573113276</v>
      </c>
      <c r="Q488">
        <v>0.35410000000000003</v>
      </c>
      <c r="R488">
        <f t="shared" si="188"/>
        <v>0.78497007315451128</v>
      </c>
      <c r="S488">
        <f t="shared" si="189"/>
        <v>0</v>
      </c>
      <c r="T488" s="14">
        <f t="shared" si="190"/>
        <v>0</v>
      </c>
      <c r="U488" t="str">
        <f t="shared" si="191"/>
        <v>No Impact</v>
      </c>
      <c r="V488">
        <f t="shared" si="192"/>
        <v>0</v>
      </c>
      <c r="W488">
        <f t="shared" si="193"/>
        <v>0</v>
      </c>
      <c r="X488" t="s">
        <v>1176</v>
      </c>
      <c r="Y488">
        <f t="shared" si="194"/>
        <v>0</v>
      </c>
      <c r="Z488">
        <f t="shared" si="195"/>
        <v>0</v>
      </c>
      <c r="AA488" t="str">
        <f t="shared" si="196"/>
        <v>No Impact</v>
      </c>
      <c r="AB488">
        <f t="shared" si="197"/>
        <v>0</v>
      </c>
      <c r="AC488">
        <f t="shared" si="198"/>
        <v>0</v>
      </c>
      <c r="AD488" t="str">
        <f t="shared" si="199"/>
        <v>No Impact</v>
      </c>
      <c r="AE488">
        <f t="shared" si="200"/>
        <v>0</v>
      </c>
      <c r="AF488">
        <f t="shared" si="201"/>
        <v>0</v>
      </c>
      <c r="AG488" t="str">
        <f t="shared" si="212"/>
        <v>No Impact</v>
      </c>
    </row>
    <row r="489" spans="1:33" x14ac:dyDescent="0.3">
      <c r="A489">
        <v>557345</v>
      </c>
      <c r="B489" t="s">
        <v>279</v>
      </c>
      <c r="C489" s="1" t="s">
        <v>1032</v>
      </c>
      <c r="D489" t="s">
        <v>760</v>
      </c>
      <c r="E489" s="4">
        <v>5.9</v>
      </c>
      <c r="F489" s="3">
        <f t="shared" si="186"/>
        <v>0.60000000000000009</v>
      </c>
      <c r="G489">
        <v>46.865520000000004</v>
      </c>
      <c r="H489">
        <f t="shared" si="203"/>
        <v>0.45345204133880895</v>
      </c>
      <c r="I489">
        <v>11.799999999999999</v>
      </c>
      <c r="J489" s="3">
        <f t="shared" si="204"/>
        <v>5.4302807179015186E-2</v>
      </c>
      <c r="K489">
        <v>0</v>
      </c>
      <c r="L489" s="3">
        <f t="shared" si="205"/>
        <v>0</v>
      </c>
      <c r="M489">
        <v>24819</v>
      </c>
      <c r="N489">
        <f t="shared" si="206"/>
        <v>0.11629832555014596</v>
      </c>
      <c r="O489" s="15">
        <v>0.80881158799999997</v>
      </c>
      <c r="P489">
        <f t="shared" si="187"/>
        <v>0.82454658949392245</v>
      </c>
      <c r="Q489">
        <v>0.34329999999999999</v>
      </c>
      <c r="R489">
        <f t="shared" si="188"/>
        <v>0.76102859676346701</v>
      </c>
      <c r="S489">
        <f t="shared" si="189"/>
        <v>9.1443947604979037E-2</v>
      </c>
      <c r="T489" s="14">
        <f t="shared" si="190"/>
        <v>0.15616208470300855</v>
      </c>
      <c r="U489" t="str">
        <f t="shared" si="191"/>
        <v>Low</v>
      </c>
      <c r="V489">
        <f t="shared" si="192"/>
        <v>8.7780711670436398E-2</v>
      </c>
      <c r="W489">
        <f t="shared" si="193"/>
        <v>0.12916274745131182</v>
      </c>
      <c r="X489" t="s">
        <v>1176</v>
      </c>
      <c r="Y489">
        <f t="shared" si="194"/>
        <v>9.5107183539521675E-2</v>
      </c>
      <c r="Z489">
        <f t="shared" si="195"/>
        <v>0.18719473735322628</v>
      </c>
      <c r="AA489" t="str">
        <f t="shared" si="196"/>
        <v>Low</v>
      </c>
      <c r="AB489">
        <f t="shared" si="197"/>
        <v>6.3950447722008016E-2</v>
      </c>
      <c r="AC489">
        <f t="shared" si="198"/>
        <v>0.14748897165111421</v>
      </c>
      <c r="AD489" t="str">
        <f t="shared" si="199"/>
        <v>No Impact</v>
      </c>
      <c r="AE489">
        <f t="shared" si="200"/>
        <v>1.3414410215710803E-2</v>
      </c>
      <c r="AF489">
        <f t="shared" si="201"/>
        <v>6.8821718520998415E-2</v>
      </c>
      <c r="AG489" t="str">
        <f t="shared" si="212"/>
        <v>No Impact</v>
      </c>
    </row>
    <row r="490" spans="1:33" x14ac:dyDescent="0.3">
      <c r="A490">
        <v>557364</v>
      </c>
      <c r="B490" t="s">
        <v>386</v>
      </c>
      <c r="C490" s="1" t="s">
        <v>1032</v>
      </c>
      <c r="D490" t="s">
        <v>1035</v>
      </c>
      <c r="E490" s="4">
        <v>5.9</v>
      </c>
      <c r="F490" s="3">
        <f t="shared" si="186"/>
        <v>0.60000000000000009</v>
      </c>
      <c r="G490">
        <v>43.572240000000001</v>
      </c>
      <c r="H490">
        <f t="shared" si="203"/>
        <v>0.42158758024459142</v>
      </c>
      <c r="I490">
        <v>6.6</v>
      </c>
      <c r="J490" s="3">
        <f t="shared" si="204"/>
        <v>3.0372756557754257E-2</v>
      </c>
      <c r="K490">
        <v>0</v>
      </c>
      <c r="L490" s="3">
        <f t="shared" si="205"/>
        <v>0</v>
      </c>
      <c r="M490">
        <v>45805</v>
      </c>
      <c r="N490">
        <f t="shared" si="206"/>
        <v>0.21559192441081981</v>
      </c>
      <c r="O490" s="15">
        <v>0.92109011100000004</v>
      </c>
      <c r="P490">
        <f t="shared" si="187"/>
        <v>0.93900943175115403</v>
      </c>
      <c r="Q490">
        <v>0.35299999999999998</v>
      </c>
      <c r="R490">
        <f t="shared" si="188"/>
        <v>0.78253158944801593</v>
      </c>
      <c r="S490">
        <f t="shared" si="189"/>
        <v>9.0230914390763542E-2</v>
      </c>
      <c r="T490" s="14">
        <f t="shared" si="190"/>
        <v>0.15409054469946248</v>
      </c>
      <c r="U490" t="str">
        <f t="shared" si="191"/>
        <v>Low</v>
      </c>
      <c r="V490">
        <f t="shared" si="192"/>
        <v>8.2029460798289211E-2</v>
      </c>
      <c r="W490">
        <f t="shared" si="193"/>
        <v>0.12070021223381179</v>
      </c>
      <c r="X490" t="s">
        <v>1176</v>
      </c>
      <c r="Y490">
        <f t="shared" si="194"/>
        <v>9.8432367983237859E-2</v>
      </c>
      <c r="Z490">
        <f t="shared" si="195"/>
        <v>0.19373953245099956</v>
      </c>
      <c r="AA490" t="str">
        <f t="shared" si="196"/>
        <v>Low</v>
      </c>
      <c r="AB490">
        <f t="shared" si="197"/>
        <v>6.6149876487423501E-2</v>
      </c>
      <c r="AC490">
        <f t="shared" si="198"/>
        <v>0.15256151607240015</v>
      </c>
      <c r="AD490" t="str">
        <f t="shared" si="199"/>
        <v>Low</v>
      </c>
      <c r="AE490">
        <f t="shared" si="200"/>
        <v>2.2599585180145491E-2</v>
      </c>
      <c r="AF490">
        <f t="shared" si="201"/>
        <v>0.1159456334604783</v>
      </c>
      <c r="AG490" t="s">
        <v>1175</v>
      </c>
    </row>
    <row r="491" spans="1:33" x14ac:dyDescent="0.3">
      <c r="A491">
        <v>557385</v>
      </c>
      <c r="B491" t="s">
        <v>453</v>
      </c>
      <c r="C491" s="1" t="s">
        <v>1032</v>
      </c>
      <c r="D491" t="s">
        <v>1036</v>
      </c>
      <c r="E491" s="4">
        <v>5.9</v>
      </c>
      <c r="F491" s="3">
        <f t="shared" si="186"/>
        <v>0.60000000000000009</v>
      </c>
      <c r="G491">
        <v>46.865520000000004</v>
      </c>
      <c r="H491">
        <f t="shared" si="203"/>
        <v>0.45345204133880895</v>
      </c>
      <c r="I491">
        <v>11.799999999999999</v>
      </c>
      <c r="J491" s="3">
        <f t="shared" si="204"/>
        <v>5.4302807179015186E-2</v>
      </c>
      <c r="K491">
        <v>0</v>
      </c>
      <c r="L491" s="3">
        <f t="shared" si="205"/>
        <v>0</v>
      </c>
      <c r="M491">
        <v>25576</v>
      </c>
      <c r="N491">
        <f t="shared" si="206"/>
        <v>0.11988001116615331</v>
      </c>
      <c r="O491" s="15">
        <v>0.84313067100000005</v>
      </c>
      <c r="P491">
        <f t="shared" si="187"/>
        <v>0.85953333209510407</v>
      </c>
      <c r="Q491">
        <v>0.36430000000000001</v>
      </c>
      <c r="R491">
        <f t="shared" si="188"/>
        <v>0.80758146752383064</v>
      </c>
      <c r="S491">
        <f t="shared" si="189"/>
        <v>9.6146533894540837E-2</v>
      </c>
      <c r="T491" s="14">
        <f t="shared" si="190"/>
        <v>0.16419285872039982</v>
      </c>
      <c r="U491" t="str">
        <f t="shared" si="191"/>
        <v>Low</v>
      </c>
      <c r="V491">
        <f t="shared" si="192"/>
        <v>9.3150344484532424E-2</v>
      </c>
      <c r="W491">
        <f t="shared" si="193"/>
        <v>0.1370637602578296</v>
      </c>
      <c r="X491" t="s">
        <v>1176</v>
      </c>
      <c r="Y491">
        <f t="shared" si="194"/>
        <v>9.9142723304549235E-2</v>
      </c>
      <c r="Z491">
        <f t="shared" si="195"/>
        <v>0.19513768948658344</v>
      </c>
      <c r="AA491" t="str">
        <f t="shared" si="196"/>
        <v>Low</v>
      </c>
      <c r="AB491">
        <f t="shared" si="197"/>
        <v>6.7185076253888976E-2</v>
      </c>
      <c r="AC491">
        <f t="shared" si="198"/>
        <v>0.15494899816905672</v>
      </c>
      <c r="AD491" t="str">
        <f t="shared" si="199"/>
        <v>Low</v>
      </c>
      <c r="AE491">
        <f t="shared" si="200"/>
        <v>1.3827539122679604E-2</v>
      </c>
      <c r="AF491">
        <f t="shared" si="201"/>
        <v>7.094124825738557E-2</v>
      </c>
      <c r="AG491" t="str">
        <f t="shared" ref="AG491:AG496" si="213">IF(AF491&gt;0.7,"High",IF(AF491&gt;0.3,"Moderate",IF(AF491&gt;0.15,"Low","No Impact")))</f>
        <v>No Impact</v>
      </c>
    </row>
    <row r="492" spans="1:33" x14ac:dyDescent="0.3">
      <c r="A492">
        <v>557704</v>
      </c>
      <c r="B492" t="s">
        <v>18</v>
      </c>
      <c r="C492" s="1" t="s">
        <v>1038</v>
      </c>
      <c r="D492" t="s">
        <v>1037</v>
      </c>
      <c r="E492" s="4">
        <v>5.0999999999999996</v>
      </c>
      <c r="F492" s="3">
        <f t="shared" si="186"/>
        <v>0.42222222222222211</v>
      </c>
      <c r="G492">
        <v>0</v>
      </c>
      <c r="H492">
        <f t="shared" si="203"/>
        <v>0</v>
      </c>
      <c r="I492">
        <v>0</v>
      </c>
      <c r="J492" s="3">
        <f t="shared" si="204"/>
        <v>0</v>
      </c>
      <c r="K492">
        <v>0</v>
      </c>
      <c r="L492" s="3">
        <f t="shared" si="205"/>
        <v>0</v>
      </c>
      <c r="M492">
        <v>20430</v>
      </c>
      <c r="N492">
        <f t="shared" si="206"/>
        <v>9.5532119250732184E-2</v>
      </c>
      <c r="O492" s="15">
        <v>0.86580768799999996</v>
      </c>
      <c r="P492">
        <f t="shared" si="187"/>
        <v>0.88265151846219359</v>
      </c>
      <c r="Q492">
        <v>0.38300000000000001</v>
      </c>
      <c r="R492">
        <f t="shared" si="188"/>
        <v>0.84903569053424965</v>
      </c>
      <c r="S492">
        <f t="shared" si="189"/>
        <v>0</v>
      </c>
      <c r="T492" s="14">
        <f t="shared" si="190"/>
        <v>0</v>
      </c>
      <c r="U492" t="str">
        <f t="shared" si="191"/>
        <v>No Impact</v>
      </c>
      <c r="V492">
        <f t="shared" si="192"/>
        <v>0</v>
      </c>
      <c r="W492">
        <f t="shared" si="193"/>
        <v>0</v>
      </c>
      <c r="X492" t="s">
        <v>1176</v>
      </c>
      <c r="Y492">
        <f t="shared" si="194"/>
        <v>0</v>
      </c>
      <c r="Z492">
        <f t="shared" si="195"/>
        <v>0</v>
      </c>
      <c r="AA492" t="str">
        <f t="shared" si="196"/>
        <v>No Impact</v>
      </c>
      <c r="AB492">
        <f t="shared" si="197"/>
        <v>0</v>
      </c>
      <c r="AC492">
        <f t="shared" si="198"/>
        <v>0</v>
      </c>
      <c r="AD492" t="str">
        <f t="shared" si="199"/>
        <v>No Impact</v>
      </c>
      <c r="AE492">
        <f t="shared" si="200"/>
        <v>0</v>
      </c>
      <c r="AF492">
        <f t="shared" si="201"/>
        <v>0</v>
      </c>
      <c r="AG492" t="str">
        <f t="shared" si="213"/>
        <v>No Impact</v>
      </c>
    </row>
    <row r="493" spans="1:33" x14ac:dyDescent="0.3">
      <c r="A493">
        <v>557725</v>
      </c>
      <c r="B493" t="s">
        <v>86</v>
      </c>
      <c r="C493" s="1" t="s">
        <v>1038</v>
      </c>
      <c r="D493" t="s">
        <v>1039</v>
      </c>
      <c r="E493" s="4">
        <v>5.3</v>
      </c>
      <c r="F493" s="3">
        <f t="shared" si="186"/>
        <v>0.46666666666666656</v>
      </c>
      <c r="G493">
        <v>0</v>
      </c>
      <c r="H493">
        <f t="shared" si="203"/>
        <v>0</v>
      </c>
      <c r="I493">
        <v>0</v>
      </c>
      <c r="J493" s="3">
        <f t="shared" si="204"/>
        <v>0</v>
      </c>
      <c r="K493">
        <v>0</v>
      </c>
      <c r="L493" s="3">
        <f t="shared" si="205"/>
        <v>0</v>
      </c>
      <c r="M493">
        <v>33064</v>
      </c>
      <c r="N493">
        <f t="shared" si="206"/>
        <v>0.15530889081300006</v>
      </c>
      <c r="O493" s="15">
        <v>0.51395931299999997</v>
      </c>
      <c r="P493">
        <f t="shared" si="187"/>
        <v>0.5239581194932007</v>
      </c>
      <c r="Q493">
        <v>0.37080000000000002</v>
      </c>
      <c r="R493">
        <f t="shared" si="188"/>
        <v>0.82199068942584796</v>
      </c>
      <c r="S493">
        <f t="shared" si="189"/>
        <v>0</v>
      </c>
      <c r="T493" s="14">
        <f t="shared" si="190"/>
        <v>0</v>
      </c>
      <c r="U493" t="str">
        <f t="shared" si="191"/>
        <v>No Impact</v>
      </c>
      <c r="V493">
        <f t="shared" si="192"/>
        <v>0</v>
      </c>
      <c r="W493">
        <f t="shared" si="193"/>
        <v>0</v>
      </c>
      <c r="X493" t="s">
        <v>1176</v>
      </c>
      <c r="Y493">
        <f t="shared" si="194"/>
        <v>0</v>
      </c>
      <c r="Z493">
        <f t="shared" si="195"/>
        <v>0</v>
      </c>
      <c r="AA493" t="str">
        <f t="shared" si="196"/>
        <v>No Impact</v>
      </c>
      <c r="AB493">
        <f t="shared" si="197"/>
        <v>0</v>
      </c>
      <c r="AC493">
        <f t="shared" si="198"/>
        <v>0</v>
      </c>
      <c r="AD493" t="str">
        <f t="shared" si="199"/>
        <v>No Impact</v>
      </c>
      <c r="AE493">
        <f t="shared" si="200"/>
        <v>0</v>
      </c>
      <c r="AF493">
        <f t="shared" si="201"/>
        <v>0</v>
      </c>
      <c r="AG493" t="str">
        <f t="shared" si="213"/>
        <v>No Impact</v>
      </c>
    </row>
    <row r="494" spans="1:33" x14ac:dyDescent="0.3">
      <c r="A494">
        <v>557734</v>
      </c>
      <c r="B494" t="s">
        <v>136</v>
      </c>
      <c r="C494" s="1" t="s">
        <v>1038</v>
      </c>
      <c r="D494" t="s">
        <v>1040</v>
      </c>
      <c r="E494" s="4">
        <v>5.3</v>
      </c>
      <c r="F494" s="3">
        <f t="shared" si="186"/>
        <v>0.46666666666666656</v>
      </c>
      <c r="G494">
        <v>0</v>
      </c>
      <c r="H494">
        <f t="shared" si="203"/>
        <v>0</v>
      </c>
      <c r="I494">
        <v>0</v>
      </c>
      <c r="J494" s="3">
        <f t="shared" si="204"/>
        <v>0</v>
      </c>
      <c r="K494">
        <v>0</v>
      </c>
      <c r="L494" s="3">
        <f t="shared" si="205"/>
        <v>0</v>
      </c>
      <c r="M494">
        <v>34418</v>
      </c>
      <c r="N494">
        <f t="shared" si="206"/>
        <v>0.16171523470213339</v>
      </c>
      <c r="O494" s="15">
        <v>0.67809898999999996</v>
      </c>
      <c r="P494">
        <f t="shared" si="187"/>
        <v>0.69129104706122657</v>
      </c>
      <c r="Q494">
        <v>0.35220000000000001</v>
      </c>
      <c r="R494">
        <f t="shared" si="188"/>
        <v>0.78075814675238309</v>
      </c>
      <c r="S494">
        <f t="shared" si="189"/>
        <v>0</v>
      </c>
      <c r="T494" s="14">
        <f t="shared" si="190"/>
        <v>0</v>
      </c>
      <c r="U494" t="str">
        <f t="shared" si="191"/>
        <v>No Impact</v>
      </c>
      <c r="V494">
        <f t="shared" si="192"/>
        <v>0</v>
      </c>
      <c r="W494">
        <f t="shared" si="193"/>
        <v>0</v>
      </c>
      <c r="X494" t="s">
        <v>1176</v>
      </c>
      <c r="Y494">
        <f t="shared" si="194"/>
        <v>0</v>
      </c>
      <c r="Z494">
        <f t="shared" si="195"/>
        <v>0</v>
      </c>
      <c r="AA494" t="str">
        <f t="shared" si="196"/>
        <v>No Impact</v>
      </c>
      <c r="AB494">
        <f t="shared" si="197"/>
        <v>0</v>
      </c>
      <c r="AC494">
        <f t="shared" si="198"/>
        <v>0</v>
      </c>
      <c r="AD494" t="str">
        <f t="shared" si="199"/>
        <v>No Impact</v>
      </c>
      <c r="AE494">
        <f t="shared" si="200"/>
        <v>0</v>
      </c>
      <c r="AF494">
        <f t="shared" si="201"/>
        <v>0</v>
      </c>
      <c r="AG494" t="str">
        <f t="shared" si="213"/>
        <v>No Impact</v>
      </c>
    </row>
    <row r="495" spans="1:33" x14ac:dyDescent="0.3">
      <c r="A495">
        <v>557773</v>
      </c>
      <c r="B495" t="s">
        <v>397</v>
      </c>
      <c r="C495" s="1" t="s">
        <v>1038</v>
      </c>
      <c r="D495" t="s">
        <v>1041</v>
      </c>
      <c r="E495" s="4">
        <v>5.5</v>
      </c>
      <c r="F495" s="3">
        <f t="shared" si="186"/>
        <v>0.51111111111111107</v>
      </c>
      <c r="G495">
        <v>0</v>
      </c>
      <c r="H495">
        <f t="shared" si="203"/>
        <v>0</v>
      </c>
      <c r="I495">
        <v>0</v>
      </c>
      <c r="J495" s="3">
        <f t="shared" si="204"/>
        <v>0</v>
      </c>
      <c r="K495">
        <v>0</v>
      </c>
      <c r="L495" s="3">
        <f t="shared" si="205"/>
        <v>0</v>
      </c>
      <c r="M495">
        <v>44101</v>
      </c>
      <c r="N495">
        <f t="shared" si="206"/>
        <v>0.20752958320913353</v>
      </c>
      <c r="O495" s="15">
        <v>0.76408081900000002</v>
      </c>
      <c r="P495">
        <f t="shared" si="187"/>
        <v>0.77894560705054228</v>
      </c>
      <c r="Q495">
        <v>0.37109999999999999</v>
      </c>
      <c r="R495">
        <f t="shared" si="188"/>
        <v>0.82265573043671025</v>
      </c>
      <c r="S495">
        <f t="shared" si="189"/>
        <v>0</v>
      </c>
      <c r="T495" s="14">
        <f t="shared" si="190"/>
        <v>0</v>
      </c>
      <c r="U495" t="str">
        <f t="shared" si="191"/>
        <v>No Impact</v>
      </c>
      <c r="V495">
        <f t="shared" si="192"/>
        <v>0</v>
      </c>
      <c r="W495">
        <f t="shared" si="193"/>
        <v>0</v>
      </c>
      <c r="X495" t="s">
        <v>1176</v>
      </c>
      <c r="Y495">
        <f t="shared" si="194"/>
        <v>0</v>
      </c>
      <c r="Z495">
        <f t="shared" si="195"/>
        <v>0</v>
      </c>
      <c r="AA495" t="str">
        <f t="shared" si="196"/>
        <v>No Impact</v>
      </c>
      <c r="AB495">
        <f t="shared" si="197"/>
        <v>0</v>
      </c>
      <c r="AC495">
        <f t="shared" si="198"/>
        <v>0</v>
      </c>
      <c r="AD495" t="str">
        <f t="shared" si="199"/>
        <v>No Impact</v>
      </c>
      <c r="AE495">
        <f t="shared" si="200"/>
        <v>0</v>
      </c>
      <c r="AF495">
        <f t="shared" si="201"/>
        <v>0</v>
      </c>
      <c r="AG495" t="str">
        <f t="shared" si="213"/>
        <v>No Impact</v>
      </c>
    </row>
    <row r="496" spans="1:33" x14ac:dyDescent="0.3">
      <c r="A496">
        <v>557790</v>
      </c>
      <c r="B496" t="s">
        <v>519</v>
      </c>
      <c r="C496" s="1" t="s">
        <v>1038</v>
      </c>
      <c r="D496" t="s">
        <v>1042</v>
      </c>
      <c r="E496" s="4">
        <v>5.4</v>
      </c>
      <c r="F496" s="3">
        <f t="shared" si="186"/>
        <v>0.48888888888888893</v>
      </c>
      <c r="G496">
        <v>0</v>
      </c>
      <c r="H496">
        <f t="shared" si="203"/>
        <v>0</v>
      </c>
      <c r="I496">
        <v>0</v>
      </c>
      <c r="J496" s="3">
        <f t="shared" si="204"/>
        <v>0</v>
      </c>
      <c r="K496">
        <v>0</v>
      </c>
      <c r="L496" s="3">
        <f t="shared" si="205"/>
        <v>0</v>
      </c>
      <c r="M496">
        <v>24227</v>
      </c>
      <c r="N496">
        <f t="shared" si="206"/>
        <v>0.11349732438148501</v>
      </c>
      <c r="O496" s="15">
        <v>0.52709614100000002</v>
      </c>
      <c r="P496">
        <f t="shared" si="187"/>
        <v>0.53735051753110852</v>
      </c>
      <c r="Q496">
        <v>0.36070000000000002</v>
      </c>
      <c r="R496">
        <f t="shared" si="188"/>
        <v>0.79960097539348263</v>
      </c>
      <c r="S496">
        <f t="shared" si="189"/>
        <v>0</v>
      </c>
      <c r="T496" s="14">
        <f t="shared" si="190"/>
        <v>0</v>
      </c>
      <c r="U496" t="str">
        <f t="shared" si="191"/>
        <v>No Impact</v>
      </c>
      <c r="V496">
        <f t="shared" si="192"/>
        <v>0</v>
      </c>
      <c r="W496">
        <f t="shared" si="193"/>
        <v>0</v>
      </c>
      <c r="X496" t="s">
        <v>1176</v>
      </c>
      <c r="Y496">
        <f t="shared" si="194"/>
        <v>0</v>
      </c>
      <c r="Z496">
        <f t="shared" si="195"/>
        <v>0</v>
      </c>
      <c r="AA496" t="str">
        <f t="shared" si="196"/>
        <v>No Impact</v>
      </c>
      <c r="AB496">
        <f t="shared" si="197"/>
        <v>0</v>
      </c>
      <c r="AC496">
        <f t="shared" si="198"/>
        <v>0</v>
      </c>
      <c r="AD496" t="str">
        <f t="shared" si="199"/>
        <v>No Impact</v>
      </c>
      <c r="AE496">
        <f t="shared" si="200"/>
        <v>0</v>
      </c>
      <c r="AF496">
        <f t="shared" si="201"/>
        <v>0</v>
      </c>
      <c r="AG496" t="str">
        <f t="shared" si="213"/>
        <v>No Impact</v>
      </c>
    </row>
    <row r="497" spans="1:33" x14ac:dyDescent="0.3">
      <c r="A497">
        <v>558503</v>
      </c>
      <c r="B497" t="s">
        <v>22</v>
      </c>
      <c r="C497" s="1" t="s">
        <v>1044</v>
      </c>
      <c r="D497" t="s">
        <v>1043</v>
      </c>
      <c r="E497" s="4">
        <v>6.3</v>
      </c>
      <c r="F497" s="3">
        <f t="shared" si="186"/>
        <v>0.68888888888888877</v>
      </c>
      <c r="G497">
        <v>52.21584</v>
      </c>
      <c r="H497">
        <f t="shared" si="203"/>
        <v>0.50521959936048155</v>
      </c>
      <c r="I497">
        <v>34.1</v>
      </c>
      <c r="J497" s="3">
        <f t="shared" si="204"/>
        <v>0.15692590888173036</v>
      </c>
      <c r="K497">
        <v>0</v>
      </c>
      <c r="L497" s="3">
        <f t="shared" si="205"/>
        <v>0</v>
      </c>
      <c r="M497">
        <v>34851</v>
      </c>
      <c r="N497">
        <f t="shared" si="206"/>
        <v>0.16376393994880603</v>
      </c>
      <c r="O497" s="15">
        <v>0.33465990499999998</v>
      </c>
      <c r="P497">
        <f t="shared" si="187"/>
        <v>0.34117053637974099</v>
      </c>
      <c r="Q497">
        <v>0.37330000000000002</v>
      </c>
      <c r="R497">
        <f t="shared" si="188"/>
        <v>0.82753269784970074</v>
      </c>
      <c r="S497">
        <f t="shared" si="189"/>
        <v>9.3985343733862012E-2</v>
      </c>
      <c r="T497" s="14">
        <f t="shared" si="190"/>
        <v>0.16050211734526634</v>
      </c>
      <c r="U497" t="str">
        <f t="shared" si="191"/>
        <v>Low</v>
      </c>
      <c r="V497">
        <f t="shared" si="192"/>
        <v>0.13309785201320867</v>
      </c>
      <c r="W497">
        <f t="shared" si="193"/>
        <v>0.19584352779500175</v>
      </c>
      <c r="X497" t="s">
        <v>1176</v>
      </c>
      <c r="Y497">
        <f t="shared" si="194"/>
        <v>5.4872835454515351E-2</v>
      </c>
      <c r="Z497">
        <f t="shared" si="195"/>
        <v>0.10800347185621711</v>
      </c>
      <c r="AA497" t="str">
        <f t="shared" si="196"/>
        <v>No Impact</v>
      </c>
      <c r="AB497">
        <f t="shared" si="197"/>
        <v>7.2264852426624768E-2</v>
      </c>
      <c r="AC497">
        <f t="shared" si="198"/>
        <v>0.16666449025116767</v>
      </c>
      <c r="AD497" t="str">
        <f t="shared" si="199"/>
        <v>Low</v>
      </c>
      <c r="AE497">
        <f t="shared" si="200"/>
        <v>2.633929595899177E-2</v>
      </c>
      <c r="AF497">
        <f t="shared" si="201"/>
        <v>0.1351319650570974</v>
      </c>
      <c r="AG497" t="s">
        <v>1175</v>
      </c>
    </row>
    <row r="498" spans="1:33" x14ac:dyDescent="0.3">
      <c r="A498">
        <v>558527</v>
      </c>
      <c r="B498" t="s">
        <v>175</v>
      </c>
      <c r="C498" s="1" t="s">
        <v>1044</v>
      </c>
      <c r="D498" t="s">
        <v>1045</v>
      </c>
      <c r="E498" s="4">
        <v>6.3</v>
      </c>
      <c r="F498" s="3">
        <f t="shared" si="186"/>
        <v>0.68888888888888877</v>
      </c>
      <c r="G498">
        <v>50.085000000000001</v>
      </c>
      <c r="H498">
        <f t="shared" si="203"/>
        <v>0.48460244312778872</v>
      </c>
      <c r="I498">
        <v>29.9</v>
      </c>
      <c r="J498" s="3">
        <f t="shared" si="204"/>
        <v>0.13759779107225034</v>
      </c>
      <c r="K498">
        <v>0</v>
      </c>
      <c r="L498" s="3">
        <f t="shared" si="205"/>
        <v>0</v>
      </c>
      <c r="M498">
        <v>23068</v>
      </c>
      <c r="N498">
        <f t="shared" si="206"/>
        <v>0.1080136075664883</v>
      </c>
      <c r="O498" s="15">
        <v>0.90818423500000001</v>
      </c>
      <c r="P498">
        <f t="shared" si="187"/>
        <v>0.92585247876220711</v>
      </c>
      <c r="Q498">
        <v>0.3417</v>
      </c>
      <c r="R498">
        <f t="shared" si="188"/>
        <v>0.75748171137220133</v>
      </c>
      <c r="S498">
        <f t="shared" si="189"/>
        <v>0.12834818320627833</v>
      </c>
      <c r="T498" s="14">
        <f t="shared" si="190"/>
        <v>0.21918476161942035</v>
      </c>
      <c r="U498" t="str">
        <f t="shared" si="191"/>
        <v>Low</v>
      </c>
      <c r="V498">
        <f t="shared" si="192"/>
        <v>0.11551051720614282</v>
      </c>
      <c r="W498">
        <f t="shared" si="193"/>
        <v>0.16996508091528967</v>
      </c>
      <c r="X498" t="s">
        <v>1176</v>
      </c>
      <c r="Y498">
        <f t="shared" si="194"/>
        <v>0.1411858492064138</v>
      </c>
      <c r="Z498">
        <f t="shared" si="195"/>
        <v>0.27788908236573112</v>
      </c>
      <c r="AA498" t="str">
        <f t="shared" si="196"/>
        <v>Low</v>
      </c>
      <c r="AB498">
        <f t="shared" si="197"/>
        <v>8.8549390397231156E-2</v>
      </c>
      <c r="AC498">
        <f t="shared" si="198"/>
        <v>0.20422153394128872</v>
      </c>
      <c r="AD498" t="str">
        <f t="shared" si="199"/>
        <v>Low</v>
      </c>
      <c r="AE498">
        <f t="shared" si="200"/>
        <v>1.6471298894734324E-2</v>
      </c>
      <c r="AF498">
        <f t="shared" si="201"/>
        <v>8.4504877812741894E-2</v>
      </c>
      <c r="AG498" t="s">
        <v>1175</v>
      </c>
    </row>
    <row r="499" spans="1:33" x14ac:dyDescent="0.3">
      <c r="A499">
        <v>558542</v>
      </c>
      <c r="B499" t="s">
        <v>263</v>
      </c>
      <c r="C499" s="1" t="s">
        <v>1044</v>
      </c>
      <c r="D499" t="s">
        <v>1046</v>
      </c>
      <c r="E499" s="4">
        <v>6.4</v>
      </c>
      <c r="F499" s="3">
        <f t="shared" si="186"/>
        <v>0.71111111111111114</v>
      </c>
      <c r="G499">
        <v>57.272039999999997</v>
      </c>
      <c r="H499">
        <f t="shared" si="203"/>
        <v>0.55414136980957251</v>
      </c>
      <c r="I499">
        <v>51.3</v>
      </c>
      <c r="J499" s="3">
        <f t="shared" si="204"/>
        <v>0.23607915324436263</v>
      </c>
      <c r="K499">
        <v>0</v>
      </c>
      <c r="L499" s="3">
        <f t="shared" si="205"/>
        <v>0</v>
      </c>
      <c r="M499">
        <v>14370</v>
      </c>
      <c r="N499">
        <f t="shared" si="206"/>
        <v>6.6859708639101414E-2</v>
      </c>
      <c r="O499" s="15">
        <v>0.89736018200000001</v>
      </c>
      <c r="P499">
        <f t="shared" si="187"/>
        <v>0.9148178495382111</v>
      </c>
      <c r="Q499">
        <v>0.36020000000000002</v>
      </c>
      <c r="R499">
        <f t="shared" si="188"/>
        <v>0.79849257370871207</v>
      </c>
      <c r="S499">
        <f t="shared" si="189"/>
        <v>0.16379087954908522</v>
      </c>
      <c r="T499" s="14">
        <f t="shared" si="190"/>
        <v>0.27971151591373139</v>
      </c>
      <c r="U499" t="str">
        <f t="shared" si="191"/>
        <v>Low</v>
      </c>
      <c r="V499">
        <f t="shared" si="192"/>
        <v>0.1526702916022753</v>
      </c>
      <c r="W499">
        <f t="shared" si="193"/>
        <v>0.22464290779023235</v>
      </c>
      <c r="X499" t="s">
        <v>1176</v>
      </c>
      <c r="Y499">
        <f t="shared" si="194"/>
        <v>0.17491146749589517</v>
      </c>
      <c r="Z499">
        <f t="shared" si="195"/>
        <v>0.34426953884461697</v>
      </c>
      <c r="AA499" t="str">
        <f t="shared" si="196"/>
        <v>Moderate</v>
      </c>
      <c r="AB499">
        <f t="shared" si="197"/>
        <v>0.11038225038946929</v>
      </c>
      <c r="AC499">
        <f t="shared" si="198"/>
        <v>0.25457467740098311</v>
      </c>
      <c r="AD499" t="str">
        <f t="shared" si="199"/>
        <v>Low</v>
      </c>
      <c r="AE499">
        <f t="shared" si="200"/>
        <v>1.2783451656869688E-2</v>
      </c>
      <c r="AF499">
        <f t="shared" si="201"/>
        <v>6.5584628582886884E-2</v>
      </c>
      <c r="AG499" t="str">
        <f>IF(AF499&gt;0.7,"High",IF(AF499&gt;0.3,"Moderate",IF(AF499&gt;0.15,"Low","No Impact")))</f>
        <v>No Impact</v>
      </c>
    </row>
    <row r="500" spans="1:33" x14ac:dyDescent="0.3">
      <c r="A500">
        <v>558549</v>
      </c>
      <c r="B500" t="s">
        <v>436</v>
      </c>
      <c r="C500" s="1" t="s">
        <v>1044</v>
      </c>
      <c r="D500" t="s">
        <v>1047</v>
      </c>
      <c r="E500" s="4">
        <v>6.3</v>
      </c>
      <c r="F500" s="3">
        <f t="shared" si="186"/>
        <v>0.68888888888888877</v>
      </c>
      <c r="G500">
        <v>51.245640000000002</v>
      </c>
      <c r="H500">
        <f t="shared" si="203"/>
        <v>0.49583233190869797</v>
      </c>
      <c r="I500">
        <v>34.9</v>
      </c>
      <c r="J500" s="3">
        <f t="shared" si="204"/>
        <v>0.1606074551311551</v>
      </c>
      <c r="K500">
        <v>0</v>
      </c>
      <c r="L500" s="3">
        <f t="shared" si="205"/>
        <v>0</v>
      </c>
      <c r="M500">
        <v>70957</v>
      </c>
      <c r="N500">
        <f t="shared" si="206"/>
        <v>0.33459662271176654</v>
      </c>
      <c r="O500" s="15">
        <v>0.92705600399999999</v>
      </c>
      <c r="P500">
        <f t="shared" si="187"/>
        <v>0.94509138804285298</v>
      </c>
      <c r="Q500">
        <v>0.3604</v>
      </c>
      <c r="R500">
        <f t="shared" si="188"/>
        <v>0.79893593438262023</v>
      </c>
      <c r="S500">
        <f t="shared" si="189"/>
        <v>0.13843870179505866</v>
      </c>
      <c r="T500" s="14">
        <f t="shared" si="190"/>
        <v>0.23641669943301269</v>
      </c>
      <c r="U500" t="str">
        <f t="shared" si="191"/>
        <v>Low</v>
      </c>
      <c r="V500">
        <f t="shared" si="192"/>
        <v>0.12683706516653895</v>
      </c>
      <c r="W500">
        <f t="shared" si="193"/>
        <v>0.18663124852619237</v>
      </c>
      <c r="X500" t="s">
        <v>1176</v>
      </c>
      <c r="Y500">
        <f t="shared" si="194"/>
        <v>0.15004033842357833</v>
      </c>
      <c r="Z500">
        <f t="shared" si="195"/>
        <v>0.29531693294144823</v>
      </c>
      <c r="AA500" t="str">
        <f t="shared" si="196"/>
        <v>Low</v>
      </c>
      <c r="AB500">
        <f t="shared" si="197"/>
        <v>0.1079969765574933</v>
      </c>
      <c r="AC500">
        <f t="shared" si="198"/>
        <v>0.24907351834555744</v>
      </c>
      <c r="AD500" t="str">
        <f t="shared" si="199"/>
        <v>Low</v>
      </c>
      <c r="AE500">
        <f t="shared" si="200"/>
        <v>5.3119720634660431E-2</v>
      </c>
      <c r="AF500">
        <f t="shared" si="201"/>
        <v>0.27252711096840115</v>
      </c>
      <c r="AG500" t="s">
        <v>1175</v>
      </c>
    </row>
    <row r="501" spans="1:33" x14ac:dyDescent="0.3">
      <c r="A501">
        <v>558558</v>
      </c>
      <c r="B501" t="s">
        <v>339</v>
      </c>
      <c r="C501" s="1" t="s">
        <v>1044</v>
      </c>
      <c r="D501" t="s">
        <v>1048</v>
      </c>
      <c r="E501" s="4">
        <v>6.3</v>
      </c>
      <c r="F501" s="3">
        <f t="shared" si="186"/>
        <v>0.68888888888888877</v>
      </c>
      <c r="G501">
        <v>65.400840000000002</v>
      </c>
      <c r="H501">
        <f t="shared" si="203"/>
        <v>0.63279238986941422</v>
      </c>
      <c r="I501">
        <v>101.7</v>
      </c>
      <c r="J501" s="3">
        <f t="shared" si="204"/>
        <v>0.46801656695812244</v>
      </c>
      <c r="K501">
        <v>0</v>
      </c>
      <c r="L501" s="3">
        <f t="shared" si="205"/>
        <v>0</v>
      </c>
      <c r="M501">
        <v>23688</v>
      </c>
      <c r="N501">
        <f t="shared" si="206"/>
        <v>0.11094708852015349</v>
      </c>
      <c r="O501" s="15">
        <v>0.964154124</v>
      </c>
      <c r="P501">
        <f t="shared" si="187"/>
        <v>0.98291123233845212</v>
      </c>
      <c r="Q501">
        <v>0.374</v>
      </c>
      <c r="R501">
        <f t="shared" si="188"/>
        <v>0.82908446020837956</v>
      </c>
      <c r="S501">
        <f t="shared" si="189"/>
        <v>0.21639916301568018</v>
      </c>
      <c r="T501" s="14">
        <f t="shared" si="190"/>
        <v>0.36955255442925328</v>
      </c>
      <c r="U501" t="str">
        <f t="shared" si="191"/>
        <v>Moderate</v>
      </c>
      <c r="V501">
        <f t="shared" si="192"/>
        <v>0.19802826684011374</v>
      </c>
      <c r="W501">
        <f t="shared" si="193"/>
        <v>0.29138377362580614</v>
      </c>
      <c r="X501" t="s">
        <v>1175</v>
      </c>
      <c r="Y501">
        <f t="shared" si="194"/>
        <v>0.23477005919124663</v>
      </c>
      <c r="Z501">
        <f t="shared" si="195"/>
        <v>0.46208622664600701</v>
      </c>
      <c r="AA501" t="str">
        <f t="shared" si="196"/>
        <v>Moderate</v>
      </c>
      <c r="AB501">
        <f t="shared" si="197"/>
        <v>0.14901587799348703</v>
      </c>
      <c r="AC501">
        <f t="shared" si="198"/>
        <v>0.34367544540870648</v>
      </c>
      <c r="AD501" t="str">
        <f t="shared" si="199"/>
        <v>Moderate</v>
      </c>
      <c r="AE501">
        <f t="shared" si="200"/>
        <v>2.6499905263066489E-2</v>
      </c>
      <c r="AF501">
        <f t="shared" si="201"/>
        <v>0.13595596015931505</v>
      </c>
      <c r="AG501" t="s">
        <v>1175</v>
      </c>
    </row>
    <row r="502" spans="1:33" x14ac:dyDescent="0.3">
      <c r="A502">
        <v>558573</v>
      </c>
      <c r="B502" t="s">
        <v>414</v>
      </c>
      <c r="C502" s="1" t="s">
        <v>1044</v>
      </c>
      <c r="D502" t="s">
        <v>1049</v>
      </c>
      <c r="E502" s="4">
        <v>6.3</v>
      </c>
      <c r="F502" s="3">
        <f t="shared" si="186"/>
        <v>0.68888888888888877</v>
      </c>
      <c r="G502">
        <v>64.013400000000004</v>
      </c>
      <c r="H502">
        <f t="shared" si="203"/>
        <v>0.61936807493094526</v>
      </c>
      <c r="I502">
        <v>92.7</v>
      </c>
      <c r="J502" s="3">
        <f t="shared" si="204"/>
        <v>0.42659917165209393</v>
      </c>
      <c r="K502">
        <v>0</v>
      </c>
      <c r="L502" s="3">
        <f t="shared" si="205"/>
        <v>0</v>
      </c>
      <c r="M502">
        <v>13223</v>
      </c>
      <c r="N502">
        <f t="shared" si="206"/>
        <v>6.1432768874820798E-2</v>
      </c>
      <c r="O502" s="15">
        <v>0.93412368800000001</v>
      </c>
      <c r="P502">
        <f t="shared" si="187"/>
        <v>0.95229657009548796</v>
      </c>
      <c r="Q502">
        <v>0.38600000000000001</v>
      </c>
      <c r="R502">
        <f t="shared" si="188"/>
        <v>0.85568610064287298</v>
      </c>
      <c r="S502">
        <f t="shared" si="189"/>
        <v>0.2074173766005315</v>
      </c>
      <c r="T502" s="14">
        <f t="shared" si="190"/>
        <v>0.35421403801911516</v>
      </c>
      <c r="U502" t="str">
        <f t="shared" si="191"/>
        <v>Moderate</v>
      </c>
      <c r="V502">
        <f t="shared" si="192"/>
        <v>0.19633392405957126</v>
      </c>
      <c r="W502">
        <f t="shared" si="193"/>
        <v>0.28889067503393329</v>
      </c>
      <c r="X502" t="s">
        <v>1175</v>
      </c>
      <c r="Y502">
        <f t="shared" si="194"/>
        <v>0.21850082914149174</v>
      </c>
      <c r="Z502">
        <f t="shared" si="195"/>
        <v>0.43006431060601069</v>
      </c>
      <c r="AA502" t="str">
        <f t="shared" si="196"/>
        <v>Moderate</v>
      </c>
      <c r="AB502">
        <f t="shared" si="197"/>
        <v>0.13920055254096964</v>
      </c>
      <c r="AC502">
        <f t="shared" si="198"/>
        <v>0.32103835201874731</v>
      </c>
      <c r="AD502" t="str">
        <f t="shared" si="199"/>
        <v>Moderate</v>
      </c>
      <c r="AE502">
        <f t="shared" si="200"/>
        <v>1.4095515364777612E-2</v>
      </c>
      <c r="AF502">
        <f t="shared" si="201"/>
        <v>7.2316082126889891E-2</v>
      </c>
      <c r="AG502" t="str">
        <f>IF(AF502&gt;0.7,"High",IF(AF502&gt;0.3,"Moderate",IF(AF502&gt;0.15,"Low","No Impact")))</f>
        <v>No Impact</v>
      </c>
    </row>
    <row r="503" spans="1:33" x14ac:dyDescent="0.3">
      <c r="A503">
        <v>558576</v>
      </c>
      <c r="B503" t="s">
        <v>415</v>
      </c>
      <c r="C503" s="1" t="s">
        <v>1044</v>
      </c>
      <c r="D503" t="s">
        <v>1147</v>
      </c>
      <c r="E503" s="4">
        <v>6.3</v>
      </c>
      <c r="F503" s="3">
        <f t="shared" si="186"/>
        <v>0.68888888888888877</v>
      </c>
      <c r="G503">
        <v>65.941200000000009</v>
      </c>
      <c r="H503">
        <f t="shared" si="203"/>
        <v>0.63802069727020361</v>
      </c>
      <c r="I503">
        <v>104.3</v>
      </c>
      <c r="J503" s="3">
        <f t="shared" si="204"/>
        <v>0.47998159226875292</v>
      </c>
      <c r="K503">
        <v>0</v>
      </c>
      <c r="L503" s="3">
        <f t="shared" si="205"/>
        <v>0</v>
      </c>
      <c r="M503">
        <v>36763</v>
      </c>
      <c r="N503">
        <f t="shared" si="206"/>
        <v>0.17281041669623803</v>
      </c>
      <c r="O503" s="15">
        <v>0.91369008200000001</v>
      </c>
      <c r="P503">
        <f t="shared" si="187"/>
        <v>0.93146543910239132</v>
      </c>
      <c r="Q503">
        <v>0.34389999999999998</v>
      </c>
      <c r="R503">
        <f t="shared" si="188"/>
        <v>0.7623586787851917</v>
      </c>
      <c r="S503">
        <f t="shared" si="189"/>
        <v>0.20490270374509484</v>
      </c>
      <c r="T503" s="14">
        <f t="shared" si="190"/>
        <v>0.34991964166226242</v>
      </c>
      <c r="U503" t="str">
        <f t="shared" si="191"/>
        <v>Moderate</v>
      </c>
      <c r="V503">
        <f t="shared" si="192"/>
        <v>0.18444577905932436</v>
      </c>
      <c r="W503">
        <f t="shared" si="193"/>
        <v>0.271398159410497</v>
      </c>
      <c r="X503" t="s">
        <v>1175</v>
      </c>
      <c r="Y503">
        <f t="shared" si="194"/>
        <v>0.22535962843086532</v>
      </c>
      <c r="Z503">
        <f t="shared" si="195"/>
        <v>0.44356414399135374</v>
      </c>
      <c r="AA503" t="str">
        <f t="shared" si="196"/>
        <v>Moderate</v>
      </c>
      <c r="AB503">
        <f t="shared" si="197"/>
        <v>0.146797381623372</v>
      </c>
      <c r="AC503">
        <f t="shared" si="198"/>
        <v>0.33855892535458038</v>
      </c>
      <c r="AD503" t="str">
        <f t="shared" si="199"/>
        <v>Moderate</v>
      </c>
      <c r="AE503">
        <f t="shared" si="200"/>
        <v>4.1809915495282519E-2</v>
      </c>
      <c r="AF503">
        <f t="shared" si="201"/>
        <v>0.214502925535485</v>
      </c>
      <c r="AG503" t="s">
        <v>1175</v>
      </c>
    </row>
    <row r="504" spans="1:33" x14ac:dyDescent="0.3">
      <c r="A504">
        <v>558592</v>
      </c>
      <c r="B504" t="s">
        <v>512</v>
      </c>
      <c r="C504" s="1" t="s">
        <v>1044</v>
      </c>
      <c r="D504" t="s">
        <v>1050</v>
      </c>
      <c r="E504" s="4">
        <v>6</v>
      </c>
      <c r="F504" s="3">
        <f t="shared" si="186"/>
        <v>0.62222222222222223</v>
      </c>
      <c r="G504">
        <v>50.692320000000002</v>
      </c>
      <c r="H504">
        <f t="shared" si="203"/>
        <v>0.49047862872747666</v>
      </c>
      <c r="I504">
        <v>16.5</v>
      </c>
      <c r="J504" s="3">
        <f t="shared" si="204"/>
        <v>7.593189139438565E-2</v>
      </c>
      <c r="K504">
        <v>0</v>
      </c>
      <c r="L504" s="3">
        <f t="shared" si="205"/>
        <v>0</v>
      </c>
      <c r="M504">
        <v>16160</v>
      </c>
      <c r="N504">
        <f t="shared" si="206"/>
        <v>7.5328952037586411E-2</v>
      </c>
      <c r="O504" s="15">
        <v>0.93809313000000005</v>
      </c>
      <c r="P504">
        <f t="shared" si="187"/>
        <v>0.95634323548932498</v>
      </c>
      <c r="Q504">
        <v>0.38100000000000001</v>
      </c>
      <c r="R504">
        <f t="shared" si="188"/>
        <v>0.84460208379516732</v>
      </c>
      <c r="S504">
        <f t="shared" si="189"/>
        <v>0.11843375074986237</v>
      </c>
      <c r="T504" s="14">
        <f t="shared" si="190"/>
        <v>0.20225353236268181</v>
      </c>
      <c r="U504" t="str">
        <f t="shared" si="191"/>
        <v>Low</v>
      </c>
      <c r="V504">
        <f t="shared" si="192"/>
        <v>0.11108543008374343</v>
      </c>
      <c r="W504">
        <f t="shared" si="193"/>
        <v>0.16345389640147101</v>
      </c>
      <c r="X504" t="s">
        <v>1176</v>
      </c>
      <c r="Y504">
        <f t="shared" si="194"/>
        <v>0.12578207141598133</v>
      </c>
      <c r="Z504">
        <f t="shared" si="195"/>
        <v>0.24757059294763967</v>
      </c>
      <c r="AA504" t="str">
        <f t="shared" si="196"/>
        <v>Low</v>
      </c>
      <c r="AB504">
        <f t="shared" si="197"/>
        <v>8.0082169285778507E-2</v>
      </c>
      <c r="AC504">
        <f t="shared" si="198"/>
        <v>0.18469357473294398</v>
      </c>
      <c r="AD504" t="str">
        <f t="shared" si="199"/>
        <v>Low</v>
      </c>
      <c r="AE504">
        <f t="shared" si="200"/>
        <v>9.9075638047826063E-3</v>
      </c>
      <c r="AF504">
        <f t="shared" si="201"/>
        <v>5.0830081713394995E-2</v>
      </c>
      <c r="AG504" t="str">
        <f t="shared" ref="AG504:AG506" si="214">IF(AF504&gt;0.7,"High",IF(AF504&gt;0.3,"Moderate",IF(AF504&gt;0.15,"Low","No Impact")))</f>
        <v>No Impact</v>
      </c>
    </row>
    <row r="505" spans="1:33" x14ac:dyDescent="0.3">
      <c r="A505">
        <v>559408</v>
      </c>
      <c r="B505" t="s">
        <v>37</v>
      </c>
      <c r="C505" s="1" t="s">
        <v>1052</v>
      </c>
      <c r="D505" t="s">
        <v>1148</v>
      </c>
      <c r="E505" s="4">
        <v>5.5</v>
      </c>
      <c r="F505" s="3">
        <f t="shared" si="186"/>
        <v>0.51111111111111107</v>
      </c>
      <c r="G505">
        <v>0</v>
      </c>
      <c r="H505">
        <f t="shared" si="203"/>
        <v>0</v>
      </c>
      <c r="I505">
        <v>0</v>
      </c>
      <c r="J505" s="3">
        <f t="shared" si="204"/>
        <v>0</v>
      </c>
      <c r="K505">
        <v>0</v>
      </c>
      <c r="L505" s="3">
        <f t="shared" si="205"/>
        <v>0</v>
      </c>
      <c r="M505">
        <v>24763</v>
      </c>
      <c r="N505">
        <f t="shared" si="206"/>
        <v>0.1160333659801375</v>
      </c>
      <c r="O505" s="15">
        <v>0.88720270800000001</v>
      </c>
      <c r="P505">
        <f t="shared" si="187"/>
        <v>0.90446276725596619</v>
      </c>
      <c r="Q505">
        <v>0.33739999999999998</v>
      </c>
      <c r="R505">
        <f t="shared" si="188"/>
        <v>0.74794945688317438</v>
      </c>
      <c r="S505">
        <f t="shared" si="189"/>
        <v>0</v>
      </c>
      <c r="T505" s="14">
        <f t="shared" si="190"/>
        <v>0</v>
      </c>
      <c r="U505" t="str">
        <f t="shared" si="191"/>
        <v>No Impact</v>
      </c>
      <c r="V505">
        <f t="shared" si="192"/>
        <v>0</v>
      </c>
      <c r="W505">
        <f t="shared" si="193"/>
        <v>0</v>
      </c>
      <c r="X505" t="s">
        <v>1176</v>
      </c>
      <c r="Y505">
        <f t="shared" si="194"/>
        <v>0</v>
      </c>
      <c r="Z505">
        <f t="shared" si="195"/>
        <v>0</v>
      </c>
      <c r="AA505" t="str">
        <f t="shared" si="196"/>
        <v>No Impact</v>
      </c>
      <c r="AB505">
        <f t="shared" si="197"/>
        <v>0</v>
      </c>
      <c r="AC505">
        <f t="shared" si="198"/>
        <v>0</v>
      </c>
      <c r="AD505" t="str">
        <f t="shared" si="199"/>
        <v>No Impact</v>
      </c>
      <c r="AE505">
        <f t="shared" si="200"/>
        <v>0</v>
      </c>
      <c r="AF505">
        <f t="shared" si="201"/>
        <v>0</v>
      </c>
      <c r="AG505" t="str">
        <f t="shared" si="214"/>
        <v>No Impact</v>
      </c>
    </row>
    <row r="506" spans="1:33" x14ac:dyDescent="0.3">
      <c r="A506">
        <v>559451</v>
      </c>
      <c r="B506" t="s">
        <v>203</v>
      </c>
      <c r="C506" s="1" t="s">
        <v>1052</v>
      </c>
      <c r="D506" t="s">
        <v>1053</v>
      </c>
      <c r="E506" s="4">
        <v>5.6</v>
      </c>
      <c r="F506" s="3">
        <f t="shared" si="186"/>
        <v>0.53333333333333321</v>
      </c>
      <c r="G506">
        <v>36.50508</v>
      </c>
      <c r="H506">
        <f t="shared" si="203"/>
        <v>0.35320856453180349</v>
      </c>
      <c r="I506">
        <v>4.5</v>
      </c>
      <c r="J506" s="3">
        <f t="shared" si="204"/>
        <v>2.0708697653014269E-2</v>
      </c>
      <c r="K506">
        <v>0</v>
      </c>
      <c r="L506" s="3">
        <f t="shared" si="205"/>
        <v>0</v>
      </c>
      <c r="M506">
        <v>7570</v>
      </c>
      <c r="N506">
        <f t="shared" si="206"/>
        <v>3.4686046566644431E-2</v>
      </c>
      <c r="O506" s="15">
        <v>0.55367535700000003</v>
      </c>
      <c r="P506">
        <f t="shared" si="187"/>
        <v>0.56444681811504904</v>
      </c>
      <c r="Q506">
        <v>0.34549999999999997</v>
      </c>
      <c r="R506">
        <f t="shared" si="188"/>
        <v>0.7659055641764575</v>
      </c>
      <c r="S506">
        <f t="shared" si="189"/>
        <v>5.1591124042567361E-2</v>
      </c>
      <c r="T506" s="14">
        <f t="shared" si="190"/>
        <v>8.8103999156529764E-2</v>
      </c>
      <c r="U506" t="str">
        <f t="shared" si="191"/>
        <v>No Impact</v>
      </c>
      <c r="V506">
        <f t="shared" si="192"/>
        <v>5.9403703097457787E-2</v>
      </c>
      <c r="W506">
        <f t="shared" si="193"/>
        <v>8.7408103156604369E-2</v>
      </c>
      <c r="X506" t="s">
        <v>1176</v>
      </c>
      <c r="Y506">
        <f t="shared" si="194"/>
        <v>4.3778544987676936E-2</v>
      </c>
      <c r="Z506">
        <f t="shared" si="195"/>
        <v>8.6167131920893397E-2</v>
      </c>
      <c r="AA506" t="str">
        <f t="shared" si="196"/>
        <v>No Impact</v>
      </c>
      <c r="AB506">
        <f t="shared" si="197"/>
        <v>3.4866448071064607E-2</v>
      </c>
      <c r="AC506">
        <f t="shared" si="198"/>
        <v>8.0412518665738342E-2</v>
      </c>
      <c r="AD506" t="str">
        <f t="shared" si="199"/>
        <v>No Impact</v>
      </c>
      <c r="AE506">
        <f t="shared" si="200"/>
        <v>2.6902528304322717E-3</v>
      </c>
      <c r="AF506">
        <f t="shared" si="201"/>
        <v>1.3802159026677602E-2</v>
      </c>
      <c r="AG506" t="str">
        <f t="shared" si="214"/>
        <v>No Impact</v>
      </c>
    </row>
    <row r="507" spans="1:33" x14ac:dyDescent="0.3">
      <c r="A507">
        <v>559482</v>
      </c>
      <c r="B507" t="s">
        <v>416</v>
      </c>
      <c r="C507" s="1" t="s">
        <v>1052</v>
      </c>
      <c r="D507" t="s">
        <v>1147</v>
      </c>
      <c r="E507" s="4">
        <v>5.6</v>
      </c>
      <c r="F507" s="3">
        <f t="shared" si="186"/>
        <v>0.53333333333333321</v>
      </c>
      <c r="G507">
        <v>40.351320000000001</v>
      </c>
      <c r="H507">
        <f t="shared" si="203"/>
        <v>0.39042324559111918</v>
      </c>
      <c r="I507">
        <v>5.8999999999999995</v>
      </c>
      <c r="J507" s="3">
        <f t="shared" si="204"/>
        <v>2.7151403589507593E-2</v>
      </c>
      <c r="K507">
        <v>0</v>
      </c>
      <c r="L507" s="3">
        <f t="shared" si="205"/>
        <v>0</v>
      </c>
      <c r="M507">
        <v>41019</v>
      </c>
      <c r="N507">
        <f t="shared" si="206"/>
        <v>0.19294734401688171</v>
      </c>
      <c r="O507" s="15">
        <v>0.72696125099999997</v>
      </c>
      <c r="P507">
        <f t="shared" si="187"/>
        <v>0.74110389749545147</v>
      </c>
      <c r="Q507">
        <v>0.37730000000000002</v>
      </c>
      <c r="R507">
        <f t="shared" si="188"/>
        <v>0.83639991132786529</v>
      </c>
      <c r="S507">
        <f t="shared" si="189"/>
        <v>6.7979720347928041E-2</v>
      </c>
      <c r="T507" s="14">
        <f t="shared" si="190"/>
        <v>0.11609138849646457</v>
      </c>
      <c r="U507" t="str">
        <f t="shared" si="191"/>
        <v>No Impact</v>
      </c>
      <c r="V507">
        <f t="shared" si="192"/>
        <v>7.2086332537620271E-2</v>
      </c>
      <c r="W507">
        <f t="shared" si="193"/>
        <v>0.10606964317177812</v>
      </c>
      <c r="X507" t="s">
        <v>1176</v>
      </c>
      <c r="Y507">
        <f t="shared" si="194"/>
        <v>6.3873108158235783E-2</v>
      </c>
      <c r="Z507">
        <f t="shared" si="195"/>
        <v>0.12571826081514195</v>
      </c>
      <c r="AA507" t="str">
        <f t="shared" si="196"/>
        <v>No Impact</v>
      </c>
      <c r="AB507">
        <f t="shared" si="197"/>
        <v>5.0212454618955613E-2</v>
      </c>
      <c r="AC507">
        <f t="shared" si="198"/>
        <v>0.11580502654212636</v>
      </c>
      <c r="AD507" t="str">
        <f t="shared" si="199"/>
        <v>No Impact</v>
      </c>
      <c r="AE507">
        <f t="shared" si="200"/>
        <v>1.6629445095193627E-2</v>
      </c>
      <c r="AF507">
        <f t="shared" si="201"/>
        <v>8.5316236129518913E-2</v>
      </c>
      <c r="AG507" t="s">
        <v>1175</v>
      </c>
    </row>
    <row r="508" spans="1:33" x14ac:dyDescent="0.3">
      <c r="A508">
        <v>559486</v>
      </c>
      <c r="B508" t="s">
        <v>439</v>
      </c>
      <c r="C508" s="1" t="s">
        <v>1052</v>
      </c>
      <c r="D508" t="s">
        <v>1054</v>
      </c>
      <c r="E508" s="4">
        <v>5.7</v>
      </c>
      <c r="F508" s="3">
        <f t="shared" si="186"/>
        <v>0.55555555555555558</v>
      </c>
      <c r="G508">
        <v>35.763480000000001</v>
      </c>
      <c r="H508">
        <f t="shared" si="203"/>
        <v>0.34603313931819529</v>
      </c>
      <c r="I508">
        <v>5.8999999999999995</v>
      </c>
      <c r="J508" s="3">
        <f t="shared" si="204"/>
        <v>2.7151403589507593E-2</v>
      </c>
      <c r="K508">
        <v>0</v>
      </c>
      <c r="L508" s="3">
        <f t="shared" si="205"/>
        <v>0</v>
      </c>
      <c r="M508">
        <v>19234</v>
      </c>
      <c r="N508">
        <f t="shared" si="206"/>
        <v>8.9873339862694163E-2</v>
      </c>
      <c r="O508" s="15">
        <v>0.73121050600000004</v>
      </c>
      <c r="P508">
        <f t="shared" si="187"/>
        <v>0.74543581950315152</v>
      </c>
      <c r="Q508">
        <v>0.34670000000000001</v>
      </c>
      <c r="R508">
        <f t="shared" si="188"/>
        <v>0.76856572821990687</v>
      </c>
      <c r="S508">
        <f t="shared" si="189"/>
        <v>6.0494260224433369E-2</v>
      </c>
      <c r="T508" s="14">
        <f t="shared" si="190"/>
        <v>0.10330820176336557</v>
      </c>
      <c r="U508" t="str">
        <f t="shared" si="191"/>
        <v>No Impact</v>
      </c>
      <c r="V508">
        <f t="shared" si="192"/>
        <v>6.1418451298731226E-2</v>
      </c>
      <c r="W508">
        <f t="shared" si="193"/>
        <v>9.037265434498018E-2</v>
      </c>
      <c r="X508" t="s">
        <v>1176</v>
      </c>
      <c r="Y508">
        <f t="shared" si="194"/>
        <v>5.9570069150135518E-2</v>
      </c>
      <c r="Z508">
        <f t="shared" si="195"/>
        <v>0.11724880323092815</v>
      </c>
      <c r="AA508" t="str">
        <f t="shared" si="196"/>
        <v>No Impact</v>
      </c>
      <c r="AB508">
        <f t="shared" si="197"/>
        <v>4.1881197956983418E-2</v>
      </c>
      <c r="AC508">
        <f t="shared" si="198"/>
        <v>9.659064225857579E-2</v>
      </c>
      <c r="AD508" t="str">
        <f t="shared" si="199"/>
        <v>No Impact</v>
      </c>
      <c r="AE508">
        <f t="shared" si="200"/>
        <v>7.1820550211052587E-3</v>
      </c>
      <c r="AF508">
        <f t="shared" si="201"/>
        <v>3.6847044418392157E-2</v>
      </c>
      <c r="AG508" t="str">
        <f t="shared" ref="AG508:AG511" si="215">IF(AF508&gt;0.7,"High",IF(AF508&gt;0.3,"Moderate",IF(AF508&gt;0.15,"Low","No Impact")))</f>
        <v>No Impact</v>
      </c>
    </row>
    <row r="509" spans="1:33" x14ac:dyDescent="0.3">
      <c r="A509">
        <v>559494</v>
      </c>
      <c r="B509" t="s">
        <v>521</v>
      </c>
      <c r="C509" s="1" t="s">
        <v>1052</v>
      </c>
      <c r="D509" t="s">
        <v>1055</v>
      </c>
      <c r="E509" s="4">
        <v>5.7</v>
      </c>
      <c r="F509" s="3">
        <f t="shared" si="186"/>
        <v>0.55555555555555558</v>
      </c>
      <c r="G509">
        <v>0</v>
      </c>
      <c r="H509">
        <f t="shared" si="203"/>
        <v>0</v>
      </c>
      <c r="I509">
        <v>0</v>
      </c>
      <c r="J509" s="3">
        <f t="shared" si="204"/>
        <v>0</v>
      </c>
      <c r="K509">
        <v>0</v>
      </c>
      <c r="L509" s="3">
        <f t="shared" si="205"/>
        <v>0</v>
      </c>
      <c r="M509">
        <v>95551</v>
      </c>
      <c r="N509">
        <f t="shared" si="206"/>
        <v>0.45096118815441466</v>
      </c>
      <c r="O509" s="15">
        <v>0.75379160199999995</v>
      </c>
      <c r="P509">
        <f t="shared" si="187"/>
        <v>0.7684562187779389</v>
      </c>
      <c r="Q509">
        <v>0.36070000000000002</v>
      </c>
      <c r="R509">
        <f t="shared" si="188"/>
        <v>0.79960097539348263</v>
      </c>
      <c r="S509">
        <f t="shared" si="189"/>
        <v>0</v>
      </c>
      <c r="T509" s="14">
        <f t="shared" si="190"/>
        <v>0</v>
      </c>
      <c r="U509" t="str">
        <f t="shared" si="191"/>
        <v>No Impact</v>
      </c>
      <c r="V509">
        <f t="shared" si="192"/>
        <v>0</v>
      </c>
      <c r="W509">
        <f t="shared" si="193"/>
        <v>0</v>
      </c>
      <c r="X509" t="s">
        <v>1176</v>
      </c>
      <c r="Y509">
        <f t="shared" si="194"/>
        <v>0</v>
      </c>
      <c r="Z509">
        <f t="shared" si="195"/>
        <v>0</v>
      </c>
      <c r="AA509" t="str">
        <f t="shared" si="196"/>
        <v>No Impact</v>
      </c>
      <c r="AB509">
        <f t="shared" si="197"/>
        <v>0</v>
      </c>
      <c r="AC509">
        <f t="shared" si="198"/>
        <v>0</v>
      </c>
      <c r="AD509" t="str">
        <f t="shared" si="199"/>
        <v>No Impact</v>
      </c>
      <c r="AE509">
        <f t="shared" si="200"/>
        <v>0</v>
      </c>
      <c r="AF509">
        <f t="shared" si="201"/>
        <v>0</v>
      </c>
      <c r="AG509" t="str">
        <f t="shared" si="215"/>
        <v>No Impact</v>
      </c>
    </row>
    <row r="510" spans="1:33" x14ac:dyDescent="0.3">
      <c r="A510">
        <v>603602</v>
      </c>
      <c r="B510" t="s">
        <v>5</v>
      </c>
      <c r="C510" s="1" t="s">
        <v>1057</v>
      </c>
      <c r="D510" t="s">
        <v>1056</v>
      </c>
      <c r="E510" s="4">
        <v>5.7</v>
      </c>
      <c r="F510" s="3">
        <f t="shared" si="186"/>
        <v>0.55555555555555558</v>
      </c>
      <c r="G510">
        <v>69.218280000000007</v>
      </c>
      <c r="H510">
        <f t="shared" si="203"/>
        <v>0.66972841363888114</v>
      </c>
      <c r="I510">
        <v>117.8</v>
      </c>
      <c r="J510" s="3">
        <f t="shared" si="204"/>
        <v>0.54210768522779573</v>
      </c>
      <c r="K510">
        <v>0</v>
      </c>
      <c r="L510" s="3">
        <f t="shared" si="205"/>
        <v>0</v>
      </c>
      <c r="M510">
        <v>7462</v>
      </c>
      <c r="N510">
        <f t="shared" si="206"/>
        <v>3.4175053110199527E-2</v>
      </c>
      <c r="O510" s="15">
        <v>0.72068400799999999</v>
      </c>
      <c r="P510">
        <f t="shared" si="187"/>
        <v>0.73470453405424097</v>
      </c>
      <c r="Q510">
        <v>0.28170000000000001</v>
      </c>
      <c r="R510">
        <f t="shared" si="188"/>
        <v>0.62447350919973399</v>
      </c>
      <c r="S510">
        <f t="shared" si="189"/>
        <v>0.14207673179796801</v>
      </c>
      <c r="T510" s="14">
        <f t="shared" si="190"/>
        <v>0.24262949278179285</v>
      </c>
      <c r="U510" t="str">
        <f t="shared" si="191"/>
        <v>Low</v>
      </c>
      <c r="V510">
        <f t="shared" si="192"/>
        <v>0.13055413265667029</v>
      </c>
      <c r="W510">
        <f t="shared" si="193"/>
        <v>0.19210063514144135</v>
      </c>
      <c r="X510" t="s">
        <v>1176</v>
      </c>
      <c r="Y510">
        <f t="shared" si="194"/>
        <v>0.15359933093926567</v>
      </c>
      <c r="Z510">
        <f t="shared" si="195"/>
        <v>0.30232192083428538</v>
      </c>
      <c r="AA510" t="str">
        <f t="shared" si="196"/>
        <v>Moderate</v>
      </c>
      <c r="AB510">
        <f t="shared" si="197"/>
        <v>9.4274401100592126E-2</v>
      </c>
      <c r="AC510">
        <f t="shared" si="198"/>
        <v>0.21742513096692373</v>
      </c>
      <c r="AD510" t="str">
        <f t="shared" si="199"/>
        <v>Low</v>
      </c>
      <c r="AE510">
        <f t="shared" si="200"/>
        <v>7.1447296827937927E-3</v>
      </c>
      <c r="AF510">
        <f t="shared" si="201"/>
        <v>3.66555493108425E-2</v>
      </c>
      <c r="AG510" t="str">
        <f t="shared" si="215"/>
        <v>No Impact</v>
      </c>
    </row>
    <row r="511" spans="1:33" x14ac:dyDescent="0.3">
      <c r="A511">
        <v>603605</v>
      </c>
      <c r="B511" t="s">
        <v>30</v>
      </c>
      <c r="C511" s="1" t="s">
        <v>1057</v>
      </c>
      <c r="D511" t="s">
        <v>1058</v>
      </c>
      <c r="E511" s="4">
        <v>5.6</v>
      </c>
      <c r="F511" s="3">
        <f t="shared" si="186"/>
        <v>0.53333333333333321</v>
      </c>
      <c r="G511">
        <v>68.36148</v>
      </c>
      <c r="H511">
        <f t="shared" si="203"/>
        <v>0.66143835926587735</v>
      </c>
      <c r="I511">
        <v>91.899999999999991</v>
      </c>
      <c r="J511" s="3">
        <f t="shared" si="204"/>
        <v>0.42291762540266914</v>
      </c>
      <c r="K511">
        <v>0</v>
      </c>
      <c r="L511" s="3">
        <f t="shared" si="205"/>
        <v>0</v>
      </c>
      <c r="M511">
        <v>12557</v>
      </c>
      <c r="N511">
        <f t="shared" si="206"/>
        <v>5.8281642560077215E-2</v>
      </c>
      <c r="O511" s="15">
        <v>0.57918296300000005</v>
      </c>
      <c r="P511">
        <f t="shared" si="187"/>
        <v>0.59045066109343969</v>
      </c>
      <c r="Q511">
        <v>0.35549999999999998</v>
      </c>
      <c r="R511">
        <f t="shared" si="188"/>
        <v>0.7880735978718687</v>
      </c>
      <c r="S511">
        <f t="shared" si="189"/>
        <v>0.12835305889482818</v>
      </c>
      <c r="T511" s="14">
        <f t="shared" si="190"/>
        <v>0.21919308800633</v>
      </c>
      <c r="U511" t="str">
        <f t="shared" si="191"/>
        <v>Low</v>
      </c>
      <c r="V511">
        <f t="shared" si="192"/>
        <v>0.14675353917533437</v>
      </c>
      <c r="W511">
        <f t="shared" si="193"/>
        <v>0.21593684942148605</v>
      </c>
      <c r="X511" t="s">
        <v>1176</v>
      </c>
      <c r="Y511">
        <f t="shared" si="194"/>
        <v>0.10995257861432195</v>
      </c>
      <c r="Z511">
        <f t="shared" si="195"/>
        <v>0.21641418985417554</v>
      </c>
      <c r="AA511" t="str">
        <f t="shared" si="196"/>
        <v>Low</v>
      </c>
      <c r="AB511">
        <f t="shared" si="197"/>
        <v>8.8148095407962979E-2</v>
      </c>
      <c r="AC511">
        <f t="shared" si="198"/>
        <v>0.20329602696824622</v>
      </c>
      <c r="AD511" t="str">
        <f t="shared" si="199"/>
        <v>Low</v>
      </c>
      <c r="AE511">
        <f t="shared" si="200"/>
        <v>1.0853094606569661E-2</v>
      </c>
      <c r="AF511">
        <f t="shared" si="201"/>
        <v>5.5681063131669338E-2</v>
      </c>
      <c r="AG511" t="str">
        <f t="shared" si="215"/>
        <v>No Impact</v>
      </c>
    </row>
    <row r="512" spans="1:33" x14ac:dyDescent="0.3">
      <c r="A512">
        <v>603611</v>
      </c>
      <c r="B512" t="s">
        <v>44</v>
      </c>
      <c r="C512" s="1" t="s">
        <v>1057</v>
      </c>
      <c r="D512" t="s">
        <v>1059</v>
      </c>
      <c r="E512" s="4">
        <v>5.7</v>
      </c>
      <c r="F512" s="3">
        <f t="shared" si="186"/>
        <v>0.55555555555555558</v>
      </c>
      <c r="G512">
        <v>69.218280000000007</v>
      </c>
      <c r="H512">
        <f t="shared" si="203"/>
        <v>0.66972841363888114</v>
      </c>
      <c r="I512">
        <v>117.8</v>
      </c>
      <c r="J512" s="3">
        <f t="shared" si="204"/>
        <v>0.54210768522779573</v>
      </c>
      <c r="K512">
        <v>0</v>
      </c>
      <c r="L512" s="3">
        <f t="shared" si="205"/>
        <v>0</v>
      </c>
      <c r="M512">
        <v>22652</v>
      </c>
      <c r="N512">
        <f t="shared" si="206"/>
        <v>0.10604533647499681</v>
      </c>
      <c r="O512" s="15">
        <v>0.52832718199999995</v>
      </c>
      <c r="P512">
        <f t="shared" si="187"/>
        <v>0.53860550778240679</v>
      </c>
      <c r="Q512">
        <v>0.25419999999999998</v>
      </c>
      <c r="R512">
        <f t="shared" si="188"/>
        <v>0.56351141653735315</v>
      </c>
      <c r="S512">
        <f t="shared" si="189"/>
        <v>0.11520578296843523</v>
      </c>
      <c r="T512" s="14">
        <f t="shared" si="190"/>
        <v>0.19674101686762285</v>
      </c>
      <c r="U512" t="str">
        <f t="shared" si="191"/>
        <v>Low</v>
      </c>
      <c r="V512">
        <f t="shared" si="192"/>
        <v>0.11780923152760236</v>
      </c>
      <c r="W512">
        <f t="shared" si="193"/>
        <v>0.17334746699664319</v>
      </c>
      <c r="X512" t="s">
        <v>1176</v>
      </c>
      <c r="Y512">
        <f t="shared" si="194"/>
        <v>0.1126023344092681</v>
      </c>
      <c r="Z512">
        <f t="shared" si="195"/>
        <v>0.22162957234816996</v>
      </c>
      <c r="AA512" t="str">
        <f t="shared" si="196"/>
        <v>Low</v>
      </c>
      <c r="AB512">
        <f t="shared" si="197"/>
        <v>8.2773475761866014E-2</v>
      </c>
      <c r="AC512">
        <f t="shared" si="198"/>
        <v>0.19090053713423344</v>
      </c>
      <c r="AD512" t="str">
        <f t="shared" si="199"/>
        <v>Low</v>
      </c>
      <c r="AE512">
        <f t="shared" si="200"/>
        <v>2.2170126869785027E-2</v>
      </c>
      <c r="AF512">
        <f t="shared" si="201"/>
        <v>0.11374232683149839</v>
      </c>
      <c r="AG512" t="s">
        <v>1175</v>
      </c>
    </row>
    <row r="513" spans="1:33" x14ac:dyDescent="0.3">
      <c r="A513">
        <v>603626</v>
      </c>
      <c r="B513" t="s">
        <v>115</v>
      </c>
      <c r="C513" s="1" t="s">
        <v>1057</v>
      </c>
      <c r="D513" t="s">
        <v>1060</v>
      </c>
      <c r="E513" s="4">
        <v>5.2</v>
      </c>
      <c r="F513" s="3">
        <f t="shared" si="186"/>
        <v>0.44444444444444442</v>
      </c>
      <c r="G513">
        <v>68.463720000000009</v>
      </c>
      <c r="H513">
        <f t="shared" si="203"/>
        <v>0.66242759264484086</v>
      </c>
      <c r="I513">
        <v>91.899999999999991</v>
      </c>
      <c r="J513" s="3">
        <f t="shared" si="204"/>
        <v>0.42291762540266914</v>
      </c>
      <c r="K513">
        <v>0</v>
      </c>
      <c r="L513" s="3">
        <f t="shared" si="205"/>
        <v>0</v>
      </c>
      <c r="M513">
        <v>8086</v>
      </c>
      <c r="N513">
        <f t="shared" si="206"/>
        <v>3.7127459747436753E-2</v>
      </c>
      <c r="O513" s="15">
        <v>0.59084794500000004</v>
      </c>
      <c r="P513">
        <f t="shared" si="187"/>
        <v>0.60234257914618639</v>
      </c>
      <c r="Q513">
        <v>0.41620000000000001</v>
      </c>
      <c r="R513">
        <f t="shared" si="188"/>
        <v>0.92263356240301486</v>
      </c>
      <c r="S513">
        <f t="shared" si="189"/>
        <v>0.11845830387352108</v>
      </c>
      <c r="T513" s="14">
        <f t="shared" si="190"/>
        <v>0.20229546260603787</v>
      </c>
      <c r="U513" t="str">
        <f t="shared" si="191"/>
        <v>Low</v>
      </c>
      <c r="V513">
        <f t="shared" si="192"/>
        <v>0.14333812040890789</v>
      </c>
      <c r="W513">
        <f t="shared" si="193"/>
        <v>0.21091131632687357</v>
      </c>
      <c r="X513" t="s">
        <v>1176</v>
      </c>
      <c r="Y513">
        <f t="shared" si="194"/>
        <v>9.3578487338134217E-2</v>
      </c>
      <c r="Z513">
        <f t="shared" si="195"/>
        <v>0.18418588067950631</v>
      </c>
      <c r="AA513" t="str">
        <f t="shared" si="196"/>
        <v>Low</v>
      </c>
      <c r="AB513">
        <f t="shared" si="197"/>
        <v>8.0260699690053616E-2</v>
      </c>
      <c r="AC513">
        <f t="shared" si="198"/>
        <v>0.1851053195552704</v>
      </c>
      <c r="AD513" t="str">
        <f t="shared" si="199"/>
        <v>Low</v>
      </c>
      <c r="AE513">
        <f t="shared" si="200"/>
        <v>5.7680324157017467E-3</v>
      </c>
      <c r="AF513">
        <f t="shared" si="201"/>
        <v>2.9592497690915869E-2</v>
      </c>
      <c r="AG513" t="str">
        <f>IF(AF513&gt;0.7,"High",IF(AF513&gt;0.3,"Moderate",IF(AF513&gt;0.15,"Low","No Impact")))</f>
        <v>No Impact</v>
      </c>
    </row>
    <row r="514" spans="1:33" x14ac:dyDescent="0.3">
      <c r="A514">
        <v>603644</v>
      </c>
      <c r="B514" t="s">
        <v>196</v>
      </c>
      <c r="C514" s="1" t="s">
        <v>1057</v>
      </c>
      <c r="D514" t="s">
        <v>1061</v>
      </c>
      <c r="E514" s="4">
        <v>5.7</v>
      </c>
      <c r="F514" s="3">
        <f t="shared" si="186"/>
        <v>0.55555555555555558</v>
      </c>
      <c r="G514">
        <v>68.36148</v>
      </c>
      <c r="H514">
        <f t="shared" si="203"/>
        <v>0.66143835926587735</v>
      </c>
      <c r="I514">
        <v>109</v>
      </c>
      <c r="J514" s="3">
        <f t="shared" si="204"/>
        <v>0.50161067648412339</v>
      </c>
      <c r="K514">
        <v>0</v>
      </c>
      <c r="L514" s="3">
        <f t="shared" si="205"/>
        <v>0</v>
      </c>
      <c r="M514">
        <v>33136</v>
      </c>
      <c r="N514">
        <f t="shared" si="206"/>
        <v>0.15564955311729667</v>
      </c>
      <c r="O514" s="15">
        <v>0.45302080700000003</v>
      </c>
      <c r="P514">
        <f t="shared" si="187"/>
        <v>0.46183408710216761</v>
      </c>
      <c r="Q514">
        <v>0.35680000000000001</v>
      </c>
      <c r="R514">
        <f t="shared" si="188"/>
        <v>0.79095544225227221</v>
      </c>
      <c r="S514">
        <f t="shared" si="189"/>
        <v>0.12698326138416943</v>
      </c>
      <c r="T514" s="14">
        <f t="shared" si="190"/>
        <v>0.21685383603298439</v>
      </c>
      <c r="U514" t="str">
        <f t="shared" si="191"/>
        <v>Low</v>
      </c>
      <c r="V514">
        <f t="shared" si="192"/>
        <v>0.16034313715649776</v>
      </c>
      <c r="W514">
        <f t="shared" si="193"/>
        <v>0.23593292576449684</v>
      </c>
      <c r="X514" t="s">
        <v>1175</v>
      </c>
      <c r="Y514">
        <f t="shared" si="194"/>
        <v>9.3623385611841109E-2</v>
      </c>
      <c r="Z514">
        <f t="shared" si="195"/>
        <v>0.18427425171775372</v>
      </c>
      <c r="AA514" t="str">
        <f t="shared" si="196"/>
        <v>Low</v>
      </c>
      <c r="AB514">
        <f t="shared" si="197"/>
        <v>9.5250805543418388E-2</v>
      </c>
      <c r="AC514">
        <f t="shared" si="198"/>
        <v>0.21967701335895998</v>
      </c>
      <c r="AD514" t="str">
        <f t="shared" si="199"/>
        <v>Low</v>
      </c>
      <c r="AE514">
        <f t="shared" si="200"/>
        <v>3.155340530026246E-2</v>
      </c>
      <c r="AF514">
        <f t="shared" si="201"/>
        <v>0.16188259811902406</v>
      </c>
      <c r="AG514" t="s">
        <v>1175</v>
      </c>
    </row>
    <row r="515" spans="1:33" x14ac:dyDescent="0.3">
      <c r="A515">
        <v>603668</v>
      </c>
      <c r="B515" t="s">
        <v>293</v>
      </c>
      <c r="C515" s="1" t="s">
        <v>1057</v>
      </c>
      <c r="D515" t="s">
        <v>1062</v>
      </c>
      <c r="E515" s="4">
        <v>5.6</v>
      </c>
      <c r="F515" s="3">
        <f t="shared" ref="F515:F547" si="216">(E515-$AJ$5)/$AK$5</f>
        <v>0.53333333333333321</v>
      </c>
      <c r="G515">
        <v>66.671999999999997</v>
      </c>
      <c r="H515">
        <f t="shared" si="203"/>
        <v>0.64509162600011838</v>
      </c>
      <c r="I515">
        <v>111.19999999999999</v>
      </c>
      <c r="J515" s="3">
        <f t="shared" si="204"/>
        <v>0.51173492867004144</v>
      </c>
      <c r="K515">
        <v>0</v>
      </c>
      <c r="L515" s="3">
        <f t="shared" si="205"/>
        <v>0</v>
      </c>
      <c r="M515">
        <v>9664</v>
      </c>
      <c r="N515">
        <f t="shared" si="206"/>
        <v>4.4593641916603977E-2</v>
      </c>
      <c r="O515" s="15">
        <v>0.36574056700000002</v>
      </c>
      <c r="P515">
        <f t="shared" ref="P515:P547" si="217">(O515-$AJ$11)/$AK$11</f>
        <v>0.3728558562138497</v>
      </c>
      <c r="Q515">
        <v>0.30549999999999999</v>
      </c>
      <c r="R515">
        <f t="shared" ref="R515:R547" si="218">(Q515-$AJ$12)/$AK$12</f>
        <v>0.67723342939481268</v>
      </c>
      <c r="S515">
        <f t="shared" ref="S515:S547" si="219">F515*(R515*0.5+P515*0.5)*(H515*0.4+J515*0.2+L515*0.4)</f>
        <v>0.10091599867015</v>
      </c>
      <c r="T515" s="14">
        <f t="shared" ref="T515:T547" si="220">(S515-$AJ$10)/$AK$10</f>
        <v>0.1723378435092689</v>
      </c>
      <c r="U515" t="str">
        <f t="shared" ref="U515:U547" si="221">IF(T515&gt;0.7,"High",IF(T515&gt;0.3,"Moderate",IF(T515&gt;0.15,"Low","No Impact")))</f>
        <v>Low</v>
      </c>
      <c r="V515">
        <f t="shared" ref="V515:V547" si="222">F515*(R515*1)*(H515*0.4+J515*0.2+L515*0.4)</f>
        <v>0.13016738442498069</v>
      </c>
      <c r="W515">
        <f t="shared" ref="W515:W547" si="223">(V515-$AJ$13)/$AK$13</f>
        <v>0.1915315640639077</v>
      </c>
      <c r="X515" t="s">
        <v>1176</v>
      </c>
      <c r="Y515">
        <f t="shared" ref="Y515:Y547" si="224">F515*(P515*1)*(H515*0.4+J515*0.2+L515*0.4)</f>
        <v>7.1664612915319337E-2</v>
      </c>
      <c r="Z515">
        <f t="shared" ref="Z515:Z547" si="225">(Y515-$AJ$14)/$AK$14</f>
        <v>0.1410538919663113</v>
      </c>
      <c r="AA515" t="str">
        <f t="shared" ref="AA515:AA547" si="226">IF(Z515&gt;0.7,"High",IF(Z515&gt;0.3,"Moderate",IF(Z515&gt;0.15,"Low","No Impact")))</f>
        <v>No Impact</v>
      </c>
      <c r="AB515">
        <f t="shared" ref="AB515:AB547" si="227">F515*(R515*0.35+P515*0.3+N515*0.35)*(H515*0.4+J515*0.2+L515*0.4)</f>
        <v>7.0057854603513978E-2</v>
      </c>
      <c r="AC515">
        <f t="shared" ref="AC515:AC547" si="228">(AB515-$AJ$15)/$AK$15</f>
        <v>0.16157448930571944</v>
      </c>
      <c r="AD515" t="str">
        <f t="shared" ref="AD515:AD547" si="229">IF(AC515&gt;0.7,"High",IF(AC515&gt;0.3,"Moderate",IF(AC515&gt;0.15,"Low","No Impact")))</f>
        <v>Low</v>
      </c>
      <c r="AE515">
        <f t="shared" ref="AE515:AE547" si="230">F515*(N515*1)*(H515*0.4+J515*0.2+L515*0.4)</f>
        <v>8.5711033719284135E-3</v>
      </c>
      <c r="AF515">
        <f t="shared" ref="AF515:AF547" si="231">(AE515-$AJ$16)/$AK$16</f>
        <v>4.3973462432688938E-2</v>
      </c>
      <c r="AG515" t="str">
        <f>IF(AF515&gt;0.7,"High",IF(AF515&gt;0.3,"Moderate",IF(AF515&gt;0.15,"Low","No Impact")))</f>
        <v>No Impact</v>
      </c>
    </row>
    <row r="516" spans="1:33" x14ac:dyDescent="0.3">
      <c r="A516">
        <v>603671</v>
      </c>
      <c r="B516" t="s">
        <v>309</v>
      </c>
      <c r="C516" s="1" t="s">
        <v>1057</v>
      </c>
      <c r="D516" t="s">
        <v>1063</v>
      </c>
      <c r="E516" s="4">
        <v>5.5</v>
      </c>
      <c r="F516" s="3">
        <f t="shared" si="216"/>
        <v>0.51111111111111107</v>
      </c>
      <c r="G516">
        <v>70.777079999999998</v>
      </c>
      <c r="H516">
        <f t="shared" si="203"/>
        <v>0.6848107394519507</v>
      </c>
      <c r="I516">
        <v>99.5</v>
      </c>
      <c r="J516" s="3">
        <f t="shared" si="204"/>
        <v>0.45789231477220438</v>
      </c>
      <c r="K516">
        <v>0</v>
      </c>
      <c r="L516" s="3">
        <f t="shared" si="205"/>
        <v>0</v>
      </c>
      <c r="M516">
        <v>31830</v>
      </c>
      <c r="N516">
        <f t="shared" si="206"/>
        <v>0.1494703174310277</v>
      </c>
      <c r="O516" s="15">
        <v>0.57259408099999998</v>
      </c>
      <c r="P516">
        <f t="shared" si="217"/>
        <v>0.58373359588037554</v>
      </c>
      <c r="Q516">
        <v>0.39050000000000001</v>
      </c>
      <c r="R516">
        <f t="shared" si="218"/>
        <v>0.86566171580580809</v>
      </c>
      <c r="S516">
        <f t="shared" si="219"/>
        <v>0.13538259614601669</v>
      </c>
      <c r="T516" s="14">
        <f t="shared" si="220"/>
        <v>0.23119767901966989</v>
      </c>
      <c r="U516" t="str">
        <f t="shared" si="221"/>
        <v>Low</v>
      </c>
      <c r="V516">
        <f t="shared" si="222"/>
        <v>0.16171644757656048</v>
      </c>
      <c r="W516">
        <f t="shared" si="223"/>
        <v>0.23795364926494844</v>
      </c>
      <c r="X516" t="s">
        <v>1175</v>
      </c>
      <c r="Y516">
        <f t="shared" si="224"/>
        <v>0.10904874471547298</v>
      </c>
      <c r="Z516">
        <f t="shared" si="225"/>
        <v>0.21463521856084869</v>
      </c>
      <c r="AA516" t="str">
        <f t="shared" si="226"/>
        <v>Low</v>
      </c>
      <c r="AB516">
        <f t="shared" si="227"/>
        <v>9.9088404458194987E-2</v>
      </c>
      <c r="AC516">
        <f t="shared" si="228"/>
        <v>0.22852767098078375</v>
      </c>
      <c r="AD516" t="str">
        <f t="shared" si="229"/>
        <v>Low</v>
      </c>
      <c r="AE516">
        <f t="shared" si="230"/>
        <v>2.7922926833591256E-2</v>
      </c>
      <c r="AF516">
        <f t="shared" si="231"/>
        <v>0.14325667546480528</v>
      </c>
      <c r="AG516" t="s">
        <v>1175</v>
      </c>
    </row>
    <row r="517" spans="1:33" x14ac:dyDescent="0.3">
      <c r="A517">
        <v>603677</v>
      </c>
      <c r="B517" t="s">
        <v>356</v>
      </c>
      <c r="C517" s="1" t="s">
        <v>1057</v>
      </c>
      <c r="D517" t="s">
        <v>1064</v>
      </c>
      <c r="E517" s="4">
        <v>5.8</v>
      </c>
      <c r="F517" s="3">
        <f t="shared" si="216"/>
        <v>0.57777777777777772</v>
      </c>
      <c r="G517">
        <v>77.954760000000007</v>
      </c>
      <c r="H517">
        <f t="shared" si="203"/>
        <v>0.75425910251453376</v>
      </c>
      <c r="I517">
        <v>104.7</v>
      </c>
      <c r="J517" s="3">
        <f t="shared" si="204"/>
        <v>0.48182236539346529</v>
      </c>
      <c r="K517">
        <v>0</v>
      </c>
      <c r="L517" s="3">
        <f t="shared" si="205"/>
        <v>0</v>
      </c>
      <c r="M517">
        <v>22206</v>
      </c>
      <c r="N517">
        <f t="shared" si="206"/>
        <v>0.10393512275671507</v>
      </c>
      <c r="O517" s="15">
        <v>0.53341939299999996</v>
      </c>
      <c r="P517">
        <f t="shared" si="217"/>
        <v>0.54379678505307005</v>
      </c>
      <c r="Q517">
        <v>0.31540000000000001</v>
      </c>
      <c r="R517">
        <f t="shared" si="218"/>
        <v>0.69917978275326986</v>
      </c>
      <c r="S517">
        <f t="shared" si="219"/>
        <v>0.14293914214606071</v>
      </c>
      <c r="T517" s="14">
        <f t="shared" si="220"/>
        <v>0.24410226163478879</v>
      </c>
      <c r="U517" t="str">
        <f t="shared" si="221"/>
        <v>Low</v>
      </c>
      <c r="V517">
        <f t="shared" si="222"/>
        <v>0.16080779145981863</v>
      </c>
      <c r="W517">
        <f t="shared" si="223"/>
        <v>0.23661662979571185</v>
      </c>
      <c r="X517" t="s">
        <v>1175</v>
      </c>
      <c r="Y517">
        <f t="shared" si="224"/>
        <v>0.12507049283230284</v>
      </c>
      <c r="Z517">
        <f t="shared" si="225"/>
        <v>0.24617002822560138</v>
      </c>
      <c r="AA517" t="str">
        <f t="shared" si="226"/>
        <v>Low</v>
      </c>
      <c r="AB517">
        <f t="shared" si="227"/>
        <v>0.10217046709521527</v>
      </c>
      <c r="AC517">
        <f t="shared" si="228"/>
        <v>0.23563583464641522</v>
      </c>
      <c r="AD517" t="str">
        <f t="shared" si="229"/>
        <v>Low</v>
      </c>
      <c r="AE517">
        <f t="shared" si="230"/>
        <v>2.3904549241679746E-2</v>
      </c>
      <c r="AF517">
        <f t="shared" si="231"/>
        <v>0.12264066275201921</v>
      </c>
      <c r="AG517" t="s">
        <v>1175</v>
      </c>
    </row>
    <row r="518" spans="1:33" x14ac:dyDescent="0.3">
      <c r="A518">
        <v>605814</v>
      </c>
      <c r="B518" t="s">
        <v>51</v>
      </c>
      <c r="C518" s="1" t="s">
        <v>1066</v>
      </c>
      <c r="D518" t="s">
        <v>1065</v>
      </c>
      <c r="E518" s="4">
        <v>5.4</v>
      </c>
      <c r="F518" s="3">
        <f t="shared" si="216"/>
        <v>0.48888888888888893</v>
      </c>
      <c r="G518">
        <v>53.782560000000004</v>
      </c>
      <c r="H518">
        <f t="shared" si="203"/>
        <v>0.52037855592825966</v>
      </c>
      <c r="I518">
        <v>54.1</v>
      </c>
      <c r="J518" s="3">
        <f t="shared" si="204"/>
        <v>0.24896456511734932</v>
      </c>
      <c r="K518">
        <v>0</v>
      </c>
      <c r="L518" s="3">
        <f t="shared" si="205"/>
        <v>0</v>
      </c>
      <c r="M518">
        <v>18472</v>
      </c>
      <c r="N518">
        <f t="shared" si="206"/>
        <v>8.6267997142221775E-2</v>
      </c>
      <c r="O518" s="15">
        <v>0.55905946100000004</v>
      </c>
      <c r="P518">
        <f t="shared" si="217"/>
        <v>0.56993566700958365</v>
      </c>
      <c r="Q518">
        <v>0.39100000000000001</v>
      </c>
      <c r="R518">
        <f t="shared" si="218"/>
        <v>0.86677011749057864</v>
      </c>
      <c r="S518">
        <f t="shared" si="219"/>
        <v>9.0588695692176341E-2</v>
      </c>
      <c r="T518" s="14">
        <f t="shared" si="220"/>
        <v>0.15470154056479557</v>
      </c>
      <c r="U518" t="str">
        <f t="shared" si="221"/>
        <v>Low</v>
      </c>
      <c r="V518">
        <f t="shared" si="222"/>
        <v>0.10930501603812133</v>
      </c>
      <c r="W518">
        <f t="shared" si="223"/>
        <v>0.16083415038486512</v>
      </c>
      <c r="X518" t="s">
        <v>1176</v>
      </c>
      <c r="Y518">
        <f t="shared" si="224"/>
        <v>7.1872375346231351E-2</v>
      </c>
      <c r="Z518">
        <f t="shared" si="225"/>
        <v>0.14146282042196556</v>
      </c>
      <c r="AA518" t="str">
        <f t="shared" si="226"/>
        <v>No Impact</v>
      </c>
      <c r="AB518">
        <f t="shared" si="227"/>
        <v>6.3626091042831928E-2</v>
      </c>
      <c r="AC518">
        <f t="shared" si="228"/>
        <v>0.14674090756768812</v>
      </c>
      <c r="AD518" t="str">
        <f t="shared" si="229"/>
        <v>No Impact</v>
      </c>
      <c r="AE518">
        <f t="shared" si="230"/>
        <v>1.0878922358914446E-2</v>
      </c>
      <c r="AF518">
        <f t="shared" si="231"/>
        <v>5.5813570657033441E-2</v>
      </c>
      <c r="AG518" t="str">
        <f t="shared" ref="AG518:AG519" si="232">IF(AF518&gt;0.7,"High",IF(AF518&gt;0.3,"Moderate",IF(AF518&gt;0.15,"Low","No Impact")))</f>
        <v>No Impact</v>
      </c>
    </row>
    <row r="519" spans="1:33" x14ac:dyDescent="0.3">
      <c r="A519">
        <v>605835</v>
      </c>
      <c r="B519" t="s">
        <v>229</v>
      </c>
      <c r="C519" s="1" t="s">
        <v>1066</v>
      </c>
      <c r="D519" t="s">
        <v>1067</v>
      </c>
      <c r="E519" s="4">
        <v>5.4</v>
      </c>
      <c r="F519" s="3">
        <f t="shared" si="216"/>
        <v>0.48888888888888893</v>
      </c>
      <c r="G519">
        <v>54.118079999999999</v>
      </c>
      <c r="H519">
        <f t="shared" ref="H519:H547" si="233">(G519-$AJ$6)/$AK$6</f>
        <v>0.52362491335499894</v>
      </c>
      <c r="I519">
        <v>54.1</v>
      </c>
      <c r="J519" s="3">
        <f t="shared" ref="J519:J547" si="234">(I519-$AJ$7)/$AK$7</f>
        <v>0.24896456511734932</v>
      </c>
      <c r="K519">
        <v>0</v>
      </c>
      <c r="L519" s="3">
        <f t="shared" ref="L519:L547" si="235">(K519-$AJ$8)/$AK$8</f>
        <v>0</v>
      </c>
      <c r="M519">
        <v>9958</v>
      </c>
      <c r="N519">
        <f t="shared" ref="N519:N547" si="236">(M519-$AJ$9)/$AK$9</f>
        <v>4.5984679659148438E-2</v>
      </c>
      <c r="O519" s="15">
        <v>0.50591369799999997</v>
      </c>
      <c r="P519">
        <f t="shared" si="217"/>
        <v>0.51575598131039424</v>
      </c>
      <c r="Q519">
        <v>0.39489999999999997</v>
      </c>
      <c r="R519">
        <f t="shared" si="218"/>
        <v>0.87541565063178894</v>
      </c>
      <c r="S519">
        <f t="shared" si="219"/>
        <v>8.8159215995908216E-2</v>
      </c>
      <c r="T519" s="14">
        <f t="shared" si="220"/>
        <v>0.15055263159870666</v>
      </c>
      <c r="U519" t="str">
        <f t="shared" si="221"/>
        <v>Low</v>
      </c>
      <c r="V519">
        <f t="shared" si="222"/>
        <v>0.11095102237313853</v>
      </c>
      <c r="W519">
        <f t="shared" si="223"/>
        <v>0.1632561255147921</v>
      </c>
      <c r="X519" t="s">
        <v>1176</v>
      </c>
      <c r="Y519">
        <f t="shared" si="224"/>
        <v>6.5367409618677888E-2</v>
      </c>
      <c r="Z519">
        <f t="shared" si="225"/>
        <v>0.12865942003155134</v>
      </c>
      <c r="AA519" t="str">
        <f t="shared" si="226"/>
        <v>No Impact</v>
      </c>
      <c r="AB519">
        <f t="shared" si="227"/>
        <v>6.0482930616418476E-2</v>
      </c>
      <c r="AC519">
        <f t="shared" si="228"/>
        <v>0.13949183401872126</v>
      </c>
      <c r="AD519" t="str">
        <f t="shared" si="229"/>
        <v>No Impact</v>
      </c>
      <c r="AE519">
        <f t="shared" si="230"/>
        <v>5.8281425720474959E-3</v>
      </c>
      <c r="AF519">
        <f t="shared" si="231"/>
        <v>2.9900888756475744E-2</v>
      </c>
      <c r="AG519" t="str">
        <f t="shared" si="232"/>
        <v>No Impact</v>
      </c>
    </row>
    <row r="520" spans="1:33" x14ac:dyDescent="0.3">
      <c r="A520">
        <v>605856</v>
      </c>
      <c r="B520" t="s">
        <v>251</v>
      </c>
      <c r="C520" s="1" t="s">
        <v>1066</v>
      </c>
      <c r="D520" t="s">
        <v>1068</v>
      </c>
      <c r="E520" s="4">
        <v>5.4</v>
      </c>
      <c r="F520" s="3">
        <f t="shared" si="216"/>
        <v>0.48888888888888893</v>
      </c>
      <c r="G520">
        <v>66.203640000000007</v>
      </c>
      <c r="H520">
        <f t="shared" si="233"/>
        <v>0.64055996182395136</v>
      </c>
      <c r="I520">
        <v>70.900000000000006</v>
      </c>
      <c r="J520" s="3">
        <f t="shared" si="234"/>
        <v>0.32627703635526928</v>
      </c>
      <c r="K520">
        <v>0</v>
      </c>
      <c r="L520" s="3">
        <f t="shared" si="235"/>
        <v>0</v>
      </c>
      <c r="M520">
        <v>24711</v>
      </c>
      <c r="N520">
        <f t="shared" si="236"/>
        <v>0.11578733209370105</v>
      </c>
      <c r="O520" s="15">
        <v>0.46486062</v>
      </c>
      <c r="P520">
        <f t="shared" si="217"/>
        <v>0.47390423739951448</v>
      </c>
      <c r="Q520">
        <v>0.42399999999999999</v>
      </c>
      <c r="R520">
        <f t="shared" si="218"/>
        <v>0.93992462868543558</v>
      </c>
      <c r="S520">
        <f t="shared" si="219"/>
        <v>0.11110411748625108</v>
      </c>
      <c r="T520" s="14">
        <f t="shared" si="220"/>
        <v>0.18973645670559663</v>
      </c>
      <c r="U520" t="str">
        <f t="shared" si="221"/>
        <v>Low</v>
      </c>
      <c r="V520">
        <f t="shared" si="222"/>
        <v>0.14772579465415003</v>
      </c>
      <c r="W520">
        <f t="shared" si="223"/>
        <v>0.21736745059204726</v>
      </c>
      <c r="X520" t="s">
        <v>1176</v>
      </c>
      <c r="Y520">
        <f t="shared" si="224"/>
        <v>7.4482440318352133E-2</v>
      </c>
      <c r="Z520">
        <f t="shared" si="225"/>
        <v>0.14660008144418868</v>
      </c>
      <c r="AA520" t="str">
        <f t="shared" si="226"/>
        <v>No Impact</v>
      </c>
      <c r="AB520">
        <f t="shared" si="227"/>
        <v>8.0418070372147279E-2</v>
      </c>
      <c r="AC520">
        <f t="shared" si="228"/>
        <v>0.18546826369243932</v>
      </c>
      <c r="AD520" t="str">
        <f t="shared" si="229"/>
        <v>Low</v>
      </c>
      <c r="AE520">
        <f t="shared" si="230"/>
        <v>1.8198028993397522E-2</v>
      </c>
      <c r="AF520">
        <f t="shared" si="231"/>
        <v>9.3363749049045264E-2</v>
      </c>
      <c r="AG520" t="s">
        <v>1175</v>
      </c>
    </row>
    <row r="521" spans="1:33" x14ac:dyDescent="0.3">
      <c r="A521">
        <v>605865</v>
      </c>
      <c r="B521" t="s">
        <v>287</v>
      </c>
      <c r="C521" s="1" t="s">
        <v>1066</v>
      </c>
      <c r="D521" t="s">
        <v>1069</v>
      </c>
      <c r="E521" s="4">
        <v>5.3</v>
      </c>
      <c r="F521" s="3">
        <f t="shared" si="216"/>
        <v>0.46666666666666656</v>
      </c>
      <c r="G521">
        <v>62.972639999999998</v>
      </c>
      <c r="H521">
        <f t="shared" si="233"/>
        <v>0.60929809711903193</v>
      </c>
      <c r="I521">
        <v>68.3</v>
      </c>
      <c r="J521" s="3">
        <f t="shared" si="234"/>
        <v>0.31431201104463874</v>
      </c>
      <c r="K521">
        <v>0</v>
      </c>
      <c r="L521" s="3">
        <f t="shared" si="235"/>
        <v>0</v>
      </c>
      <c r="M521">
        <v>33224</v>
      </c>
      <c r="N521">
        <f t="shared" si="236"/>
        <v>0.15606591815588139</v>
      </c>
      <c r="O521" s="15">
        <v>0.37657218999999997</v>
      </c>
      <c r="P521">
        <f t="shared" si="217"/>
        <v>0.38389820270819036</v>
      </c>
      <c r="Q521">
        <v>0.39800000000000002</v>
      </c>
      <c r="R521">
        <f t="shared" si="218"/>
        <v>0.88228774107736652</v>
      </c>
      <c r="S521">
        <f t="shared" si="219"/>
        <v>9.0577518389983458E-2</v>
      </c>
      <c r="T521" s="14">
        <f t="shared" si="220"/>
        <v>0.15468245268793207</v>
      </c>
      <c r="U521" t="str">
        <f t="shared" si="221"/>
        <v>Low</v>
      </c>
      <c r="V521">
        <f t="shared" si="222"/>
        <v>0.12623017098699796</v>
      </c>
      <c r="W521">
        <f t="shared" si="223"/>
        <v>0.1857382491627784</v>
      </c>
      <c r="X521" t="s">
        <v>1176</v>
      </c>
      <c r="Y521">
        <f t="shared" si="224"/>
        <v>5.492486579296893E-2</v>
      </c>
      <c r="Z521">
        <f t="shared" si="225"/>
        <v>0.10810588058265332</v>
      </c>
      <c r="AA521" t="str">
        <f t="shared" si="226"/>
        <v>No Impact</v>
      </c>
      <c r="AB521">
        <f t="shared" si="227"/>
        <v>6.847302064920685E-2</v>
      </c>
      <c r="AC521">
        <f t="shared" si="228"/>
        <v>0.15791938541693015</v>
      </c>
      <c r="AD521" t="str">
        <f t="shared" si="229"/>
        <v>Low</v>
      </c>
      <c r="AE521">
        <f t="shared" si="230"/>
        <v>2.2328574473905394E-2</v>
      </c>
      <c r="AF521">
        <f t="shared" si="231"/>
        <v>0.11455523147924258</v>
      </c>
      <c r="AG521" t="s">
        <v>1175</v>
      </c>
    </row>
    <row r="522" spans="1:33" x14ac:dyDescent="0.3">
      <c r="A522">
        <v>605874</v>
      </c>
      <c r="B522" t="s">
        <v>329</v>
      </c>
      <c r="C522" s="1" t="s">
        <v>1066</v>
      </c>
      <c r="D522" t="s">
        <v>1070</v>
      </c>
      <c r="E522" s="4">
        <v>5.3</v>
      </c>
      <c r="F522" s="3">
        <f t="shared" si="216"/>
        <v>0.46666666666666656</v>
      </c>
      <c r="G522">
        <v>77.954760000000007</v>
      </c>
      <c r="H522">
        <f t="shared" si="233"/>
        <v>0.75425910251453376</v>
      </c>
      <c r="I522">
        <v>83.1</v>
      </c>
      <c r="J522" s="3">
        <f t="shared" si="234"/>
        <v>0.38242061665899679</v>
      </c>
      <c r="K522">
        <v>0</v>
      </c>
      <c r="L522" s="3">
        <f t="shared" si="235"/>
        <v>0</v>
      </c>
      <c r="M522">
        <v>39868</v>
      </c>
      <c r="N522">
        <f t="shared" si="236"/>
        <v>0.18750147856902907</v>
      </c>
      <c r="O522" s="15">
        <v>0.299404269</v>
      </c>
      <c r="P522">
        <f t="shared" si="217"/>
        <v>0.30522902063548446</v>
      </c>
      <c r="Q522">
        <v>0.37640000000000001</v>
      </c>
      <c r="R522">
        <f t="shared" si="218"/>
        <v>0.8344047882952782</v>
      </c>
      <c r="S522">
        <f t="shared" si="219"/>
        <v>0.10056563121805279</v>
      </c>
      <c r="T522" s="14">
        <f t="shared" si="220"/>
        <v>0.17173950853834291</v>
      </c>
      <c r="U522" t="str">
        <f t="shared" si="221"/>
        <v>Low</v>
      </c>
      <c r="V522">
        <f t="shared" si="222"/>
        <v>0.14726211800439551</v>
      </c>
      <c r="W522">
        <f t="shared" si="223"/>
        <v>0.21668518510488463</v>
      </c>
      <c r="X522" t="s">
        <v>1176</v>
      </c>
      <c r="Y522">
        <f t="shared" si="224"/>
        <v>5.3869144431710043E-2</v>
      </c>
      <c r="Z522">
        <f t="shared" si="225"/>
        <v>0.10602795675414541</v>
      </c>
      <c r="AA522" t="str">
        <f t="shared" si="226"/>
        <v>No Impact</v>
      </c>
      <c r="AB522">
        <f t="shared" si="227"/>
        <v>7.9284576246087701E-2</v>
      </c>
      <c r="AC522">
        <f t="shared" si="228"/>
        <v>0.18285408523114338</v>
      </c>
      <c r="AD522" t="str">
        <f t="shared" si="229"/>
        <v>Low</v>
      </c>
      <c r="AE522">
        <f t="shared" si="230"/>
        <v>3.3091690328675039E-2</v>
      </c>
      <c r="AF522">
        <f t="shared" si="231"/>
        <v>0.16977466474946643</v>
      </c>
      <c r="AG522" t="s">
        <v>1175</v>
      </c>
    </row>
    <row r="523" spans="1:33" x14ac:dyDescent="0.3">
      <c r="A523">
        <v>605880</v>
      </c>
      <c r="B523" t="s">
        <v>425</v>
      </c>
      <c r="C523" s="1" t="s">
        <v>1066</v>
      </c>
      <c r="D523" t="s">
        <v>1071</v>
      </c>
      <c r="E523" s="4">
        <v>5.2</v>
      </c>
      <c r="F523" s="3">
        <f t="shared" si="216"/>
        <v>0.44444444444444442</v>
      </c>
      <c r="G523">
        <v>77.954760000000007</v>
      </c>
      <c r="H523">
        <f t="shared" si="233"/>
        <v>0.75425910251453376</v>
      </c>
      <c r="I523">
        <v>71</v>
      </c>
      <c r="J523" s="3">
        <f t="shared" si="234"/>
        <v>0.32673722963644736</v>
      </c>
      <c r="K523">
        <v>0</v>
      </c>
      <c r="L523" s="3">
        <f t="shared" si="235"/>
        <v>0</v>
      </c>
      <c r="M523">
        <v>16043</v>
      </c>
      <c r="N523">
        <f t="shared" si="236"/>
        <v>7.4775375793104421E-2</v>
      </c>
      <c r="O523" s="15">
        <v>0.493649422</v>
      </c>
      <c r="P523">
        <f t="shared" si="217"/>
        <v>0.50325311030997011</v>
      </c>
      <c r="Q523">
        <v>0.35399999999999998</v>
      </c>
      <c r="R523">
        <f t="shared" si="218"/>
        <v>0.78474839281755704</v>
      </c>
      <c r="S523">
        <f t="shared" si="219"/>
        <v>0.10505830037653985</v>
      </c>
      <c r="T523" s="14">
        <f t="shared" si="220"/>
        <v>0.17941179959800896</v>
      </c>
      <c r="U523" t="str">
        <f t="shared" si="221"/>
        <v>Low</v>
      </c>
      <c r="V523">
        <f t="shared" si="222"/>
        <v>0.12801900024564</v>
      </c>
      <c r="W523">
        <f t="shared" si="223"/>
        <v>0.18837037753552335</v>
      </c>
      <c r="X523" t="s">
        <v>1176</v>
      </c>
      <c r="Y523">
        <f t="shared" si="224"/>
        <v>8.2097600507439694E-2</v>
      </c>
      <c r="Z523">
        <f t="shared" si="225"/>
        <v>0.16158862235610225</v>
      </c>
      <c r="AA523" t="str">
        <f t="shared" si="226"/>
        <v>Low</v>
      </c>
      <c r="AB523">
        <f t="shared" si="227"/>
        <v>7.3705367587646592E-2</v>
      </c>
      <c r="AC523">
        <f t="shared" si="228"/>
        <v>0.16998675158498208</v>
      </c>
      <c r="AD523" t="str">
        <f t="shared" si="229"/>
        <v>Low</v>
      </c>
      <c r="AE523">
        <f t="shared" si="230"/>
        <v>1.2198392426973431E-2</v>
      </c>
      <c r="AF523">
        <f t="shared" si="231"/>
        <v>6.2583022027656102E-2</v>
      </c>
      <c r="AG523" t="str">
        <f>IF(AF523&gt;0.7,"High",IF(AF523&gt;0.3,"Moderate",IF(AF523&gt;0.15,"Low","No Impact")))</f>
        <v>No Impact</v>
      </c>
    </row>
    <row r="524" spans="1:33" x14ac:dyDescent="0.3">
      <c r="A524">
        <v>605883</v>
      </c>
      <c r="B524" t="s">
        <v>497</v>
      </c>
      <c r="C524" s="1" t="s">
        <v>1066</v>
      </c>
      <c r="D524" t="s">
        <v>1072</v>
      </c>
      <c r="E524" s="4">
        <v>5.4</v>
      </c>
      <c r="F524" s="3">
        <f t="shared" si="216"/>
        <v>0.48888888888888893</v>
      </c>
      <c r="G524">
        <v>68.36148</v>
      </c>
      <c r="H524">
        <f t="shared" si="233"/>
        <v>0.66143835926587735</v>
      </c>
      <c r="I524">
        <v>83.1</v>
      </c>
      <c r="J524" s="3">
        <f t="shared" si="234"/>
        <v>0.38242061665899679</v>
      </c>
      <c r="K524">
        <v>0</v>
      </c>
      <c r="L524" s="3">
        <f t="shared" si="235"/>
        <v>0</v>
      </c>
      <c r="M524">
        <v>37332</v>
      </c>
      <c r="N524">
        <f t="shared" si="236"/>
        <v>0.17550259518435982</v>
      </c>
      <c r="O524" s="15">
        <v>0.37196099599999999</v>
      </c>
      <c r="P524">
        <f t="shared" si="217"/>
        <v>0.37919730036875104</v>
      </c>
      <c r="Q524">
        <v>0.39560000000000001</v>
      </c>
      <c r="R524">
        <f t="shared" si="218"/>
        <v>0.87696741299046777</v>
      </c>
      <c r="S524">
        <f t="shared" si="219"/>
        <v>0.10472656764788192</v>
      </c>
      <c r="T524" s="14">
        <f t="shared" si="220"/>
        <v>0.17884528780769099</v>
      </c>
      <c r="U524" t="str">
        <f t="shared" si="221"/>
        <v>Low</v>
      </c>
      <c r="V524">
        <f t="shared" si="222"/>
        <v>0.14622570770346216</v>
      </c>
      <c r="W524">
        <f t="shared" si="223"/>
        <v>0.21516018491511654</v>
      </c>
      <c r="X524" t="s">
        <v>1176</v>
      </c>
      <c r="Y524">
        <f t="shared" si="224"/>
        <v>6.3227427592301697E-2</v>
      </c>
      <c r="Z524">
        <f t="shared" si="225"/>
        <v>0.12444739988270895</v>
      </c>
      <c r="AA524" t="str">
        <f t="shared" si="226"/>
        <v>No Impact</v>
      </c>
      <c r="AB524">
        <f t="shared" si="227"/>
        <v>8.0389393221589001E-2</v>
      </c>
      <c r="AC524">
        <f t="shared" si="228"/>
        <v>0.18540212555586033</v>
      </c>
      <c r="AD524" t="str">
        <f t="shared" si="229"/>
        <v>Low</v>
      </c>
      <c r="AE524">
        <f t="shared" si="230"/>
        <v>2.926333499339067E-2</v>
      </c>
      <c r="AF524">
        <f t="shared" si="231"/>
        <v>0.15013354828989031</v>
      </c>
      <c r="AG524" t="s">
        <v>1175</v>
      </c>
    </row>
    <row r="525" spans="1:33" x14ac:dyDescent="0.3">
      <c r="A525">
        <v>609018</v>
      </c>
      <c r="B525" t="s">
        <v>80</v>
      </c>
      <c r="C525" s="1" t="s">
        <v>1074</v>
      </c>
      <c r="D525" t="s">
        <v>1073</v>
      </c>
      <c r="E525" s="4">
        <v>6.2</v>
      </c>
      <c r="F525" s="3">
        <f t="shared" si="216"/>
        <v>0.66666666666666663</v>
      </c>
      <c r="G525">
        <v>71.366760000000014</v>
      </c>
      <c r="H525">
        <f t="shared" si="233"/>
        <v>0.69051624746160634</v>
      </c>
      <c r="I525">
        <v>115.9</v>
      </c>
      <c r="J525" s="3">
        <f t="shared" si="234"/>
        <v>0.53336401288541191</v>
      </c>
      <c r="K525">
        <v>0</v>
      </c>
      <c r="L525" s="3">
        <f t="shared" si="235"/>
        <v>0</v>
      </c>
      <c r="M525">
        <v>14050</v>
      </c>
      <c r="N525">
        <f t="shared" si="236"/>
        <v>6.5345653953338731E-2</v>
      </c>
      <c r="O525" s="15">
        <v>0.59267401200000003</v>
      </c>
      <c r="P525">
        <f t="shared" si="217"/>
        <v>0.60420417131348036</v>
      </c>
      <c r="Q525">
        <v>0.32100000000000001</v>
      </c>
      <c r="R525">
        <f t="shared" si="218"/>
        <v>0.7115938816227001</v>
      </c>
      <c r="S525">
        <f t="shared" si="219"/>
        <v>0.16793061316816077</v>
      </c>
      <c r="T525" s="14">
        <f t="shared" si="220"/>
        <v>0.28678108638834166</v>
      </c>
      <c r="U525" t="str">
        <f t="shared" si="221"/>
        <v>Low</v>
      </c>
      <c r="V525">
        <f t="shared" si="222"/>
        <v>0.18163637892753079</v>
      </c>
      <c r="W525">
        <f t="shared" si="223"/>
        <v>0.2672643373804946</v>
      </c>
      <c r="X525" t="s">
        <v>1175</v>
      </c>
      <c r="Y525">
        <f t="shared" si="224"/>
        <v>0.15422484740879078</v>
      </c>
      <c r="Z525">
        <f t="shared" si="225"/>
        <v>0.30355309377901052</v>
      </c>
      <c r="AA525" t="str">
        <f t="shared" si="226"/>
        <v>Moderate</v>
      </c>
      <c r="AB525">
        <f t="shared" si="227"/>
        <v>0.11567806979461431</v>
      </c>
      <c r="AC525">
        <f t="shared" si="228"/>
        <v>0.26678843017266318</v>
      </c>
      <c r="AD525" t="str">
        <f t="shared" si="229"/>
        <v>Low</v>
      </c>
      <c r="AE525">
        <f t="shared" si="230"/>
        <v>1.6679665563832335E-2</v>
      </c>
      <c r="AF525">
        <f t="shared" si="231"/>
        <v>8.557388882546807E-2</v>
      </c>
      <c r="AG525" t="s">
        <v>1175</v>
      </c>
    </row>
    <row r="526" spans="1:33" x14ac:dyDescent="0.3">
      <c r="A526">
        <v>609023</v>
      </c>
      <c r="B526" t="s">
        <v>109</v>
      </c>
      <c r="C526" s="1" t="s">
        <v>1074</v>
      </c>
      <c r="D526" t="s">
        <v>1075</v>
      </c>
      <c r="E526" s="4">
        <v>6.5</v>
      </c>
      <c r="F526" s="3">
        <f t="shared" si="216"/>
        <v>0.73333333333333328</v>
      </c>
      <c r="G526">
        <v>73.620719999999992</v>
      </c>
      <c r="H526">
        <f t="shared" si="233"/>
        <v>0.71232466360840285</v>
      </c>
      <c r="I526">
        <v>105</v>
      </c>
      <c r="J526" s="3">
        <f t="shared" si="234"/>
        <v>0.48320294523699958</v>
      </c>
      <c r="K526">
        <v>0</v>
      </c>
      <c r="L526" s="3">
        <f t="shared" si="235"/>
        <v>0</v>
      </c>
      <c r="M526">
        <v>23393</v>
      </c>
      <c r="N526">
        <f t="shared" si="236"/>
        <v>0.10955131935671601</v>
      </c>
      <c r="O526" s="15">
        <v>0.71983818899999996</v>
      </c>
      <c r="P526">
        <f t="shared" si="217"/>
        <v>0.73384226009312759</v>
      </c>
      <c r="Q526">
        <v>0.28079999999999999</v>
      </c>
      <c r="R526">
        <f t="shared" si="218"/>
        <v>0.62247838616714701</v>
      </c>
      <c r="S526">
        <f t="shared" si="219"/>
        <v>0.18976169132386975</v>
      </c>
      <c r="T526" s="14">
        <f t="shared" si="220"/>
        <v>0.32406279573489</v>
      </c>
      <c r="U526" t="str">
        <f t="shared" si="221"/>
        <v>Moderate</v>
      </c>
      <c r="V526">
        <f t="shared" si="222"/>
        <v>0.17418086452834741</v>
      </c>
      <c r="W526">
        <f t="shared" si="223"/>
        <v>0.25629410593515467</v>
      </c>
      <c r="X526" t="s">
        <v>1175</v>
      </c>
      <c r="Y526">
        <f t="shared" si="224"/>
        <v>0.20534251811939211</v>
      </c>
      <c r="Z526">
        <f t="shared" si="225"/>
        <v>0.40416546170601741</v>
      </c>
      <c r="AA526" t="str">
        <f t="shared" si="226"/>
        <v>Moderate</v>
      </c>
      <c r="AB526">
        <f t="shared" si="227"/>
        <v>0.13329512167810376</v>
      </c>
      <c r="AC526">
        <f t="shared" si="228"/>
        <v>0.30741865182670158</v>
      </c>
      <c r="AD526" t="str">
        <f t="shared" si="229"/>
        <v>Moderate</v>
      </c>
      <c r="AE526">
        <f t="shared" si="230"/>
        <v>3.0654467592470064E-2</v>
      </c>
      <c r="AF526">
        <f t="shared" si="231"/>
        <v>0.15727065939799534</v>
      </c>
      <c r="AG526" t="s">
        <v>1175</v>
      </c>
    </row>
    <row r="527" spans="1:33" x14ac:dyDescent="0.3">
      <c r="A527">
        <v>609027</v>
      </c>
      <c r="B527" t="s">
        <v>123</v>
      </c>
      <c r="C527" s="1" t="s">
        <v>1074</v>
      </c>
      <c r="D527" t="s">
        <v>1076</v>
      </c>
      <c r="E527" s="4">
        <v>6.3</v>
      </c>
      <c r="F527" s="3">
        <f t="shared" si="216"/>
        <v>0.68888888888888877</v>
      </c>
      <c r="G527">
        <v>73.620719999999992</v>
      </c>
      <c r="H527">
        <f t="shared" si="233"/>
        <v>0.71232466360840285</v>
      </c>
      <c r="I527">
        <v>117.8</v>
      </c>
      <c r="J527" s="3">
        <f t="shared" si="234"/>
        <v>0.54210768522779573</v>
      </c>
      <c r="K527">
        <v>0</v>
      </c>
      <c r="L527" s="3">
        <f t="shared" si="235"/>
        <v>0</v>
      </c>
      <c r="M527">
        <v>9097</v>
      </c>
      <c r="N527">
        <f t="shared" si="236"/>
        <v>4.1910926270268226E-2</v>
      </c>
      <c r="O527" s="15">
        <v>0.36622869499999999</v>
      </c>
      <c r="P527">
        <f t="shared" si="217"/>
        <v>0.37335348048581612</v>
      </c>
      <c r="Q527">
        <v>0.1434</v>
      </c>
      <c r="R527">
        <f t="shared" si="218"/>
        <v>0.31788960319219683</v>
      </c>
      <c r="S527">
        <f t="shared" si="219"/>
        <v>9.3654939213232077E-2</v>
      </c>
      <c r="T527" s="14">
        <f t="shared" si="220"/>
        <v>0.15993787378308158</v>
      </c>
      <c r="U527" t="str">
        <f t="shared" si="221"/>
        <v>Low</v>
      </c>
      <c r="V527">
        <f t="shared" si="222"/>
        <v>8.6140265751582359E-2</v>
      </c>
      <c r="W527">
        <f t="shared" si="223"/>
        <v>0.12674895405761072</v>
      </c>
      <c r="X527" t="s">
        <v>1176</v>
      </c>
      <c r="Y527">
        <f t="shared" si="224"/>
        <v>0.10116961267488177</v>
      </c>
      <c r="Z527">
        <f t="shared" si="225"/>
        <v>0.19912711498740038</v>
      </c>
      <c r="AA527" t="str">
        <f t="shared" si="226"/>
        <v>Low</v>
      </c>
      <c r="AB527">
        <f t="shared" si="227"/>
        <v>6.4474867474718658E-2</v>
      </c>
      <c r="AC527">
        <f t="shared" si="228"/>
        <v>0.14869844137018556</v>
      </c>
      <c r="AD527" t="str">
        <f t="shared" si="229"/>
        <v>No Impact</v>
      </c>
      <c r="AE527">
        <f t="shared" si="230"/>
        <v>1.1356830454858042E-2</v>
      </c>
      <c r="AF527">
        <f t="shared" si="231"/>
        <v>5.826544561307255E-2</v>
      </c>
      <c r="AG527" t="str">
        <f t="shared" ref="AG527:AG529" si="237">IF(AF527&gt;0.7,"High",IF(AF527&gt;0.3,"Moderate",IF(AF527&gt;0.15,"Low","No Impact")))</f>
        <v>No Impact</v>
      </c>
    </row>
    <row r="528" spans="1:33" x14ac:dyDescent="0.3">
      <c r="A528">
        <v>609029</v>
      </c>
      <c r="B528" t="s">
        <v>139</v>
      </c>
      <c r="C528" s="1" t="s">
        <v>1074</v>
      </c>
      <c r="D528" t="s">
        <v>1077</v>
      </c>
      <c r="E528" s="4">
        <v>6.5</v>
      </c>
      <c r="F528" s="3">
        <f t="shared" si="216"/>
        <v>0.73333333333333328</v>
      </c>
      <c r="G528">
        <v>73.620719999999992</v>
      </c>
      <c r="H528">
        <f t="shared" si="233"/>
        <v>0.71232466360840285</v>
      </c>
      <c r="I528">
        <v>117.9</v>
      </c>
      <c r="J528" s="3">
        <f t="shared" si="234"/>
        <v>0.54256787850897381</v>
      </c>
      <c r="K528">
        <v>0</v>
      </c>
      <c r="L528" s="3">
        <f t="shared" si="235"/>
        <v>0</v>
      </c>
      <c r="M528">
        <v>10856</v>
      </c>
      <c r="N528">
        <f t="shared" si="236"/>
        <v>5.0233495621069962E-2</v>
      </c>
      <c r="O528" s="15">
        <v>0.40200677899999998</v>
      </c>
      <c r="P528">
        <f t="shared" si="217"/>
        <v>0.40982760817948</v>
      </c>
      <c r="Q528">
        <v>0.1381</v>
      </c>
      <c r="R528">
        <f t="shared" si="218"/>
        <v>0.30614054533362889</v>
      </c>
      <c r="S528">
        <f t="shared" si="219"/>
        <v>0.10328742382513162</v>
      </c>
      <c r="T528" s="14">
        <f t="shared" si="220"/>
        <v>0.17638761066847802</v>
      </c>
      <c r="U528" t="str">
        <f t="shared" si="221"/>
        <v>Low</v>
      </c>
      <c r="V528">
        <f t="shared" si="222"/>
        <v>8.8329259062086204E-2</v>
      </c>
      <c r="W528">
        <f t="shared" si="223"/>
        <v>0.12996989388319249</v>
      </c>
      <c r="X528" t="s">
        <v>1176</v>
      </c>
      <c r="Y528">
        <f t="shared" si="224"/>
        <v>0.11824558858817705</v>
      </c>
      <c r="Z528">
        <f t="shared" si="225"/>
        <v>0.2327369087713895</v>
      </c>
      <c r="AA528" t="str">
        <f t="shared" si="226"/>
        <v>Low</v>
      </c>
      <c r="AB528">
        <f t="shared" si="227"/>
        <v>7.1461687355178605E-2</v>
      </c>
      <c r="AC528">
        <f t="shared" si="228"/>
        <v>0.16481214996781854</v>
      </c>
      <c r="AD528" t="str">
        <f t="shared" si="229"/>
        <v>Low</v>
      </c>
      <c r="AE528">
        <f t="shared" si="230"/>
        <v>1.4493628877129516E-2</v>
      </c>
      <c r="AF528">
        <f t="shared" si="231"/>
        <v>7.4358576403261392E-2</v>
      </c>
      <c r="AG528" t="str">
        <f t="shared" si="237"/>
        <v>No Impact</v>
      </c>
    </row>
    <row r="529" spans="1:33" x14ac:dyDescent="0.3">
      <c r="A529">
        <v>609032</v>
      </c>
      <c r="B529" t="s">
        <v>145</v>
      </c>
      <c r="C529" s="1" t="s">
        <v>1074</v>
      </c>
      <c r="D529" t="s">
        <v>1078</v>
      </c>
      <c r="E529" s="4">
        <v>6.4</v>
      </c>
      <c r="F529" s="3">
        <f t="shared" si="216"/>
        <v>0.71111111111111114</v>
      </c>
      <c r="G529">
        <v>69.648480000000006</v>
      </c>
      <c r="H529">
        <f t="shared" si="233"/>
        <v>0.67389085690599848</v>
      </c>
      <c r="I529">
        <v>122.39999999999999</v>
      </c>
      <c r="J529" s="3">
        <f t="shared" si="234"/>
        <v>0.56327657616198801</v>
      </c>
      <c r="K529">
        <v>0</v>
      </c>
      <c r="L529" s="3">
        <f t="shared" si="235"/>
        <v>0</v>
      </c>
      <c r="M529">
        <v>11765</v>
      </c>
      <c r="N529">
        <f t="shared" si="236"/>
        <v>5.4534357212814577E-2</v>
      </c>
      <c r="O529" s="15">
        <v>0.51139853499999999</v>
      </c>
      <c r="P529">
        <f t="shared" si="217"/>
        <v>0.52134752291214492</v>
      </c>
      <c r="Q529">
        <v>0.1794</v>
      </c>
      <c r="R529">
        <f t="shared" si="218"/>
        <v>0.39769452449567722</v>
      </c>
      <c r="S529">
        <f t="shared" si="219"/>
        <v>0.12489549678459612</v>
      </c>
      <c r="T529" s="14">
        <f t="shared" si="220"/>
        <v>0.21328848610247944</v>
      </c>
      <c r="U529" t="str">
        <f t="shared" si="221"/>
        <v>Low</v>
      </c>
      <c r="V529">
        <f t="shared" si="222"/>
        <v>0.10809136610342772</v>
      </c>
      <c r="W529">
        <f t="shared" si="223"/>
        <v>0.15904835533916462</v>
      </c>
      <c r="X529" t="s">
        <v>1176</v>
      </c>
      <c r="Y529">
        <f t="shared" si="224"/>
        <v>0.14169962746576453</v>
      </c>
      <c r="Z529">
        <f t="shared" si="225"/>
        <v>0.27890032655084557</v>
      </c>
      <c r="AA529" t="str">
        <f t="shared" si="226"/>
        <v>Low</v>
      </c>
      <c r="AB529">
        <f t="shared" si="227"/>
        <v>8.5529623517828876E-2</v>
      </c>
      <c r="AC529">
        <f t="shared" si="228"/>
        <v>0.19725704303412248</v>
      </c>
      <c r="AD529" t="str">
        <f t="shared" si="229"/>
        <v>Low</v>
      </c>
      <c r="AE529">
        <f t="shared" si="230"/>
        <v>1.4822163262570937E-2</v>
      </c>
      <c r="AF529">
        <f t="shared" si="231"/>
        <v>7.6044099705123575E-2</v>
      </c>
      <c r="AG529" t="str">
        <f t="shared" si="237"/>
        <v>No Impact</v>
      </c>
    </row>
    <row r="530" spans="1:33" x14ac:dyDescent="0.3">
      <c r="A530">
        <v>609033</v>
      </c>
      <c r="B530" t="s">
        <v>156</v>
      </c>
      <c r="C530" s="1" t="s">
        <v>1074</v>
      </c>
      <c r="D530" t="s">
        <v>1079</v>
      </c>
      <c r="E530" s="4">
        <v>5.9</v>
      </c>
      <c r="F530" s="3">
        <f t="shared" si="216"/>
        <v>0.60000000000000009</v>
      </c>
      <c r="G530">
        <v>72.022320000000008</v>
      </c>
      <c r="H530">
        <f t="shared" si="233"/>
        <v>0.69685918402179103</v>
      </c>
      <c r="I530">
        <v>95.5</v>
      </c>
      <c r="J530" s="3">
        <f t="shared" si="234"/>
        <v>0.43948458352508057</v>
      </c>
      <c r="K530">
        <v>0</v>
      </c>
      <c r="L530" s="3">
        <f t="shared" si="235"/>
        <v>0</v>
      </c>
      <c r="M530">
        <v>20104</v>
      </c>
      <c r="N530">
        <f t="shared" si="236"/>
        <v>9.3989676039611461E-2</v>
      </c>
      <c r="O530" s="15">
        <v>0.74601446199999999</v>
      </c>
      <c r="P530">
        <f t="shared" si="217"/>
        <v>0.76052777863420451</v>
      </c>
      <c r="Q530">
        <v>0.32350000000000001</v>
      </c>
      <c r="R530">
        <f t="shared" si="218"/>
        <v>0.71713589004655287</v>
      </c>
      <c r="S530">
        <f t="shared" si="219"/>
        <v>0.1625314439310806</v>
      </c>
      <c r="T530" s="14">
        <f t="shared" si="220"/>
        <v>0.27756073287332256</v>
      </c>
      <c r="U530" t="str">
        <f t="shared" si="221"/>
        <v>Low</v>
      </c>
      <c r="V530">
        <f t="shared" si="222"/>
        <v>0.1577586756370993</v>
      </c>
      <c r="W530">
        <f t="shared" si="223"/>
        <v>0.2321300840675535</v>
      </c>
      <c r="X530" t="s">
        <v>1176</v>
      </c>
      <c r="Y530">
        <f t="shared" si="224"/>
        <v>0.16730421222506189</v>
      </c>
      <c r="Z530">
        <f t="shared" si="225"/>
        <v>0.32929655678999831</v>
      </c>
      <c r="AA530" t="str">
        <f t="shared" si="226"/>
        <v>Moderate</v>
      </c>
      <c r="AB530">
        <f t="shared" si="227"/>
        <v>0.11264349050488083</v>
      </c>
      <c r="AC530">
        <f t="shared" si="228"/>
        <v>0.25978977739102621</v>
      </c>
      <c r="AD530" t="str">
        <f t="shared" si="229"/>
        <v>Low</v>
      </c>
      <c r="AE530">
        <f t="shared" si="230"/>
        <v>2.0676258183935779E-2</v>
      </c>
      <c r="AF530">
        <f t="shared" si="231"/>
        <v>0.1060781352232501</v>
      </c>
      <c r="AG530" t="s">
        <v>1175</v>
      </c>
    </row>
    <row r="531" spans="1:33" x14ac:dyDescent="0.3">
      <c r="A531">
        <v>609047</v>
      </c>
      <c r="B531" t="s">
        <v>216</v>
      </c>
      <c r="C531" s="1" t="s">
        <v>1074</v>
      </c>
      <c r="D531" t="s">
        <v>1080</v>
      </c>
      <c r="E531" s="4">
        <v>6.5</v>
      </c>
      <c r="F531" s="3">
        <f t="shared" si="216"/>
        <v>0.73333333333333328</v>
      </c>
      <c r="G531">
        <v>75.495959999999997</v>
      </c>
      <c r="H531">
        <f t="shared" si="233"/>
        <v>0.73046873639368692</v>
      </c>
      <c r="I531">
        <v>105</v>
      </c>
      <c r="J531" s="3">
        <f t="shared" si="234"/>
        <v>0.48320294523699958</v>
      </c>
      <c r="K531">
        <v>0</v>
      </c>
      <c r="L531" s="3">
        <f t="shared" si="235"/>
        <v>0</v>
      </c>
      <c r="M531">
        <v>19694</v>
      </c>
      <c r="N531">
        <f t="shared" si="236"/>
        <v>9.2049793473478025E-2</v>
      </c>
      <c r="O531" s="15">
        <v>0.57283071200000002</v>
      </c>
      <c r="P531">
        <f t="shared" si="217"/>
        <v>0.58397483041127662</v>
      </c>
      <c r="Q531">
        <v>0.2283</v>
      </c>
      <c r="R531">
        <f t="shared" si="218"/>
        <v>0.50609620926623811</v>
      </c>
      <c r="S531">
        <f t="shared" si="219"/>
        <v>0.15541175222869313</v>
      </c>
      <c r="T531" s="14">
        <f t="shared" si="220"/>
        <v>0.26540218189419795</v>
      </c>
      <c r="U531" t="str">
        <f t="shared" si="221"/>
        <v>Low</v>
      </c>
      <c r="V531">
        <f t="shared" si="222"/>
        <v>0.14430857405703418</v>
      </c>
      <c r="W531">
        <f t="shared" si="223"/>
        <v>0.21233926623842977</v>
      </c>
      <c r="X531" t="s">
        <v>1176</v>
      </c>
      <c r="Y531">
        <f t="shared" si="224"/>
        <v>0.16651493040035215</v>
      </c>
      <c r="Z531">
        <f t="shared" si="225"/>
        <v>0.32774305264472187</v>
      </c>
      <c r="AA531" t="str">
        <f t="shared" si="226"/>
        <v>Moderate</v>
      </c>
      <c r="AB531">
        <f t="shared" si="227"/>
        <v>0.10964897653681362</v>
      </c>
      <c r="AC531">
        <f t="shared" si="228"/>
        <v>0.25288352729462321</v>
      </c>
      <c r="AD531" t="str">
        <f t="shared" si="229"/>
        <v>Low</v>
      </c>
      <c r="AE531">
        <f t="shared" si="230"/>
        <v>2.6247132847845769E-2</v>
      </c>
      <c r="AF531">
        <f t="shared" si="231"/>
        <v>0.13465912848871209</v>
      </c>
      <c r="AG531" t="s">
        <v>1175</v>
      </c>
    </row>
    <row r="532" spans="1:33" x14ac:dyDescent="0.3">
      <c r="A532">
        <v>609050</v>
      </c>
      <c r="B532" t="s">
        <v>219</v>
      </c>
      <c r="C532" s="1" t="s">
        <v>1074</v>
      </c>
      <c r="D532" t="s">
        <v>1081</v>
      </c>
      <c r="E532" s="4">
        <v>6.4</v>
      </c>
      <c r="F532" s="3">
        <f t="shared" si="216"/>
        <v>0.71111111111111114</v>
      </c>
      <c r="G532">
        <v>71.366760000000014</v>
      </c>
      <c r="H532">
        <f t="shared" si="233"/>
        <v>0.69051624746160634</v>
      </c>
      <c r="I532">
        <v>122.39999999999999</v>
      </c>
      <c r="J532" s="3">
        <f t="shared" si="234"/>
        <v>0.56327657616198801</v>
      </c>
      <c r="K532">
        <v>0</v>
      </c>
      <c r="L532" s="3">
        <f t="shared" si="235"/>
        <v>0</v>
      </c>
      <c r="M532">
        <v>10210</v>
      </c>
      <c r="N532">
        <f t="shared" si="236"/>
        <v>4.7176997724186549E-2</v>
      </c>
      <c r="O532" s="15">
        <v>0.70563575000000001</v>
      </c>
      <c r="P532">
        <f t="shared" si="217"/>
        <v>0.71936352015704075</v>
      </c>
      <c r="Q532">
        <v>0.1595</v>
      </c>
      <c r="R532">
        <f t="shared" si="218"/>
        <v>0.35358013744180894</v>
      </c>
      <c r="S532">
        <f t="shared" si="219"/>
        <v>0.14834731279877525</v>
      </c>
      <c r="T532" s="14">
        <f t="shared" si="220"/>
        <v>0.25333798718773448</v>
      </c>
      <c r="U532" t="str">
        <f t="shared" si="221"/>
        <v>Low</v>
      </c>
      <c r="V532">
        <f t="shared" si="222"/>
        <v>9.7773378643009598E-2</v>
      </c>
      <c r="W532">
        <f t="shared" si="223"/>
        <v>0.14386620902028682</v>
      </c>
      <c r="X532" t="s">
        <v>1176</v>
      </c>
      <c r="Y532">
        <f t="shared" si="224"/>
        <v>0.19892124695454094</v>
      </c>
      <c r="Z532">
        <f t="shared" si="225"/>
        <v>0.39152679315919142</v>
      </c>
      <c r="AA532" t="str">
        <f t="shared" si="226"/>
        <v>Moderate</v>
      </c>
      <c r="AB532">
        <f t="shared" si="227"/>
        <v>9.8463006139251449E-2</v>
      </c>
      <c r="AC532">
        <f t="shared" si="228"/>
        <v>0.2270853143090325</v>
      </c>
      <c r="AD532" t="str">
        <f t="shared" si="229"/>
        <v>Low</v>
      </c>
      <c r="AE532">
        <f t="shared" si="230"/>
        <v>1.3045570079530919E-2</v>
      </c>
      <c r="AF532">
        <f t="shared" si="231"/>
        <v>6.692940930850029E-2</v>
      </c>
      <c r="AG532" t="str">
        <f t="shared" ref="AG532:AG533" si="238">IF(AF532&gt;0.7,"High",IF(AF532&gt;0.3,"Moderate",IF(AF532&gt;0.15,"Low","No Impact")))</f>
        <v>No Impact</v>
      </c>
    </row>
    <row r="533" spans="1:33" x14ac:dyDescent="0.3">
      <c r="A533">
        <v>609086</v>
      </c>
      <c r="B533" t="s">
        <v>503</v>
      </c>
      <c r="C533" s="1" t="s">
        <v>1074</v>
      </c>
      <c r="D533" t="s">
        <v>1082</v>
      </c>
      <c r="E533" s="4">
        <v>6.5</v>
      </c>
      <c r="F533" s="3">
        <f t="shared" si="216"/>
        <v>0.73333333333333328</v>
      </c>
      <c r="G533">
        <v>69.218280000000007</v>
      </c>
      <c r="H533">
        <f t="shared" si="233"/>
        <v>0.66972841363888114</v>
      </c>
      <c r="I533">
        <v>117.9</v>
      </c>
      <c r="J533" s="3">
        <f t="shared" si="234"/>
        <v>0.54256787850897381</v>
      </c>
      <c r="K533">
        <v>0</v>
      </c>
      <c r="L533" s="3">
        <f t="shared" si="235"/>
        <v>0</v>
      </c>
      <c r="M533">
        <v>7371</v>
      </c>
      <c r="N533">
        <f t="shared" si="236"/>
        <v>3.3744493808935759E-2</v>
      </c>
      <c r="O533" s="15">
        <v>0.83211084099999999</v>
      </c>
      <c r="P533">
        <f t="shared" si="217"/>
        <v>0.84829911713316053</v>
      </c>
      <c r="Q533">
        <v>0.17199999999999999</v>
      </c>
      <c r="R533">
        <f t="shared" si="218"/>
        <v>0.38129017956107292</v>
      </c>
      <c r="S533">
        <f t="shared" si="219"/>
        <v>0.16970194518562884</v>
      </c>
      <c r="T533" s="14">
        <f t="shared" si="220"/>
        <v>0.28980605313347746</v>
      </c>
      <c r="U533" t="str">
        <f t="shared" si="221"/>
        <v>Low</v>
      </c>
      <c r="V533">
        <f t="shared" si="222"/>
        <v>0.10524763890781068</v>
      </c>
      <c r="W533">
        <f t="shared" si="223"/>
        <v>0.15486402360388643</v>
      </c>
      <c r="X533" t="s">
        <v>1176</v>
      </c>
      <c r="Y533">
        <f t="shared" si="224"/>
        <v>0.23415625146344707</v>
      </c>
      <c r="Z533">
        <f t="shared" si="225"/>
        <v>0.46087809943505798</v>
      </c>
      <c r="AA533" t="str">
        <f t="shared" si="226"/>
        <v>Moderate</v>
      </c>
      <c r="AB533">
        <f t="shared" si="227"/>
        <v>0.11034362490311234</v>
      </c>
      <c r="AC533">
        <f t="shared" si="228"/>
        <v>0.2544855954091404</v>
      </c>
      <c r="AD533" t="str">
        <f t="shared" si="229"/>
        <v>Low</v>
      </c>
      <c r="AE533">
        <f t="shared" si="230"/>
        <v>9.3145024181270838E-3</v>
      </c>
      <c r="AF533">
        <f t="shared" si="231"/>
        <v>4.7787420637600789E-2</v>
      </c>
      <c r="AG533" t="str">
        <f t="shared" si="238"/>
        <v>No Impact</v>
      </c>
    </row>
    <row r="534" spans="1:33" x14ac:dyDescent="0.3">
      <c r="A534">
        <v>609089</v>
      </c>
      <c r="B534" t="s">
        <v>504</v>
      </c>
      <c r="C534" s="1" t="s">
        <v>1074</v>
      </c>
      <c r="D534" t="s">
        <v>1083</v>
      </c>
      <c r="E534" s="4">
        <v>6.5</v>
      </c>
      <c r="F534" s="3">
        <f t="shared" si="216"/>
        <v>0.73333333333333328</v>
      </c>
      <c r="G534">
        <v>72.022320000000008</v>
      </c>
      <c r="H534">
        <f t="shared" si="233"/>
        <v>0.69685918402179103</v>
      </c>
      <c r="I534">
        <v>115.7</v>
      </c>
      <c r="J534" s="3">
        <f t="shared" si="234"/>
        <v>0.53244362632305575</v>
      </c>
      <c r="K534">
        <v>0</v>
      </c>
      <c r="L534" s="3">
        <f t="shared" si="235"/>
        <v>0</v>
      </c>
      <c r="M534">
        <v>23247</v>
      </c>
      <c r="N534">
        <f t="shared" si="236"/>
        <v>0.10886053190633679</v>
      </c>
      <c r="O534" s="15">
        <v>0.62906268200000004</v>
      </c>
      <c r="P534">
        <f t="shared" si="217"/>
        <v>0.64130076363470689</v>
      </c>
      <c r="Q534">
        <v>0.25480000000000003</v>
      </c>
      <c r="R534">
        <f t="shared" si="218"/>
        <v>0.56484149855907784</v>
      </c>
      <c r="S534">
        <f t="shared" si="219"/>
        <v>0.17036986158405171</v>
      </c>
      <c r="T534" s="14">
        <f t="shared" si="220"/>
        <v>0.29094667774469402</v>
      </c>
      <c r="U534" t="str">
        <f t="shared" si="221"/>
        <v>Low</v>
      </c>
      <c r="V534">
        <f t="shared" si="222"/>
        <v>0.15956984668028709</v>
      </c>
      <c r="W534">
        <f t="shared" si="223"/>
        <v>0.23479508670413135</v>
      </c>
      <c r="X534" t="s">
        <v>1175</v>
      </c>
      <c r="Y534">
        <f t="shared" si="224"/>
        <v>0.18116987648781632</v>
      </c>
      <c r="Z534">
        <f t="shared" si="225"/>
        <v>0.35658765387958608</v>
      </c>
      <c r="AA534" t="str">
        <f t="shared" si="226"/>
        <v>Moderate</v>
      </c>
      <c r="AB534">
        <f t="shared" si="227"/>
        <v>0.1209641376056642</v>
      </c>
      <c r="AC534">
        <f t="shared" si="228"/>
        <v>0.27897969283463664</v>
      </c>
      <c r="AD534" t="str">
        <f t="shared" si="229"/>
        <v>Low</v>
      </c>
      <c r="AE534">
        <f t="shared" si="230"/>
        <v>3.0753509489196664E-2</v>
      </c>
      <c r="AF534">
        <f t="shared" si="231"/>
        <v>0.15777878710757745</v>
      </c>
      <c r="AG534" t="s">
        <v>1175</v>
      </c>
    </row>
    <row r="535" spans="1:33" x14ac:dyDescent="0.3">
      <c r="A535">
        <v>609092</v>
      </c>
      <c r="B535" t="s">
        <v>508</v>
      </c>
      <c r="C535" s="1" t="s">
        <v>1074</v>
      </c>
      <c r="D535" t="s">
        <v>1084</v>
      </c>
      <c r="E535" s="4">
        <v>6.4</v>
      </c>
      <c r="F535" s="3">
        <f t="shared" si="216"/>
        <v>0.71111111111111114</v>
      </c>
      <c r="G535">
        <v>71.366760000000014</v>
      </c>
      <c r="H535">
        <f t="shared" si="233"/>
        <v>0.69051624746160634</v>
      </c>
      <c r="I535">
        <v>122.39999999999999</v>
      </c>
      <c r="J535" s="3">
        <f t="shared" si="234"/>
        <v>0.56327657616198801</v>
      </c>
      <c r="K535">
        <v>0</v>
      </c>
      <c r="L535" s="3">
        <f t="shared" si="235"/>
        <v>0</v>
      </c>
      <c r="M535">
        <v>18280</v>
      </c>
      <c r="N535">
        <f t="shared" si="236"/>
        <v>8.5359564330764165E-2</v>
      </c>
      <c r="O535" s="15">
        <v>0.83876635300000002</v>
      </c>
      <c r="P535">
        <f t="shared" si="217"/>
        <v>0.85508410859761996</v>
      </c>
      <c r="Q535">
        <v>0.29039999999999999</v>
      </c>
      <c r="R535">
        <f t="shared" si="218"/>
        <v>0.64375969851474169</v>
      </c>
      <c r="S535">
        <f t="shared" si="219"/>
        <v>0.2072331100663781</v>
      </c>
      <c r="T535" s="14">
        <f t="shared" si="220"/>
        <v>0.35389935949890627</v>
      </c>
      <c r="U535" t="str">
        <f t="shared" si="221"/>
        <v>Moderate</v>
      </c>
      <c r="V535">
        <f t="shared" si="222"/>
        <v>0.17801497904658295</v>
      </c>
      <c r="W535">
        <f t="shared" si="223"/>
        <v>0.26193571849210834</v>
      </c>
      <c r="X535" t="s">
        <v>1175</v>
      </c>
      <c r="Y535">
        <f t="shared" si="224"/>
        <v>0.23645124108617324</v>
      </c>
      <c r="Z535">
        <f t="shared" si="225"/>
        <v>0.46539521332347505</v>
      </c>
      <c r="AA535" t="str">
        <f t="shared" si="226"/>
        <v>Moderate</v>
      </c>
      <c r="AB535">
        <f t="shared" si="227"/>
        <v>0.14150200255926923</v>
      </c>
      <c r="AC535">
        <f t="shared" si="228"/>
        <v>0.32634618814181837</v>
      </c>
      <c r="AD535" t="str">
        <f t="shared" si="229"/>
        <v>Moderate</v>
      </c>
      <c r="AE535">
        <f t="shared" si="230"/>
        <v>2.3603964477466384E-2</v>
      </c>
      <c r="AF535">
        <f t="shared" si="231"/>
        <v>0.12109853307939561</v>
      </c>
      <c r="AG535" t="s">
        <v>1175</v>
      </c>
    </row>
    <row r="536" spans="1:33" x14ac:dyDescent="0.3">
      <c r="A536">
        <v>609108</v>
      </c>
      <c r="B536" t="s">
        <v>35</v>
      </c>
      <c r="C536" s="1" t="s">
        <v>1086</v>
      </c>
      <c r="D536" t="s">
        <v>1085</v>
      </c>
      <c r="E536" s="4">
        <v>7</v>
      </c>
      <c r="F536" s="3">
        <f t="shared" si="216"/>
        <v>0.84444444444444444</v>
      </c>
      <c r="G536">
        <v>77.954760000000007</v>
      </c>
      <c r="H536">
        <f t="shared" si="233"/>
        <v>0.75425910251453376</v>
      </c>
      <c r="I536">
        <v>71.400000000000006</v>
      </c>
      <c r="J536" s="3">
        <f t="shared" si="234"/>
        <v>0.32857800276115973</v>
      </c>
      <c r="K536">
        <v>0</v>
      </c>
      <c r="L536" s="3">
        <f t="shared" si="235"/>
        <v>0</v>
      </c>
      <c r="M536">
        <v>33148</v>
      </c>
      <c r="N536">
        <f t="shared" si="236"/>
        <v>0.15570633016801275</v>
      </c>
      <c r="O536" s="15">
        <v>0.79589024200000003</v>
      </c>
      <c r="P536">
        <f t="shared" si="217"/>
        <v>0.81137386554431101</v>
      </c>
      <c r="Q536">
        <v>0.28810000000000002</v>
      </c>
      <c r="R536">
        <f t="shared" si="218"/>
        <v>0.63866105076479718</v>
      </c>
      <c r="S536">
        <f t="shared" si="219"/>
        <v>0.2249476412105901</v>
      </c>
      <c r="T536" s="14">
        <f t="shared" si="220"/>
        <v>0.38415109496604283</v>
      </c>
      <c r="U536" t="str">
        <f t="shared" si="221"/>
        <v>Moderate</v>
      </c>
      <c r="V536">
        <f t="shared" si="222"/>
        <v>0.19815425861371813</v>
      </c>
      <c r="W536">
        <f t="shared" si="223"/>
        <v>0.29156916109106279</v>
      </c>
      <c r="X536" t="s">
        <v>1175</v>
      </c>
      <c r="Y536">
        <f t="shared" si="224"/>
        <v>0.25174102380746205</v>
      </c>
      <c r="Z536">
        <f t="shared" si="225"/>
        <v>0.4954893319187354</v>
      </c>
      <c r="AA536" t="str">
        <f t="shared" si="226"/>
        <v>Moderate</v>
      </c>
      <c r="AB536">
        <f t="shared" si="227"/>
        <v>0.16178488372571478</v>
      </c>
      <c r="AC536">
        <f t="shared" si="228"/>
        <v>0.37312461412508646</v>
      </c>
      <c r="AD536" t="str">
        <f t="shared" si="229"/>
        <v>Moderate</v>
      </c>
      <c r="AE536">
        <f t="shared" si="230"/>
        <v>4.8310245910499532E-2</v>
      </c>
      <c r="AF536">
        <f t="shared" si="231"/>
        <v>0.24785242826692844</v>
      </c>
      <c r="AG536" t="s">
        <v>1175</v>
      </c>
    </row>
    <row r="537" spans="1:33" x14ac:dyDescent="0.3">
      <c r="A537">
        <v>609117</v>
      </c>
      <c r="B537" t="s">
        <v>57</v>
      </c>
      <c r="C537" s="1" t="s">
        <v>1086</v>
      </c>
      <c r="D537" t="s">
        <v>1087</v>
      </c>
      <c r="E537" s="4">
        <v>6.1</v>
      </c>
      <c r="F537" s="3">
        <f t="shared" si="216"/>
        <v>0.64444444444444438</v>
      </c>
      <c r="G537">
        <v>53.098199999999999</v>
      </c>
      <c r="H537">
        <f t="shared" si="233"/>
        <v>0.51375696207822608</v>
      </c>
      <c r="I537">
        <v>49.9</v>
      </c>
      <c r="J537" s="3">
        <f t="shared" si="234"/>
        <v>0.22963644730786931</v>
      </c>
      <c r="K537">
        <v>0</v>
      </c>
      <c r="L537" s="3">
        <f t="shared" si="235"/>
        <v>0</v>
      </c>
      <c r="M537">
        <v>29012</v>
      </c>
      <c r="N537">
        <f t="shared" si="236"/>
        <v>0.1361371733545301</v>
      </c>
      <c r="O537" s="15">
        <v>0.462036367</v>
      </c>
      <c r="P537">
        <f t="shared" si="217"/>
        <v>0.47102504005174106</v>
      </c>
      <c r="Q537">
        <v>0.33329999999999999</v>
      </c>
      <c r="R537">
        <f t="shared" si="218"/>
        <v>0.73886056306805581</v>
      </c>
      <c r="S537">
        <f t="shared" si="219"/>
        <v>9.8020524280778273E-2</v>
      </c>
      <c r="T537" s="14">
        <f t="shared" si="220"/>
        <v>0.16739313881649118</v>
      </c>
      <c r="U537" t="str">
        <f t="shared" si="221"/>
        <v>Low</v>
      </c>
      <c r="V537">
        <f t="shared" si="222"/>
        <v>0.1197195827036399</v>
      </c>
      <c r="W537">
        <f t="shared" si="223"/>
        <v>0.17615840577577085</v>
      </c>
      <c r="X537" t="s">
        <v>1176</v>
      </c>
      <c r="Y537">
        <f t="shared" si="224"/>
        <v>7.6321465857916673E-2</v>
      </c>
      <c r="Z537">
        <f t="shared" si="225"/>
        <v>0.15021974391397053</v>
      </c>
      <c r="AA537" t="str">
        <f t="shared" si="226"/>
        <v>Low</v>
      </c>
      <c r="AB537">
        <f t="shared" si="227"/>
        <v>7.2518830215806365E-2</v>
      </c>
      <c r="AC537">
        <f t="shared" si="228"/>
        <v>0.16725023944109438</v>
      </c>
      <c r="AD537" t="str">
        <f t="shared" si="229"/>
        <v>Low</v>
      </c>
      <c r="AE537">
        <f t="shared" si="230"/>
        <v>2.205867574902114E-2</v>
      </c>
      <c r="AF537">
        <f t="shared" si="231"/>
        <v>0.11317053444266278</v>
      </c>
      <c r="AG537" t="s">
        <v>1175</v>
      </c>
    </row>
    <row r="538" spans="1:33" x14ac:dyDescent="0.3">
      <c r="A538">
        <v>609120</v>
      </c>
      <c r="B538" t="s">
        <v>81</v>
      </c>
      <c r="C538" s="1" t="s">
        <v>1086</v>
      </c>
      <c r="D538" t="s">
        <v>1088</v>
      </c>
      <c r="E538" s="4">
        <v>7</v>
      </c>
      <c r="F538" s="3">
        <f t="shared" si="216"/>
        <v>0.84444444444444444</v>
      </c>
      <c r="G538">
        <v>74.99736</v>
      </c>
      <c r="H538">
        <f t="shared" si="233"/>
        <v>0.72564448206317855</v>
      </c>
      <c r="I538">
        <v>73.099999999999994</v>
      </c>
      <c r="J538" s="3">
        <f t="shared" si="234"/>
        <v>0.33640128854118728</v>
      </c>
      <c r="K538">
        <v>0</v>
      </c>
      <c r="L538" s="3">
        <f t="shared" si="235"/>
        <v>0</v>
      </c>
      <c r="M538">
        <v>16977</v>
      </c>
      <c r="N538">
        <f t="shared" si="236"/>
        <v>7.9194522907174256E-2</v>
      </c>
      <c r="O538" s="15">
        <v>0.40742331100000001</v>
      </c>
      <c r="P538">
        <f t="shared" si="217"/>
        <v>0.41534951594359665</v>
      </c>
      <c r="Q538">
        <v>0.3548</v>
      </c>
      <c r="R538">
        <f t="shared" si="218"/>
        <v>0.78652183551318999</v>
      </c>
      <c r="S538">
        <f t="shared" si="219"/>
        <v>0.18143511244103847</v>
      </c>
      <c r="T538" s="14">
        <f t="shared" si="220"/>
        <v>0.30984320055288828</v>
      </c>
      <c r="U538" t="str">
        <f t="shared" si="221"/>
        <v>Moderate</v>
      </c>
      <c r="V538">
        <f t="shared" si="222"/>
        <v>0.23746747518475728</v>
      </c>
      <c r="W538">
        <f t="shared" si="223"/>
        <v>0.34941561695630963</v>
      </c>
      <c r="X538" t="str">
        <f t="shared" ref="X538:X544" si="239">IF(W538&gt;0.7,"High",IF(W538&gt;0.3,"Moderate",IF(W538&gt;0.15,"Low","No Impact")))</f>
        <v>Moderate</v>
      </c>
      <c r="Y538">
        <f t="shared" si="224"/>
        <v>0.12540274969731965</v>
      </c>
      <c r="Z538">
        <f t="shared" si="225"/>
        <v>0.24682399288174939</v>
      </c>
      <c r="AA538" t="str">
        <f t="shared" si="226"/>
        <v>Low</v>
      </c>
      <c r="AB538">
        <f t="shared" si="227"/>
        <v>0.12910311313344006</v>
      </c>
      <c r="AC538">
        <f t="shared" si="228"/>
        <v>0.29775061897581728</v>
      </c>
      <c r="AD538" t="str">
        <f t="shared" si="229"/>
        <v>Low</v>
      </c>
      <c r="AE538">
        <f t="shared" si="230"/>
        <v>2.3910491170226023E-2</v>
      </c>
      <c r="AF538">
        <f t="shared" si="231"/>
        <v>0.12267114741197128</v>
      </c>
      <c r="AG538" t="s">
        <v>1175</v>
      </c>
    </row>
    <row r="539" spans="1:33" x14ac:dyDescent="0.3">
      <c r="A539">
        <v>609127</v>
      </c>
      <c r="B539" t="s">
        <v>119</v>
      </c>
      <c r="C539" s="1" t="s">
        <v>1086</v>
      </c>
      <c r="D539" t="s">
        <v>1128</v>
      </c>
      <c r="E539" s="4">
        <v>6.9</v>
      </c>
      <c r="F539" s="3">
        <f t="shared" si="216"/>
        <v>0.8222222222222223</v>
      </c>
      <c r="G539">
        <v>60.373439999999995</v>
      </c>
      <c r="H539">
        <f t="shared" si="233"/>
        <v>0.58414927671017192</v>
      </c>
      <c r="I539">
        <v>73.099999999999994</v>
      </c>
      <c r="J539" s="3">
        <f t="shared" si="234"/>
        <v>0.33640128854118728</v>
      </c>
      <c r="K539">
        <v>0</v>
      </c>
      <c r="L539" s="3">
        <f t="shared" si="235"/>
        <v>0</v>
      </c>
      <c r="M539">
        <v>8775</v>
      </c>
      <c r="N539">
        <f t="shared" si="236"/>
        <v>4.0387408742719524E-2</v>
      </c>
      <c r="O539" s="15">
        <v>0.57640448300000002</v>
      </c>
      <c r="P539">
        <f t="shared" si="217"/>
        <v>0.58761812723516227</v>
      </c>
      <c r="Q539">
        <v>0.27810000000000001</v>
      </c>
      <c r="R539">
        <f t="shared" si="218"/>
        <v>0.61649301706938597</v>
      </c>
      <c r="S539">
        <f t="shared" si="219"/>
        <v>0.1489723475465542</v>
      </c>
      <c r="T539" s="14">
        <f t="shared" si="220"/>
        <v>0.25440538127757212</v>
      </c>
      <c r="U539" t="str">
        <f t="shared" si="221"/>
        <v>Low</v>
      </c>
      <c r="V539">
        <f t="shared" si="222"/>
        <v>0.15254474212499392</v>
      </c>
      <c r="W539">
        <f t="shared" si="223"/>
        <v>0.22445817113091221</v>
      </c>
      <c r="X539" t="s">
        <v>1176</v>
      </c>
      <c r="Y539">
        <f t="shared" si="224"/>
        <v>0.14539995296811445</v>
      </c>
      <c r="Z539">
        <f t="shared" si="225"/>
        <v>0.28618349312938268</v>
      </c>
      <c r="AA539" t="str">
        <f t="shared" si="226"/>
        <v>Low</v>
      </c>
      <c r="AB539">
        <f t="shared" si="227"/>
        <v>0.10050835013108733</v>
      </c>
      <c r="AC539">
        <f t="shared" si="228"/>
        <v>0.23180249288673374</v>
      </c>
      <c r="AD539" t="str">
        <f t="shared" si="229"/>
        <v>Low</v>
      </c>
      <c r="AE539">
        <f t="shared" si="230"/>
        <v>9.9934414197289604E-3</v>
      </c>
      <c r="AF539">
        <f t="shared" si="231"/>
        <v>5.1270670971368532E-2</v>
      </c>
      <c r="AG539" t="str">
        <f>IF(AF539&gt;0.7,"High",IF(AF539&gt;0.3,"Moderate",IF(AF539&gt;0.15,"Low","No Impact")))</f>
        <v>No Impact</v>
      </c>
    </row>
    <row r="540" spans="1:33" x14ac:dyDescent="0.3">
      <c r="A540">
        <v>609131</v>
      </c>
      <c r="B540" t="s">
        <v>124</v>
      </c>
      <c r="C540" s="1" t="s">
        <v>1086</v>
      </c>
      <c r="D540" t="s">
        <v>1089</v>
      </c>
      <c r="E540" s="4">
        <v>7</v>
      </c>
      <c r="F540" s="3">
        <f t="shared" si="216"/>
        <v>0.84444444444444444</v>
      </c>
      <c r="G540">
        <v>61.025759999999998</v>
      </c>
      <c r="H540">
        <f t="shared" si="233"/>
        <v>0.5904608643252488</v>
      </c>
      <c r="I540">
        <v>70.3</v>
      </c>
      <c r="J540" s="3">
        <f t="shared" si="234"/>
        <v>0.32351587666820064</v>
      </c>
      <c r="K540">
        <v>0</v>
      </c>
      <c r="L540" s="3">
        <f t="shared" si="235"/>
        <v>0</v>
      </c>
      <c r="M540">
        <v>13160</v>
      </c>
      <c r="N540">
        <f t="shared" si="236"/>
        <v>6.113468935856127E-2</v>
      </c>
      <c r="O540" s="15">
        <v>0.38579704100000001</v>
      </c>
      <c r="P540">
        <f t="shared" si="217"/>
        <v>0.39330251830343088</v>
      </c>
      <c r="Q540">
        <v>0.33989999999999998</v>
      </c>
      <c r="R540">
        <f t="shared" si="218"/>
        <v>0.75349146530702726</v>
      </c>
      <c r="S540">
        <f t="shared" si="219"/>
        <v>0.14569031064639715</v>
      </c>
      <c r="T540" s="14">
        <f t="shared" si="220"/>
        <v>0.24880053002361319</v>
      </c>
      <c r="U540" t="str">
        <f t="shared" si="221"/>
        <v>Low</v>
      </c>
      <c r="V540">
        <f t="shared" si="222"/>
        <v>0.19144921793952926</v>
      </c>
      <c r="W540">
        <f t="shared" si="223"/>
        <v>0.28170319556434781</v>
      </c>
      <c r="X540" t="s">
        <v>1175</v>
      </c>
      <c r="Y540">
        <f t="shared" si="224"/>
        <v>9.9931403353265016E-2</v>
      </c>
      <c r="Z540">
        <f t="shared" si="225"/>
        <v>0.19669000918611204</v>
      </c>
      <c r="AA540" t="str">
        <f t="shared" si="226"/>
        <v>Low</v>
      </c>
      <c r="AB540">
        <f t="shared" si="227"/>
        <v>0.10242329275719075</v>
      </c>
      <c r="AC540">
        <f t="shared" si="228"/>
        <v>0.23621892668439237</v>
      </c>
      <c r="AD540" t="str">
        <f t="shared" si="229"/>
        <v>Low</v>
      </c>
      <c r="AE540">
        <f t="shared" si="230"/>
        <v>1.5533272778217175E-2</v>
      </c>
      <c r="AF540">
        <f t="shared" si="231"/>
        <v>7.9692398671416656E-2</v>
      </c>
      <c r="AG540" t="s">
        <v>1175</v>
      </c>
    </row>
    <row r="541" spans="1:33" x14ac:dyDescent="0.3">
      <c r="A541">
        <v>609135</v>
      </c>
      <c r="B541" t="s">
        <v>166</v>
      </c>
      <c r="C541" s="1" t="s">
        <v>1086</v>
      </c>
      <c r="D541" t="s">
        <v>1090</v>
      </c>
      <c r="E541" s="4">
        <v>7</v>
      </c>
      <c r="F541" s="3">
        <f t="shared" si="216"/>
        <v>0.84444444444444444</v>
      </c>
      <c r="G541">
        <v>53.171999999999997</v>
      </c>
      <c r="H541">
        <f t="shared" si="233"/>
        <v>0.51447102138346379</v>
      </c>
      <c r="I541">
        <v>61.5</v>
      </c>
      <c r="J541" s="3">
        <f t="shared" si="234"/>
        <v>0.28301886792452835</v>
      </c>
      <c r="K541">
        <v>0</v>
      </c>
      <c r="L541" s="3">
        <f t="shared" si="235"/>
        <v>0</v>
      </c>
      <c r="M541">
        <v>11651</v>
      </c>
      <c r="N541">
        <f t="shared" si="236"/>
        <v>5.3994975231011627E-2</v>
      </c>
      <c r="O541" s="15">
        <v>0.26897359700000001</v>
      </c>
      <c r="P541">
        <f t="shared" si="217"/>
        <v>0.27420633601290928</v>
      </c>
      <c r="Q541">
        <v>0.3039</v>
      </c>
      <c r="R541">
        <f t="shared" si="218"/>
        <v>0.67368654400354688</v>
      </c>
      <c r="S541">
        <f t="shared" si="219"/>
        <v>0.10501497651547732</v>
      </c>
      <c r="T541" s="14">
        <f t="shared" si="220"/>
        <v>0.17933781389815559</v>
      </c>
      <c r="U541" t="str">
        <f t="shared" si="221"/>
        <v>Low</v>
      </c>
      <c r="V541">
        <f t="shared" si="222"/>
        <v>0.14927251399144875</v>
      </c>
      <c r="W541">
        <f t="shared" si="223"/>
        <v>0.21964333233576816</v>
      </c>
      <c r="X541" t="s">
        <v>1176</v>
      </c>
      <c r="Y541">
        <f t="shared" si="224"/>
        <v>6.0757439039505895E-2</v>
      </c>
      <c r="Z541">
        <f t="shared" si="225"/>
        <v>0.11958584430721503</v>
      </c>
      <c r="AA541" t="str">
        <f t="shared" si="226"/>
        <v>No Impact</v>
      </c>
      <c r="AB541">
        <f t="shared" si="227"/>
        <v>7.4660001157578731E-2</v>
      </c>
      <c r="AC541">
        <f t="shared" si="228"/>
        <v>0.17218842379445543</v>
      </c>
      <c r="AD541" t="str">
        <f t="shared" si="229"/>
        <v>Low</v>
      </c>
      <c r="AE541">
        <f t="shared" si="230"/>
        <v>1.1963970139199748E-2</v>
      </c>
      <c r="AF541">
        <f t="shared" si="231"/>
        <v>6.1380334436865587E-2</v>
      </c>
      <c r="AG541" t="str">
        <f>IF(AF541&gt;0.7,"High",IF(AF541&gt;0.3,"Moderate",IF(AF541&gt;0.15,"Low","No Impact")))</f>
        <v>No Impact</v>
      </c>
    </row>
    <row r="542" spans="1:33" x14ac:dyDescent="0.3">
      <c r="A542">
        <v>609138</v>
      </c>
      <c r="B542" t="s">
        <v>188</v>
      </c>
      <c r="C542" s="1" t="s">
        <v>1086</v>
      </c>
      <c r="D542" t="s">
        <v>1091</v>
      </c>
      <c r="E542" s="4">
        <v>6.5</v>
      </c>
      <c r="F542" s="3">
        <f t="shared" si="216"/>
        <v>0.73333333333333328</v>
      </c>
      <c r="G542">
        <v>54.500399999999999</v>
      </c>
      <c r="H542">
        <f t="shared" si="233"/>
        <v>0.52732408887774262</v>
      </c>
      <c r="I542">
        <v>65.900000000000006</v>
      </c>
      <c r="J542" s="3">
        <f t="shared" si="234"/>
        <v>0.30326737229636452</v>
      </c>
      <c r="K542">
        <v>0</v>
      </c>
      <c r="L542" s="3">
        <f t="shared" si="235"/>
        <v>0</v>
      </c>
      <c r="M542">
        <v>29178</v>
      </c>
      <c r="N542">
        <f t="shared" si="236"/>
        <v>0.13692258922276948</v>
      </c>
      <c r="O542" s="15">
        <v>0.13629273</v>
      </c>
      <c r="P542">
        <f t="shared" si="217"/>
        <v>0.13894423294825001</v>
      </c>
      <c r="Q542">
        <v>0.35199999999999998</v>
      </c>
      <c r="R542">
        <f t="shared" si="218"/>
        <v>0.78031478607847482</v>
      </c>
      <c r="S542">
        <f t="shared" si="219"/>
        <v>9.1540248540531902E-2</v>
      </c>
      <c r="T542" s="14">
        <f t="shared" si="220"/>
        <v>0.15632654123893752</v>
      </c>
      <c r="U542" t="str">
        <f t="shared" si="221"/>
        <v>Low</v>
      </c>
      <c r="V542">
        <f t="shared" si="222"/>
        <v>0.15540823201953038</v>
      </c>
      <c r="W542">
        <f t="shared" si="223"/>
        <v>0.22867158219855069</v>
      </c>
      <c r="X542" t="s">
        <v>1176</v>
      </c>
      <c r="Y542">
        <f t="shared" si="224"/>
        <v>2.7672265061533436E-2</v>
      </c>
      <c r="Z542">
        <f t="shared" si="225"/>
        <v>5.4465942501704161E-2</v>
      </c>
      <c r="AA542" t="str">
        <f t="shared" si="226"/>
        <v>No Impact</v>
      </c>
      <c r="AB542">
        <f t="shared" si="227"/>
        <v>7.2238932128988964E-2</v>
      </c>
      <c r="AC542">
        <f t="shared" si="228"/>
        <v>0.1666047102468147</v>
      </c>
      <c r="AD542" t="str">
        <f t="shared" si="229"/>
        <v>Low</v>
      </c>
      <c r="AE542">
        <f t="shared" si="230"/>
        <v>2.7269632581980868E-2</v>
      </c>
      <c r="AF542">
        <f t="shared" si="231"/>
        <v>0.13990499377528465</v>
      </c>
      <c r="AG542" t="s">
        <v>1175</v>
      </c>
    </row>
    <row r="543" spans="1:33" x14ac:dyDescent="0.3">
      <c r="A543">
        <v>609141</v>
      </c>
      <c r="B543" t="s">
        <v>193</v>
      </c>
      <c r="C543" s="1" t="s">
        <v>1086</v>
      </c>
      <c r="D543" t="s">
        <v>1092</v>
      </c>
      <c r="E543" s="4">
        <v>6.9</v>
      </c>
      <c r="F543" s="3">
        <f t="shared" si="216"/>
        <v>0.8222222222222223</v>
      </c>
      <c r="G543">
        <v>63.140760000000007</v>
      </c>
      <c r="H543">
        <f t="shared" si="233"/>
        <v>0.61092475904852472</v>
      </c>
      <c r="I543">
        <v>70.3</v>
      </c>
      <c r="J543" s="3">
        <f t="shared" si="234"/>
        <v>0.32351587666820064</v>
      </c>
      <c r="K543">
        <v>0</v>
      </c>
      <c r="L543" s="3">
        <f t="shared" si="235"/>
        <v>0</v>
      </c>
      <c r="M543">
        <v>28466</v>
      </c>
      <c r="N543">
        <f t="shared" si="236"/>
        <v>0.13355381754694753</v>
      </c>
      <c r="O543" s="15">
        <v>0.31328808600000002</v>
      </c>
      <c r="P543">
        <f t="shared" si="217"/>
        <v>0.31938293994914757</v>
      </c>
      <c r="Q543">
        <v>0.31280000000000002</v>
      </c>
      <c r="R543">
        <f t="shared" si="218"/>
        <v>0.69341609399246296</v>
      </c>
      <c r="S543">
        <f t="shared" si="219"/>
        <v>0.12868966537663673</v>
      </c>
      <c r="T543" s="14">
        <f t="shared" si="220"/>
        <v>0.21976792287840752</v>
      </c>
      <c r="U543" t="str">
        <f t="shared" si="221"/>
        <v>Low</v>
      </c>
      <c r="V543">
        <f t="shared" si="222"/>
        <v>0.17621558100303067</v>
      </c>
      <c r="W543">
        <f t="shared" si="223"/>
        <v>0.25928803894336755</v>
      </c>
      <c r="X543" t="s">
        <v>1175</v>
      </c>
      <c r="Y543">
        <f t="shared" si="224"/>
        <v>8.1163749750242778E-2</v>
      </c>
      <c r="Z543">
        <f t="shared" si="225"/>
        <v>0.15975057037396204</v>
      </c>
      <c r="AA543" t="str">
        <f t="shared" si="226"/>
        <v>Low</v>
      </c>
      <c r="AB543">
        <f t="shared" si="227"/>
        <v>9.790343761518773E-2</v>
      </c>
      <c r="AC543">
        <f t="shared" si="228"/>
        <v>0.2257947809488714</v>
      </c>
      <c r="AD543" t="str">
        <f t="shared" si="229"/>
        <v>Low</v>
      </c>
      <c r="AE543">
        <f t="shared" si="230"/>
        <v>3.3939598111583369E-2</v>
      </c>
      <c r="AF543">
        <f t="shared" si="231"/>
        <v>0.17412479791437716</v>
      </c>
      <c r="AG543" t="s">
        <v>1175</v>
      </c>
    </row>
    <row r="544" spans="1:33" x14ac:dyDescent="0.3">
      <c r="A544">
        <v>609153</v>
      </c>
      <c r="B544" t="s">
        <v>217</v>
      </c>
      <c r="C544" s="1" t="s">
        <v>1086</v>
      </c>
      <c r="D544" t="s">
        <v>1093</v>
      </c>
      <c r="E544" s="4">
        <v>7</v>
      </c>
      <c r="F544" s="3">
        <f t="shared" si="216"/>
        <v>0.84444444444444444</v>
      </c>
      <c r="G544">
        <v>71.515440000000012</v>
      </c>
      <c r="H544">
        <f t="shared" si="233"/>
        <v>0.69195481572045114</v>
      </c>
      <c r="I544">
        <v>65.900000000000006</v>
      </c>
      <c r="J544" s="3">
        <f t="shared" si="234"/>
        <v>0.30326737229636452</v>
      </c>
      <c r="K544">
        <v>0</v>
      </c>
      <c r="L544" s="3">
        <f t="shared" si="235"/>
        <v>0</v>
      </c>
      <c r="M544">
        <v>17294</v>
      </c>
      <c r="N544">
        <f t="shared" si="236"/>
        <v>8.0694383330257913E-2</v>
      </c>
      <c r="O544" s="15">
        <v>0.77212422400000003</v>
      </c>
      <c r="P544">
        <f t="shared" si="217"/>
        <v>0.78714549223896813</v>
      </c>
      <c r="Q544">
        <v>0.33450000000000002</v>
      </c>
      <c r="R544">
        <f t="shared" si="218"/>
        <v>0.7415207271115053</v>
      </c>
      <c r="S544">
        <f t="shared" si="219"/>
        <v>0.21779324151948462</v>
      </c>
      <c r="T544" s="14">
        <f t="shared" si="220"/>
        <v>0.37193327191899012</v>
      </c>
      <c r="U544" t="str">
        <f t="shared" si="221"/>
        <v>Moderate</v>
      </c>
      <c r="V544">
        <f t="shared" si="222"/>
        <v>0.21129295691523833</v>
      </c>
      <c r="W544">
        <f t="shared" si="223"/>
        <v>0.31090177230216298</v>
      </c>
      <c r="X544" t="str">
        <f t="shared" si="239"/>
        <v>Moderate</v>
      </c>
      <c r="Y544">
        <f t="shared" si="224"/>
        <v>0.22429352612373094</v>
      </c>
      <c r="Z544">
        <f t="shared" si="225"/>
        <v>0.44146578786357754</v>
      </c>
      <c r="AA544" t="str">
        <f t="shared" si="226"/>
        <v>Moderate</v>
      </c>
      <c r="AB544">
        <f t="shared" si="227"/>
        <v>0.14928831682357754</v>
      </c>
      <c r="AC544">
        <f t="shared" si="228"/>
        <v>0.34430377131289014</v>
      </c>
      <c r="AD544" t="str">
        <f t="shared" si="229"/>
        <v>Moderate</v>
      </c>
      <c r="AE544">
        <f t="shared" si="230"/>
        <v>2.2993497331785323E-2</v>
      </c>
      <c r="AF544">
        <f t="shared" si="231"/>
        <v>0.11796657294169431</v>
      </c>
      <c r="AG544" t="s">
        <v>1175</v>
      </c>
    </row>
    <row r="545" spans="1:33" x14ac:dyDescent="0.3">
      <c r="A545">
        <v>609159</v>
      </c>
      <c r="B545" t="s">
        <v>255</v>
      </c>
      <c r="C545" s="1" t="s">
        <v>1086</v>
      </c>
      <c r="D545" t="s">
        <v>1094</v>
      </c>
      <c r="E545" s="4">
        <v>7</v>
      </c>
      <c r="F545" s="3">
        <f t="shared" si="216"/>
        <v>0.84444444444444444</v>
      </c>
      <c r="G545">
        <v>59.628600000000006</v>
      </c>
      <c r="H545">
        <f t="shared" si="233"/>
        <v>0.57694250255145585</v>
      </c>
      <c r="I545">
        <v>48.7</v>
      </c>
      <c r="J545" s="3">
        <f t="shared" si="234"/>
        <v>0.2241141279337322</v>
      </c>
      <c r="K545">
        <v>0</v>
      </c>
      <c r="L545" s="3">
        <f t="shared" si="235"/>
        <v>0</v>
      </c>
      <c r="M545">
        <v>16637</v>
      </c>
      <c r="N545">
        <f t="shared" si="236"/>
        <v>7.758583980355141E-2</v>
      </c>
      <c r="O545" s="15">
        <v>0.42954021799999997</v>
      </c>
      <c r="P545">
        <f t="shared" si="217"/>
        <v>0.43789669566699624</v>
      </c>
      <c r="Q545">
        <v>0.34539999999999998</v>
      </c>
      <c r="R545">
        <f t="shared" si="218"/>
        <v>0.76568388383950337</v>
      </c>
      <c r="S545">
        <f t="shared" si="219"/>
        <v>0.1400538973639745</v>
      </c>
      <c r="T545" s="14">
        <f t="shared" si="220"/>
        <v>0.23917502640654359</v>
      </c>
      <c r="U545" t="str">
        <f t="shared" si="221"/>
        <v>Low</v>
      </c>
      <c r="V545">
        <f t="shared" si="222"/>
        <v>0.17819664741429647</v>
      </c>
      <c r="W545">
        <f t="shared" si="223"/>
        <v>0.26220302989859329</v>
      </c>
      <c r="X545" t="s">
        <v>1175</v>
      </c>
      <c r="Y545">
        <f t="shared" si="224"/>
        <v>0.1019111473136525</v>
      </c>
      <c r="Z545">
        <f t="shared" si="225"/>
        <v>0.20058664072222906</v>
      </c>
      <c r="AA545" t="str">
        <f t="shared" si="226"/>
        <v>Low</v>
      </c>
      <c r="AB545">
        <f t="shared" si="227"/>
        <v>9.9261930014892155E-2</v>
      </c>
      <c r="AC545">
        <f t="shared" si="228"/>
        <v>0.22892787311890958</v>
      </c>
      <c r="AD545" t="str">
        <f t="shared" si="229"/>
        <v>Low</v>
      </c>
      <c r="AE545">
        <f t="shared" si="230"/>
        <v>1.8056454930836106E-2</v>
      </c>
      <c r="AF545">
        <f t="shared" si="231"/>
        <v>9.2637412957722751E-2</v>
      </c>
      <c r="AG545" t="s">
        <v>1175</v>
      </c>
    </row>
    <row r="546" spans="1:33" x14ac:dyDescent="0.3">
      <c r="A546">
        <v>609162</v>
      </c>
      <c r="B546" t="s">
        <v>507</v>
      </c>
      <c r="C546" s="1" t="s">
        <v>1086</v>
      </c>
      <c r="D546" t="s">
        <v>1095</v>
      </c>
      <c r="E546" s="4">
        <v>7</v>
      </c>
      <c r="F546" s="3">
        <f t="shared" si="216"/>
        <v>0.84444444444444444</v>
      </c>
      <c r="G546">
        <v>61.025759999999998</v>
      </c>
      <c r="H546">
        <f t="shared" si="233"/>
        <v>0.5904608643252488</v>
      </c>
      <c r="I546">
        <v>73.099999999999994</v>
      </c>
      <c r="J546" s="3">
        <f t="shared" si="234"/>
        <v>0.33640128854118728</v>
      </c>
      <c r="K546">
        <v>0</v>
      </c>
      <c r="L546" s="3">
        <f t="shared" si="235"/>
        <v>0</v>
      </c>
      <c r="M546">
        <v>11227</v>
      </c>
      <c r="N546">
        <f t="shared" si="236"/>
        <v>5.1988852772376075E-2</v>
      </c>
      <c r="O546" s="15">
        <v>0.596807702</v>
      </c>
      <c r="P546">
        <f t="shared" si="217"/>
        <v>0.608418280065252</v>
      </c>
      <c r="Q546">
        <v>0.32969999999999999</v>
      </c>
      <c r="R546">
        <f t="shared" si="218"/>
        <v>0.73088007093770779</v>
      </c>
      <c r="S546">
        <f t="shared" si="219"/>
        <v>0.17160362703293125</v>
      </c>
      <c r="T546" s="14">
        <f t="shared" si="220"/>
        <v>0.2930536229234374</v>
      </c>
      <c r="U546" t="str">
        <f t="shared" si="221"/>
        <v>Low</v>
      </c>
      <c r="V546">
        <f t="shared" si="222"/>
        <v>0.18729459497216919</v>
      </c>
      <c r="W546">
        <f t="shared" si="223"/>
        <v>0.275589978812321</v>
      </c>
      <c r="X546" t="s">
        <v>1175</v>
      </c>
      <c r="Y546">
        <f t="shared" si="224"/>
        <v>0.15591265909369326</v>
      </c>
      <c r="Z546">
        <f t="shared" si="225"/>
        <v>0.3068751295422264</v>
      </c>
      <c r="AA546" t="str">
        <f t="shared" si="226"/>
        <v>Moderate</v>
      </c>
      <c r="AB546">
        <f t="shared" si="227"/>
        <v>0.11698981993823644</v>
      </c>
      <c r="AC546">
        <f t="shared" si="228"/>
        <v>0.26981372063797837</v>
      </c>
      <c r="AD546" t="str">
        <f t="shared" si="229"/>
        <v>Low</v>
      </c>
      <c r="AE546">
        <f t="shared" si="230"/>
        <v>1.3322611342483583E-2</v>
      </c>
      <c r="AF546">
        <f t="shared" si="231"/>
        <v>6.8350750650462505E-2</v>
      </c>
      <c r="AG546" t="str">
        <f t="shared" ref="AG546:AG547" si="240">IF(AF546&gt;0.7,"High",IF(AF546&gt;0.3,"Moderate",IF(AF546&gt;0.15,"Low","No Impact")))</f>
        <v>No Impact</v>
      </c>
    </row>
    <row r="547" spans="1:33" x14ac:dyDescent="0.3">
      <c r="A547">
        <v>609194</v>
      </c>
      <c r="B547" t="s">
        <v>534</v>
      </c>
      <c r="C547" s="1" t="s">
        <v>1086</v>
      </c>
      <c r="D547" t="s">
        <v>1096</v>
      </c>
      <c r="E547" s="4">
        <v>7</v>
      </c>
      <c r="F547" s="3">
        <f t="shared" si="216"/>
        <v>0.84444444444444444</v>
      </c>
      <c r="G547">
        <v>53.955000000000005</v>
      </c>
      <c r="H547">
        <f t="shared" si="233"/>
        <v>0.52204701645122975</v>
      </c>
      <c r="I547">
        <v>48.5</v>
      </c>
      <c r="J547" s="3">
        <f t="shared" si="234"/>
        <v>0.22319374137137599</v>
      </c>
      <c r="K547">
        <v>0</v>
      </c>
      <c r="L547" s="3">
        <f t="shared" si="235"/>
        <v>0</v>
      </c>
      <c r="M547">
        <v>13447</v>
      </c>
      <c r="N547">
        <f t="shared" si="236"/>
        <v>6.2492607154854676E-2</v>
      </c>
      <c r="O547" s="15">
        <v>0.500317915</v>
      </c>
      <c r="P547">
        <f t="shared" si="217"/>
        <v>0.51005133531291613</v>
      </c>
      <c r="Q547">
        <v>0.36080000000000001</v>
      </c>
      <c r="R547">
        <f t="shared" si="218"/>
        <v>0.79982265573043676</v>
      </c>
      <c r="S547">
        <f t="shared" si="219"/>
        <v>0.14017670488480807</v>
      </c>
      <c r="T547" s="14">
        <f t="shared" si="220"/>
        <v>0.23938474918178318</v>
      </c>
      <c r="U547" t="str">
        <f t="shared" si="221"/>
        <v>Low</v>
      </c>
      <c r="V547">
        <f t="shared" si="222"/>
        <v>0.17118670213950093</v>
      </c>
      <c r="W547">
        <f t="shared" si="223"/>
        <v>0.25188842007206041</v>
      </c>
      <c r="X547" t="s">
        <v>1175</v>
      </c>
      <c r="Y547">
        <f t="shared" si="224"/>
        <v>0.10916670763011523</v>
      </c>
      <c r="Z547">
        <f t="shared" si="225"/>
        <v>0.21486739909655661</v>
      </c>
      <c r="AA547" t="str">
        <f t="shared" si="226"/>
        <v>Low</v>
      </c>
      <c r="AB547">
        <f t="shared" si="227"/>
        <v>9.7346728511179606E-2</v>
      </c>
      <c r="AC547">
        <f t="shared" si="228"/>
        <v>0.22451084227160215</v>
      </c>
      <c r="AD547" t="str">
        <f t="shared" si="229"/>
        <v>Low</v>
      </c>
      <c r="AE547">
        <f t="shared" si="230"/>
        <v>1.3375344209484927E-2</v>
      </c>
      <c r="AF547">
        <f t="shared" si="231"/>
        <v>6.8621293035197484E-2</v>
      </c>
      <c r="AG547" t="str">
        <f t="shared" si="240"/>
        <v>No Impact</v>
      </c>
    </row>
    <row r="548" spans="1:33" x14ac:dyDescent="0.3">
      <c r="C548" s="1"/>
    </row>
    <row r="549" spans="1:33" x14ac:dyDescent="0.3">
      <c r="C549" s="1"/>
    </row>
    <row r="550" spans="1:33" x14ac:dyDescent="0.3">
      <c r="C550" s="1"/>
    </row>
    <row r="551" spans="1:33" x14ac:dyDescent="0.3">
      <c r="C551" s="1"/>
    </row>
    <row r="552" spans="1:33" x14ac:dyDescent="0.3">
      <c r="C552" s="1"/>
    </row>
    <row r="553" spans="1:33" x14ac:dyDescent="0.3">
      <c r="C553" s="1"/>
    </row>
    <row r="554" spans="1:33" x14ac:dyDescent="0.3">
      <c r="C554" s="1"/>
    </row>
    <row r="555" spans="1:33" x14ac:dyDescent="0.3">
      <c r="C555" s="1"/>
    </row>
    <row r="556" spans="1:33" x14ac:dyDescent="0.3">
      <c r="C556" s="1"/>
    </row>
    <row r="557" spans="1:33" x14ac:dyDescent="0.3">
      <c r="C557" s="1"/>
    </row>
    <row r="558" spans="1:33" x14ac:dyDescent="0.3">
      <c r="C558" s="1"/>
    </row>
    <row r="559" spans="1:33" x14ac:dyDescent="0.3">
      <c r="C559" s="1"/>
    </row>
    <row r="560" spans="1:33" x14ac:dyDescent="0.3">
      <c r="C560" s="1"/>
    </row>
    <row r="561" spans="3:3" x14ac:dyDescent="0.3">
      <c r="C561" s="1"/>
    </row>
    <row r="562" spans="3:3" x14ac:dyDescent="0.3">
      <c r="C562" s="1"/>
    </row>
    <row r="563" spans="3:3" x14ac:dyDescent="0.3">
      <c r="C563" s="1"/>
    </row>
    <row r="564" spans="3:3" x14ac:dyDescent="0.3">
      <c r="C564" s="1"/>
    </row>
    <row r="565" spans="3:3" x14ac:dyDescent="0.3">
      <c r="C565" s="1"/>
    </row>
    <row r="566" spans="3:3" x14ac:dyDescent="0.3">
      <c r="C566" s="1"/>
    </row>
    <row r="567" spans="3:3" x14ac:dyDescent="0.3">
      <c r="C567" s="1"/>
    </row>
    <row r="568" spans="3:3" x14ac:dyDescent="0.3">
      <c r="C568" s="1"/>
    </row>
    <row r="569" spans="3:3" x14ac:dyDescent="0.3">
      <c r="C569" s="1"/>
    </row>
    <row r="570" spans="3:3" x14ac:dyDescent="0.3">
      <c r="C570" s="1"/>
    </row>
    <row r="571" spans="3:3" x14ac:dyDescent="0.3">
      <c r="C571" s="1"/>
    </row>
    <row r="572" spans="3:3" x14ac:dyDescent="0.3">
      <c r="C572" s="1"/>
    </row>
    <row r="573" spans="3:3" x14ac:dyDescent="0.3">
      <c r="C573" s="1"/>
    </row>
    <row r="574" spans="3:3" x14ac:dyDescent="0.3">
      <c r="C574" s="1"/>
    </row>
    <row r="575" spans="3:3" x14ac:dyDescent="0.3">
      <c r="C575" s="1"/>
    </row>
    <row r="576" spans="3:3" x14ac:dyDescent="0.3">
      <c r="C576" s="1"/>
    </row>
    <row r="577" spans="3:3" x14ac:dyDescent="0.3">
      <c r="C577" s="1"/>
    </row>
    <row r="578" spans="3:3" x14ac:dyDescent="0.3">
      <c r="C578" s="1"/>
    </row>
    <row r="579" spans="3:3" x14ac:dyDescent="0.3">
      <c r="C579" s="1"/>
    </row>
    <row r="580" spans="3:3" x14ac:dyDescent="0.3">
      <c r="C580" s="1"/>
    </row>
    <row r="581" spans="3:3" x14ac:dyDescent="0.3">
      <c r="C581" s="1"/>
    </row>
    <row r="582" spans="3:3" x14ac:dyDescent="0.3">
      <c r="C582" s="1"/>
    </row>
    <row r="583" spans="3:3" x14ac:dyDescent="0.3">
      <c r="C583" s="1"/>
    </row>
    <row r="584" spans="3:3" x14ac:dyDescent="0.3">
      <c r="C584" s="1"/>
    </row>
    <row r="585" spans="3:3" x14ac:dyDescent="0.3">
      <c r="C585" s="1"/>
    </row>
    <row r="586" spans="3:3" x14ac:dyDescent="0.3">
      <c r="C586" s="1"/>
    </row>
    <row r="587" spans="3:3" x14ac:dyDescent="0.3">
      <c r="C587" s="1"/>
    </row>
    <row r="588" spans="3:3" x14ac:dyDescent="0.3">
      <c r="C588" s="1"/>
    </row>
    <row r="589" spans="3:3" x14ac:dyDescent="0.3">
      <c r="C589" s="1"/>
    </row>
    <row r="590" spans="3:3" x14ac:dyDescent="0.3">
      <c r="C590" s="1"/>
    </row>
    <row r="591" spans="3:3" x14ac:dyDescent="0.3">
      <c r="C591" s="1"/>
    </row>
    <row r="592" spans="3:3" x14ac:dyDescent="0.3">
      <c r="C592" s="1"/>
    </row>
    <row r="593" spans="3:3" x14ac:dyDescent="0.3">
      <c r="C593" s="1"/>
    </row>
    <row r="594" spans="3:3" x14ac:dyDescent="0.3">
      <c r="C594" s="1"/>
    </row>
    <row r="595" spans="3:3" x14ac:dyDescent="0.3">
      <c r="C595" s="1"/>
    </row>
    <row r="596" spans="3:3" x14ac:dyDescent="0.3">
      <c r="C596" s="1"/>
    </row>
    <row r="597" spans="3:3" x14ac:dyDescent="0.3">
      <c r="C597" s="1"/>
    </row>
    <row r="598" spans="3:3" x14ac:dyDescent="0.3">
      <c r="C598" s="1"/>
    </row>
    <row r="599" spans="3:3" x14ac:dyDescent="0.3">
      <c r="C599" s="1"/>
    </row>
    <row r="600" spans="3:3" x14ac:dyDescent="0.3">
      <c r="C600" s="1"/>
    </row>
    <row r="601" spans="3:3" x14ac:dyDescent="0.3">
      <c r="C601" s="1"/>
    </row>
    <row r="602" spans="3:3" x14ac:dyDescent="0.3">
      <c r="C602" s="1"/>
    </row>
    <row r="603" spans="3:3" x14ac:dyDescent="0.3">
      <c r="C603" s="1"/>
    </row>
    <row r="604" spans="3:3" x14ac:dyDescent="0.3">
      <c r="C604" s="1"/>
    </row>
    <row r="605" spans="3:3" x14ac:dyDescent="0.3">
      <c r="C605" s="1"/>
    </row>
    <row r="606" spans="3:3" x14ac:dyDescent="0.3">
      <c r="C606" s="1"/>
    </row>
    <row r="607" spans="3:3" x14ac:dyDescent="0.3">
      <c r="C607" s="1"/>
    </row>
    <row r="608" spans="3:3" x14ac:dyDescent="0.3">
      <c r="C608" s="1"/>
    </row>
    <row r="609" spans="3:3" x14ac:dyDescent="0.3">
      <c r="C609" s="1"/>
    </row>
    <row r="610" spans="3:3" x14ac:dyDescent="0.3">
      <c r="C610" s="1"/>
    </row>
    <row r="611" spans="3:3" x14ac:dyDescent="0.3">
      <c r="C611" s="1"/>
    </row>
    <row r="612" spans="3:3" x14ac:dyDescent="0.3">
      <c r="C612" s="1"/>
    </row>
    <row r="613" spans="3:3" x14ac:dyDescent="0.3">
      <c r="C613" s="1"/>
    </row>
    <row r="614" spans="3:3" x14ac:dyDescent="0.3">
      <c r="C614" s="1"/>
    </row>
    <row r="615" spans="3:3" x14ac:dyDescent="0.3">
      <c r="C615" s="1"/>
    </row>
    <row r="616" spans="3:3" x14ac:dyDescent="0.3">
      <c r="C616" s="1"/>
    </row>
    <row r="617" spans="3:3" x14ac:dyDescent="0.3">
      <c r="C617" s="1"/>
    </row>
    <row r="618" spans="3:3" x14ac:dyDescent="0.3">
      <c r="C618" s="1"/>
    </row>
    <row r="619" spans="3:3" x14ac:dyDescent="0.3">
      <c r="C619" s="1"/>
    </row>
    <row r="620" spans="3:3" x14ac:dyDescent="0.3">
      <c r="C620" s="1"/>
    </row>
    <row r="621" spans="3:3" x14ac:dyDescent="0.3">
      <c r="C621" s="1"/>
    </row>
    <row r="622" spans="3:3" x14ac:dyDescent="0.3">
      <c r="C622" s="1"/>
    </row>
    <row r="623" spans="3:3" x14ac:dyDescent="0.3">
      <c r="C623" s="1"/>
    </row>
    <row r="624" spans="3:3" x14ac:dyDescent="0.3">
      <c r="C624" s="1"/>
    </row>
    <row r="625" spans="3:3" x14ac:dyDescent="0.3">
      <c r="C625" s="1"/>
    </row>
    <row r="626" spans="3:3" x14ac:dyDescent="0.3">
      <c r="C626" s="1"/>
    </row>
    <row r="627" spans="3:3" x14ac:dyDescent="0.3">
      <c r="C627" s="1"/>
    </row>
    <row r="628" spans="3:3" x14ac:dyDescent="0.3">
      <c r="C628" s="1"/>
    </row>
    <row r="629" spans="3:3" x14ac:dyDescent="0.3">
      <c r="C629" s="1"/>
    </row>
    <row r="630" spans="3:3" x14ac:dyDescent="0.3">
      <c r="C630" s="1"/>
    </row>
    <row r="631" spans="3:3" x14ac:dyDescent="0.3">
      <c r="C631" s="1"/>
    </row>
    <row r="632" spans="3:3" x14ac:dyDescent="0.3">
      <c r="C632" s="1"/>
    </row>
    <row r="633" spans="3:3" x14ac:dyDescent="0.3">
      <c r="C633" s="1"/>
    </row>
    <row r="634" spans="3:3" x14ac:dyDescent="0.3">
      <c r="C634" s="1"/>
    </row>
    <row r="635" spans="3:3" x14ac:dyDescent="0.3">
      <c r="C635" s="1"/>
    </row>
    <row r="636" spans="3:3" x14ac:dyDescent="0.3">
      <c r="C636" s="1"/>
    </row>
    <row r="637" spans="3:3" x14ac:dyDescent="0.3">
      <c r="C637" s="1"/>
    </row>
    <row r="638" spans="3:3" x14ac:dyDescent="0.3">
      <c r="C638" s="1"/>
    </row>
    <row r="639" spans="3:3" x14ac:dyDescent="0.3">
      <c r="C639" s="1"/>
    </row>
    <row r="640" spans="3:3" x14ac:dyDescent="0.3">
      <c r="C640" s="1"/>
    </row>
    <row r="641" spans="3:3" x14ac:dyDescent="0.3">
      <c r="C641" s="1"/>
    </row>
    <row r="642" spans="3:3" x14ac:dyDescent="0.3">
      <c r="C642" s="1"/>
    </row>
    <row r="643" spans="3:3" x14ac:dyDescent="0.3">
      <c r="C643" s="1"/>
    </row>
    <row r="644" spans="3:3" x14ac:dyDescent="0.3">
      <c r="C644" s="1"/>
    </row>
    <row r="645" spans="3:3" x14ac:dyDescent="0.3">
      <c r="C645" s="1"/>
    </row>
    <row r="646" spans="3:3" x14ac:dyDescent="0.3">
      <c r="C646" s="1"/>
    </row>
    <row r="647" spans="3:3" x14ac:dyDescent="0.3">
      <c r="C647" s="1"/>
    </row>
    <row r="648" spans="3:3" x14ac:dyDescent="0.3">
      <c r="C648" s="1"/>
    </row>
    <row r="649" spans="3:3" x14ac:dyDescent="0.3">
      <c r="C649" s="1"/>
    </row>
    <row r="650" spans="3:3" x14ac:dyDescent="0.3">
      <c r="C650" s="1"/>
    </row>
    <row r="651" spans="3:3" x14ac:dyDescent="0.3">
      <c r="C651" s="1"/>
    </row>
    <row r="652" spans="3:3" x14ac:dyDescent="0.3">
      <c r="C652" s="1"/>
    </row>
    <row r="653" spans="3:3" x14ac:dyDescent="0.3">
      <c r="C653" s="1"/>
    </row>
    <row r="654" spans="3:3" x14ac:dyDescent="0.3">
      <c r="C654" s="1"/>
    </row>
    <row r="655" spans="3:3" x14ac:dyDescent="0.3">
      <c r="C655" s="1"/>
    </row>
    <row r="656" spans="3:3" x14ac:dyDescent="0.3">
      <c r="C656" s="1"/>
    </row>
    <row r="657" spans="3:3" x14ac:dyDescent="0.3">
      <c r="C657" s="1"/>
    </row>
    <row r="658" spans="3:3" x14ac:dyDescent="0.3">
      <c r="C658" s="1"/>
    </row>
    <row r="659" spans="3:3" x14ac:dyDescent="0.3">
      <c r="C659" s="1"/>
    </row>
    <row r="660" spans="3:3" x14ac:dyDescent="0.3">
      <c r="C660" s="1"/>
    </row>
    <row r="661" spans="3:3" x14ac:dyDescent="0.3">
      <c r="C661" s="1"/>
    </row>
    <row r="662" spans="3:3" x14ac:dyDescent="0.3">
      <c r="C662" s="1"/>
    </row>
    <row r="663" spans="3:3" x14ac:dyDescent="0.3">
      <c r="C663" s="1"/>
    </row>
    <row r="664" spans="3:3" x14ac:dyDescent="0.3">
      <c r="C664" s="1"/>
    </row>
    <row r="665" spans="3:3" x14ac:dyDescent="0.3">
      <c r="C665" s="1"/>
    </row>
    <row r="666" spans="3:3" x14ac:dyDescent="0.3">
      <c r="C666" s="1"/>
    </row>
    <row r="667" spans="3:3" x14ac:dyDescent="0.3">
      <c r="C667" s="1"/>
    </row>
    <row r="668" spans="3:3" x14ac:dyDescent="0.3">
      <c r="C668" s="1"/>
    </row>
    <row r="669" spans="3:3" x14ac:dyDescent="0.3">
      <c r="C669" s="1"/>
    </row>
    <row r="670" spans="3:3" x14ac:dyDescent="0.3">
      <c r="C670" s="1"/>
    </row>
    <row r="671" spans="3:3" x14ac:dyDescent="0.3">
      <c r="C671" s="1"/>
    </row>
    <row r="672" spans="3:3" x14ac:dyDescent="0.3">
      <c r="C672" s="1"/>
    </row>
    <row r="673" spans="3:3" x14ac:dyDescent="0.3">
      <c r="C673" s="1"/>
    </row>
    <row r="674" spans="3:3" x14ac:dyDescent="0.3">
      <c r="C674" s="1"/>
    </row>
    <row r="675" spans="3:3" x14ac:dyDescent="0.3">
      <c r="C675" s="1"/>
    </row>
    <row r="676" spans="3:3" x14ac:dyDescent="0.3">
      <c r="C676" s="1"/>
    </row>
    <row r="677" spans="3:3" x14ac:dyDescent="0.3">
      <c r="C677" s="1"/>
    </row>
    <row r="678" spans="3:3" x14ac:dyDescent="0.3">
      <c r="C678" s="1"/>
    </row>
    <row r="679" spans="3:3" x14ac:dyDescent="0.3">
      <c r="C679" s="1"/>
    </row>
    <row r="680" spans="3:3" x14ac:dyDescent="0.3">
      <c r="C680" s="1"/>
    </row>
    <row r="681" spans="3:3" x14ac:dyDescent="0.3">
      <c r="C681" s="1"/>
    </row>
    <row r="682" spans="3:3" x14ac:dyDescent="0.3">
      <c r="C682" s="1"/>
    </row>
    <row r="683" spans="3:3" x14ac:dyDescent="0.3">
      <c r="C683" s="1"/>
    </row>
    <row r="684" spans="3:3" x14ac:dyDescent="0.3">
      <c r="C684" s="1"/>
    </row>
    <row r="685" spans="3:3" x14ac:dyDescent="0.3">
      <c r="C685" s="1"/>
    </row>
    <row r="686" spans="3:3" x14ac:dyDescent="0.3">
      <c r="C686" s="1"/>
    </row>
    <row r="687" spans="3:3" x14ac:dyDescent="0.3">
      <c r="C687" s="1"/>
    </row>
    <row r="688" spans="3:3" x14ac:dyDescent="0.3">
      <c r="C688" s="1"/>
    </row>
    <row r="689" spans="3:3" x14ac:dyDescent="0.3">
      <c r="C689" s="1"/>
    </row>
    <row r="690" spans="3:3" x14ac:dyDescent="0.3">
      <c r="C690" s="1"/>
    </row>
    <row r="691" spans="3:3" x14ac:dyDescent="0.3">
      <c r="C691" s="1"/>
    </row>
    <row r="692" spans="3:3" x14ac:dyDescent="0.3">
      <c r="C692" s="1"/>
    </row>
    <row r="693" spans="3:3" x14ac:dyDescent="0.3">
      <c r="C693" s="1"/>
    </row>
    <row r="694" spans="3:3" x14ac:dyDescent="0.3">
      <c r="C694" s="1"/>
    </row>
    <row r="695" spans="3:3" x14ac:dyDescent="0.3">
      <c r="C695" s="1"/>
    </row>
    <row r="696" spans="3:3" x14ac:dyDescent="0.3">
      <c r="C696" s="1"/>
    </row>
    <row r="697" spans="3:3" x14ac:dyDescent="0.3">
      <c r="C697" s="1"/>
    </row>
    <row r="698" spans="3:3" x14ac:dyDescent="0.3">
      <c r="C698" s="1"/>
    </row>
    <row r="699" spans="3:3" x14ac:dyDescent="0.3">
      <c r="C699" s="1"/>
    </row>
    <row r="700" spans="3:3" x14ac:dyDescent="0.3">
      <c r="C700" s="1"/>
    </row>
    <row r="701" spans="3:3" x14ac:dyDescent="0.3">
      <c r="C701" s="1"/>
    </row>
    <row r="702" spans="3:3" x14ac:dyDescent="0.3">
      <c r="C702" s="1"/>
    </row>
    <row r="703" spans="3:3" x14ac:dyDescent="0.3">
      <c r="C703" s="1"/>
    </row>
    <row r="704" spans="3:3" x14ac:dyDescent="0.3">
      <c r="C704" s="1"/>
    </row>
    <row r="705" spans="3:3" x14ac:dyDescent="0.3">
      <c r="C705" s="1"/>
    </row>
    <row r="706" spans="3:3" x14ac:dyDescent="0.3">
      <c r="C706" s="1"/>
    </row>
    <row r="707" spans="3:3" x14ac:dyDescent="0.3">
      <c r="C707" s="1"/>
    </row>
    <row r="708" spans="3:3" x14ac:dyDescent="0.3">
      <c r="C708" s="1"/>
    </row>
    <row r="709" spans="3:3" x14ac:dyDescent="0.3">
      <c r="C709" s="1"/>
    </row>
    <row r="710" spans="3:3" x14ac:dyDescent="0.3">
      <c r="C710" s="1"/>
    </row>
    <row r="711" spans="3:3" x14ac:dyDescent="0.3">
      <c r="C711" s="1"/>
    </row>
    <row r="712" spans="3:3" x14ac:dyDescent="0.3">
      <c r="C712" s="1"/>
    </row>
    <row r="713" spans="3:3" x14ac:dyDescent="0.3">
      <c r="C713" s="1"/>
    </row>
    <row r="714" spans="3:3" x14ac:dyDescent="0.3">
      <c r="C714" s="1"/>
    </row>
    <row r="715" spans="3:3" x14ac:dyDescent="0.3">
      <c r="C715" s="1"/>
    </row>
    <row r="716" spans="3:3" x14ac:dyDescent="0.3">
      <c r="C716" s="1"/>
    </row>
    <row r="717" spans="3:3" x14ac:dyDescent="0.3">
      <c r="C717" s="1"/>
    </row>
    <row r="718" spans="3:3" x14ac:dyDescent="0.3">
      <c r="C718" s="1"/>
    </row>
    <row r="719" spans="3:3" x14ac:dyDescent="0.3">
      <c r="C719" s="1"/>
    </row>
    <row r="720" spans="3:3" x14ac:dyDescent="0.3">
      <c r="C720" s="1"/>
    </row>
    <row r="721" spans="3:3" x14ac:dyDescent="0.3">
      <c r="C721" s="1"/>
    </row>
    <row r="722" spans="3:3" x14ac:dyDescent="0.3">
      <c r="C722" s="1"/>
    </row>
    <row r="723" spans="3:3" x14ac:dyDescent="0.3">
      <c r="C723" s="1"/>
    </row>
    <row r="724" spans="3:3" x14ac:dyDescent="0.3">
      <c r="C724" s="1"/>
    </row>
    <row r="725" spans="3:3" x14ac:dyDescent="0.3">
      <c r="C725" s="1"/>
    </row>
    <row r="726" spans="3:3" x14ac:dyDescent="0.3">
      <c r="C726" s="1"/>
    </row>
    <row r="727" spans="3:3" x14ac:dyDescent="0.3">
      <c r="C727" s="1"/>
    </row>
    <row r="728" spans="3:3" x14ac:dyDescent="0.3">
      <c r="C728" s="1"/>
    </row>
    <row r="729" spans="3:3" x14ac:dyDescent="0.3">
      <c r="C729" s="1"/>
    </row>
    <row r="730" spans="3:3" x14ac:dyDescent="0.3">
      <c r="C730" s="1"/>
    </row>
    <row r="731" spans="3:3" x14ac:dyDescent="0.3">
      <c r="C731" s="1"/>
    </row>
    <row r="732" spans="3:3" x14ac:dyDescent="0.3">
      <c r="C732" s="1"/>
    </row>
    <row r="733" spans="3:3" x14ac:dyDescent="0.3">
      <c r="C733" s="1"/>
    </row>
    <row r="734" spans="3:3" x14ac:dyDescent="0.3">
      <c r="C734" s="1"/>
    </row>
    <row r="735" spans="3:3" x14ac:dyDescent="0.3">
      <c r="C735" s="1"/>
    </row>
    <row r="736" spans="3:3" x14ac:dyDescent="0.3">
      <c r="C736" s="1"/>
    </row>
    <row r="737" spans="3:3" x14ac:dyDescent="0.3">
      <c r="C737" s="1"/>
    </row>
    <row r="738" spans="3:3" x14ac:dyDescent="0.3">
      <c r="C738" s="1"/>
    </row>
    <row r="739" spans="3:3" x14ac:dyDescent="0.3">
      <c r="C739" s="1"/>
    </row>
    <row r="740" spans="3:3" x14ac:dyDescent="0.3">
      <c r="C740" s="1"/>
    </row>
    <row r="741" spans="3:3" x14ac:dyDescent="0.3">
      <c r="C741" s="1"/>
    </row>
    <row r="742" spans="3:3" x14ac:dyDescent="0.3">
      <c r="C742" s="1"/>
    </row>
    <row r="743" spans="3:3" x14ac:dyDescent="0.3">
      <c r="C743" s="1"/>
    </row>
    <row r="744" spans="3:3" x14ac:dyDescent="0.3">
      <c r="C744" s="1"/>
    </row>
    <row r="745" spans="3:3" x14ac:dyDescent="0.3">
      <c r="C745" s="1"/>
    </row>
    <row r="746" spans="3:3" x14ac:dyDescent="0.3">
      <c r="C746" s="1"/>
    </row>
    <row r="747" spans="3:3" x14ac:dyDescent="0.3">
      <c r="C747" s="1"/>
    </row>
    <row r="748" spans="3:3" x14ac:dyDescent="0.3">
      <c r="C748" s="1"/>
    </row>
    <row r="749" spans="3:3" x14ac:dyDescent="0.3">
      <c r="C749" s="1"/>
    </row>
    <row r="750" spans="3:3" x14ac:dyDescent="0.3">
      <c r="C750" s="1"/>
    </row>
    <row r="751" spans="3:3" x14ac:dyDescent="0.3">
      <c r="C751" s="1"/>
    </row>
    <row r="752" spans="3:3" x14ac:dyDescent="0.3">
      <c r="C752" s="1"/>
    </row>
    <row r="753" spans="3:3" x14ac:dyDescent="0.3">
      <c r="C753" s="1"/>
    </row>
    <row r="754" spans="3:3" x14ac:dyDescent="0.3">
      <c r="C754" s="1"/>
    </row>
    <row r="755" spans="3:3" x14ac:dyDescent="0.3">
      <c r="C755" s="1"/>
    </row>
    <row r="756" spans="3:3" x14ac:dyDescent="0.3">
      <c r="C756" s="1"/>
    </row>
    <row r="757" spans="3:3" x14ac:dyDescent="0.3">
      <c r="C757" s="1"/>
    </row>
    <row r="758" spans="3:3" x14ac:dyDescent="0.3">
      <c r="C758" s="1"/>
    </row>
    <row r="759" spans="3:3" x14ac:dyDescent="0.3">
      <c r="C759" s="1"/>
    </row>
    <row r="760" spans="3:3" x14ac:dyDescent="0.3">
      <c r="C760" s="1"/>
    </row>
    <row r="761" spans="3:3" x14ac:dyDescent="0.3">
      <c r="C761" s="1"/>
    </row>
    <row r="762" spans="3:3" x14ac:dyDescent="0.3">
      <c r="C762" s="1"/>
    </row>
    <row r="763" spans="3:3" x14ac:dyDescent="0.3">
      <c r="C763" s="1"/>
    </row>
    <row r="764" spans="3:3" x14ac:dyDescent="0.3">
      <c r="C764" s="1"/>
    </row>
    <row r="765" spans="3:3" x14ac:dyDescent="0.3">
      <c r="C765" s="1"/>
    </row>
    <row r="766" spans="3:3" x14ac:dyDescent="0.3">
      <c r="C766" s="1"/>
    </row>
    <row r="767" spans="3:3" x14ac:dyDescent="0.3">
      <c r="C767" s="1"/>
    </row>
    <row r="768" spans="3:3" x14ac:dyDescent="0.3">
      <c r="C768" s="1"/>
    </row>
    <row r="769" spans="3:3" x14ac:dyDescent="0.3">
      <c r="C769" s="1"/>
    </row>
    <row r="770" spans="3:3" x14ac:dyDescent="0.3">
      <c r="C770" s="1"/>
    </row>
    <row r="771" spans="3:3" x14ac:dyDescent="0.3">
      <c r="C771" s="1"/>
    </row>
    <row r="772" spans="3:3" x14ac:dyDescent="0.3">
      <c r="C772" s="1"/>
    </row>
    <row r="773" spans="3:3" x14ac:dyDescent="0.3">
      <c r="C773" s="1"/>
    </row>
    <row r="774" spans="3:3" x14ac:dyDescent="0.3">
      <c r="C774" s="1"/>
    </row>
    <row r="775" spans="3:3" x14ac:dyDescent="0.3">
      <c r="C775" s="1"/>
    </row>
    <row r="776" spans="3:3" x14ac:dyDescent="0.3">
      <c r="C776" s="1"/>
    </row>
    <row r="777" spans="3:3" x14ac:dyDescent="0.3">
      <c r="C777" s="1"/>
    </row>
    <row r="778" spans="3:3" x14ac:dyDescent="0.3">
      <c r="C778" s="1"/>
    </row>
    <row r="779" spans="3:3" x14ac:dyDescent="0.3">
      <c r="C779" s="1"/>
    </row>
    <row r="780" spans="3:3" x14ac:dyDescent="0.3">
      <c r="C780" s="1"/>
    </row>
    <row r="781" spans="3:3" x14ac:dyDescent="0.3">
      <c r="C781" s="1"/>
    </row>
    <row r="782" spans="3:3" x14ac:dyDescent="0.3">
      <c r="C782" s="1"/>
    </row>
    <row r="783" spans="3:3" x14ac:dyDescent="0.3">
      <c r="C783" s="1"/>
    </row>
    <row r="784" spans="3:3" x14ac:dyDescent="0.3">
      <c r="C784" s="1"/>
    </row>
    <row r="785" spans="3:3" x14ac:dyDescent="0.3">
      <c r="C785" s="1"/>
    </row>
    <row r="786" spans="3:3" x14ac:dyDescent="0.3">
      <c r="C786" s="1"/>
    </row>
    <row r="787" spans="3:3" x14ac:dyDescent="0.3">
      <c r="C787" s="1"/>
    </row>
    <row r="788" spans="3:3" x14ac:dyDescent="0.3">
      <c r="C788" s="1"/>
    </row>
    <row r="789" spans="3:3" x14ac:dyDescent="0.3">
      <c r="C789" s="1"/>
    </row>
    <row r="790" spans="3:3" x14ac:dyDescent="0.3">
      <c r="C790" s="1"/>
    </row>
    <row r="791" spans="3:3" x14ac:dyDescent="0.3">
      <c r="C791" s="1"/>
    </row>
    <row r="792" spans="3:3" x14ac:dyDescent="0.3">
      <c r="C792" s="1"/>
    </row>
    <row r="793" spans="3:3" x14ac:dyDescent="0.3">
      <c r="C793" s="1"/>
    </row>
    <row r="794" spans="3:3" x14ac:dyDescent="0.3">
      <c r="C794" s="1"/>
    </row>
    <row r="795" spans="3:3" x14ac:dyDescent="0.3">
      <c r="C795" s="1"/>
    </row>
    <row r="796" spans="3:3" x14ac:dyDescent="0.3">
      <c r="C796" s="1"/>
    </row>
    <row r="797" spans="3:3" x14ac:dyDescent="0.3">
      <c r="C797" s="1"/>
    </row>
    <row r="798" spans="3:3" x14ac:dyDescent="0.3">
      <c r="C798" s="1"/>
    </row>
    <row r="799" spans="3:3" x14ac:dyDescent="0.3">
      <c r="C799" s="1"/>
    </row>
    <row r="800" spans="3:3" x14ac:dyDescent="0.3">
      <c r="C800" s="1"/>
    </row>
    <row r="801" spans="3:3" x14ac:dyDescent="0.3">
      <c r="C801" s="1"/>
    </row>
    <row r="802" spans="3:3" x14ac:dyDescent="0.3">
      <c r="C802" s="1"/>
    </row>
    <row r="803" spans="3:3" x14ac:dyDescent="0.3">
      <c r="C803" s="1"/>
    </row>
    <row r="804" spans="3:3" x14ac:dyDescent="0.3">
      <c r="C804" s="1"/>
    </row>
    <row r="805" spans="3:3" x14ac:dyDescent="0.3">
      <c r="C805" s="1"/>
    </row>
    <row r="806" spans="3:3" x14ac:dyDescent="0.3">
      <c r="C806" s="1"/>
    </row>
    <row r="807" spans="3:3" x14ac:dyDescent="0.3">
      <c r="C807" s="1"/>
    </row>
    <row r="808" spans="3:3" x14ac:dyDescent="0.3">
      <c r="C808" s="1"/>
    </row>
    <row r="809" spans="3:3" x14ac:dyDescent="0.3">
      <c r="C809" s="1"/>
    </row>
    <row r="810" spans="3:3" x14ac:dyDescent="0.3">
      <c r="C810" s="1"/>
    </row>
    <row r="811" spans="3:3" x14ac:dyDescent="0.3">
      <c r="C811" s="1"/>
    </row>
    <row r="812" spans="3:3" x14ac:dyDescent="0.3">
      <c r="C812" s="1"/>
    </row>
    <row r="813" spans="3:3" x14ac:dyDescent="0.3">
      <c r="C813" s="1"/>
    </row>
    <row r="814" spans="3:3" x14ac:dyDescent="0.3">
      <c r="C814" s="1"/>
    </row>
    <row r="815" spans="3:3" x14ac:dyDescent="0.3">
      <c r="C815" s="1"/>
    </row>
    <row r="816" spans="3:3" x14ac:dyDescent="0.3">
      <c r="C816" s="1"/>
    </row>
    <row r="817" spans="3:3" x14ac:dyDescent="0.3">
      <c r="C817" s="1"/>
    </row>
    <row r="818" spans="3:3" x14ac:dyDescent="0.3">
      <c r="C818" s="1"/>
    </row>
    <row r="819" spans="3:3" x14ac:dyDescent="0.3">
      <c r="C819" s="1"/>
    </row>
    <row r="820" spans="3:3" x14ac:dyDescent="0.3">
      <c r="C820" s="1"/>
    </row>
    <row r="821" spans="3:3" x14ac:dyDescent="0.3">
      <c r="C821" s="1"/>
    </row>
    <row r="822" spans="3:3" x14ac:dyDescent="0.3">
      <c r="C822" s="1"/>
    </row>
    <row r="823" spans="3:3" x14ac:dyDescent="0.3">
      <c r="C823" s="1"/>
    </row>
    <row r="824" spans="3:3" x14ac:dyDescent="0.3">
      <c r="C824" s="1"/>
    </row>
    <row r="825" spans="3:3" x14ac:dyDescent="0.3">
      <c r="C825" s="1"/>
    </row>
    <row r="826" spans="3:3" x14ac:dyDescent="0.3">
      <c r="C826" s="1"/>
    </row>
    <row r="827" spans="3:3" x14ac:dyDescent="0.3">
      <c r="C827" s="1"/>
    </row>
    <row r="828" spans="3:3" x14ac:dyDescent="0.3">
      <c r="C828" s="1"/>
    </row>
    <row r="829" spans="3:3" x14ac:dyDescent="0.3">
      <c r="C829" s="1"/>
    </row>
    <row r="830" spans="3:3" x14ac:dyDescent="0.3">
      <c r="C830" s="1"/>
    </row>
    <row r="831" spans="3:3" x14ac:dyDescent="0.3">
      <c r="C831" s="1"/>
    </row>
    <row r="832" spans="3:3" x14ac:dyDescent="0.3">
      <c r="C832" s="1"/>
    </row>
    <row r="833" spans="3:3" x14ac:dyDescent="0.3">
      <c r="C833" s="1"/>
    </row>
    <row r="834" spans="3:3" x14ac:dyDescent="0.3">
      <c r="C834" s="1"/>
    </row>
    <row r="835" spans="3:3" x14ac:dyDescent="0.3">
      <c r="C835" s="1"/>
    </row>
    <row r="836" spans="3:3" x14ac:dyDescent="0.3">
      <c r="C836" s="1"/>
    </row>
    <row r="837" spans="3:3" x14ac:dyDescent="0.3">
      <c r="C837" s="1"/>
    </row>
    <row r="838" spans="3:3" x14ac:dyDescent="0.3">
      <c r="C838" s="1"/>
    </row>
    <row r="839" spans="3:3" x14ac:dyDescent="0.3">
      <c r="C839" s="1"/>
    </row>
    <row r="840" spans="3:3" x14ac:dyDescent="0.3">
      <c r="C840" s="1"/>
    </row>
    <row r="841" spans="3:3" x14ac:dyDescent="0.3">
      <c r="C841" s="1"/>
    </row>
    <row r="842" spans="3:3" x14ac:dyDescent="0.3">
      <c r="C842" s="1"/>
    </row>
    <row r="843" spans="3:3" x14ac:dyDescent="0.3">
      <c r="C843" s="1"/>
    </row>
    <row r="844" spans="3:3" x14ac:dyDescent="0.3">
      <c r="C844" s="1"/>
    </row>
    <row r="845" spans="3:3" x14ac:dyDescent="0.3">
      <c r="C845" s="1"/>
    </row>
    <row r="846" spans="3:3" x14ac:dyDescent="0.3">
      <c r="C846" s="1"/>
    </row>
    <row r="847" spans="3:3" x14ac:dyDescent="0.3">
      <c r="C847" s="1"/>
    </row>
    <row r="848" spans="3:3" x14ac:dyDescent="0.3">
      <c r="C848" s="1"/>
    </row>
    <row r="849" spans="3:3" x14ac:dyDescent="0.3">
      <c r="C849" s="1"/>
    </row>
    <row r="850" spans="3:3" x14ac:dyDescent="0.3">
      <c r="C850" s="1"/>
    </row>
    <row r="851" spans="3:3" x14ac:dyDescent="0.3">
      <c r="C851" s="1"/>
    </row>
    <row r="852" spans="3:3" x14ac:dyDescent="0.3">
      <c r="C852" s="1"/>
    </row>
    <row r="853" spans="3:3" x14ac:dyDescent="0.3">
      <c r="C853" s="1"/>
    </row>
    <row r="854" spans="3:3" x14ac:dyDescent="0.3">
      <c r="C854" s="1"/>
    </row>
    <row r="855" spans="3:3" x14ac:dyDescent="0.3">
      <c r="C855" s="1"/>
    </row>
    <row r="856" spans="3:3" x14ac:dyDescent="0.3">
      <c r="C856" s="1"/>
    </row>
    <row r="857" spans="3:3" x14ac:dyDescent="0.3">
      <c r="C857" s="1"/>
    </row>
    <row r="858" spans="3:3" x14ac:dyDescent="0.3">
      <c r="C858" s="1"/>
    </row>
    <row r="859" spans="3:3" x14ac:dyDescent="0.3">
      <c r="C859" s="1"/>
    </row>
    <row r="860" spans="3:3" x14ac:dyDescent="0.3">
      <c r="C860" s="1"/>
    </row>
    <row r="861" spans="3:3" x14ac:dyDescent="0.3">
      <c r="C861" s="1"/>
    </row>
    <row r="862" spans="3:3" x14ac:dyDescent="0.3">
      <c r="C862" s="1"/>
    </row>
    <row r="863" spans="3:3" x14ac:dyDescent="0.3">
      <c r="C863" s="1"/>
    </row>
    <row r="864" spans="3:3" x14ac:dyDescent="0.3">
      <c r="C864" s="1"/>
    </row>
    <row r="865" spans="3:3" x14ac:dyDescent="0.3">
      <c r="C865" s="1"/>
    </row>
    <row r="866" spans="3:3" x14ac:dyDescent="0.3">
      <c r="C866" s="1"/>
    </row>
    <row r="867" spans="3:3" x14ac:dyDescent="0.3">
      <c r="C867" s="1"/>
    </row>
    <row r="868" spans="3:3" x14ac:dyDescent="0.3">
      <c r="C868" s="1"/>
    </row>
    <row r="869" spans="3:3" x14ac:dyDescent="0.3">
      <c r="C869" s="1"/>
    </row>
    <row r="870" spans="3:3" x14ac:dyDescent="0.3">
      <c r="C870" s="1"/>
    </row>
    <row r="871" spans="3:3" x14ac:dyDescent="0.3">
      <c r="C871" s="1"/>
    </row>
    <row r="872" spans="3:3" x14ac:dyDescent="0.3">
      <c r="C872" s="1"/>
    </row>
    <row r="873" spans="3:3" x14ac:dyDescent="0.3">
      <c r="C873" s="1"/>
    </row>
    <row r="874" spans="3:3" x14ac:dyDescent="0.3">
      <c r="C874" s="1"/>
    </row>
    <row r="875" spans="3:3" x14ac:dyDescent="0.3">
      <c r="C875" s="1"/>
    </row>
    <row r="876" spans="3:3" x14ac:dyDescent="0.3">
      <c r="C876" s="1"/>
    </row>
    <row r="877" spans="3:3" x14ac:dyDescent="0.3">
      <c r="C877" s="1"/>
    </row>
    <row r="878" spans="3:3" x14ac:dyDescent="0.3">
      <c r="C878" s="1"/>
    </row>
    <row r="879" spans="3:3" x14ac:dyDescent="0.3">
      <c r="C879" s="1"/>
    </row>
    <row r="880" spans="3:3" x14ac:dyDescent="0.3">
      <c r="C880" s="1"/>
    </row>
    <row r="881" spans="3:3" x14ac:dyDescent="0.3">
      <c r="C881" s="1"/>
    </row>
    <row r="882" spans="3:3" x14ac:dyDescent="0.3">
      <c r="C882" s="1"/>
    </row>
    <row r="883" spans="3:3" x14ac:dyDescent="0.3">
      <c r="C883" s="1"/>
    </row>
    <row r="884" spans="3:3" x14ac:dyDescent="0.3">
      <c r="C884" s="1"/>
    </row>
    <row r="885" spans="3:3" x14ac:dyDescent="0.3">
      <c r="C885" s="1"/>
    </row>
    <row r="886" spans="3:3" x14ac:dyDescent="0.3">
      <c r="C886" s="1"/>
    </row>
    <row r="887" spans="3:3" x14ac:dyDescent="0.3">
      <c r="C887" s="1"/>
    </row>
    <row r="888" spans="3:3" x14ac:dyDescent="0.3">
      <c r="C888" s="1"/>
    </row>
    <row r="889" spans="3:3" x14ac:dyDescent="0.3">
      <c r="C889" s="1"/>
    </row>
    <row r="890" spans="3:3" x14ac:dyDescent="0.3">
      <c r="C890" s="1"/>
    </row>
    <row r="891" spans="3:3" x14ac:dyDescent="0.3">
      <c r="C891" s="1"/>
    </row>
    <row r="892" spans="3:3" x14ac:dyDescent="0.3">
      <c r="C892" s="1"/>
    </row>
    <row r="893" spans="3:3" x14ac:dyDescent="0.3">
      <c r="C893" s="1"/>
    </row>
    <row r="894" spans="3:3" x14ac:dyDescent="0.3">
      <c r="C894" s="1"/>
    </row>
    <row r="895" spans="3:3" x14ac:dyDescent="0.3">
      <c r="C895" s="1"/>
    </row>
    <row r="896" spans="3:3" x14ac:dyDescent="0.3">
      <c r="C896" s="1"/>
    </row>
    <row r="897" spans="3:3" x14ac:dyDescent="0.3">
      <c r="C897" s="1"/>
    </row>
    <row r="898" spans="3:3" x14ac:dyDescent="0.3">
      <c r="C898" s="1"/>
    </row>
    <row r="899" spans="3:3" x14ac:dyDescent="0.3">
      <c r="C899" s="1"/>
    </row>
    <row r="900" spans="3:3" x14ac:dyDescent="0.3">
      <c r="C900" s="1"/>
    </row>
    <row r="901" spans="3:3" x14ac:dyDescent="0.3">
      <c r="C901" s="1"/>
    </row>
    <row r="902" spans="3:3" x14ac:dyDescent="0.3">
      <c r="C902" s="1"/>
    </row>
    <row r="903" spans="3:3" x14ac:dyDescent="0.3">
      <c r="C903" s="1"/>
    </row>
    <row r="904" spans="3:3" x14ac:dyDescent="0.3">
      <c r="C904" s="1"/>
    </row>
    <row r="905" spans="3:3" x14ac:dyDescent="0.3">
      <c r="C905" s="1"/>
    </row>
    <row r="906" spans="3:3" x14ac:dyDescent="0.3">
      <c r="C906" s="1"/>
    </row>
    <row r="907" spans="3:3" x14ac:dyDescent="0.3">
      <c r="C907" s="1"/>
    </row>
    <row r="908" spans="3:3" x14ac:dyDescent="0.3">
      <c r="C908" s="1"/>
    </row>
    <row r="909" spans="3:3" x14ac:dyDescent="0.3">
      <c r="C909" s="1"/>
    </row>
    <row r="910" spans="3:3" x14ac:dyDescent="0.3">
      <c r="C910" s="1"/>
    </row>
    <row r="911" spans="3:3" x14ac:dyDescent="0.3">
      <c r="C911" s="1"/>
    </row>
    <row r="912" spans="3:3" x14ac:dyDescent="0.3">
      <c r="C912" s="1"/>
    </row>
    <row r="913" spans="3:3" x14ac:dyDescent="0.3">
      <c r="C913" s="1"/>
    </row>
    <row r="914" spans="3:3" x14ac:dyDescent="0.3">
      <c r="C914" s="1"/>
    </row>
    <row r="915" spans="3:3" x14ac:dyDescent="0.3">
      <c r="C915" s="1"/>
    </row>
    <row r="916" spans="3:3" x14ac:dyDescent="0.3">
      <c r="C916" s="1"/>
    </row>
    <row r="917" spans="3:3" x14ac:dyDescent="0.3">
      <c r="C917" s="1"/>
    </row>
    <row r="918" spans="3:3" x14ac:dyDescent="0.3">
      <c r="C918" s="1"/>
    </row>
    <row r="919" spans="3:3" x14ac:dyDescent="0.3">
      <c r="C919" s="1"/>
    </row>
    <row r="920" spans="3:3" x14ac:dyDescent="0.3">
      <c r="C920" s="1"/>
    </row>
    <row r="921" spans="3:3" x14ac:dyDescent="0.3">
      <c r="C921" s="1"/>
    </row>
    <row r="922" spans="3:3" x14ac:dyDescent="0.3">
      <c r="C922" s="1"/>
    </row>
    <row r="923" spans="3:3" x14ac:dyDescent="0.3">
      <c r="C923" s="1"/>
    </row>
    <row r="924" spans="3:3" x14ac:dyDescent="0.3">
      <c r="C924" s="1"/>
    </row>
    <row r="925" spans="3:3" x14ac:dyDescent="0.3">
      <c r="C925" s="1"/>
    </row>
    <row r="926" spans="3:3" x14ac:dyDescent="0.3">
      <c r="C926" s="1"/>
    </row>
    <row r="927" spans="3:3" x14ac:dyDescent="0.3">
      <c r="C927" s="1"/>
    </row>
    <row r="928" spans="3:3" x14ac:dyDescent="0.3">
      <c r="C928" s="1"/>
    </row>
    <row r="929" spans="3:3" x14ac:dyDescent="0.3">
      <c r="C929" s="1"/>
    </row>
    <row r="930" spans="3:3" x14ac:dyDescent="0.3">
      <c r="C930" s="1"/>
    </row>
    <row r="931" spans="3:3" x14ac:dyDescent="0.3">
      <c r="C931" s="1"/>
    </row>
    <row r="932" spans="3:3" x14ac:dyDescent="0.3">
      <c r="C932" s="1"/>
    </row>
    <row r="933" spans="3:3" x14ac:dyDescent="0.3">
      <c r="C933" s="1"/>
    </row>
    <row r="934" spans="3:3" x14ac:dyDescent="0.3">
      <c r="C934" s="1"/>
    </row>
    <row r="935" spans="3:3" x14ac:dyDescent="0.3">
      <c r="C935" s="1"/>
    </row>
    <row r="936" spans="3:3" x14ac:dyDescent="0.3">
      <c r="C936" s="1"/>
    </row>
    <row r="937" spans="3:3" x14ac:dyDescent="0.3">
      <c r="C937" s="1"/>
    </row>
    <row r="938" spans="3:3" x14ac:dyDescent="0.3">
      <c r="C938" s="1"/>
    </row>
    <row r="939" spans="3:3" x14ac:dyDescent="0.3">
      <c r="C939" s="1"/>
    </row>
    <row r="940" spans="3:3" x14ac:dyDescent="0.3">
      <c r="C940" s="1"/>
    </row>
    <row r="941" spans="3:3" x14ac:dyDescent="0.3">
      <c r="C941" s="1"/>
    </row>
    <row r="942" spans="3:3" x14ac:dyDescent="0.3">
      <c r="C942" s="1"/>
    </row>
    <row r="943" spans="3:3" x14ac:dyDescent="0.3">
      <c r="C943" s="1"/>
    </row>
    <row r="944" spans="3:3" x14ac:dyDescent="0.3">
      <c r="C944" s="1"/>
    </row>
    <row r="945" spans="3:3" x14ac:dyDescent="0.3">
      <c r="C945" s="1"/>
    </row>
    <row r="946" spans="3:3" x14ac:dyDescent="0.3">
      <c r="C946" s="1"/>
    </row>
    <row r="947" spans="3:3" x14ac:dyDescent="0.3">
      <c r="C947" s="1"/>
    </row>
    <row r="948" spans="3:3" x14ac:dyDescent="0.3">
      <c r="C948" s="1"/>
    </row>
    <row r="949" spans="3:3" x14ac:dyDescent="0.3">
      <c r="C949" s="1"/>
    </row>
    <row r="950" spans="3:3" x14ac:dyDescent="0.3">
      <c r="C950" s="1"/>
    </row>
    <row r="951" spans="3:3" x14ac:dyDescent="0.3">
      <c r="C951" s="1"/>
    </row>
    <row r="952" spans="3:3" x14ac:dyDescent="0.3">
      <c r="C952" s="1"/>
    </row>
    <row r="953" spans="3:3" x14ac:dyDescent="0.3">
      <c r="C953" s="1"/>
    </row>
    <row r="954" spans="3:3" x14ac:dyDescent="0.3">
      <c r="C954" s="1"/>
    </row>
    <row r="955" spans="3:3" x14ac:dyDescent="0.3">
      <c r="C955" s="1"/>
    </row>
    <row r="956" spans="3:3" x14ac:dyDescent="0.3">
      <c r="C956" s="1"/>
    </row>
    <row r="957" spans="3:3" x14ac:dyDescent="0.3">
      <c r="C957" s="1"/>
    </row>
    <row r="958" spans="3:3" x14ac:dyDescent="0.3">
      <c r="C958" s="1"/>
    </row>
    <row r="959" spans="3:3" x14ac:dyDescent="0.3">
      <c r="C959" s="1"/>
    </row>
    <row r="960" spans="3:3" x14ac:dyDescent="0.3">
      <c r="C960" s="1"/>
    </row>
    <row r="961" spans="3:3" x14ac:dyDescent="0.3">
      <c r="C961" s="1"/>
    </row>
    <row r="962" spans="3:3" x14ac:dyDescent="0.3">
      <c r="C962" s="1"/>
    </row>
    <row r="963" spans="3:3" x14ac:dyDescent="0.3">
      <c r="C963" s="1"/>
    </row>
    <row r="964" spans="3:3" x14ac:dyDescent="0.3">
      <c r="C964" s="1"/>
    </row>
    <row r="965" spans="3:3" x14ac:dyDescent="0.3">
      <c r="C965" s="1"/>
    </row>
    <row r="966" spans="3:3" x14ac:dyDescent="0.3">
      <c r="C966" s="1"/>
    </row>
    <row r="967" spans="3:3" x14ac:dyDescent="0.3">
      <c r="C967" s="1"/>
    </row>
    <row r="968" spans="3:3" x14ac:dyDescent="0.3">
      <c r="C968" s="1"/>
    </row>
    <row r="969" spans="3:3" x14ac:dyDescent="0.3">
      <c r="C969" s="1"/>
    </row>
    <row r="970" spans="3:3" x14ac:dyDescent="0.3">
      <c r="C970" s="1"/>
    </row>
    <row r="971" spans="3:3" x14ac:dyDescent="0.3">
      <c r="C971" s="1"/>
    </row>
    <row r="972" spans="3:3" x14ac:dyDescent="0.3">
      <c r="C972" s="1"/>
    </row>
    <row r="973" spans="3:3" x14ac:dyDescent="0.3">
      <c r="C973" s="1"/>
    </row>
    <row r="974" spans="3:3" x14ac:dyDescent="0.3">
      <c r="C974" s="1"/>
    </row>
    <row r="975" spans="3:3" x14ac:dyDescent="0.3">
      <c r="C975" s="1"/>
    </row>
    <row r="976" spans="3:3" x14ac:dyDescent="0.3">
      <c r="C976" s="1"/>
    </row>
    <row r="977" spans="3:3" x14ac:dyDescent="0.3">
      <c r="C977" s="1"/>
    </row>
    <row r="978" spans="3:3" x14ac:dyDescent="0.3">
      <c r="C978" s="1"/>
    </row>
    <row r="979" spans="3:3" x14ac:dyDescent="0.3">
      <c r="C979" s="1"/>
    </row>
    <row r="980" spans="3:3" x14ac:dyDescent="0.3">
      <c r="C980" s="1"/>
    </row>
    <row r="981" spans="3:3" x14ac:dyDescent="0.3">
      <c r="C981" s="1"/>
    </row>
    <row r="982" spans="3:3" x14ac:dyDescent="0.3">
      <c r="C982" s="1"/>
    </row>
    <row r="983" spans="3:3" x14ac:dyDescent="0.3">
      <c r="C983" s="1"/>
    </row>
    <row r="984" spans="3:3" x14ac:dyDescent="0.3">
      <c r="C984" s="1"/>
    </row>
    <row r="985" spans="3:3" x14ac:dyDescent="0.3">
      <c r="C985" s="1"/>
    </row>
    <row r="986" spans="3:3" x14ac:dyDescent="0.3">
      <c r="C986" s="1"/>
    </row>
    <row r="987" spans="3:3" x14ac:dyDescent="0.3">
      <c r="C987" s="1"/>
    </row>
    <row r="988" spans="3:3" x14ac:dyDescent="0.3">
      <c r="C988" s="1"/>
    </row>
    <row r="989" spans="3:3" x14ac:dyDescent="0.3">
      <c r="C989" s="1"/>
    </row>
    <row r="990" spans="3:3" x14ac:dyDescent="0.3">
      <c r="C990" s="1"/>
    </row>
    <row r="991" spans="3:3" x14ac:dyDescent="0.3">
      <c r="C991" s="1"/>
    </row>
    <row r="992" spans="3:3" x14ac:dyDescent="0.3">
      <c r="C992" s="1"/>
    </row>
    <row r="993" spans="3:3" x14ac:dyDescent="0.3">
      <c r="C993" s="1"/>
    </row>
    <row r="994" spans="3:3" x14ac:dyDescent="0.3">
      <c r="C994" s="1"/>
    </row>
    <row r="995" spans="3:3" x14ac:dyDescent="0.3">
      <c r="C995" s="1"/>
    </row>
    <row r="996" spans="3:3" x14ac:dyDescent="0.3">
      <c r="C996" s="1"/>
    </row>
    <row r="997" spans="3:3" x14ac:dyDescent="0.3">
      <c r="C997" s="1"/>
    </row>
    <row r="998" spans="3:3" x14ac:dyDescent="0.3">
      <c r="C998" s="1"/>
    </row>
    <row r="999" spans="3:3" x14ac:dyDescent="0.3">
      <c r="C999" s="1"/>
    </row>
    <row r="1000" spans="3:3" x14ac:dyDescent="0.3">
      <c r="C1000" s="1"/>
    </row>
    <row r="1001" spans="3:3" x14ac:dyDescent="0.3">
      <c r="C1001" s="1"/>
    </row>
    <row r="1002" spans="3:3" x14ac:dyDescent="0.3">
      <c r="C1002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Ahmed</dc:creator>
  <cp:lastModifiedBy>Ibrahim Abdullah</cp:lastModifiedBy>
  <dcterms:created xsi:type="dcterms:W3CDTF">2025-08-14T04:47:09Z</dcterms:created>
  <dcterms:modified xsi:type="dcterms:W3CDTF">2026-09-02T07:40:52Z</dcterms:modified>
</cp:coreProperties>
</file>