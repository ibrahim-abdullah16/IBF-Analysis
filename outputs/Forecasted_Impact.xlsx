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mal" sheetId="1" state="visible" r:id="rId1"/>
  </sheets>
  <definedNames>
    <definedName name="_xlnm._FilterDatabase" localSheetId="0" hidden="1">'Remal'!$A$1:$AK$545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2" fillId="0" borderId="0" applyAlignment="1" pivotButton="0" quotePrefix="0" xfId="0">
      <alignment horizontal="center"/>
    </xf>
    <xf numFmtId="164" fontId="1" fillId="0" borderId="0" pivotButton="0" quotePrefix="0" xfId="0"/>
    <xf numFmtId="166" fontId="1" fillId="0" borderId="0" applyAlignment="1" pivotButton="0" quotePrefix="0" xfId="0">
      <alignment wrapText="1"/>
    </xf>
    <xf numFmtId="165" fontId="1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6" fontId="1" fillId="0" borderId="0" applyAlignment="1" pivotButton="0" quotePrefix="0" xfId="0">
      <alignment wrapText="1"/>
    </xf>
    <xf numFmtId="165" fontId="1" fillId="0" borderId="0" pivotButton="0" quotePrefix="0" xfId="0"/>
    <xf numFmtId="165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Raisa Ahmed</author>
  </authors>
  <commentList>
    <comment ref="F2" authorId="0" shapeId="0">
      <text>
        <t xml:space="preserve">Raisa Ahmed:
blue is from field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5"/>
  <sheetViews>
    <sheetView tabSelected="1" zoomScale="77" workbookViewId="0">
      <selection activeCell="L9" sqref="L9"/>
    </sheetView>
  </sheetViews>
  <sheetFormatPr baseColWidth="8" defaultRowHeight="14.4"/>
  <cols>
    <col width="9.77734375" bestFit="1" customWidth="1" style="2" min="1" max="1"/>
    <col width="12.6640625" bestFit="1" customWidth="1" style="2" min="2" max="2"/>
    <col width="12.44140625" bestFit="1" customWidth="1" style="2" min="3" max="3"/>
    <col width="23.109375" customWidth="1" style="2" min="4" max="4"/>
    <col width="11.44140625" customWidth="1" style="2" min="5" max="5"/>
    <col width="12" customWidth="1" style="2" min="6" max="7"/>
    <col width="15.109375" customWidth="1" style="2" min="8" max="8"/>
    <col width="7.109375" customWidth="1" style="2" min="9" max="9"/>
    <col width="12.77734375" customWidth="1" style="11" min="10" max="10"/>
    <col width="10.77734375" customWidth="1" style="2" min="11" max="11"/>
    <col width="16.5546875" customWidth="1" style="2" min="12" max="12"/>
    <col width="20.21875" customWidth="1" style="2" min="13" max="13"/>
    <col width="12" customWidth="1" style="2" min="14" max="14"/>
    <col width="13.88671875" customWidth="1" style="2" min="15" max="15"/>
    <col width="12" customWidth="1" style="2" min="16" max="18"/>
    <col width="16.6640625" customWidth="1" style="2" min="19" max="19"/>
    <col width="18.21875" customWidth="1" style="11" min="20" max="20"/>
    <col width="11.77734375" customWidth="1" style="2" min="21" max="21"/>
    <col width="12.6640625" bestFit="1" customWidth="1" style="2" min="22" max="22"/>
    <col width="18.5546875" bestFit="1" customWidth="1" style="2" min="23" max="23"/>
    <col width="11.77734375" bestFit="1" customWidth="1" style="2" min="24" max="24"/>
    <col width="12" bestFit="1" customWidth="1" style="2" min="25" max="25"/>
    <col width="19.44140625" bestFit="1" customWidth="1" style="2" min="26" max="26"/>
    <col width="11.77734375" bestFit="1" customWidth="1" style="2" min="27" max="27"/>
    <col width="26.33203125" bestFit="1" customWidth="1" style="2" min="28" max="28"/>
    <col width="20.44140625" bestFit="1" customWidth="1" style="2" min="29" max="29"/>
    <col width="11.77734375" bestFit="1" customWidth="1" style="2" min="30" max="30"/>
    <col width="12.77734375" bestFit="1" customWidth="1" style="2" min="31" max="31"/>
    <col width="18.6640625" bestFit="1" customWidth="1" style="2" min="32" max="32"/>
    <col width="11.77734375" bestFit="1" customWidth="1" style="2" min="33" max="33"/>
    <col width="22.109375" bestFit="1" customWidth="1" style="2" min="34" max="34"/>
    <col width="8.88671875" customWidth="1" style="2" min="35" max="35"/>
    <col width="12.44140625" bestFit="1" customWidth="1" style="2" min="36" max="36"/>
    <col width="8.88671875" customWidth="1" style="2" min="37" max="16384"/>
  </cols>
  <sheetData>
    <row r="1" customFormat="1" s="1">
      <c r="A1" s="1" t="inlineStr">
        <is>
          <t>P Code</t>
        </is>
      </c>
      <c r="B1" s="1" t="inlineStr">
        <is>
          <t>ADM3_PCODE</t>
        </is>
      </c>
      <c r="C1" s="1" t="inlineStr">
        <is>
          <t>District</t>
        </is>
      </c>
      <c r="D1" s="1" t="inlineStr">
        <is>
          <t>Upazila</t>
        </is>
      </c>
      <c r="E1" s="6" t="inlineStr">
        <is>
          <t>Vul_INFORM</t>
        </is>
      </c>
      <c r="F1" s="12" t="inlineStr">
        <is>
          <t>Norm_Vul</t>
        </is>
      </c>
      <c r="G1" s="1" t="inlineStr">
        <is>
          <t>Wind Gust</t>
        </is>
      </c>
      <c r="H1" s="1" t="inlineStr">
        <is>
          <t>Norm_Wind Gust</t>
        </is>
      </c>
      <c r="I1" s="1" t="inlineStr">
        <is>
          <t>Rainfall</t>
        </is>
      </c>
      <c r="J1" s="13" t="inlineStr">
        <is>
          <t>Norm_Rainfall</t>
        </is>
      </c>
      <c r="K1" s="1" t="inlineStr">
        <is>
          <t>Storm Surge</t>
        </is>
      </c>
      <c r="L1" s="1" t="inlineStr">
        <is>
          <t>Norm_Storm Surge</t>
        </is>
      </c>
      <c r="M1" s="1" t="inlineStr">
        <is>
          <t>Total Number of House</t>
        </is>
      </c>
      <c r="N1" s="1" t="inlineStr">
        <is>
          <t>Norm_House</t>
        </is>
      </c>
      <c r="O1" s="1" t="inlineStr">
        <is>
          <t>VCI</t>
        </is>
      </c>
      <c r="P1" s="1" t="inlineStr">
        <is>
          <t>Norm_VCI</t>
        </is>
      </c>
      <c r="Q1" s="1" t="inlineStr">
        <is>
          <t>fAPAR</t>
        </is>
      </c>
      <c r="R1" s="1" t="inlineStr">
        <is>
          <t>Norm_fAPAR</t>
        </is>
      </c>
      <c r="S1" s="1" t="inlineStr">
        <is>
          <t>Impact(VCI+fAPAR)</t>
        </is>
      </c>
      <c r="T1" s="13" t="inlineStr">
        <is>
          <t>Norm_Impact_VCI+F</t>
        </is>
      </c>
      <c r="U1" s="1" t="inlineStr">
        <is>
          <t>Classification</t>
        </is>
      </c>
      <c r="V1" s="1" t="inlineStr">
        <is>
          <t>Impact_fAPAR</t>
        </is>
      </c>
      <c r="W1" s="1" t="inlineStr">
        <is>
          <t>Norm_Impact_fAPAR</t>
        </is>
      </c>
      <c r="X1" s="1" t="inlineStr">
        <is>
          <t>Classification</t>
        </is>
      </c>
      <c r="Y1" s="1" t="inlineStr">
        <is>
          <t>Impact(VCI)</t>
        </is>
      </c>
      <c r="Z1" s="1" t="inlineStr">
        <is>
          <t>Norm_Impact_VCI</t>
        </is>
      </c>
      <c r="AA1" s="1" t="inlineStr">
        <is>
          <t>Classification</t>
        </is>
      </c>
      <c r="AB1" s="1" t="inlineStr">
        <is>
          <t>Impact_VCI_fAPAR_house</t>
        </is>
      </c>
      <c r="AC1" s="1" t="inlineStr">
        <is>
          <t>Norm_VCI_fAPAR_house</t>
        </is>
      </c>
      <c r="AD1" s="1" t="inlineStr">
        <is>
          <t>Classification</t>
        </is>
      </c>
      <c r="AE1" s="1" t="inlineStr">
        <is>
          <t>Impact_House</t>
        </is>
      </c>
      <c r="AF1" s="1" t="inlineStr">
        <is>
          <t>Norm_Impact_House</t>
        </is>
      </c>
      <c r="AG1" s="1" t="inlineStr">
        <is>
          <t>Classification</t>
        </is>
      </c>
    </row>
    <row r="2">
      <c r="A2" t="n">
        <v>100409</v>
      </c>
      <c r="B2" t="inlineStr">
        <is>
          <t>BD100409</t>
        </is>
      </c>
      <c r="C2" t="inlineStr">
        <is>
          <t>Barguna</t>
        </is>
      </c>
      <c r="D2" t="inlineStr">
        <is>
          <t>Amtali</t>
        </is>
      </c>
      <c r="E2" s="3" t="n">
        <v>7.5</v>
      </c>
      <c r="F2" s="4">
        <f>(E2-$AJ$5)/$AK$5</f>
        <v/>
      </c>
      <c r="G2" t="n">
        <v>125.9761464</v>
      </c>
      <c r="H2">
        <f>(G2-$AJ$6)/$AK$6</f>
        <v/>
      </c>
      <c r="I2" t="n">
        <v>42.10000000000002</v>
      </c>
      <c r="J2" s="4">
        <f>(I2-$AJ$7)/$AK$7</f>
        <v/>
      </c>
      <c r="K2" t="n">
        <v>2</v>
      </c>
      <c r="L2" s="4">
        <f>(K2-$AJ$8)/$AK$8</f>
        <v/>
      </c>
      <c r="M2" t="n">
        <v>43022</v>
      </c>
      <c r="N2">
        <f>(M2-$AJ$9)/$AK$9</f>
        <v/>
      </c>
      <c r="O2" t="n">
        <v>0.240341069</v>
      </c>
      <c r="P2">
        <f>(O2-$AJ$11)/$AK$11</f>
        <v/>
      </c>
      <c r="Q2" t="n">
        <v>0.2439</v>
      </c>
      <c r="R2">
        <f>(Q2-$AJ$12)/$AK$12</f>
        <v/>
      </c>
      <c r="S2">
        <f>F2*(R2*0.5+P2*0.5)*(H2*0.35+J2*0.35+L2*0.3)</f>
        <v/>
      </c>
      <c r="T2" s="14">
        <f>(S2-$AJ$10)/$AK$10</f>
        <v/>
      </c>
      <c r="U2">
        <f>IF(T2&gt;0.7,"High",IF(T2&gt;0.3,"Moderate",IF(T2&gt;0.15,"Low","No Impact")))</f>
        <v/>
      </c>
      <c r="V2">
        <f>F2*(R2*1)*(H2*0.35+J2*0.35+L2*0.3)</f>
        <v/>
      </c>
      <c r="W2">
        <f>(V2-$AJ$13)/$AK$13</f>
        <v/>
      </c>
      <c r="X2">
        <f>IF(W2&gt;0.7,"High",IF(W2&gt;0.3,"Moderate",IF(W2&gt;0.15,"Low","No Impact")))</f>
        <v/>
      </c>
      <c r="Y2">
        <f>F2*(P2*1)*(H2*0.35+J2*0.35+L2*0.3)</f>
        <v/>
      </c>
      <c r="Z2">
        <f>(Y2-$AJ$14)/$AK$14</f>
        <v/>
      </c>
      <c r="AA2">
        <f>IF(Z2&gt;0.7,"High",IF(Z2&gt;0.3,"Moderate",IF(Z2&gt;0.15,"Low","No Impact")))</f>
        <v/>
      </c>
      <c r="AB2">
        <f>F2*(R2*0.35+P2*0.3+N2*0.35)*(H2*0.35+J2*0.35+L2*0.3)</f>
        <v/>
      </c>
      <c r="AC2">
        <f>(AB2-$AJ$15)/$AK$15</f>
        <v/>
      </c>
      <c r="AD2">
        <f>IF(AC2&gt;0.7,"High",IF(AC2&gt;0.3,"Moderate",IF(AC2&gt;0.15,"Low","No Impact")))</f>
        <v/>
      </c>
      <c r="AE2">
        <f>F2*(N2*1)*(H2*0.35+J2*0.35+L2*0.3)</f>
        <v/>
      </c>
      <c r="AF2">
        <f>(AE2-$AJ$16)/$AK$16</f>
        <v/>
      </c>
      <c r="AG2">
        <f>IF(AF2&gt;0.7,"High",IF(AF2&gt;0.3,"Moderate",IF(AF2&gt;0.15,"Low","No Impact")))</f>
        <v/>
      </c>
    </row>
    <row r="3">
      <c r="A3" t="n">
        <v>100419</v>
      </c>
      <c r="B3" t="inlineStr">
        <is>
          <t>BD100419</t>
        </is>
      </c>
      <c r="C3" t="inlineStr">
        <is>
          <t>Barguna</t>
        </is>
      </c>
      <c r="D3" t="inlineStr">
        <is>
          <t>Bamna</t>
        </is>
      </c>
      <c r="E3" s="3" t="n">
        <v>5.6</v>
      </c>
      <c r="F3" s="4">
        <f>(E3-$AJ$5)/$AK$5</f>
        <v/>
      </c>
      <c r="G3" t="n">
        <v>120.094506</v>
      </c>
      <c r="H3">
        <f>(G3-$AJ$6)/$AK$6</f>
        <v/>
      </c>
      <c r="I3" t="n">
        <v>32.70000000000001</v>
      </c>
      <c r="J3" s="4">
        <f>(I3-$AJ$7)/$AK$7</f>
        <v/>
      </c>
      <c r="K3" t="n">
        <v>2</v>
      </c>
      <c r="L3" s="4">
        <f>(K3-$AJ$8)/$AK$8</f>
        <v/>
      </c>
      <c r="M3" t="n">
        <v>10180</v>
      </c>
      <c r="N3">
        <f>(M3-$AJ$9)/$AK$9</f>
        <v/>
      </c>
      <c r="O3" t="n">
        <v>0.293002027</v>
      </c>
      <c r="P3">
        <f>(O3-$AJ$11)/$AK$11</f>
        <v/>
      </c>
      <c r="Q3" t="n">
        <v>0.2737</v>
      </c>
      <c r="R3">
        <f>(Q3-$AJ$12)/$AK$12</f>
        <v/>
      </c>
      <c r="S3">
        <f>F3*(R3*0.5+P3*0.5)*(H3*0.35+J3*0.35+L3*0.3)</f>
        <v/>
      </c>
      <c r="T3" s="14">
        <f>(S3-$AJ$10)/$AK$10</f>
        <v/>
      </c>
      <c r="U3">
        <f>IF(T3&gt;0.7,"High",IF(T3&gt;0.3,"Moderate",IF(T3&gt;0.15,"Low","No Impact")))</f>
        <v/>
      </c>
      <c r="V3">
        <f>F3*(R3*1)*(H3*0.35+J3*0.35+L3*0.3)</f>
        <v/>
      </c>
      <c r="W3">
        <f>(V3-$AJ$13)/$AK$13</f>
        <v/>
      </c>
      <c r="X3">
        <f>IF(W3&gt;0.7,"High",IF(W3&gt;0.3,"Moderate",IF(W3&gt;0.15,"Low","No Impact")))</f>
        <v/>
      </c>
      <c r="Y3">
        <f>F3*(P3*1)*(H3*0.35+J3*0.35+L3*0.3)</f>
        <v/>
      </c>
      <c r="Z3">
        <f>(Y3-$AJ$14)/$AK$14</f>
        <v/>
      </c>
      <c r="AA3">
        <f>IF(Z3&gt;0.7,"High",IF(Z3&gt;0.3,"Moderate",IF(Z3&gt;0.15,"Low","No Impact")))</f>
        <v/>
      </c>
      <c r="AB3">
        <f>F3*(R3*0.35+P3*0.3+N3*0.35)*(H3*0.35+J3*0.35+L3*0.3)</f>
        <v/>
      </c>
      <c r="AC3">
        <f>(AB3-$AJ$15)/$AK$15</f>
        <v/>
      </c>
      <c r="AD3">
        <f>IF(AC3&gt;0.7,"High",IF(AC3&gt;0.3,"Moderate",IF(AC3&gt;0.15,"Low","No Impact")))</f>
        <v/>
      </c>
      <c r="AE3">
        <f>F3*(N3*1)*(H3*0.35+J3*0.35+L3*0.3)</f>
        <v/>
      </c>
      <c r="AF3">
        <f>(AE3-$AJ$16)/$AK$16</f>
        <v/>
      </c>
      <c r="AG3">
        <f>IF(AF3&gt;0.7,"High",IF(AF3&gt;0.3,"Moderate",IF(AF3&gt;0.15,"Low","No Impact")))</f>
        <v/>
      </c>
    </row>
    <row r="4">
      <c r="A4" t="n">
        <v>100428</v>
      </c>
      <c r="B4" t="inlineStr">
        <is>
          <t>BD100428</t>
        </is>
      </c>
      <c r="C4" t="inlineStr">
        <is>
          <t>Barguna</t>
        </is>
      </c>
      <c r="D4" t="inlineStr">
        <is>
          <t>Barguna Sadar</t>
        </is>
      </c>
      <c r="E4" s="3" t="n">
        <v>7.5</v>
      </c>
      <c r="F4" s="4">
        <f>(E4-$AJ$5)/$AK$5</f>
        <v/>
      </c>
      <c r="G4" t="n">
        <v>123.455448</v>
      </c>
      <c r="H4">
        <f>(G4-$AJ$6)/$AK$6</f>
        <v/>
      </c>
      <c r="I4" t="n">
        <v>33.20000000000001</v>
      </c>
      <c r="J4" s="4">
        <f>(I4-$AJ$7)/$AK$7</f>
        <v/>
      </c>
      <c r="K4" t="n">
        <v>2</v>
      </c>
      <c r="L4" s="4">
        <f>(K4-$AJ$8)/$AK$8</f>
        <v/>
      </c>
      <c r="M4" t="n">
        <v>41704</v>
      </c>
      <c r="N4">
        <f>(M4-$AJ$9)/$AK$9</f>
        <v/>
      </c>
      <c r="O4" t="n">
        <v>0.315877321</v>
      </c>
      <c r="P4">
        <f>(O4-$AJ$11)/$AK$11</f>
        <v/>
      </c>
      <c r="Q4" t="n">
        <v>0.2807</v>
      </c>
      <c r="R4">
        <f>(Q4-$AJ$12)/$AK$12</f>
        <v/>
      </c>
      <c r="S4">
        <f>F4*(R4*0.5+P4*0.5)*(H4*0.35+J4*0.35+L4*0.3)</f>
        <v/>
      </c>
      <c r="T4" s="14">
        <f>(S4-$AJ$10)/$AK$10</f>
        <v/>
      </c>
      <c r="U4">
        <f>IF(T4&gt;0.7,"High",IF(T4&gt;0.3,"Moderate",IF(T4&gt;0.15,"Low","No Impact")))</f>
        <v/>
      </c>
      <c r="V4">
        <f>F4*(R4*1)*(H4*0.35+J4*0.35+L4*0.3)</f>
        <v/>
      </c>
      <c r="W4">
        <f>(V4-$AJ$13)/$AK$13</f>
        <v/>
      </c>
      <c r="X4">
        <f>IF(W4&gt;0.7,"High",IF(W4&gt;0.3,"Moderate",IF(W4&gt;0.15,"Low","No Impact")))</f>
        <v/>
      </c>
      <c r="Y4">
        <f>F4*(P4*1)*(H4*0.35+J4*0.35+L4*0.3)</f>
        <v/>
      </c>
      <c r="Z4">
        <f>(Y4-$AJ$14)/$AK$14</f>
        <v/>
      </c>
      <c r="AA4">
        <f>IF(Z4&gt;0.7,"High",IF(Z4&gt;0.3,"Moderate",IF(Z4&gt;0.15,"Low","No Impact")))</f>
        <v/>
      </c>
      <c r="AB4">
        <f>F4*(R4*0.35+P4*0.3+N4*0.35)*(H4*0.35+J4*0.35+L4*0.3)</f>
        <v/>
      </c>
      <c r="AC4">
        <f>(AB4-$AJ$15)/$AK$15</f>
        <v/>
      </c>
      <c r="AD4">
        <f>IF(AC4&gt;0.7,"High",IF(AC4&gt;0.3,"Moderate",IF(AC4&gt;0.15,"Low","No Impact")))</f>
        <v/>
      </c>
      <c r="AE4">
        <f>F4*(N4*1)*(H4*0.35+J4*0.35+L4*0.3)</f>
        <v/>
      </c>
      <c r="AF4">
        <f>(AE4-$AJ$16)/$AK$16</f>
        <v/>
      </c>
      <c r="AG4">
        <f>IF(AF4&gt;0.7,"High",IF(AF4&gt;0.3,"Moderate",IF(AF4&gt;0.15,"Low","No Impact")))</f>
        <v/>
      </c>
      <c r="AI4" s="1" t="inlineStr">
        <is>
          <t>Max</t>
        </is>
      </c>
      <c r="AJ4" s="1" t="inlineStr">
        <is>
          <t>Min</t>
        </is>
      </c>
      <c r="AK4" s="1" t="inlineStr">
        <is>
          <t>Change</t>
        </is>
      </c>
    </row>
    <row r="5">
      <c r="A5" t="n">
        <v>100447</v>
      </c>
      <c r="B5" t="inlineStr">
        <is>
          <t>BD100447</t>
        </is>
      </c>
      <c r="C5" t="inlineStr">
        <is>
          <t>Barguna</t>
        </is>
      </c>
      <c r="D5" t="inlineStr">
        <is>
          <t>Betagi</t>
        </is>
      </c>
      <c r="E5" s="3" t="n">
        <v>5.6</v>
      </c>
      <c r="F5" s="4">
        <f>(E5-$AJ$5)/$AK$5</f>
        <v/>
      </c>
      <c r="G5" t="n">
        <v>120.094506</v>
      </c>
      <c r="H5">
        <f>(G5-$AJ$6)/$AK$6</f>
        <v/>
      </c>
      <c r="I5" t="n">
        <v>29.4</v>
      </c>
      <c r="J5" s="4">
        <f>(I5-$AJ$7)/$AK$7</f>
        <v/>
      </c>
      <c r="K5" t="n">
        <v>2</v>
      </c>
      <c r="L5" s="4">
        <f>(K5-$AJ$8)/$AK$8</f>
        <v/>
      </c>
      <c r="M5" t="n">
        <v>7682</v>
      </c>
      <c r="N5">
        <f>(M5-$AJ$9)/$AK$9</f>
        <v/>
      </c>
      <c r="O5" t="n">
        <v>0.289427517</v>
      </c>
      <c r="P5">
        <f>(O5-$AJ$11)/$AK$11</f>
        <v/>
      </c>
      <c r="Q5" t="n">
        <v>0.2824</v>
      </c>
      <c r="R5">
        <f>(Q5-$AJ$12)/$AK$12</f>
        <v/>
      </c>
      <c r="S5">
        <f>F5*(R5*0.5+P5*0.5)*(H5*0.35+J5*0.35+L5*0.3)</f>
        <v/>
      </c>
      <c r="T5" s="14">
        <f>(S5-$AJ$10)/$AK$10</f>
        <v/>
      </c>
      <c r="U5">
        <f>IF(T5&gt;0.7,"High",IF(T5&gt;0.3,"Moderate",IF(T5&gt;0.15,"Low","No Impact")))</f>
        <v/>
      </c>
      <c r="V5">
        <f>F5*(R5*1)*(H5*0.35+J5*0.35+L5*0.3)</f>
        <v/>
      </c>
      <c r="W5">
        <f>(V5-$AJ$13)/$AK$13</f>
        <v/>
      </c>
      <c r="X5">
        <f>IF(W5&gt;0.7,"High",IF(W5&gt;0.3,"Moderate",IF(W5&gt;0.15,"Low","No Impact")))</f>
        <v/>
      </c>
      <c r="Y5">
        <f>F5*(P5*1)*(H5*0.35+J5*0.35+L5*0.3)</f>
        <v/>
      </c>
      <c r="Z5">
        <f>(Y5-$AJ$14)/$AK$14</f>
        <v/>
      </c>
      <c r="AA5">
        <f>IF(Z5&gt;0.7,"High",IF(Z5&gt;0.3,"Moderate",IF(Z5&gt;0.15,"Low","No Impact")))</f>
        <v/>
      </c>
      <c r="AB5">
        <f>F5*(R5*0.35+P5*0.3+N5*0.35)*(H5*0.35+J5*0.35+L5*0.3)</f>
        <v/>
      </c>
      <c r="AC5">
        <f>(AB5-$AJ$15)/$AK$15</f>
        <v/>
      </c>
      <c r="AD5">
        <f>IF(AC5&gt;0.7,"High",IF(AC5&gt;0.3,"Moderate",IF(AC5&gt;0.15,"Low","No Impact")))</f>
        <v/>
      </c>
      <c r="AE5">
        <f>F5*(N5*1)*(H5*0.35+J5*0.35+L5*0.3)</f>
        <v/>
      </c>
      <c r="AF5">
        <f>(AE5-$AJ$16)/$AK$16</f>
        <v/>
      </c>
      <c r="AG5">
        <f>IF(AF5&gt;0.7,"High",IF(AF5&gt;0.3,"Moderate",IF(AF5&gt;0.15,"Low","No Impact")))</f>
        <v/>
      </c>
      <c r="AH5" s="1" t="inlineStr">
        <is>
          <t>Vulnerability</t>
        </is>
      </c>
      <c r="AI5" s="3">
        <f>MAX(E2:E555)</f>
        <v/>
      </c>
      <c r="AJ5">
        <f>MIN((E2:E555))</f>
        <v/>
      </c>
      <c r="AK5" s="3">
        <f>AI5-AJ5</f>
        <v/>
      </c>
    </row>
    <row r="6">
      <c r="A6" t="n">
        <v>100485</v>
      </c>
      <c r="B6" t="inlineStr">
        <is>
          <t>BD100485</t>
        </is>
      </c>
      <c r="C6" t="inlineStr">
        <is>
          <t>Barguna</t>
        </is>
      </c>
      <c r="D6" t="inlineStr">
        <is>
          <t>Patharghata</t>
        </is>
      </c>
      <c r="E6" s="3" t="n">
        <v>7.5</v>
      </c>
      <c r="F6" s="4">
        <f>(E6-$AJ$5)/$AK$5</f>
        <v/>
      </c>
      <c r="G6" t="n">
        <v>123.455448</v>
      </c>
      <c r="H6">
        <f>(G6-$AJ$6)/$AK$6</f>
        <v/>
      </c>
      <c r="I6" t="n">
        <v>38.70000000000001</v>
      </c>
      <c r="J6" s="4">
        <f>(I6-$AJ$7)/$AK$7</f>
        <v/>
      </c>
      <c r="K6" t="n">
        <v>2</v>
      </c>
      <c r="L6" s="4">
        <f>(K6-$AJ$8)/$AK$8</f>
        <v/>
      </c>
      <c r="M6" t="n">
        <v>28660</v>
      </c>
      <c r="N6">
        <f>(M6-$AJ$9)/$AK$9</f>
        <v/>
      </c>
      <c r="O6" t="n">
        <v>0.489971556</v>
      </c>
      <c r="P6">
        <f>(O6-$AJ$11)/$AK$11</f>
        <v/>
      </c>
      <c r="Q6" t="n">
        <v>0.2698</v>
      </c>
      <c r="R6">
        <f>(Q6-$AJ$12)/$AK$12</f>
        <v/>
      </c>
      <c r="S6">
        <f>F6*(R6*0.5+P6*0.5)*(H6*0.35+J6*0.35+L6*0.3)</f>
        <v/>
      </c>
      <c r="T6" s="14">
        <f>(S6-$AJ$10)/$AK$10</f>
        <v/>
      </c>
      <c r="U6">
        <f>IF(T6&gt;0.7,"High",IF(T6&gt;0.3,"Moderate",IF(T6&gt;0.15,"Low","No Impact")))</f>
        <v/>
      </c>
      <c r="V6">
        <f>F6*(R6*1)*(H6*0.35+J6*0.35+L6*0.3)</f>
        <v/>
      </c>
      <c r="W6">
        <f>(V6-$AJ$13)/$AK$13</f>
        <v/>
      </c>
      <c r="X6">
        <f>IF(W6&gt;0.7,"High",IF(W6&gt;0.3,"Moderate",IF(W6&gt;0.15,"Low","No Impact")))</f>
        <v/>
      </c>
      <c r="Y6">
        <f>F6*(P6*1)*(H6*0.35+J6*0.35+L6*0.3)</f>
        <v/>
      </c>
      <c r="Z6">
        <f>(Y6-$AJ$14)/$AK$14</f>
        <v/>
      </c>
      <c r="AA6">
        <f>IF(Z6&gt;0.7,"High",IF(Z6&gt;0.3,"Moderate",IF(Z6&gt;0.15,"Low","No Impact")))</f>
        <v/>
      </c>
      <c r="AB6">
        <f>F6*(R6*0.35+P6*0.3+N6*0.35)*(H6*0.35+J6*0.35+L6*0.3)</f>
        <v/>
      </c>
      <c r="AC6">
        <f>(AB6-$AJ$15)/$AK$15</f>
        <v/>
      </c>
      <c r="AD6">
        <f>IF(AC6&gt;0.7,"High",IF(AC6&gt;0.3,"Moderate",IF(AC6&gt;0.15,"Low","No Impact")))</f>
        <v/>
      </c>
      <c r="AE6">
        <f>F6*(N6*1)*(H6*0.35+J6*0.35+L6*0.3)</f>
        <v/>
      </c>
      <c r="AF6">
        <f>(AE6-$AJ$16)/$AK$16</f>
        <v/>
      </c>
      <c r="AG6">
        <f>IF(AF6&gt;0.7,"High",IF(AF6&gt;0.3,"Moderate",IF(AF6&gt;0.15,"Low","No Impact")))</f>
        <v/>
      </c>
      <c r="AH6" s="1" t="inlineStr">
        <is>
          <t>Wind Gust</t>
        </is>
      </c>
      <c r="AI6">
        <f>MAX(G1:G555)</f>
        <v/>
      </c>
      <c r="AJ6">
        <f>MIN(G1:G555)</f>
        <v/>
      </c>
      <c r="AK6">
        <f>AI6-AJ6</f>
        <v/>
      </c>
    </row>
    <row r="7">
      <c r="A7" t="n">
        <v>100602</v>
      </c>
      <c r="B7" t="inlineStr">
        <is>
          <t>BD100602</t>
        </is>
      </c>
      <c r="C7" t="inlineStr">
        <is>
          <t>Barisal</t>
        </is>
      </c>
      <c r="D7" t="inlineStr">
        <is>
          <t>Agailjhara</t>
        </is>
      </c>
      <c r="E7" s="3" t="n">
        <v>6.7</v>
      </c>
      <c r="F7" s="4">
        <f>(E7-$AJ$5)/$AK$5</f>
        <v/>
      </c>
      <c r="G7" t="n">
        <v>100.846458</v>
      </c>
      <c r="H7">
        <f>(G7-$AJ$6)/$AK$6</f>
        <v/>
      </c>
      <c r="I7" t="n">
        <v>26.6</v>
      </c>
      <c r="J7" s="4">
        <f>(I7-$AJ$7)/$AK$7</f>
        <v/>
      </c>
      <c r="K7" t="n">
        <v>0</v>
      </c>
      <c r="L7" s="4">
        <f>(K7-$AJ$8)/$AK$8</f>
        <v/>
      </c>
      <c r="M7" t="n">
        <v>14078</v>
      </c>
      <c r="N7">
        <f>(M7-$AJ$9)/$AK$9</f>
        <v/>
      </c>
      <c r="O7" t="n">
        <v>0.320195873</v>
      </c>
      <c r="P7">
        <f>(O7-$AJ$11)/$AK$11</f>
        <v/>
      </c>
      <c r="Q7" t="n">
        <v>0.285</v>
      </c>
      <c r="R7">
        <f>(Q7-$AJ$12)/$AK$12</f>
        <v/>
      </c>
      <c r="S7">
        <f>F7*(R7*0.5+P7*0.5)*(H7*0.35+J7*0.35+L7*0.3)</f>
        <v/>
      </c>
      <c r="T7" s="14">
        <f>(S7-$AJ$10)/$AK$10</f>
        <v/>
      </c>
      <c r="U7">
        <f>IF(T7&gt;0.7,"High",IF(T7&gt;0.3,"Moderate",IF(T7&gt;0.15,"Low","No Impact")))</f>
        <v/>
      </c>
      <c r="V7">
        <f>F7*(R7*1)*(H7*0.35+J7*0.35+L7*0.3)</f>
        <v/>
      </c>
      <c r="W7">
        <f>(V7-$AJ$13)/$AK$13</f>
        <v/>
      </c>
      <c r="X7">
        <f>IF(W7&gt;0.7,"High",IF(W7&gt;0.3,"Moderate",IF(W7&gt;0.15,"Low","No Impact")))</f>
        <v/>
      </c>
      <c r="Y7">
        <f>F7*(P7*1)*(H7*0.35+J7*0.35+L7*0.3)</f>
        <v/>
      </c>
      <c r="Z7">
        <f>(Y7-$AJ$14)/$AK$14</f>
        <v/>
      </c>
      <c r="AA7">
        <f>IF(Z7&gt;0.7,"High",IF(Z7&gt;0.3,"Moderate",IF(Z7&gt;0.15,"Low","No Impact")))</f>
        <v/>
      </c>
      <c r="AB7">
        <f>F7*(R7*0.35+P7*0.3+N7*0.35)*(H7*0.35+J7*0.35+L7*0.3)</f>
        <v/>
      </c>
      <c r="AC7">
        <f>(AB7-$AJ$15)/$AK$15</f>
        <v/>
      </c>
      <c r="AD7">
        <f>IF(AC7&gt;0.7,"High",IF(AC7&gt;0.3,"Moderate",IF(AC7&gt;0.15,"Low","No Impact")))</f>
        <v/>
      </c>
      <c r="AE7">
        <f>F7*(N7*1)*(H7*0.35+J7*0.35+L7*0.3)</f>
        <v/>
      </c>
      <c r="AF7">
        <f>(AE7-$AJ$16)/$AK$16</f>
        <v/>
      </c>
      <c r="AG7">
        <f>IF(AF7&gt;0.7,"High",IF(AF7&gt;0.3,"Moderate",IF(AF7&gt;0.15,"Low","No Impact")))</f>
        <v/>
      </c>
      <c r="AH7" s="1" t="inlineStr">
        <is>
          <t>Rainfall</t>
        </is>
      </c>
      <c r="AI7">
        <f>MAX(I1:I555)</f>
        <v/>
      </c>
      <c r="AJ7">
        <f>MIN(K1:K555)</f>
        <v/>
      </c>
      <c r="AK7">
        <f>AI7-AJ7</f>
        <v/>
      </c>
    </row>
    <row r="8">
      <c r="A8" t="n">
        <v>100603</v>
      </c>
      <c r="B8" t="inlineStr">
        <is>
          <t>BD100603</t>
        </is>
      </c>
      <c r="C8" t="inlineStr">
        <is>
          <t>Barisal</t>
        </is>
      </c>
      <c r="D8" t="inlineStr">
        <is>
          <t>Babuganj</t>
        </is>
      </c>
      <c r="E8" s="3" t="n">
        <v>6.7</v>
      </c>
      <c r="F8" s="4">
        <f>(E8-$AJ$5)/$AK$5</f>
        <v/>
      </c>
      <c r="G8" t="n">
        <v>93.79059840000001</v>
      </c>
      <c r="H8">
        <f>(G8-$AJ$6)/$AK$6</f>
        <v/>
      </c>
      <c r="I8" t="n">
        <v>25</v>
      </c>
      <c r="J8" s="4">
        <f>(I8-$AJ$7)/$AK$7</f>
        <v/>
      </c>
      <c r="K8" t="n">
        <v>0</v>
      </c>
      <c r="L8" s="4">
        <f>(K8-$AJ$8)/$AK$8</f>
        <v/>
      </c>
      <c r="M8" t="n">
        <v>12897</v>
      </c>
      <c r="N8">
        <f>(M8-$AJ$9)/$AK$9</f>
        <v/>
      </c>
      <c r="O8" t="n">
        <v>0.81442366</v>
      </c>
      <c r="P8">
        <f>(O8-$AJ$11)/$AK$11</f>
        <v/>
      </c>
      <c r="Q8" t="n">
        <v>0.3055</v>
      </c>
      <c r="R8">
        <f>(Q8-$AJ$12)/$AK$12</f>
        <v/>
      </c>
      <c r="S8">
        <f>F8*(R8*0.5+P8*0.5)*(H8*0.35+J8*0.35+L8*0.3)</f>
        <v/>
      </c>
      <c r="T8" s="14">
        <f>(S8-$AJ$10)/$AK$10</f>
        <v/>
      </c>
      <c r="U8">
        <f>IF(T8&gt;0.7,"High",IF(T8&gt;0.3,"Moderate",IF(T8&gt;0.15,"Low","No Impact")))</f>
        <v/>
      </c>
      <c r="V8">
        <f>F8*(R8*1)*(H8*0.35+J8*0.35+L8*0.3)</f>
        <v/>
      </c>
      <c r="W8">
        <f>(V8-$AJ$13)/$AK$13</f>
        <v/>
      </c>
      <c r="X8">
        <f>IF(W8&gt;0.7,"High",IF(W8&gt;0.3,"Moderate",IF(W8&gt;0.15,"Low","No Impact")))</f>
        <v/>
      </c>
      <c r="Y8">
        <f>F8*(P8*1)*(H8*0.35+J8*0.35+L8*0.3)</f>
        <v/>
      </c>
      <c r="Z8">
        <f>(Y8-$AJ$14)/$AK$14</f>
        <v/>
      </c>
      <c r="AA8">
        <f>IF(Z8&gt;0.7,"High",IF(Z8&gt;0.3,"Moderate",IF(Z8&gt;0.15,"Low","No Impact")))</f>
        <v/>
      </c>
      <c r="AB8">
        <f>F8*(R8*0.35+P8*0.3+N8*0.35)*(H8*0.35+J8*0.35+L8*0.3)</f>
        <v/>
      </c>
      <c r="AC8">
        <f>(AB8-$AJ$15)/$AK$15</f>
        <v/>
      </c>
      <c r="AD8">
        <f>IF(AC8&gt;0.7,"High",IF(AC8&gt;0.3,"Moderate",IF(AC8&gt;0.15,"Low","No Impact")))</f>
        <v/>
      </c>
      <c r="AE8">
        <f>F8*(N8*1)*(H8*0.35+J8*0.35+L8*0.3)</f>
        <v/>
      </c>
      <c r="AF8">
        <f>(AE8-$AJ$16)/$AK$16</f>
        <v/>
      </c>
      <c r="AG8">
        <f>IF(AF8&gt;0.7,"High",IF(AF8&gt;0.3,"Moderate",IF(AF8&gt;0.15,"Low","No Impact")))</f>
        <v/>
      </c>
      <c r="AH8" s="1" t="inlineStr">
        <is>
          <t>Storm Surge</t>
        </is>
      </c>
      <c r="AI8">
        <f>MAX(K1:K545)</f>
        <v/>
      </c>
      <c r="AJ8">
        <f>MIN(K1:K555)</f>
        <v/>
      </c>
      <c r="AK8">
        <f>AI8-AJ8</f>
        <v/>
      </c>
    </row>
    <row r="9">
      <c r="A9" t="n">
        <v>100607</v>
      </c>
      <c r="B9" t="inlineStr">
        <is>
          <t>BD100607</t>
        </is>
      </c>
      <c r="C9" t="inlineStr">
        <is>
          <t>Barisal</t>
        </is>
      </c>
      <c r="D9" t="inlineStr">
        <is>
          <t>Bakerganj</t>
        </is>
      </c>
      <c r="E9" s="3" t="n">
        <v>6.7</v>
      </c>
      <c r="F9" s="4">
        <f>(E9-$AJ$5)/$AK$5</f>
        <v/>
      </c>
      <c r="G9" t="n">
        <v>95.54841</v>
      </c>
      <c r="H9">
        <f>(G9-$AJ$6)/$AK$6</f>
        <v/>
      </c>
      <c r="I9" t="n">
        <v>26.2</v>
      </c>
      <c r="J9" s="4">
        <f>(I9-$AJ$7)/$AK$7</f>
        <v/>
      </c>
      <c r="K9" t="n">
        <v>0</v>
      </c>
      <c r="L9" s="4">
        <f>(K9-$AJ$8)/$AK$8</f>
        <v/>
      </c>
      <c r="M9" t="n">
        <v>24771</v>
      </c>
      <c r="N9">
        <f>(M9-$AJ$9)/$AK$9</f>
        <v/>
      </c>
      <c r="O9" t="n">
        <v>0.682854298</v>
      </c>
      <c r="P9">
        <f>(O9-$AJ$11)/$AK$11</f>
        <v/>
      </c>
      <c r="Q9" t="n">
        <v>0.2962</v>
      </c>
      <c r="R9">
        <f>(Q9-$AJ$12)/$AK$12</f>
        <v/>
      </c>
      <c r="S9">
        <f>F9*(R9*0.5+P9*0.5)*(H9*0.35+J9*0.35+L9*0.3)</f>
        <v/>
      </c>
      <c r="T9" s="14">
        <f>(S9-$AJ$10)/$AK$10</f>
        <v/>
      </c>
      <c r="U9">
        <f>IF(T9&gt;0.7,"High",IF(T9&gt;0.3,"Moderate",IF(T9&gt;0.15,"Low","No Impact")))</f>
        <v/>
      </c>
      <c r="V9">
        <f>F9*(R9*1)*(H9*0.35+J9*0.35+L9*0.3)</f>
        <v/>
      </c>
      <c r="W9">
        <f>(V9-$AJ$13)/$AK$13</f>
        <v/>
      </c>
      <c r="X9">
        <f>IF(W9&gt;0.7,"High",IF(W9&gt;0.3,"Moderate",IF(W9&gt;0.15,"Low","No Impact")))</f>
        <v/>
      </c>
      <c r="Y9">
        <f>F9*(P9*1)*(H9*0.35+J9*0.35+L9*0.3)</f>
        <v/>
      </c>
      <c r="Z9">
        <f>(Y9-$AJ$14)/$AK$14</f>
        <v/>
      </c>
      <c r="AA9">
        <f>IF(Z9&gt;0.7,"High",IF(Z9&gt;0.3,"Moderate",IF(Z9&gt;0.15,"Low","No Impact")))</f>
        <v/>
      </c>
      <c r="AB9">
        <f>F9*(R9*0.35+P9*0.3+N9*0.35)*(H9*0.35+J9*0.35+L9*0.3)</f>
        <v/>
      </c>
      <c r="AC9">
        <f>(AB9-$AJ$15)/$AK$15</f>
        <v/>
      </c>
      <c r="AD9">
        <f>IF(AC9&gt;0.7,"High",IF(AC9&gt;0.3,"Moderate",IF(AC9&gt;0.15,"Low","No Impact")))</f>
        <v/>
      </c>
      <c r="AE9">
        <f>F9*(N9*1)*(H9*0.35+J9*0.35+L9*0.3)</f>
        <v/>
      </c>
      <c r="AF9">
        <f>(AE9-$AJ$16)/$AK$16</f>
        <v/>
      </c>
      <c r="AG9">
        <f>IF(AF9&gt;0.7,"High",IF(AF9&gt;0.3,"Moderate",IF(AF9&gt;0.15,"Low","No Impact")))</f>
        <v/>
      </c>
      <c r="AH9" s="1" t="inlineStr">
        <is>
          <t>House</t>
        </is>
      </c>
      <c r="AI9" s="9">
        <f>MAX(M1:M555)</f>
        <v/>
      </c>
      <c r="AJ9" s="9">
        <f>MIN(M1:M555)</f>
        <v/>
      </c>
      <c r="AK9" s="9">
        <f>AI9-AJ9</f>
        <v/>
      </c>
    </row>
    <row r="10">
      <c r="A10" t="n">
        <v>100610</v>
      </c>
      <c r="B10" t="inlineStr">
        <is>
          <t>BD100610</t>
        </is>
      </c>
      <c r="C10" t="inlineStr">
        <is>
          <t>Barisal</t>
        </is>
      </c>
      <c r="D10" t="inlineStr">
        <is>
          <t>Banari Para</t>
        </is>
      </c>
      <c r="E10" s="3" t="n">
        <v>6.7</v>
      </c>
      <c r="F10" s="4">
        <f>(E10-$AJ$5)/$AK$5</f>
        <v/>
      </c>
      <c r="G10" t="n">
        <v>108.4753656</v>
      </c>
      <c r="H10">
        <f>(G10-$AJ$6)/$AK$6</f>
        <v/>
      </c>
      <c r="I10" t="n">
        <v>31.6</v>
      </c>
      <c r="J10" s="4">
        <f>(I10-$AJ$7)/$AK$7</f>
        <v/>
      </c>
      <c r="K10" t="n">
        <v>0</v>
      </c>
      <c r="L10" s="4">
        <f>(K10-$AJ$8)/$AK$8</f>
        <v/>
      </c>
      <c r="M10" t="n">
        <v>9050</v>
      </c>
      <c r="N10">
        <f>(M10-$AJ$9)/$AK$9</f>
        <v/>
      </c>
      <c r="O10" t="n">
        <v>0.402416176</v>
      </c>
      <c r="P10">
        <f>(O10-$AJ$11)/$AK$11</f>
        <v/>
      </c>
      <c r="Q10" t="n">
        <v>0.308</v>
      </c>
      <c r="R10">
        <f>(Q10-$AJ$12)/$AK$12</f>
        <v/>
      </c>
      <c r="S10">
        <f>F10*(R10*0.5+P10*0.5)*(H10*0.35+J10*0.35+L10*0.3)</f>
        <v/>
      </c>
      <c r="T10" s="14">
        <f>(S10-$AJ$10)/$AK$10</f>
        <v/>
      </c>
      <c r="U10">
        <f>IF(T10&gt;0.7,"High",IF(T10&gt;0.3,"Moderate",IF(T10&gt;0.15,"Low","No Impact")))</f>
        <v/>
      </c>
      <c r="V10">
        <f>F10*(R10*1)*(H10*0.35+J10*0.35+L10*0.3)</f>
        <v/>
      </c>
      <c r="W10">
        <f>(V10-$AJ$13)/$AK$13</f>
        <v/>
      </c>
      <c r="X10">
        <f>IF(W10&gt;0.7,"High",IF(W10&gt;0.3,"Moderate",IF(W10&gt;0.15,"Low","No Impact")))</f>
        <v/>
      </c>
      <c r="Y10">
        <f>F10*(P10*1)*(H10*0.35+J10*0.35+L10*0.3)</f>
        <v/>
      </c>
      <c r="Z10">
        <f>(Y10-$AJ$14)/$AK$14</f>
        <v/>
      </c>
      <c r="AA10">
        <f>IF(Z10&gt;0.7,"High",IF(Z10&gt;0.3,"Moderate",IF(Z10&gt;0.15,"Low","No Impact")))</f>
        <v/>
      </c>
      <c r="AB10">
        <f>F10*(R10*0.35+P10*0.3+N10*0.35)*(H10*0.35+J10*0.35+L10*0.3)</f>
        <v/>
      </c>
      <c r="AC10">
        <f>(AB10-$AJ$15)/$AK$15</f>
        <v/>
      </c>
      <c r="AD10">
        <f>IF(AC10&gt;0.7,"High",IF(AC10&gt;0.3,"Moderate",IF(AC10&gt;0.15,"Low","No Impact")))</f>
        <v/>
      </c>
      <c r="AE10">
        <f>F10*(N10*1)*(H10*0.35+J10*0.35+L10*0.3)</f>
        <v/>
      </c>
      <c r="AF10">
        <f>(AE10-$AJ$16)/$AK$16</f>
        <v/>
      </c>
      <c r="AG10">
        <f>IF(AF10&gt;0.7,"High",IF(AF10&gt;0.3,"Moderate",IF(AF10&gt;0.15,"Low","No Impact")))</f>
        <v/>
      </c>
      <c r="AH10" s="1" t="inlineStr">
        <is>
          <t>Impact_VCI+F</t>
        </is>
      </c>
      <c r="AI10" s="4">
        <f>MAX(S2:S545)</f>
        <v/>
      </c>
      <c r="AJ10" s="4">
        <f>MIN(S2:S545)</f>
        <v/>
      </c>
      <c r="AK10" s="4">
        <f>AI10-AJ10</f>
        <v/>
      </c>
    </row>
    <row r="11">
      <c r="A11" t="n">
        <v>100632</v>
      </c>
      <c r="B11" t="inlineStr">
        <is>
          <t>BD100632</t>
        </is>
      </c>
      <c r="C11" t="inlineStr">
        <is>
          <t>Barisal</t>
        </is>
      </c>
      <c r="D11" t="inlineStr">
        <is>
          <t>Gaurnadi</t>
        </is>
      </c>
      <c r="E11" s="3" t="n">
        <v>6.7</v>
      </c>
      <c r="F11" s="4">
        <f>(E11-$AJ$5)/$AK$5</f>
        <v/>
      </c>
      <c r="G11" t="n">
        <v>88.15505040000001</v>
      </c>
      <c r="H11">
        <f>(G11-$AJ$6)/$AK$6</f>
        <v/>
      </c>
      <c r="I11" t="n">
        <v>23.4</v>
      </c>
      <c r="J11" s="4">
        <f>(I11-$AJ$7)/$AK$7</f>
        <v/>
      </c>
      <c r="K11" t="n">
        <v>0</v>
      </c>
      <c r="L11" s="4">
        <f>(K11-$AJ$8)/$AK$8</f>
        <v/>
      </c>
      <c r="M11" t="n">
        <v>26617</v>
      </c>
      <c r="N11">
        <f>(M11-$AJ$9)/$AK$9</f>
        <v/>
      </c>
      <c r="O11" t="n">
        <v>0.775718995</v>
      </c>
      <c r="P11">
        <f>(O11-$AJ$11)/$AK$11</f>
        <v/>
      </c>
      <c r="Q11" t="n">
        <v>0.2997</v>
      </c>
      <c r="R11">
        <f>(Q11-$AJ$12)/$AK$12</f>
        <v/>
      </c>
      <c r="S11">
        <f>F11*(R11*0.5+P11*0.5)*(H11*0.35+J11*0.35+L11*0.3)</f>
        <v/>
      </c>
      <c r="T11" s="14">
        <f>(S11-$AJ$10)/$AK$10</f>
        <v/>
      </c>
      <c r="U11">
        <f>IF(T11&gt;0.7,"High",IF(T11&gt;0.3,"Moderate",IF(T11&gt;0.15,"Low","No Impact")))</f>
        <v/>
      </c>
      <c r="V11">
        <f>F11*(R11*1)*(H11*0.35+J11*0.35+L11*0.3)</f>
        <v/>
      </c>
      <c r="W11">
        <f>(V11-$AJ$13)/$AK$13</f>
        <v/>
      </c>
      <c r="X11">
        <f>IF(W11&gt;0.7,"High",IF(W11&gt;0.3,"Moderate",IF(W11&gt;0.15,"Low","No Impact")))</f>
        <v/>
      </c>
      <c r="Y11">
        <f>F11*(P11*1)*(H11*0.35+J11*0.35+L11*0.3)</f>
        <v/>
      </c>
      <c r="Z11">
        <f>(Y11-$AJ$14)/$AK$14</f>
        <v/>
      </c>
      <c r="AA11">
        <f>IF(Z11&gt;0.7,"High",IF(Z11&gt;0.3,"Moderate",IF(Z11&gt;0.15,"Low","No Impact")))</f>
        <v/>
      </c>
      <c r="AB11">
        <f>F11*(R11*0.35+P11*0.3+N11*0.35)*(H11*0.35+J11*0.35+L11*0.3)</f>
        <v/>
      </c>
      <c r="AC11">
        <f>(AB11-$AJ$15)/$AK$15</f>
        <v/>
      </c>
      <c r="AD11">
        <f>IF(AC11&gt;0.7,"High",IF(AC11&gt;0.3,"Moderate",IF(AC11&gt;0.15,"Low","No Impact")))</f>
        <v/>
      </c>
      <c r="AE11">
        <f>F11*(N11*1)*(H11*0.35+J11*0.35+L11*0.3)</f>
        <v/>
      </c>
      <c r="AF11">
        <f>(AE11-$AJ$16)/$AK$16</f>
        <v/>
      </c>
      <c r="AG11">
        <f>IF(AF11&gt;0.7,"High",IF(AF11&gt;0.3,"Moderate",IF(AF11&gt;0.15,"Low","No Impact")))</f>
        <v/>
      </c>
      <c r="AH11" s="1" t="inlineStr">
        <is>
          <t>VCI</t>
        </is>
      </c>
      <c r="AI11">
        <f>MAX(O1:O555)</f>
        <v/>
      </c>
      <c r="AJ11">
        <f>MIN(O1:O555)</f>
        <v/>
      </c>
      <c r="AK11">
        <f>AI11-AJ11</f>
        <v/>
      </c>
    </row>
    <row r="12">
      <c r="A12" t="n">
        <v>100636</v>
      </c>
      <c r="B12" t="inlineStr">
        <is>
          <t>BD100636</t>
        </is>
      </c>
      <c r="C12" t="inlineStr">
        <is>
          <t>Barisal</t>
        </is>
      </c>
      <c r="D12" t="inlineStr">
        <is>
          <t>Hizla</t>
        </is>
      </c>
      <c r="E12" s="3" t="n">
        <v>6.7</v>
      </c>
      <c r="F12" s="4">
        <f>(E12-$AJ$5)/$AK$5</f>
        <v/>
      </c>
      <c r="G12" t="n">
        <v>82.463256</v>
      </c>
      <c r="H12">
        <f>(G12-$AJ$6)/$AK$6</f>
        <v/>
      </c>
      <c r="I12" t="n">
        <v>20.5</v>
      </c>
      <c r="J12" s="4">
        <f>(I12-$AJ$7)/$AK$7</f>
        <v/>
      </c>
      <c r="K12" t="n">
        <v>0</v>
      </c>
      <c r="L12" s="4">
        <f>(K12-$AJ$8)/$AK$8</f>
        <v/>
      </c>
      <c r="M12" t="n">
        <v>4786</v>
      </c>
      <c r="N12">
        <f>(M12-$AJ$9)/$AK$9</f>
        <v/>
      </c>
      <c r="O12" t="n">
        <v>0.783073774</v>
      </c>
      <c r="P12">
        <f>(O12-$AJ$11)/$AK$11</f>
        <v/>
      </c>
      <c r="Q12" t="n">
        <v>0.2746</v>
      </c>
      <c r="R12">
        <f>(Q12-$AJ$12)/$AK$12</f>
        <v/>
      </c>
      <c r="S12">
        <f>F12*(R12*0.5+P12*0.5)*(H12*0.35+J12*0.35+L12*0.3)</f>
        <v/>
      </c>
      <c r="T12" s="14">
        <f>(S12-$AJ$10)/$AK$10</f>
        <v/>
      </c>
      <c r="U12">
        <f>IF(T12&gt;0.7,"High",IF(T12&gt;0.3,"Moderate",IF(T12&gt;0.15,"Low","No Impact")))</f>
        <v/>
      </c>
      <c r="V12">
        <f>F12*(R12*1)*(H12*0.35+J12*0.35+L12*0.3)</f>
        <v/>
      </c>
      <c r="W12">
        <f>(V12-$AJ$13)/$AK$13</f>
        <v/>
      </c>
      <c r="X12">
        <f>IF(W12&gt;0.7,"High",IF(W12&gt;0.3,"Moderate",IF(W12&gt;0.15,"Low","No Impact")))</f>
        <v/>
      </c>
      <c r="Y12">
        <f>F12*(P12*1)*(H12*0.35+J12*0.35+L12*0.3)</f>
        <v/>
      </c>
      <c r="Z12">
        <f>(Y12-$AJ$14)/$AK$14</f>
        <v/>
      </c>
      <c r="AA12">
        <f>IF(Z12&gt;0.7,"High",IF(Z12&gt;0.3,"Moderate",IF(Z12&gt;0.15,"Low","No Impact")))</f>
        <v/>
      </c>
      <c r="AB12">
        <f>F12*(R12*0.35+P12*0.3+N12*0.35)*(H12*0.35+J12*0.35+L12*0.3)</f>
        <v/>
      </c>
      <c r="AC12">
        <f>(AB12-$AJ$15)/$AK$15</f>
        <v/>
      </c>
      <c r="AD12">
        <f>IF(AC12&gt;0.7,"High",IF(AC12&gt;0.3,"Moderate",IF(AC12&gt;0.15,"Low","No Impact")))</f>
        <v/>
      </c>
      <c r="AE12">
        <f>F12*(N12*1)*(H12*0.35+J12*0.35+L12*0.3)</f>
        <v/>
      </c>
      <c r="AF12">
        <f>(AE12-$AJ$16)/$AK$16</f>
        <v/>
      </c>
      <c r="AG12">
        <f>IF(AF12&gt;0.7,"High",IF(AF12&gt;0.3,"Moderate",IF(AF12&gt;0.15,"Low","No Impact")))</f>
        <v/>
      </c>
      <c r="AH12" s="1" t="inlineStr">
        <is>
          <t>fAPAR</t>
        </is>
      </c>
      <c r="AI12">
        <f>MAX(Q1:Q555)</f>
        <v/>
      </c>
      <c r="AJ12">
        <f>MIN(Q1:Q545)</f>
        <v/>
      </c>
      <c r="AK12">
        <f>AI12-AJ12</f>
        <v/>
      </c>
    </row>
    <row r="13">
      <c r="A13" t="n">
        <v>100651</v>
      </c>
      <c r="B13" t="inlineStr">
        <is>
          <t>BD100651</t>
        </is>
      </c>
      <c r="C13" t="inlineStr">
        <is>
          <t>Barisal</t>
        </is>
      </c>
      <c r="D13" t="inlineStr">
        <is>
          <t>Barisal Sadar (Kotwali)</t>
        </is>
      </c>
      <c r="E13" s="3" t="n">
        <v>6.8</v>
      </c>
      <c r="F13" s="4">
        <f>(E13-$AJ$5)/$AK$5</f>
        <v/>
      </c>
      <c r="G13" t="n">
        <v>93.79059840000001</v>
      </c>
      <c r="H13">
        <f>(G13-$AJ$6)/$AK$6</f>
        <v/>
      </c>
      <c r="I13" t="n">
        <v>25.5</v>
      </c>
      <c r="J13" s="4">
        <f>(I13-$AJ$7)/$AK$7</f>
        <v/>
      </c>
      <c r="K13" t="n">
        <v>0</v>
      </c>
      <c r="L13" s="4">
        <f>(K13-$AJ$8)/$AK$8</f>
        <v/>
      </c>
      <c r="M13" t="n">
        <v>47691</v>
      </c>
      <c r="N13">
        <f>(M13-$AJ$9)/$AK$9</f>
        <v/>
      </c>
      <c r="O13" t="n">
        <v>0.714357873</v>
      </c>
      <c r="P13">
        <f>(O13-$AJ$11)/$AK$11</f>
        <v/>
      </c>
      <c r="Q13" t="n">
        <v>0.2968</v>
      </c>
      <c r="R13">
        <f>(Q13-$AJ$12)/$AK$12</f>
        <v/>
      </c>
      <c r="S13">
        <f>F13*(R13*0.5+P13*0.5)*(H13*0.35+J13*0.35+L13*0.3)</f>
        <v/>
      </c>
      <c r="T13" s="14">
        <f>(S13-$AJ$10)/$AK$10</f>
        <v/>
      </c>
      <c r="U13">
        <f>IF(T13&gt;0.7,"High",IF(T13&gt;0.3,"Moderate",IF(T13&gt;0.15,"Low","No Impact")))</f>
        <v/>
      </c>
      <c r="V13">
        <f>F13*(R13*1)*(H13*0.35+J13*0.35+L13*0.3)</f>
        <v/>
      </c>
      <c r="W13">
        <f>(V13-$AJ$13)/$AK$13</f>
        <v/>
      </c>
      <c r="X13">
        <f>IF(W13&gt;0.7,"High",IF(W13&gt;0.3,"Moderate",IF(W13&gt;0.15,"Low","No Impact")))</f>
        <v/>
      </c>
      <c r="Y13">
        <f>F13*(P13*1)*(H13*0.35+J13*0.35+L13*0.3)</f>
        <v/>
      </c>
      <c r="Z13">
        <f>(Y13-$AJ$14)/$AK$14</f>
        <v/>
      </c>
      <c r="AA13">
        <f>IF(Z13&gt;0.7,"High",IF(Z13&gt;0.3,"Moderate",IF(Z13&gt;0.15,"Low","No Impact")))</f>
        <v/>
      </c>
      <c r="AB13">
        <f>F13*(R13*0.35+P13*0.3+N13*0.35)*(H13*0.35+J13*0.35+L13*0.3)</f>
        <v/>
      </c>
      <c r="AC13">
        <f>(AB13-$AJ$15)/$AK$15</f>
        <v/>
      </c>
      <c r="AD13">
        <f>IF(AC13&gt;0.7,"High",IF(AC13&gt;0.3,"Moderate",IF(AC13&gt;0.15,"Low","No Impact")))</f>
        <v/>
      </c>
      <c r="AE13">
        <f>F13*(N13*1)*(H13*0.35+J13*0.35+L13*0.3)</f>
        <v/>
      </c>
      <c r="AF13">
        <f>(AE13-$AJ$16)/$AK$16</f>
        <v/>
      </c>
      <c r="AG13">
        <f>IF(AF13&gt;0.7,"High",IF(AF13&gt;0.3,"Moderate",IF(AF13&gt;0.15,"Low","No Impact")))</f>
        <v/>
      </c>
      <c r="AH13" s="1" t="inlineStr">
        <is>
          <t>Impact_fAPAR</t>
        </is>
      </c>
      <c r="AI13">
        <f>MAX(V1:V545)</f>
        <v/>
      </c>
      <c r="AJ13">
        <f>MIN(V1:V545)</f>
        <v/>
      </c>
      <c r="AK13">
        <f>AI13-AJ13</f>
        <v/>
      </c>
    </row>
    <row r="14">
      <c r="A14" t="n">
        <v>100662</v>
      </c>
      <c r="B14" t="inlineStr">
        <is>
          <t>BD100662</t>
        </is>
      </c>
      <c r="C14" t="inlineStr">
        <is>
          <t>Barisal</t>
        </is>
      </c>
      <c r="D14" t="inlineStr">
        <is>
          <t>Mehendiganj</t>
        </is>
      </c>
      <c r="E14" s="3" t="n">
        <v>6.7</v>
      </c>
      <c r="F14" s="4">
        <f>(E14-$AJ$5)/$AK$5</f>
        <v/>
      </c>
      <c r="G14" t="n">
        <v>88.86169439999999</v>
      </c>
      <c r="H14">
        <f>(G14-$AJ$6)/$AK$6</f>
        <v/>
      </c>
      <c r="I14" t="n">
        <v>19.8</v>
      </c>
      <c r="J14" s="4">
        <f>(I14-$AJ$7)/$AK$7</f>
        <v/>
      </c>
      <c r="K14" t="n">
        <v>0</v>
      </c>
      <c r="L14" s="4">
        <f>(K14-$AJ$8)/$AK$8</f>
        <v/>
      </c>
      <c r="M14" t="n">
        <v>15037</v>
      </c>
      <c r="N14">
        <f>(M14-$AJ$9)/$AK$9</f>
        <v/>
      </c>
      <c r="O14" t="n">
        <v>0.304779107</v>
      </c>
      <c r="P14">
        <f>(O14-$AJ$11)/$AK$11</f>
        <v/>
      </c>
      <c r="Q14" t="n">
        <v>0.293</v>
      </c>
      <c r="R14">
        <f>(Q14-$AJ$12)/$AK$12</f>
        <v/>
      </c>
      <c r="S14">
        <f>F14*(R14*0.5+P14*0.5)*(H14*0.35+J14*0.35+L14*0.3)</f>
        <v/>
      </c>
      <c r="T14" s="14">
        <f>(S14-$AJ$10)/$AK$10</f>
        <v/>
      </c>
      <c r="U14">
        <f>IF(T14&gt;0.7,"High",IF(T14&gt;0.3,"Moderate",IF(T14&gt;0.15,"Low","No Impact")))</f>
        <v/>
      </c>
      <c r="V14">
        <f>F14*(R14*1)*(H14*0.35+J14*0.35+L14*0.3)</f>
        <v/>
      </c>
      <c r="W14">
        <f>(V14-$AJ$13)/$AK$13</f>
        <v/>
      </c>
      <c r="X14">
        <f>IF(W14&gt;0.7,"High",IF(W14&gt;0.3,"Moderate",IF(W14&gt;0.15,"Low","No Impact")))</f>
        <v/>
      </c>
      <c r="Y14">
        <f>F14*(P14*1)*(H14*0.35+J14*0.35+L14*0.3)</f>
        <v/>
      </c>
      <c r="Z14">
        <f>(Y14-$AJ$14)/$AK$14</f>
        <v/>
      </c>
      <c r="AA14">
        <f>IF(Z14&gt;0.7,"High",IF(Z14&gt;0.3,"Moderate",IF(Z14&gt;0.15,"Low","No Impact")))</f>
        <v/>
      </c>
      <c r="AB14">
        <f>F14*(R14*0.35+P14*0.3+N14*0.35)*(H14*0.35+J14*0.35+L14*0.3)</f>
        <v/>
      </c>
      <c r="AC14">
        <f>(AB14-$AJ$15)/$AK$15</f>
        <v/>
      </c>
      <c r="AD14">
        <f>IF(AC14&gt;0.7,"High",IF(AC14&gt;0.3,"Moderate",IF(AC14&gt;0.15,"Low","No Impact")))</f>
        <v/>
      </c>
      <c r="AE14">
        <f>F14*(N14*1)*(H14*0.35+J14*0.35+L14*0.3)</f>
        <v/>
      </c>
      <c r="AF14">
        <f>(AE14-$AJ$16)/$AK$16</f>
        <v/>
      </c>
      <c r="AG14">
        <f>IF(AF14&gt;0.7,"High",IF(AF14&gt;0.3,"Moderate",IF(AF14&gt;0.15,"Low","No Impact")))</f>
        <v/>
      </c>
      <c r="AH14" s="1" t="inlineStr">
        <is>
          <t>Impact_VCI</t>
        </is>
      </c>
      <c r="AI14">
        <f>MAX(Y1:Y545)</f>
        <v/>
      </c>
      <c r="AJ14">
        <f>MIN(Y1:Y555)</f>
        <v/>
      </c>
      <c r="AK14">
        <f>AI14-AJ14</f>
        <v/>
      </c>
    </row>
    <row r="15">
      <c r="A15" t="n">
        <v>100669</v>
      </c>
      <c r="B15" t="inlineStr">
        <is>
          <t>BD100669</t>
        </is>
      </c>
      <c r="C15" t="inlineStr">
        <is>
          <t>Barisal</t>
        </is>
      </c>
      <c r="D15" t="inlineStr">
        <is>
          <t>Muladi</t>
        </is>
      </c>
      <c r="E15" s="3" t="n">
        <v>6.7</v>
      </c>
      <c r="F15" s="4">
        <f>(E15-$AJ$5)/$AK$5</f>
        <v/>
      </c>
      <c r="G15" t="n">
        <v>93.79059840000001</v>
      </c>
      <c r="H15">
        <f>(G15-$AJ$6)/$AK$6</f>
        <v/>
      </c>
      <c r="I15" t="n">
        <v>24.7</v>
      </c>
      <c r="J15" s="4">
        <f>(I15-$AJ$7)/$AK$7</f>
        <v/>
      </c>
      <c r="K15" t="n">
        <v>0</v>
      </c>
      <c r="L15" s="4">
        <f>(K15-$AJ$8)/$AK$8</f>
        <v/>
      </c>
      <c r="M15" t="n">
        <v>4807</v>
      </c>
      <c r="N15">
        <f>(M15-$AJ$9)/$AK$9</f>
        <v/>
      </c>
      <c r="O15" t="n">
        <v>0.39679721</v>
      </c>
      <c r="P15">
        <f>(O15-$AJ$11)/$AK$11</f>
        <v/>
      </c>
      <c r="Q15" t="n">
        <v>0.2938</v>
      </c>
      <c r="R15">
        <f>(Q15-$AJ$12)/$AK$12</f>
        <v/>
      </c>
      <c r="S15">
        <f>F15*(R15*0.5+P15*0.5)*(H15*0.35+J15*0.35+L15*0.3)</f>
        <v/>
      </c>
      <c r="T15" s="14">
        <f>(S15-$AJ$10)/$AK$10</f>
        <v/>
      </c>
      <c r="U15">
        <f>IF(T15&gt;0.7,"High",IF(T15&gt;0.3,"Moderate",IF(T15&gt;0.15,"Low","No Impact")))</f>
        <v/>
      </c>
      <c r="V15">
        <f>F15*(R15*1)*(H15*0.35+J15*0.35+L15*0.3)</f>
        <v/>
      </c>
      <c r="W15">
        <f>(V15-$AJ$13)/$AK$13</f>
        <v/>
      </c>
      <c r="X15">
        <f>IF(W15&gt;0.7,"High",IF(W15&gt;0.3,"Moderate",IF(W15&gt;0.15,"Low","No Impact")))</f>
        <v/>
      </c>
      <c r="Y15">
        <f>F15*(P15*1)*(H15*0.35+J15*0.35+L15*0.3)</f>
        <v/>
      </c>
      <c r="Z15">
        <f>(Y15-$AJ$14)/$AK$14</f>
        <v/>
      </c>
      <c r="AA15">
        <f>IF(Z15&gt;0.7,"High",IF(Z15&gt;0.3,"Moderate",IF(Z15&gt;0.15,"Low","No Impact")))</f>
        <v/>
      </c>
      <c r="AB15">
        <f>F15*(R15*0.35+P15*0.3+N15*0.35)*(H15*0.35+J15*0.35+L15*0.3)</f>
        <v/>
      </c>
      <c r="AC15">
        <f>(AB15-$AJ$15)/$AK$15</f>
        <v/>
      </c>
      <c r="AD15">
        <f>IF(AC15&gt;0.7,"High",IF(AC15&gt;0.3,"Moderate",IF(AC15&gt;0.15,"Low","No Impact")))</f>
        <v/>
      </c>
      <c r="AE15">
        <f>F15*(N15*1)*(H15*0.35+J15*0.35+L15*0.3)</f>
        <v/>
      </c>
      <c r="AF15">
        <f>(AE15-$AJ$16)/$AK$16</f>
        <v/>
      </c>
      <c r="AG15">
        <f>IF(AF15&gt;0.7,"High",IF(AF15&gt;0.3,"Moderate",IF(AF15&gt;0.15,"Low","No Impact")))</f>
        <v/>
      </c>
      <c r="AH15" s="1" t="inlineStr">
        <is>
          <t>Impact_vci+fapar+house</t>
        </is>
      </c>
      <c r="AI15">
        <f>MAX(AB1:AB545)</f>
        <v/>
      </c>
      <c r="AJ15">
        <f>MIN(AB1:AB555)</f>
        <v/>
      </c>
      <c r="AK15">
        <f>AI15-AJ15</f>
        <v/>
      </c>
    </row>
    <row r="16">
      <c r="A16" t="n">
        <v>100694</v>
      </c>
      <c r="B16" t="inlineStr">
        <is>
          <t>BD100694</t>
        </is>
      </c>
      <c r="C16" t="inlineStr">
        <is>
          <t>Barisal</t>
        </is>
      </c>
      <c r="D16" t="inlineStr">
        <is>
          <t>Wazirpur</t>
        </is>
      </c>
      <c r="E16" s="3" t="n">
        <v>6.7</v>
      </c>
      <c r="F16" s="4">
        <f>(E16-$AJ$5)/$AK$5</f>
        <v/>
      </c>
      <c r="G16" t="n">
        <v>108.4753656</v>
      </c>
      <c r="H16">
        <f>(G16-$AJ$6)/$AK$6</f>
        <v/>
      </c>
      <c r="I16" t="n">
        <v>29</v>
      </c>
      <c r="J16" s="4">
        <f>(I16-$AJ$7)/$AK$7</f>
        <v/>
      </c>
      <c r="K16" t="n">
        <v>0</v>
      </c>
      <c r="L16" s="4">
        <f>(K16-$AJ$8)/$AK$8</f>
        <v/>
      </c>
      <c r="M16" t="n">
        <v>26434</v>
      </c>
      <c r="N16">
        <f>(M16-$AJ$9)/$AK$9</f>
        <v/>
      </c>
      <c r="O16" t="n">
        <v>0.534487953</v>
      </c>
      <c r="P16">
        <f>(O16-$AJ$11)/$AK$11</f>
        <v/>
      </c>
      <c r="Q16" t="n">
        <v>0.2765</v>
      </c>
      <c r="R16">
        <f>(Q16-$AJ$12)/$AK$12</f>
        <v/>
      </c>
      <c r="S16">
        <f>F16*(R16*0.5+P16*0.5)*(H16*0.35+J16*0.35+L16*0.3)</f>
        <v/>
      </c>
      <c r="T16" s="14">
        <f>(S16-$AJ$10)/$AK$10</f>
        <v/>
      </c>
      <c r="U16">
        <f>IF(T16&gt;0.7,"High",IF(T16&gt;0.3,"Moderate",IF(T16&gt;0.15,"Low","No Impact")))</f>
        <v/>
      </c>
      <c r="V16">
        <f>F16*(R16*1)*(H16*0.35+J16*0.35+L16*0.3)</f>
        <v/>
      </c>
      <c r="W16">
        <f>(V16-$AJ$13)/$AK$13</f>
        <v/>
      </c>
      <c r="X16">
        <f>IF(W16&gt;0.7,"High",IF(W16&gt;0.3,"Moderate",IF(W16&gt;0.15,"Low","No Impact")))</f>
        <v/>
      </c>
      <c r="Y16">
        <f>F16*(P16*1)*(H16*0.35+J16*0.35+L16*0.3)</f>
        <v/>
      </c>
      <c r="Z16">
        <f>(Y16-$AJ$14)/$AK$14</f>
        <v/>
      </c>
      <c r="AA16">
        <f>IF(Z16&gt;0.7,"High",IF(Z16&gt;0.3,"Moderate",IF(Z16&gt;0.15,"Low","No Impact")))</f>
        <v/>
      </c>
      <c r="AB16">
        <f>F16*(R16*0.35+P16*0.3+N16*0.35)*(H16*0.35+J16*0.35+L16*0.3)</f>
        <v/>
      </c>
      <c r="AC16">
        <f>(AB16-$AJ$15)/$AK$15</f>
        <v/>
      </c>
      <c r="AD16">
        <f>IF(AC16&gt;0.7,"High",IF(AC16&gt;0.3,"Moderate",IF(AC16&gt;0.15,"Low","No Impact")))</f>
        <v/>
      </c>
      <c r="AE16">
        <f>F16*(N16*1)*(H16*0.35+J16*0.35+L16*0.3)</f>
        <v/>
      </c>
      <c r="AF16">
        <f>(AE16-$AJ$16)/$AK$16</f>
        <v/>
      </c>
      <c r="AG16">
        <f>IF(AF16&gt;0.7,"High",IF(AF16&gt;0.3,"Moderate",IF(AF16&gt;0.15,"Low","No Impact")))</f>
        <v/>
      </c>
      <c r="AH16" s="1" t="inlineStr">
        <is>
          <t>Impact_house</t>
        </is>
      </c>
      <c r="AI16">
        <f>MAX(AE1:AE545)</f>
        <v/>
      </c>
      <c r="AJ16">
        <f>MIN(AE1:AE555)</f>
        <v/>
      </c>
      <c r="AK16">
        <f>AI16-AJ16</f>
        <v/>
      </c>
    </row>
    <row r="17">
      <c r="A17" t="n">
        <v>100918</v>
      </c>
      <c r="B17" t="inlineStr">
        <is>
          <t>BD100918</t>
        </is>
      </c>
      <c r="C17" t="inlineStr">
        <is>
          <t>Bhola</t>
        </is>
      </c>
      <c r="D17" t="inlineStr">
        <is>
          <t>Bhola Sadar</t>
        </is>
      </c>
      <c r="E17" s="3" t="n">
        <v>7.2</v>
      </c>
      <c r="F17" s="4">
        <f>(E17-$AJ$5)/$AK$5</f>
        <v/>
      </c>
      <c r="G17" t="n">
        <v>90.74958479999999</v>
      </c>
      <c r="H17">
        <f>(G17-$AJ$6)/$AK$6</f>
        <v/>
      </c>
      <c r="I17" t="n">
        <v>21.8</v>
      </c>
      <c r="J17" s="4">
        <f>(I17-$AJ$7)/$AK$7</f>
        <v/>
      </c>
      <c r="K17" t="n">
        <v>1</v>
      </c>
      <c r="L17" s="4">
        <f>(K17-$AJ$8)/$AK$8</f>
        <v/>
      </c>
      <c r="M17" t="n">
        <v>36805</v>
      </c>
      <c r="N17">
        <f>(M17-$AJ$9)/$AK$9</f>
        <v/>
      </c>
      <c r="O17" t="n">
        <v>0.787296357</v>
      </c>
      <c r="P17">
        <f>(O17-$AJ$11)/$AK$11</f>
        <v/>
      </c>
      <c r="Q17" t="n">
        <v>0.3063</v>
      </c>
      <c r="R17">
        <f>(Q17-$AJ$12)/$AK$12</f>
        <v/>
      </c>
      <c r="S17">
        <f>F17*(R17*0.5+P17*0.5)*(H17*0.35+J17*0.35+L17*0.3)</f>
        <v/>
      </c>
      <c r="T17" s="14">
        <f>(S17-$AJ$10)/$AK$10</f>
        <v/>
      </c>
      <c r="U17">
        <f>IF(T17&gt;0.7,"High",IF(T17&gt;0.3,"Moderate",IF(T17&gt;0.15,"Low","No Impact")))</f>
        <v/>
      </c>
      <c r="V17">
        <f>F17*(R17*1)*(H17*0.35+J17*0.35+L17*0.3)</f>
        <v/>
      </c>
      <c r="W17">
        <f>(V17-$AJ$13)/$AK$13</f>
        <v/>
      </c>
      <c r="X17">
        <f>IF(W17&gt;0.7,"High",IF(W17&gt;0.3,"Moderate",IF(W17&gt;0.15,"Low","No Impact")))</f>
        <v/>
      </c>
      <c r="Y17">
        <f>F17*(P17*1)*(H17*0.35+J17*0.35+L17*0.3)</f>
        <v/>
      </c>
      <c r="Z17">
        <f>(Y17-$AJ$14)/$AK$14</f>
        <v/>
      </c>
      <c r="AA17">
        <f>IF(Z17&gt;0.7,"High",IF(Z17&gt;0.3,"Moderate",IF(Z17&gt;0.15,"Low","No Impact")))</f>
        <v/>
      </c>
      <c r="AB17">
        <f>F17*(R17*0.35+P17*0.3+N17*0.35)*(H17*0.35+J17*0.35+L17*0.3)</f>
        <v/>
      </c>
      <c r="AC17">
        <f>(AB17-$AJ$15)/$AK$15</f>
        <v/>
      </c>
      <c r="AD17">
        <f>IF(AC17&gt;0.7,"High",IF(AC17&gt;0.3,"Moderate",IF(AC17&gt;0.15,"Low","No Impact")))</f>
        <v/>
      </c>
      <c r="AE17">
        <f>F17*(N17*1)*(H17*0.35+J17*0.35+L17*0.3)</f>
        <v/>
      </c>
      <c r="AF17">
        <f>(AE17-$AJ$16)/$AK$16</f>
        <v/>
      </c>
      <c r="AG17">
        <f>IF(AF17&gt;0.7,"High",IF(AF17&gt;0.3,"Moderate",IF(AF17&gt;0.15,"Low","No Impact")))</f>
        <v/>
      </c>
    </row>
    <row r="18">
      <c r="A18" t="n">
        <v>100921</v>
      </c>
      <c r="B18" t="inlineStr">
        <is>
          <t>BD100921</t>
        </is>
      </c>
      <c r="C18" t="inlineStr">
        <is>
          <t>Bhola</t>
        </is>
      </c>
      <c r="D18" t="inlineStr">
        <is>
          <t>Burhanuddin</t>
        </is>
      </c>
      <c r="E18" s="3" t="n">
        <v>7.2</v>
      </c>
      <c r="F18" s="4">
        <f>(E18-$AJ$5)/$AK$5</f>
        <v/>
      </c>
      <c r="G18" t="n">
        <v>90.74958479999999</v>
      </c>
      <c r="H18">
        <f>(G18-$AJ$6)/$AK$6</f>
        <v/>
      </c>
      <c r="I18" t="n">
        <v>22.4</v>
      </c>
      <c r="J18" s="4">
        <f>(I18-$AJ$7)/$AK$7</f>
        <v/>
      </c>
      <c r="K18" t="n">
        <v>1</v>
      </c>
      <c r="L18" s="4">
        <f>(K18-$AJ$8)/$AK$8</f>
        <v/>
      </c>
      <c r="M18" t="n">
        <v>23768</v>
      </c>
      <c r="N18">
        <f>(M18-$AJ$9)/$AK$9</f>
        <v/>
      </c>
      <c r="O18" t="n">
        <v>0.228243824</v>
      </c>
      <c r="P18">
        <f>(O18-$AJ$11)/$AK$11</f>
        <v/>
      </c>
      <c r="Q18" t="n">
        <v>0.2947</v>
      </c>
      <c r="R18">
        <f>(Q18-$AJ$12)/$AK$12</f>
        <v/>
      </c>
      <c r="S18">
        <f>F18*(R18*0.5+P18*0.5)*(H18*0.35+J18*0.35+L18*0.3)</f>
        <v/>
      </c>
      <c r="T18" s="14">
        <f>(S18-$AJ$10)/$AK$10</f>
        <v/>
      </c>
      <c r="U18">
        <f>IF(T18&gt;0.7,"High",IF(T18&gt;0.3,"Moderate",IF(T18&gt;0.15,"Low","No Impact")))</f>
        <v/>
      </c>
      <c r="V18">
        <f>F18*(R18*1)*(H18*0.35+J18*0.35+L18*0.3)</f>
        <v/>
      </c>
      <c r="W18">
        <f>(V18-$AJ$13)/$AK$13</f>
        <v/>
      </c>
      <c r="X18">
        <f>IF(W18&gt;0.7,"High",IF(W18&gt;0.3,"Moderate",IF(W18&gt;0.15,"Low","No Impact")))</f>
        <v/>
      </c>
      <c r="Y18">
        <f>F18*(P18*1)*(H18*0.35+J18*0.35+L18*0.3)</f>
        <v/>
      </c>
      <c r="Z18">
        <f>(Y18-$AJ$14)/$AK$14</f>
        <v/>
      </c>
      <c r="AA18">
        <f>IF(Z18&gt;0.7,"High",IF(Z18&gt;0.3,"Moderate",IF(Z18&gt;0.15,"Low","No Impact")))</f>
        <v/>
      </c>
      <c r="AB18">
        <f>F18*(R18*0.35+P18*0.3+N18*0.35)*(H18*0.35+J18*0.35+L18*0.3)</f>
        <v/>
      </c>
      <c r="AC18">
        <f>(AB18-$AJ$15)/$AK$15</f>
        <v/>
      </c>
      <c r="AD18">
        <f>IF(AC18&gt;0.7,"High",IF(AC18&gt;0.3,"Moderate",IF(AC18&gt;0.15,"Low","No Impact")))</f>
        <v/>
      </c>
      <c r="AE18">
        <f>F18*(N18*1)*(H18*0.35+J18*0.35+L18*0.3)</f>
        <v/>
      </c>
      <c r="AF18">
        <f>(AE18-$AJ$16)/$AK$16</f>
        <v/>
      </c>
      <c r="AG18">
        <f>IF(AF18&gt;0.7,"High",IF(AF18&gt;0.3,"Moderate",IF(AF18&gt;0.15,"Low","No Impact")))</f>
        <v/>
      </c>
    </row>
    <row r="19">
      <c r="A19" t="n">
        <v>100925</v>
      </c>
      <c r="B19" t="inlineStr">
        <is>
          <t>BD100925</t>
        </is>
      </c>
      <c r="C19" t="inlineStr">
        <is>
          <t>Bhola</t>
        </is>
      </c>
      <c r="D19" t="inlineStr">
        <is>
          <t>Char Fasson</t>
        </is>
      </c>
      <c r="E19" s="3" t="n">
        <v>7.2</v>
      </c>
      <c r="F19" s="4">
        <f>(E19-$AJ$5)/$AK$5</f>
        <v/>
      </c>
      <c r="G19" t="n">
        <v>104.8594068</v>
      </c>
      <c r="H19">
        <f>(G19-$AJ$6)/$AK$6</f>
        <v/>
      </c>
      <c r="I19" t="n">
        <v>20.3</v>
      </c>
      <c r="J19" s="4">
        <f>(I19-$AJ$7)/$AK$7</f>
        <v/>
      </c>
      <c r="K19" t="n">
        <v>1</v>
      </c>
      <c r="L19" s="4">
        <f>(K19-$AJ$8)/$AK$8</f>
        <v/>
      </c>
      <c r="M19" t="n">
        <v>19441</v>
      </c>
      <c r="N19">
        <f>(M19-$AJ$9)/$AK$9</f>
        <v/>
      </c>
      <c r="O19" t="n">
        <v>0.353570633</v>
      </c>
      <c r="P19">
        <f>(O19-$AJ$11)/$AK$11</f>
        <v/>
      </c>
      <c r="Q19" t="n">
        <v>0.271</v>
      </c>
      <c r="R19">
        <f>(Q19-$AJ$12)/$AK$12</f>
        <v/>
      </c>
      <c r="S19">
        <f>F19*(R19*0.5+P19*0.5)*(H19*0.35+J19*0.35+L19*0.3)</f>
        <v/>
      </c>
      <c r="T19" s="14">
        <f>(S19-$AJ$10)/$AK$10</f>
        <v/>
      </c>
      <c r="U19">
        <f>IF(T19&gt;0.7,"High",IF(T19&gt;0.3,"Moderate",IF(T19&gt;0.15,"Low","No Impact")))</f>
        <v/>
      </c>
      <c r="V19">
        <f>F19*(R19*1)*(H19*0.35+J19*0.35+L19*0.3)</f>
        <v/>
      </c>
      <c r="W19">
        <f>(V19-$AJ$13)/$AK$13</f>
        <v/>
      </c>
      <c r="X19">
        <f>IF(W19&gt;0.7,"High",IF(W19&gt;0.3,"Moderate",IF(W19&gt;0.15,"Low","No Impact")))</f>
        <v/>
      </c>
      <c r="Y19">
        <f>F19*(P19*1)*(H19*0.35+J19*0.35+L19*0.3)</f>
        <v/>
      </c>
      <c r="Z19">
        <f>(Y19-$AJ$14)/$AK$14</f>
        <v/>
      </c>
      <c r="AA19">
        <f>IF(Z19&gt;0.7,"High",IF(Z19&gt;0.3,"Moderate",IF(Z19&gt;0.15,"Low","No Impact")))</f>
        <v/>
      </c>
      <c r="AB19">
        <f>F19*(R19*0.35+P19*0.3+N19*0.35)*(H19*0.35+J19*0.35+L19*0.3)</f>
        <v/>
      </c>
      <c r="AC19">
        <f>(AB19-$AJ$15)/$AK$15</f>
        <v/>
      </c>
      <c r="AD19">
        <f>IF(AC19&gt;0.7,"High",IF(AC19&gt;0.3,"Moderate",IF(AC19&gt;0.15,"Low","No Impact")))</f>
        <v/>
      </c>
      <c r="AE19">
        <f>F19*(N19*1)*(H19*0.35+J19*0.35+L19*0.3)</f>
        <v/>
      </c>
      <c r="AF19">
        <f>(AE19-$AJ$16)/$AK$16</f>
        <v/>
      </c>
      <c r="AG19">
        <f>IF(AF19&gt;0.7,"High",IF(AF19&gt;0.3,"Moderate",IF(AF19&gt;0.15,"Low","No Impact")))</f>
        <v/>
      </c>
    </row>
    <row r="20">
      <c r="A20" t="n">
        <v>100929</v>
      </c>
      <c r="B20" t="inlineStr">
        <is>
          <t>BD100929</t>
        </is>
      </c>
      <c r="C20" t="inlineStr">
        <is>
          <t>Bhola</t>
        </is>
      </c>
      <c r="D20" t="inlineStr">
        <is>
          <t>Daulatkhan</t>
        </is>
      </c>
      <c r="E20" s="3" t="n">
        <v>7.2</v>
      </c>
      <c r="F20" s="4">
        <f>(E20-$AJ$5)/$AK$5</f>
        <v/>
      </c>
      <c r="G20" t="n">
        <v>88.86169439999999</v>
      </c>
      <c r="H20">
        <f>(G20-$AJ$6)/$AK$6</f>
        <v/>
      </c>
      <c r="I20" t="n">
        <v>18.7</v>
      </c>
      <c r="J20" s="4">
        <f>(I20-$AJ$7)/$AK$7</f>
        <v/>
      </c>
      <c r="K20" t="n">
        <v>1</v>
      </c>
      <c r="L20" s="4">
        <f>(K20-$AJ$8)/$AK$8</f>
        <v/>
      </c>
      <c r="M20" t="n">
        <v>11391</v>
      </c>
      <c r="N20">
        <f>(M20-$AJ$9)/$AK$9</f>
        <v/>
      </c>
      <c r="O20" t="n">
        <v>0.266317238</v>
      </c>
      <c r="P20">
        <f>(O20-$AJ$11)/$AK$11</f>
        <v/>
      </c>
      <c r="Q20" t="n">
        <v>0.3178</v>
      </c>
      <c r="R20">
        <f>(Q20-$AJ$12)/$AK$12</f>
        <v/>
      </c>
      <c r="S20">
        <f>F20*(R20*0.5+P20*0.5)*(H20*0.35+J20*0.35+L20*0.3)</f>
        <v/>
      </c>
      <c r="T20" s="14">
        <f>(S20-$AJ$10)/$AK$10</f>
        <v/>
      </c>
      <c r="U20">
        <f>IF(T20&gt;0.7,"High",IF(T20&gt;0.3,"Moderate",IF(T20&gt;0.15,"Low","No Impact")))</f>
        <v/>
      </c>
      <c r="V20">
        <f>F20*(R20*1)*(H20*0.35+J20*0.35+L20*0.3)</f>
        <v/>
      </c>
      <c r="W20">
        <f>(V20-$AJ$13)/$AK$13</f>
        <v/>
      </c>
      <c r="X20">
        <f>IF(W20&gt;0.7,"High",IF(W20&gt;0.3,"Moderate",IF(W20&gt;0.15,"Low","No Impact")))</f>
        <v/>
      </c>
      <c r="Y20">
        <f>F20*(P20*1)*(H20*0.35+J20*0.35+L20*0.3)</f>
        <v/>
      </c>
      <c r="Z20">
        <f>(Y20-$AJ$14)/$AK$14</f>
        <v/>
      </c>
      <c r="AA20">
        <f>IF(Z20&gt;0.7,"High",IF(Z20&gt;0.3,"Moderate",IF(Z20&gt;0.15,"Low","No Impact")))</f>
        <v/>
      </c>
      <c r="AB20">
        <f>F20*(R20*0.35+P20*0.3+N20*0.35)*(H20*0.35+J20*0.35+L20*0.3)</f>
        <v/>
      </c>
      <c r="AC20">
        <f>(AB20-$AJ$15)/$AK$15</f>
        <v/>
      </c>
      <c r="AD20">
        <f>IF(AC20&gt;0.7,"High",IF(AC20&gt;0.3,"Moderate",IF(AC20&gt;0.15,"Low","No Impact")))</f>
        <v/>
      </c>
      <c r="AE20">
        <f>F20*(N20*1)*(H20*0.35+J20*0.35+L20*0.3)</f>
        <v/>
      </c>
      <c r="AF20">
        <f>(AE20-$AJ$16)/$AK$16</f>
        <v/>
      </c>
      <c r="AG20">
        <f>IF(AF20&gt;0.7,"High",IF(AF20&gt;0.3,"Moderate",IF(AF20&gt;0.15,"Low","No Impact")))</f>
        <v/>
      </c>
    </row>
    <row r="21">
      <c r="A21" t="n">
        <v>100954</v>
      </c>
      <c r="B21" t="inlineStr">
        <is>
          <t>BD100954</t>
        </is>
      </c>
      <c r="C21" t="inlineStr">
        <is>
          <t>Bhola</t>
        </is>
      </c>
      <c r="D21" t="inlineStr">
        <is>
          <t>Lalmohan</t>
        </is>
      </c>
      <c r="E21" s="3" t="n">
        <v>7.2</v>
      </c>
      <c r="F21" s="4">
        <f>(E21-$AJ$5)/$AK$5</f>
        <v/>
      </c>
      <c r="G21" t="n">
        <v>91.8288792</v>
      </c>
      <c r="H21">
        <f>(G21-$AJ$6)/$AK$6</f>
        <v/>
      </c>
      <c r="I21" t="n">
        <v>19.2</v>
      </c>
      <c r="J21" s="4">
        <f>(I21-$AJ$7)/$AK$7</f>
        <v/>
      </c>
      <c r="K21" t="n">
        <v>1</v>
      </c>
      <c r="L21" s="4">
        <f>(K21-$AJ$8)/$AK$8</f>
        <v/>
      </c>
      <c r="M21" t="n">
        <v>17773</v>
      </c>
      <c r="N21">
        <f>(M21-$AJ$9)/$AK$9</f>
        <v/>
      </c>
      <c r="O21" t="n">
        <v>0.457774814</v>
      </c>
      <c r="P21">
        <f>(O21-$AJ$11)/$AK$11</f>
        <v/>
      </c>
      <c r="Q21" t="n">
        <v>0.3011</v>
      </c>
      <c r="R21">
        <f>(Q21-$AJ$12)/$AK$12</f>
        <v/>
      </c>
      <c r="S21">
        <f>F21*(R21*0.5+P21*0.5)*(H21*0.35+J21*0.35+L21*0.3)</f>
        <v/>
      </c>
      <c r="T21" s="14">
        <f>(S21-$AJ$10)/$AK$10</f>
        <v/>
      </c>
      <c r="U21">
        <f>IF(T21&gt;0.7,"High",IF(T21&gt;0.3,"Moderate",IF(T21&gt;0.15,"Low","No Impact")))</f>
        <v/>
      </c>
      <c r="V21">
        <f>F21*(R21*1)*(H21*0.35+J21*0.35+L21*0.3)</f>
        <v/>
      </c>
      <c r="W21">
        <f>(V21-$AJ$13)/$AK$13</f>
        <v/>
      </c>
      <c r="X21">
        <f>IF(W21&gt;0.7,"High",IF(W21&gt;0.3,"Moderate",IF(W21&gt;0.15,"Low","No Impact")))</f>
        <v/>
      </c>
      <c r="Y21">
        <f>F21*(P21*1)*(H21*0.35+J21*0.35+L21*0.3)</f>
        <v/>
      </c>
      <c r="Z21">
        <f>(Y21-$AJ$14)/$AK$14</f>
        <v/>
      </c>
      <c r="AA21">
        <f>IF(Z21&gt;0.7,"High",IF(Z21&gt;0.3,"Moderate",IF(Z21&gt;0.15,"Low","No Impact")))</f>
        <v/>
      </c>
      <c r="AB21">
        <f>F21*(R21*0.35+P21*0.3+N21*0.35)*(H21*0.35+J21*0.35+L21*0.3)</f>
        <v/>
      </c>
      <c r="AC21">
        <f>(AB21-$AJ$15)/$AK$15</f>
        <v/>
      </c>
      <c r="AD21">
        <f>IF(AC21&gt;0.7,"High",IF(AC21&gt;0.3,"Moderate",IF(AC21&gt;0.15,"Low","No Impact")))</f>
        <v/>
      </c>
      <c r="AE21">
        <f>F21*(N21*1)*(H21*0.35+J21*0.35+L21*0.3)</f>
        <v/>
      </c>
      <c r="AF21">
        <f>(AE21-$AJ$16)/$AK$16</f>
        <v/>
      </c>
      <c r="AG21">
        <f>IF(AF21&gt;0.7,"High",IF(AF21&gt;0.3,"Moderate",IF(AF21&gt;0.15,"Low","No Impact")))</f>
        <v/>
      </c>
    </row>
    <row r="22">
      <c r="A22" t="n">
        <v>100965</v>
      </c>
      <c r="B22" t="inlineStr">
        <is>
          <t>BD100965</t>
        </is>
      </c>
      <c r="C22" t="inlineStr">
        <is>
          <t>Bhola</t>
        </is>
      </c>
      <c r="D22" t="inlineStr">
        <is>
          <t>Manpura</t>
        </is>
      </c>
      <c r="E22" s="3" t="n">
        <v>5.3</v>
      </c>
      <c r="F22" s="4">
        <f>(E22-$AJ$5)/$AK$5</f>
        <v/>
      </c>
      <c r="G22" t="n">
        <v>100.8534888</v>
      </c>
      <c r="H22">
        <f>(G22-$AJ$6)/$AK$6</f>
        <v/>
      </c>
      <c r="I22" t="n">
        <v>16.2</v>
      </c>
      <c r="J22" s="4">
        <f>(I22-$AJ$7)/$AK$7</f>
        <v/>
      </c>
      <c r="K22" t="n">
        <v>1</v>
      </c>
      <c r="L22" s="4">
        <f>(K22-$AJ$8)/$AK$8</f>
        <v/>
      </c>
      <c r="M22" t="n">
        <v>12816</v>
      </c>
      <c r="N22">
        <f>(M22-$AJ$9)/$AK$9</f>
        <v/>
      </c>
      <c r="O22" t="n">
        <v>0.168692371</v>
      </c>
      <c r="P22">
        <f>(O22-$AJ$11)/$AK$11</f>
        <v/>
      </c>
      <c r="Q22" t="n">
        <v>0.2257</v>
      </c>
      <c r="R22">
        <f>(Q22-$AJ$12)/$AK$12</f>
        <v/>
      </c>
      <c r="S22">
        <f>F22*(R22*0.5+P22*0.5)*(H22*0.35+J22*0.35+L22*0.3)</f>
        <v/>
      </c>
      <c r="T22" s="14">
        <f>(S22-$AJ$10)/$AK$10</f>
        <v/>
      </c>
      <c r="U22">
        <f>IF(T22&gt;0.7,"High",IF(T22&gt;0.3,"Moderate",IF(T22&gt;0.15,"Low","No Impact")))</f>
        <v/>
      </c>
      <c r="V22">
        <f>F22*(R22*1)*(H22*0.35+J22*0.35+L22*0.3)</f>
        <v/>
      </c>
      <c r="W22">
        <f>(V22-$AJ$13)/$AK$13</f>
        <v/>
      </c>
      <c r="X22">
        <f>IF(W22&gt;0.7,"High",IF(W22&gt;0.3,"Moderate",IF(W22&gt;0.15,"Low","No Impact")))</f>
        <v/>
      </c>
      <c r="Y22">
        <f>F22*(P22*1)*(H22*0.35+J22*0.35+L22*0.3)</f>
        <v/>
      </c>
      <c r="Z22">
        <f>(Y22-$AJ$14)/$AK$14</f>
        <v/>
      </c>
      <c r="AA22">
        <f>IF(Z22&gt;0.7,"High",IF(Z22&gt;0.3,"Moderate",IF(Z22&gt;0.15,"Low","No Impact")))</f>
        <v/>
      </c>
      <c r="AB22">
        <f>F22*(R22*0.35+P22*0.3+N22*0.35)*(H22*0.35+J22*0.35+L22*0.3)</f>
        <v/>
      </c>
      <c r="AC22">
        <f>(AB22-$AJ$15)/$AK$15</f>
        <v/>
      </c>
      <c r="AD22">
        <f>IF(AC22&gt;0.7,"High",IF(AC22&gt;0.3,"Moderate",IF(AC22&gt;0.15,"Low","No Impact")))</f>
        <v/>
      </c>
      <c r="AE22">
        <f>F22*(N22*1)*(H22*0.35+J22*0.35+L22*0.3)</f>
        <v/>
      </c>
      <c r="AF22">
        <f>(AE22-$AJ$16)/$AK$16</f>
        <v/>
      </c>
      <c r="AG22">
        <f>IF(AF22&gt;0.7,"High",IF(AF22&gt;0.3,"Moderate",IF(AF22&gt;0.15,"Low","No Impact")))</f>
        <v/>
      </c>
    </row>
    <row r="23">
      <c r="A23" t="n">
        <v>100991</v>
      </c>
      <c r="B23" t="inlineStr">
        <is>
          <t>BD100991</t>
        </is>
      </c>
      <c r="C23" t="inlineStr">
        <is>
          <t>Bhola</t>
        </is>
      </c>
      <c r="D23" t="inlineStr">
        <is>
          <t>Tazumuddin</t>
        </is>
      </c>
      <c r="E23" s="3" t="n">
        <v>5.3</v>
      </c>
      <c r="F23" s="4">
        <f>(E23-$AJ$5)/$AK$5</f>
        <v/>
      </c>
      <c r="G23" t="n">
        <v>92.0538792</v>
      </c>
      <c r="H23">
        <f>(G23-$AJ$6)/$AK$6</f>
        <v/>
      </c>
      <c r="I23" t="n">
        <v>17.8</v>
      </c>
      <c r="J23" s="4">
        <f>(I23-$AJ$7)/$AK$7</f>
        <v/>
      </c>
      <c r="K23" t="n">
        <v>1</v>
      </c>
      <c r="L23" s="4">
        <f>(K23-$AJ$8)/$AK$8</f>
        <v/>
      </c>
      <c r="M23" t="n">
        <v>7108</v>
      </c>
      <c r="N23">
        <f>(M23-$AJ$9)/$AK$9</f>
        <v/>
      </c>
      <c r="O23" t="n">
        <v>0.06704568599999999</v>
      </c>
      <c r="P23">
        <f>(O23-$AJ$11)/$AK$11</f>
        <v/>
      </c>
      <c r="Q23" t="n">
        <v>0.2654</v>
      </c>
      <c r="R23">
        <f>(Q23-$AJ$12)/$AK$12</f>
        <v/>
      </c>
      <c r="S23">
        <f>F23*(R23*0.5+P23*0.5)*(H23*0.35+J23*0.35+L23*0.3)</f>
        <v/>
      </c>
      <c r="T23" s="14">
        <f>(S23-$AJ$10)/$AK$10</f>
        <v/>
      </c>
      <c r="U23">
        <f>IF(T23&gt;0.7,"High",IF(T23&gt;0.3,"Moderate",IF(T23&gt;0.15,"Low","No Impact")))</f>
        <v/>
      </c>
      <c r="V23">
        <f>F23*(R23*1)*(H23*0.35+J23*0.35+L23*0.3)</f>
        <v/>
      </c>
      <c r="W23">
        <f>(V23-$AJ$13)/$AK$13</f>
        <v/>
      </c>
      <c r="X23">
        <f>IF(W23&gt;0.7,"High",IF(W23&gt;0.3,"Moderate",IF(W23&gt;0.15,"Low","No Impact")))</f>
        <v/>
      </c>
      <c r="Y23">
        <f>F23*(P23*1)*(H23*0.35+J23*0.35+L23*0.3)</f>
        <v/>
      </c>
      <c r="Z23">
        <f>(Y23-$AJ$14)/$AK$14</f>
        <v/>
      </c>
      <c r="AA23">
        <f>IF(Z23&gt;0.7,"High",IF(Z23&gt;0.3,"Moderate",IF(Z23&gt;0.15,"Low","No Impact")))</f>
        <v/>
      </c>
      <c r="AB23">
        <f>F23*(R23*0.35+P23*0.3+N23*0.35)*(H23*0.35+J23*0.35+L23*0.3)</f>
        <v/>
      </c>
      <c r="AC23">
        <f>(AB23-$AJ$15)/$AK$15</f>
        <v/>
      </c>
      <c r="AD23">
        <f>IF(AC23&gt;0.7,"High",IF(AC23&gt;0.3,"Moderate",IF(AC23&gt;0.15,"Low","No Impact")))</f>
        <v/>
      </c>
      <c r="AE23">
        <f>F23*(N23*1)*(H23*0.35+J23*0.35+L23*0.3)</f>
        <v/>
      </c>
      <c r="AF23">
        <f>(AE23-$AJ$16)/$AK$16</f>
        <v/>
      </c>
      <c r="AG23">
        <f>IF(AF23&gt;0.7,"High",IF(AF23&gt;0.3,"Moderate",IF(AF23&gt;0.15,"Low","No Impact")))</f>
        <v/>
      </c>
    </row>
    <row r="24">
      <c r="A24" t="n">
        <v>104240</v>
      </c>
      <c r="B24" t="inlineStr">
        <is>
          <t>BD104240</t>
        </is>
      </c>
      <c r="C24" t="inlineStr">
        <is>
          <t>Jhalokati</t>
        </is>
      </c>
      <c r="D24" t="inlineStr">
        <is>
          <t>Jhalokati Sadar</t>
        </is>
      </c>
      <c r="E24" s="3" t="n">
        <v>5.9</v>
      </c>
      <c r="F24" s="4">
        <f>(E24-$AJ$5)/$AK$5</f>
        <v/>
      </c>
      <c r="G24" t="n">
        <v>112.64841</v>
      </c>
      <c r="H24">
        <f>(G24-$AJ$6)/$AK$6</f>
        <v/>
      </c>
      <c r="I24" t="n">
        <v>30.09999999999999</v>
      </c>
      <c r="J24" s="4">
        <f>(I24-$AJ$7)/$AK$7</f>
        <v/>
      </c>
      <c r="K24" t="n">
        <v>0</v>
      </c>
      <c r="L24" s="4">
        <f>(K24-$AJ$8)/$AK$8</f>
        <v/>
      </c>
      <c r="M24" t="n">
        <v>18852</v>
      </c>
      <c r="N24">
        <f>(M24-$AJ$9)/$AK$9</f>
        <v/>
      </c>
      <c r="O24" t="n">
        <v>0.226969811</v>
      </c>
      <c r="P24">
        <f>(O24-$AJ$11)/$AK$11</f>
        <v/>
      </c>
      <c r="Q24" t="n">
        <v>0.3199</v>
      </c>
      <c r="R24">
        <f>(Q24-$AJ$12)/$AK$12</f>
        <v/>
      </c>
      <c r="S24">
        <f>F24*(R24*0.5+P24*0.5)*(H24*0.35+J24*0.35+L24*0.3)</f>
        <v/>
      </c>
      <c r="T24" s="14">
        <f>(S24-$AJ$10)/$AK$10</f>
        <v/>
      </c>
      <c r="U24">
        <f>IF(T24&gt;0.7,"High",IF(T24&gt;0.3,"Moderate",IF(T24&gt;0.15,"Low","No Impact")))</f>
        <v/>
      </c>
      <c r="V24">
        <f>F24*(R24*1)*(H24*0.35+J24*0.35+L24*0.3)</f>
        <v/>
      </c>
      <c r="W24">
        <f>(V24-$AJ$13)/$AK$13</f>
        <v/>
      </c>
      <c r="X24">
        <f>IF(W24&gt;0.7,"High",IF(W24&gt;0.3,"Moderate",IF(W24&gt;0.15,"Low","No Impact")))</f>
        <v/>
      </c>
      <c r="Y24">
        <f>F24*(P24*1)*(H24*0.35+J24*0.35+L24*0.3)</f>
        <v/>
      </c>
      <c r="Z24">
        <f>(Y24-$AJ$14)/$AK$14</f>
        <v/>
      </c>
      <c r="AA24">
        <f>IF(Z24&gt;0.7,"High",IF(Z24&gt;0.3,"Moderate",IF(Z24&gt;0.15,"Low","No Impact")))</f>
        <v/>
      </c>
      <c r="AB24">
        <f>F24*(R24*0.35+P24*0.3+N24*0.35)*(H24*0.35+J24*0.35+L24*0.3)</f>
        <v/>
      </c>
      <c r="AC24">
        <f>(AB24-$AJ$15)/$AK$15</f>
        <v/>
      </c>
      <c r="AD24">
        <f>IF(AC24&gt;0.7,"High",IF(AC24&gt;0.3,"Moderate",IF(AC24&gt;0.15,"Low","No Impact")))</f>
        <v/>
      </c>
      <c r="AE24">
        <f>F24*(N24*1)*(H24*0.35+J24*0.35+L24*0.3)</f>
        <v/>
      </c>
      <c r="AF24">
        <f>(AE24-$AJ$16)/$AK$16</f>
        <v/>
      </c>
      <c r="AG24">
        <f>IF(AF24&gt;0.7,"High",IF(AF24&gt;0.3,"Moderate",IF(AF24&gt;0.15,"Low","No Impact")))</f>
        <v/>
      </c>
    </row>
    <row r="25">
      <c r="A25" t="n">
        <v>104243</v>
      </c>
      <c r="B25" t="inlineStr">
        <is>
          <t>BD104243</t>
        </is>
      </c>
      <c r="C25" t="inlineStr">
        <is>
          <t>Jhalokati</t>
        </is>
      </c>
      <c r="D25" t="inlineStr">
        <is>
          <t>Kanthalia</t>
        </is>
      </c>
      <c r="E25" s="3" t="n">
        <v>5.8</v>
      </c>
      <c r="F25" s="4">
        <f>(E25-$AJ$5)/$AK$5</f>
        <v/>
      </c>
      <c r="G25" t="n">
        <v>120.094506</v>
      </c>
      <c r="H25">
        <f>(G25-$AJ$6)/$AK$6</f>
        <v/>
      </c>
      <c r="I25" t="n">
        <v>30</v>
      </c>
      <c r="J25" s="4">
        <f>(I25-$AJ$7)/$AK$7</f>
        <v/>
      </c>
      <c r="K25" t="n">
        <v>0</v>
      </c>
      <c r="L25" s="4">
        <f>(K25-$AJ$8)/$AK$8</f>
        <v/>
      </c>
      <c r="M25" t="n">
        <v>10294</v>
      </c>
      <c r="N25">
        <f>(M25-$AJ$9)/$AK$9</f>
        <v/>
      </c>
      <c r="O25" t="n">
        <v>0.778121974</v>
      </c>
      <c r="P25">
        <f>(O25-$AJ$11)/$AK$11</f>
        <v/>
      </c>
      <c r="Q25" t="n">
        <v>0.2983</v>
      </c>
      <c r="R25">
        <f>(Q25-$AJ$12)/$AK$12</f>
        <v/>
      </c>
      <c r="S25">
        <f>F25*(R25*0.5+P25*0.5)*(H25*0.35+J25*0.35+L25*0.3)</f>
        <v/>
      </c>
      <c r="T25" s="14">
        <f>(S25-$AJ$10)/$AK$10</f>
        <v/>
      </c>
      <c r="U25">
        <f>IF(T25&gt;0.7,"High",IF(T25&gt;0.3,"Moderate",IF(T25&gt;0.15,"Low","No Impact")))</f>
        <v/>
      </c>
      <c r="V25">
        <f>F25*(R25*1)*(H25*0.35+J25*0.35+L25*0.3)</f>
        <v/>
      </c>
      <c r="W25">
        <f>(V25-$AJ$13)/$AK$13</f>
        <v/>
      </c>
      <c r="X25">
        <f>IF(W25&gt;0.7,"High",IF(W25&gt;0.3,"Moderate",IF(W25&gt;0.15,"Low","No Impact")))</f>
        <v/>
      </c>
      <c r="Y25">
        <f>F25*(P25*1)*(H25*0.35+J25*0.35+L25*0.3)</f>
        <v/>
      </c>
      <c r="Z25">
        <f>(Y25-$AJ$14)/$AK$14</f>
        <v/>
      </c>
      <c r="AA25">
        <f>IF(Z25&gt;0.7,"High",IF(Z25&gt;0.3,"Moderate",IF(Z25&gt;0.15,"Low","No Impact")))</f>
        <v/>
      </c>
      <c r="AB25">
        <f>F25*(R25*0.35+P25*0.3+N25*0.35)*(H25*0.35+J25*0.35+L25*0.3)</f>
        <v/>
      </c>
      <c r="AC25">
        <f>(AB25-$AJ$15)/$AK$15</f>
        <v/>
      </c>
      <c r="AD25">
        <f>IF(AC25&gt;0.7,"High",IF(AC25&gt;0.3,"Moderate",IF(AC25&gt;0.15,"Low","No Impact")))</f>
        <v/>
      </c>
      <c r="AE25">
        <f>F25*(N25*1)*(H25*0.35+J25*0.35+L25*0.3)</f>
        <v/>
      </c>
      <c r="AF25">
        <f>(AE25-$AJ$16)/$AK$16</f>
        <v/>
      </c>
      <c r="AG25">
        <f>IF(AF25&gt;0.7,"High",IF(AF25&gt;0.3,"Moderate",IF(AF25&gt;0.15,"Low","No Impact")))</f>
        <v/>
      </c>
    </row>
    <row r="26">
      <c r="A26" t="n">
        <v>104273</v>
      </c>
      <c r="B26" t="inlineStr">
        <is>
          <t>BD104273</t>
        </is>
      </c>
      <c r="C26" t="inlineStr">
        <is>
          <t>Jhalokati</t>
        </is>
      </c>
      <c r="D26" t="inlineStr">
        <is>
          <t>Nalchity</t>
        </is>
      </c>
      <c r="E26" s="3" t="n">
        <v>5.9</v>
      </c>
      <c r="F26" s="4">
        <f>(E26-$AJ$5)/$AK$5</f>
        <v/>
      </c>
      <c r="G26" t="n">
        <v>95.54841</v>
      </c>
      <c r="H26">
        <f>(G26-$AJ$6)/$AK$6</f>
        <v/>
      </c>
      <c r="I26" t="n">
        <v>26.8</v>
      </c>
      <c r="J26" s="4">
        <f>(I26-$AJ$7)/$AK$7</f>
        <v/>
      </c>
      <c r="K26" t="n">
        <v>0</v>
      </c>
      <c r="L26" s="4">
        <f>(K26-$AJ$8)/$AK$8</f>
        <v/>
      </c>
      <c r="M26" t="n">
        <v>19028</v>
      </c>
      <c r="N26">
        <f>(M26-$AJ$9)/$AK$9</f>
        <v/>
      </c>
      <c r="O26" t="n">
        <v>0.5488471110000001</v>
      </c>
      <c r="P26">
        <f>(O26-$AJ$11)/$AK$11</f>
        <v/>
      </c>
      <c r="Q26" t="n">
        <v>0.3006</v>
      </c>
      <c r="R26">
        <f>(Q26-$AJ$12)/$AK$12</f>
        <v/>
      </c>
      <c r="S26">
        <f>F26*(R26*0.5+P26*0.5)*(H26*0.35+J26*0.35+L26*0.3)</f>
        <v/>
      </c>
      <c r="T26" s="14">
        <f>(S26-$AJ$10)/$AK$10</f>
        <v/>
      </c>
      <c r="U26">
        <f>IF(T26&gt;0.7,"High",IF(T26&gt;0.3,"Moderate",IF(T26&gt;0.15,"Low","No Impact")))</f>
        <v/>
      </c>
      <c r="V26">
        <f>F26*(R26*1)*(H26*0.35+J26*0.35+L26*0.3)</f>
        <v/>
      </c>
      <c r="W26">
        <f>(V26-$AJ$13)/$AK$13</f>
        <v/>
      </c>
      <c r="X26">
        <f>IF(W26&gt;0.7,"High",IF(W26&gt;0.3,"Moderate",IF(W26&gt;0.15,"Low","No Impact")))</f>
        <v/>
      </c>
      <c r="Y26">
        <f>F26*(P26*1)*(H26*0.35+J26*0.35+L26*0.3)</f>
        <v/>
      </c>
      <c r="Z26">
        <f>(Y26-$AJ$14)/$AK$14</f>
        <v/>
      </c>
      <c r="AA26">
        <f>IF(Z26&gt;0.7,"High",IF(Z26&gt;0.3,"Moderate",IF(Z26&gt;0.15,"Low","No Impact")))</f>
        <v/>
      </c>
      <c r="AB26">
        <f>F26*(R26*0.35+P26*0.3+N26*0.35)*(H26*0.35+J26*0.35+L26*0.3)</f>
        <v/>
      </c>
      <c r="AC26">
        <f>(AB26-$AJ$15)/$AK$15</f>
        <v/>
      </c>
      <c r="AD26">
        <f>IF(AC26&gt;0.7,"High",IF(AC26&gt;0.3,"Moderate",IF(AC26&gt;0.15,"Low","No Impact")))</f>
        <v/>
      </c>
      <c r="AE26">
        <f>F26*(N26*1)*(H26*0.35+J26*0.35+L26*0.3)</f>
        <v/>
      </c>
      <c r="AF26">
        <f>(AE26-$AJ$16)/$AK$16</f>
        <v/>
      </c>
      <c r="AG26">
        <f>IF(AF26&gt;0.7,"High",IF(AF26&gt;0.3,"Moderate",IF(AF26&gt;0.15,"Low","No Impact")))</f>
        <v/>
      </c>
    </row>
    <row r="27">
      <c r="A27" t="n">
        <v>104284</v>
      </c>
      <c r="B27" t="inlineStr">
        <is>
          <t>BD104284</t>
        </is>
      </c>
      <c r="C27" t="inlineStr">
        <is>
          <t>Jhalokati</t>
        </is>
      </c>
      <c r="D27" t="inlineStr">
        <is>
          <t>Rajapur</t>
        </is>
      </c>
      <c r="E27" s="3" t="n">
        <v>5.8</v>
      </c>
      <c r="F27" s="4">
        <f>(E27-$AJ$5)/$AK$5</f>
        <v/>
      </c>
      <c r="G27" t="n">
        <v>112.64841</v>
      </c>
      <c r="H27">
        <f>(G27-$AJ$6)/$AK$6</f>
        <v/>
      </c>
      <c r="I27" t="n">
        <v>28.2</v>
      </c>
      <c r="J27" s="4">
        <f>(I27-$AJ$7)/$AK$7</f>
        <v/>
      </c>
      <c r="K27" t="n">
        <v>0</v>
      </c>
      <c r="L27" s="4">
        <f>(K27-$AJ$8)/$AK$8</f>
        <v/>
      </c>
      <c r="M27" t="n">
        <v>10861</v>
      </c>
      <c r="N27">
        <f>(M27-$AJ$9)/$AK$9</f>
        <v/>
      </c>
      <c r="O27" t="n">
        <v>0.600587092</v>
      </c>
      <c r="P27">
        <f>(O27-$AJ$11)/$AK$11</f>
        <v/>
      </c>
      <c r="Q27" t="n">
        <v>0.3014</v>
      </c>
      <c r="R27">
        <f>(Q27-$AJ$12)/$AK$12</f>
        <v/>
      </c>
      <c r="S27">
        <f>F27*(R27*0.5+P27*0.5)*(H27*0.35+J27*0.35+L27*0.3)</f>
        <v/>
      </c>
      <c r="T27" s="14">
        <f>(S27-$AJ$10)/$AK$10</f>
        <v/>
      </c>
      <c r="U27">
        <f>IF(T27&gt;0.7,"High",IF(T27&gt;0.3,"Moderate",IF(T27&gt;0.15,"Low","No Impact")))</f>
        <v/>
      </c>
      <c r="V27">
        <f>F27*(R27*1)*(H27*0.35+J27*0.35+L27*0.3)</f>
        <v/>
      </c>
      <c r="W27">
        <f>(V27-$AJ$13)/$AK$13</f>
        <v/>
      </c>
      <c r="X27">
        <f>IF(W27&gt;0.7,"High",IF(W27&gt;0.3,"Moderate",IF(W27&gt;0.15,"Low","No Impact")))</f>
        <v/>
      </c>
      <c r="Y27">
        <f>F27*(P27*1)*(H27*0.35+J27*0.35+L27*0.3)</f>
        <v/>
      </c>
      <c r="Z27">
        <f>(Y27-$AJ$14)/$AK$14</f>
        <v/>
      </c>
      <c r="AA27">
        <f>IF(Z27&gt;0.7,"High",IF(Z27&gt;0.3,"Moderate",IF(Z27&gt;0.15,"Low","No Impact")))</f>
        <v/>
      </c>
      <c r="AB27">
        <f>F27*(R27*0.35+P27*0.3+N27*0.35)*(H27*0.35+J27*0.35+L27*0.3)</f>
        <v/>
      </c>
      <c r="AC27">
        <f>(AB27-$AJ$15)/$AK$15</f>
        <v/>
      </c>
      <c r="AD27">
        <f>IF(AC27&gt;0.7,"High",IF(AC27&gt;0.3,"Moderate",IF(AC27&gt;0.15,"Low","No Impact")))</f>
        <v/>
      </c>
      <c r="AE27">
        <f>F27*(N27*1)*(H27*0.35+J27*0.35+L27*0.3)</f>
        <v/>
      </c>
      <c r="AF27">
        <f>(AE27-$AJ$16)/$AK$16</f>
        <v/>
      </c>
      <c r="AG27">
        <f>IF(AF27&gt;0.7,"High",IF(AF27&gt;0.3,"Moderate",IF(AF27&gt;0.15,"Low","No Impact")))</f>
        <v/>
      </c>
    </row>
    <row r="28">
      <c r="A28" t="n">
        <v>107838</v>
      </c>
      <c r="B28" t="inlineStr">
        <is>
          <t>BD107838</t>
        </is>
      </c>
      <c r="C28" t="inlineStr">
        <is>
          <t>Patuakhali</t>
        </is>
      </c>
      <c r="D28" t="inlineStr">
        <is>
          <t>Bauphal</t>
        </is>
      </c>
      <c r="E28" s="3" t="n">
        <v>7.4</v>
      </c>
      <c r="F28" s="4">
        <f>(E28-$AJ$5)/$AK$5</f>
        <v/>
      </c>
      <c r="G28" t="n">
        <v>94.51833479999999</v>
      </c>
      <c r="H28">
        <f>(G28-$AJ$6)/$AK$6</f>
        <v/>
      </c>
      <c r="I28" t="n">
        <v>23.1</v>
      </c>
      <c r="J28" s="4">
        <f>(I28-$AJ$7)/$AK$7</f>
        <v/>
      </c>
      <c r="K28" t="n">
        <v>2</v>
      </c>
      <c r="L28" s="4">
        <f>(K28-$AJ$8)/$AK$8</f>
        <v/>
      </c>
      <c r="M28" t="n">
        <v>30925</v>
      </c>
      <c r="N28">
        <f>(M28-$AJ$9)/$AK$9</f>
        <v/>
      </c>
      <c r="O28" t="n">
        <v>0.7190738290000001</v>
      </c>
      <c r="P28">
        <f>(O28-$AJ$11)/$AK$11</f>
        <v/>
      </c>
      <c r="Q28" t="n">
        <v>0.2871</v>
      </c>
      <c r="R28">
        <f>(Q28-$AJ$12)/$AK$12</f>
        <v/>
      </c>
      <c r="S28">
        <f>F28*(R28*0.5+P28*0.5)*(H28*0.35+J28*0.35+L28*0.3)</f>
        <v/>
      </c>
      <c r="T28" s="14">
        <f>(S28-$AJ$10)/$AK$10</f>
        <v/>
      </c>
      <c r="U28">
        <f>IF(T28&gt;0.7,"High",IF(T28&gt;0.3,"Moderate",IF(T28&gt;0.15,"Low","No Impact")))</f>
        <v/>
      </c>
      <c r="V28">
        <f>F28*(R28*1)*(H28*0.35+J28*0.35+L28*0.3)</f>
        <v/>
      </c>
      <c r="W28">
        <f>(V28-$AJ$13)/$AK$13</f>
        <v/>
      </c>
      <c r="X28">
        <f>IF(W28&gt;0.7,"High",IF(W28&gt;0.3,"Moderate",IF(W28&gt;0.15,"Low","No Impact")))</f>
        <v/>
      </c>
      <c r="Y28">
        <f>F28*(P28*1)*(H28*0.35+J28*0.35+L28*0.3)</f>
        <v/>
      </c>
      <c r="Z28">
        <f>(Y28-$AJ$14)/$AK$14</f>
        <v/>
      </c>
      <c r="AA28">
        <f>IF(Z28&gt;0.7,"High",IF(Z28&gt;0.3,"Moderate",IF(Z28&gt;0.15,"Low","No Impact")))</f>
        <v/>
      </c>
      <c r="AB28">
        <f>F28*(R28*0.35+P28*0.3+N28*0.35)*(H28*0.35+J28*0.35+L28*0.3)</f>
        <v/>
      </c>
      <c r="AC28">
        <f>(AB28-$AJ$15)/$AK$15</f>
        <v/>
      </c>
      <c r="AD28">
        <f>IF(AC28&gt;0.7,"High",IF(AC28&gt;0.3,"Moderate",IF(AC28&gt;0.15,"Low","No Impact")))</f>
        <v/>
      </c>
      <c r="AE28">
        <f>F28*(N28*1)*(H28*0.35+J28*0.35+L28*0.3)</f>
        <v/>
      </c>
      <c r="AF28">
        <f>(AE28-$AJ$16)/$AK$16</f>
        <v/>
      </c>
      <c r="AG28">
        <f>IF(AF28&gt;0.7,"High",IF(AF28&gt;0.3,"Moderate",IF(AF28&gt;0.15,"Low","No Impact")))</f>
        <v/>
      </c>
    </row>
    <row r="29">
      <c r="A29" t="n">
        <v>107852</v>
      </c>
      <c r="B29" t="inlineStr">
        <is>
          <t>BD107852</t>
        </is>
      </c>
      <c r="C29" t="inlineStr">
        <is>
          <t>Patuakhali</t>
        </is>
      </c>
      <c r="D29" t="inlineStr">
        <is>
          <t>Dashmina</t>
        </is>
      </c>
      <c r="E29" s="3" t="n">
        <v>6.4</v>
      </c>
      <c r="F29" s="4">
        <f>(E29-$AJ$5)/$AK$5</f>
        <v/>
      </c>
      <c r="G29" t="n">
        <v>102.4601292</v>
      </c>
      <c r="H29">
        <f>(G29-$AJ$6)/$AK$6</f>
        <v/>
      </c>
      <c r="I29" t="n">
        <v>23.3</v>
      </c>
      <c r="J29" s="4">
        <f>(I29-$AJ$7)/$AK$7</f>
        <v/>
      </c>
      <c r="K29" t="n">
        <v>2</v>
      </c>
      <c r="L29" s="4">
        <f>(K29-$AJ$8)/$AK$8</f>
        <v/>
      </c>
      <c r="M29" t="n">
        <v>16302</v>
      </c>
      <c r="N29">
        <f>(M29-$AJ$9)/$AK$9</f>
        <v/>
      </c>
      <c r="O29" t="n">
        <v>0.354168918</v>
      </c>
      <c r="P29">
        <f>(O29-$AJ$11)/$AK$11</f>
        <v/>
      </c>
      <c r="Q29" t="n">
        <v>0.2838</v>
      </c>
      <c r="R29">
        <f>(Q29-$AJ$12)/$AK$12</f>
        <v/>
      </c>
      <c r="S29">
        <f>F29*(R29*0.5+P29*0.5)*(H29*0.35+J29*0.35+L29*0.3)</f>
        <v/>
      </c>
      <c r="T29" s="14">
        <f>(S29-$AJ$10)/$AK$10</f>
        <v/>
      </c>
      <c r="U29">
        <f>IF(T29&gt;0.7,"High",IF(T29&gt;0.3,"Moderate",IF(T29&gt;0.15,"Low","No Impact")))</f>
        <v/>
      </c>
      <c r="V29">
        <f>F29*(R29*1)*(H29*0.35+J29*0.35+L29*0.3)</f>
        <v/>
      </c>
      <c r="W29">
        <f>(V29-$AJ$13)/$AK$13</f>
        <v/>
      </c>
      <c r="X29">
        <f>IF(W29&gt;0.7,"High",IF(W29&gt;0.3,"Moderate",IF(W29&gt;0.15,"Low","No Impact")))</f>
        <v/>
      </c>
      <c r="Y29">
        <f>F29*(P29*1)*(H29*0.35+J29*0.35+L29*0.3)</f>
        <v/>
      </c>
      <c r="Z29">
        <f>(Y29-$AJ$14)/$AK$14</f>
        <v/>
      </c>
      <c r="AA29">
        <f>IF(Z29&gt;0.7,"High",IF(Z29&gt;0.3,"Moderate",IF(Z29&gt;0.15,"Low","No Impact")))</f>
        <v/>
      </c>
      <c r="AB29">
        <f>F29*(R29*0.35+P29*0.3+N29*0.35)*(H29*0.35+J29*0.35+L29*0.3)</f>
        <v/>
      </c>
      <c r="AC29">
        <f>(AB29-$AJ$15)/$AK$15</f>
        <v/>
      </c>
      <c r="AD29">
        <f>IF(AC29&gt;0.7,"High",IF(AC29&gt;0.3,"Moderate",IF(AC29&gt;0.15,"Low","No Impact")))</f>
        <v/>
      </c>
      <c r="AE29">
        <f>F29*(N29*1)*(H29*0.35+J29*0.35+L29*0.3)</f>
        <v/>
      </c>
      <c r="AF29">
        <f>(AE29-$AJ$16)/$AK$16</f>
        <v/>
      </c>
      <c r="AG29">
        <f>IF(AF29&gt;0.7,"High",IF(AF29&gt;0.3,"Moderate",IF(AF29&gt;0.15,"Low","No Impact")))</f>
        <v/>
      </c>
    </row>
    <row r="30">
      <c r="A30" t="n">
        <v>107855</v>
      </c>
      <c r="B30" t="inlineStr">
        <is>
          <t>BD107855</t>
        </is>
      </c>
      <c r="C30" t="inlineStr">
        <is>
          <t>Patuakhali</t>
        </is>
      </c>
      <c r="D30" t="inlineStr">
        <is>
          <t>Dumki</t>
        </is>
      </c>
      <c r="E30" s="3" t="n">
        <v>7.4</v>
      </c>
      <c r="F30" s="4">
        <f>(E30-$AJ$5)/$AK$5</f>
        <v/>
      </c>
      <c r="G30" t="n">
        <v>95.54841</v>
      </c>
      <c r="H30">
        <f>(G30-$AJ$6)/$AK$6</f>
        <v/>
      </c>
      <c r="I30" t="n">
        <v>26.6</v>
      </c>
      <c r="J30" s="4">
        <f>(I30-$AJ$7)/$AK$7</f>
        <v/>
      </c>
      <c r="K30" t="n">
        <v>2</v>
      </c>
      <c r="L30" s="4">
        <f>(K30-$AJ$8)/$AK$8</f>
        <v/>
      </c>
      <c r="M30" t="n">
        <v>9856</v>
      </c>
      <c r="N30">
        <f>(M30-$AJ$9)/$AK$9</f>
        <v/>
      </c>
      <c r="O30" t="n">
        <v>0.320509529</v>
      </c>
      <c r="P30">
        <f>(O30-$AJ$11)/$AK$11</f>
        <v/>
      </c>
      <c r="Q30" t="n">
        <v>0.2864</v>
      </c>
      <c r="R30">
        <f>(Q30-$AJ$12)/$AK$12</f>
        <v/>
      </c>
      <c r="S30">
        <f>F30*(R30*0.5+P30*0.5)*(H30*0.35+J30*0.35+L30*0.3)</f>
        <v/>
      </c>
      <c r="T30" s="14">
        <f>(S30-$AJ$10)/$AK$10</f>
        <v/>
      </c>
      <c r="U30">
        <f>IF(T30&gt;0.7,"High",IF(T30&gt;0.3,"Moderate",IF(T30&gt;0.15,"Low","No Impact")))</f>
        <v/>
      </c>
      <c r="V30">
        <f>F30*(R30*1)*(H30*0.35+J30*0.35+L30*0.3)</f>
        <v/>
      </c>
      <c r="W30">
        <f>(V30-$AJ$13)/$AK$13</f>
        <v/>
      </c>
      <c r="X30">
        <f>IF(W30&gt;0.7,"High",IF(W30&gt;0.3,"Moderate",IF(W30&gt;0.15,"Low","No Impact")))</f>
        <v/>
      </c>
      <c r="Y30">
        <f>F30*(P30*1)*(H30*0.35+J30*0.35+L30*0.3)</f>
        <v/>
      </c>
      <c r="Z30">
        <f>(Y30-$AJ$14)/$AK$14</f>
        <v/>
      </c>
      <c r="AA30">
        <f>IF(Z30&gt;0.7,"High",IF(Z30&gt;0.3,"Moderate",IF(Z30&gt;0.15,"Low","No Impact")))</f>
        <v/>
      </c>
      <c r="AB30">
        <f>F30*(R30*0.35+P30*0.3+N30*0.35)*(H30*0.35+J30*0.35+L30*0.3)</f>
        <v/>
      </c>
      <c r="AC30">
        <f>(AB30-$AJ$15)/$AK$15</f>
        <v/>
      </c>
      <c r="AD30">
        <f>IF(AC30&gt;0.7,"High",IF(AC30&gt;0.3,"Moderate",IF(AC30&gt;0.15,"Low","No Impact")))</f>
        <v/>
      </c>
      <c r="AE30">
        <f>F30*(N30*1)*(H30*0.35+J30*0.35+L30*0.3)</f>
        <v/>
      </c>
      <c r="AF30">
        <f>(AE30-$AJ$16)/$AK$16</f>
        <v/>
      </c>
      <c r="AG30">
        <f>IF(AF30&gt;0.7,"High",IF(AF30&gt;0.3,"Moderate",IF(AF30&gt;0.15,"Low","No Impact")))</f>
        <v/>
      </c>
    </row>
    <row r="31">
      <c r="A31" t="n">
        <v>107857</v>
      </c>
      <c r="B31" t="inlineStr">
        <is>
          <t>BD107857</t>
        </is>
      </c>
      <c r="C31" t="inlineStr">
        <is>
          <t>Patuakhali</t>
        </is>
      </c>
      <c r="D31" t="inlineStr">
        <is>
          <t>Galachipa</t>
        </is>
      </c>
      <c r="E31" s="3" t="n">
        <v>7.4</v>
      </c>
      <c r="F31" s="4">
        <f>(E31-$AJ$5)/$AK$5</f>
        <v/>
      </c>
      <c r="G31" t="n">
        <v>119.658564</v>
      </c>
      <c r="H31">
        <f>(G31-$AJ$6)/$AK$6</f>
        <v/>
      </c>
      <c r="I31" t="n">
        <v>25.5</v>
      </c>
      <c r="J31" s="4">
        <f>(I31-$AJ$7)/$AK$7</f>
        <v/>
      </c>
      <c r="K31" t="n">
        <v>2</v>
      </c>
      <c r="L31" s="4">
        <f>(K31-$AJ$8)/$AK$8</f>
        <v/>
      </c>
      <c r="M31" t="n">
        <v>50319</v>
      </c>
      <c r="N31">
        <f>(M31-$AJ$9)/$AK$9</f>
        <v/>
      </c>
      <c r="O31" t="n">
        <v>0.421912778</v>
      </c>
      <c r="P31">
        <f>(O31-$AJ$11)/$AK$11</f>
        <v/>
      </c>
      <c r="Q31" t="n">
        <v>0.2551</v>
      </c>
      <c r="R31">
        <f>(Q31-$AJ$12)/$AK$12</f>
        <v/>
      </c>
      <c r="S31">
        <f>F31*(R31*0.5+P31*0.5)*(H31*0.35+J31*0.35+L31*0.3)</f>
        <v/>
      </c>
      <c r="T31" s="14">
        <f>(S31-$AJ$10)/$AK$10</f>
        <v/>
      </c>
      <c r="U31">
        <f>IF(T31&gt;0.7,"High",IF(T31&gt;0.3,"Moderate",IF(T31&gt;0.15,"Low","No Impact")))</f>
        <v/>
      </c>
      <c r="V31">
        <f>F31*(R31*1)*(H31*0.35+J31*0.35+L31*0.3)</f>
        <v/>
      </c>
      <c r="W31">
        <f>(V31-$AJ$13)/$AK$13</f>
        <v/>
      </c>
      <c r="X31">
        <f>IF(W31&gt;0.7,"High",IF(W31&gt;0.3,"Moderate",IF(W31&gt;0.15,"Low","No Impact")))</f>
        <v/>
      </c>
      <c r="Y31">
        <f>F31*(P31*1)*(H31*0.35+J31*0.35+L31*0.3)</f>
        <v/>
      </c>
      <c r="Z31">
        <f>(Y31-$AJ$14)/$AK$14</f>
        <v/>
      </c>
      <c r="AA31">
        <f>IF(Z31&gt;0.7,"High",IF(Z31&gt;0.3,"Moderate",IF(Z31&gt;0.15,"Low","No Impact")))</f>
        <v/>
      </c>
      <c r="AB31">
        <f>F31*(R31*0.35+P31*0.3+N31*0.35)*(H31*0.35+J31*0.35+L31*0.3)</f>
        <v/>
      </c>
      <c r="AC31">
        <f>(AB31-$AJ$15)/$AK$15</f>
        <v/>
      </c>
      <c r="AD31">
        <f>IF(AC31&gt;0.7,"High",IF(AC31&gt;0.3,"Moderate",IF(AC31&gt;0.15,"Low","No Impact")))</f>
        <v/>
      </c>
      <c r="AE31">
        <f>F31*(N31*1)*(H31*0.35+J31*0.35+L31*0.3)</f>
        <v/>
      </c>
      <c r="AF31">
        <f>(AE31-$AJ$16)/$AK$16</f>
        <v/>
      </c>
      <c r="AG31">
        <f>IF(AF31&gt;0.7,"High",IF(AF31&gt;0.3,"Moderate",IF(AF31&gt;0.15,"Low","No Impact")))</f>
        <v/>
      </c>
    </row>
    <row r="32">
      <c r="A32" t="n">
        <v>107866</v>
      </c>
      <c r="B32" t="inlineStr">
        <is>
          <t>BD107866</t>
        </is>
      </c>
      <c r="C32" t="inlineStr">
        <is>
          <t>Patuakhali</t>
        </is>
      </c>
      <c r="D32" t="inlineStr">
        <is>
          <t>Kala Para</t>
        </is>
      </c>
      <c r="E32" s="3" t="n">
        <v>7.4</v>
      </c>
      <c r="F32" s="4">
        <f>(E32-$AJ$5)/$AK$5</f>
        <v/>
      </c>
      <c r="G32" t="n">
        <v>125.9761464</v>
      </c>
      <c r="H32">
        <f>(G32-$AJ$6)/$AK$6</f>
        <v/>
      </c>
      <c r="I32" t="n">
        <v>38.70000000000001</v>
      </c>
      <c r="J32" s="4">
        <f>(I32-$AJ$7)/$AK$7</f>
        <v/>
      </c>
      <c r="K32" t="n">
        <v>2</v>
      </c>
      <c r="L32" s="4">
        <f>(K32-$AJ$8)/$AK$8</f>
        <v/>
      </c>
      <c r="M32" t="n">
        <v>36052</v>
      </c>
      <c r="N32">
        <f>(M32-$AJ$9)/$AK$9</f>
        <v/>
      </c>
      <c r="O32" t="n">
        <v>0.266845605</v>
      </c>
      <c r="P32">
        <f>(O32-$AJ$11)/$AK$11</f>
        <v/>
      </c>
      <c r="Q32" t="n">
        <v>0.2012</v>
      </c>
      <c r="R32">
        <f>(Q32-$AJ$12)/$AK$12</f>
        <v/>
      </c>
      <c r="S32">
        <f>F32*(R32*0.5+P32*0.5)*(H32*0.35+J32*0.35+L32*0.3)</f>
        <v/>
      </c>
      <c r="T32" s="14">
        <f>(S32-$AJ$10)/$AK$10</f>
        <v/>
      </c>
      <c r="U32">
        <f>IF(T32&gt;0.7,"High",IF(T32&gt;0.3,"Moderate",IF(T32&gt;0.15,"Low","No Impact")))</f>
        <v/>
      </c>
      <c r="V32">
        <f>F32*(R32*1)*(H32*0.35+J32*0.35+L32*0.3)</f>
        <v/>
      </c>
      <c r="W32">
        <f>(V32-$AJ$13)/$AK$13</f>
        <v/>
      </c>
      <c r="X32">
        <f>IF(W32&gt;0.7,"High",IF(W32&gt;0.3,"Moderate",IF(W32&gt;0.15,"Low","No Impact")))</f>
        <v/>
      </c>
      <c r="Y32">
        <f>F32*(P32*1)*(H32*0.35+J32*0.35+L32*0.3)</f>
        <v/>
      </c>
      <c r="Z32">
        <f>(Y32-$AJ$14)/$AK$14</f>
        <v/>
      </c>
      <c r="AA32">
        <f>IF(Z32&gt;0.7,"High",IF(Z32&gt;0.3,"Moderate",IF(Z32&gt;0.15,"Low","No Impact")))</f>
        <v/>
      </c>
      <c r="AB32">
        <f>F32*(R32*0.35+P32*0.3+N32*0.35)*(H32*0.35+J32*0.35+L32*0.3)</f>
        <v/>
      </c>
      <c r="AC32">
        <f>(AB32-$AJ$15)/$AK$15</f>
        <v/>
      </c>
      <c r="AD32">
        <f>IF(AC32&gt;0.7,"High",IF(AC32&gt;0.3,"Moderate",IF(AC32&gt;0.15,"Low","No Impact")))</f>
        <v/>
      </c>
      <c r="AE32">
        <f>F32*(N32*1)*(H32*0.35+J32*0.35+L32*0.3)</f>
        <v/>
      </c>
      <c r="AF32">
        <f>(AE32-$AJ$16)/$AK$16</f>
        <v/>
      </c>
      <c r="AG32">
        <f>IF(AF32&gt;0.7,"High",IF(AF32&gt;0.3,"Moderate",IF(AF32&gt;0.15,"Low","No Impact")))</f>
        <v/>
      </c>
    </row>
    <row r="33">
      <c r="A33" t="n">
        <v>107876</v>
      </c>
      <c r="B33" t="inlineStr">
        <is>
          <t>BD107876</t>
        </is>
      </c>
      <c r="C33" t="inlineStr">
        <is>
          <t>Patuakhali</t>
        </is>
      </c>
      <c r="D33" t="inlineStr">
        <is>
          <t>Mirzaganj</t>
        </is>
      </c>
      <c r="E33" s="3" t="n">
        <v>7.4</v>
      </c>
      <c r="F33" s="4">
        <f>(E33-$AJ$5)/$AK$5</f>
        <v/>
      </c>
      <c r="G33" t="n">
        <v>104.0105196</v>
      </c>
      <c r="H33">
        <f>(G33-$AJ$6)/$AK$6</f>
        <v/>
      </c>
      <c r="I33" t="n">
        <v>27.9</v>
      </c>
      <c r="J33" s="4">
        <f>(I33-$AJ$7)/$AK$7</f>
        <v/>
      </c>
      <c r="K33" t="n">
        <v>2</v>
      </c>
      <c r="L33" s="4">
        <f>(K33-$AJ$8)/$AK$8</f>
        <v/>
      </c>
      <c r="M33" t="n">
        <v>16333</v>
      </c>
      <c r="N33">
        <f>(M33-$AJ$9)/$AK$9</f>
        <v/>
      </c>
      <c r="O33" t="n">
        <v>0.249206031</v>
      </c>
      <c r="P33">
        <f>(O33-$AJ$11)/$AK$11</f>
        <v/>
      </c>
      <c r="Q33" t="n">
        <v>0.2739</v>
      </c>
      <c r="R33">
        <f>(Q33-$AJ$12)/$AK$12</f>
        <v/>
      </c>
      <c r="S33">
        <f>F33*(R33*0.5+P33*0.5)*(H33*0.35+J33*0.35+L33*0.3)</f>
        <v/>
      </c>
      <c r="T33" s="14">
        <f>(S33-$AJ$10)/$AK$10</f>
        <v/>
      </c>
      <c r="U33">
        <f>IF(T33&gt;0.7,"High",IF(T33&gt;0.3,"Moderate",IF(T33&gt;0.15,"Low","No Impact")))</f>
        <v/>
      </c>
      <c r="V33">
        <f>F33*(R33*1)*(H33*0.35+J33*0.35+L33*0.3)</f>
        <v/>
      </c>
      <c r="W33">
        <f>(V33-$AJ$13)/$AK$13</f>
        <v/>
      </c>
      <c r="X33">
        <f>IF(W33&gt;0.7,"High",IF(W33&gt;0.3,"Moderate",IF(W33&gt;0.15,"Low","No Impact")))</f>
        <v/>
      </c>
      <c r="Y33">
        <f>F33*(P33*1)*(H33*0.35+J33*0.35+L33*0.3)</f>
        <v/>
      </c>
      <c r="Z33">
        <f>(Y33-$AJ$14)/$AK$14</f>
        <v/>
      </c>
      <c r="AA33">
        <f>IF(Z33&gt;0.7,"High",IF(Z33&gt;0.3,"Moderate",IF(Z33&gt;0.15,"Low","No Impact")))</f>
        <v/>
      </c>
      <c r="AB33">
        <f>F33*(R33*0.35+P33*0.3+N33*0.35)*(H33*0.35+J33*0.35+L33*0.3)</f>
        <v/>
      </c>
      <c r="AC33">
        <f>(AB33-$AJ$15)/$AK$15</f>
        <v/>
      </c>
      <c r="AD33">
        <f>IF(AC33&gt;0.7,"High",IF(AC33&gt;0.3,"Moderate",IF(AC33&gt;0.15,"Low","No Impact")))</f>
        <v/>
      </c>
      <c r="AE33">
        <f>F33*(N33*1)*(H33*0.35+J33*0.35+L33*0.3)</f>
        <v/>
      </c>
      <c r="AF33">
        <f>(AE33-$AJ$16)/$AK$16</f>
        <v/>
      </c>
      <c r="AG33">
        <f>IF(AF33&gt;0.7,"High",IF(AF33&gt;0.3,"Moderate",IF(AF33&gt;0.15,"Low","No Impact")))</f>
        <v/>
      </c>
    </row>
    <row r="34">
      <c r="A34" t="n">
        <v>107895</v>
      </c>
      <c r="B34" t="inlineStr">
        <is>
          <t>BD107895</t>
        </is>
      </c>
      <c r="C34" t="inlineStr">
        <is>
          <t>Patuakhali</t>
        </is>
      </c>
      <c r="D34" t="inlineStr">
        <is>
          <t>Patuakhali Sadar</t>
        </is>
      </c>
      <c r="E34" s="3" t="n">
        <v>7.4</v>
      </c>
      <c r="F34" s="4">
        <f>(E34-$AJ$5)/$AK$5</f>
        <v/>
      </c>
      <c r="G34" t="n">
        <v>104.0105196</v>
      </c>
      <c r="H34">
        <f>(G34-$AJ$6)/$AK$6</f>
        <v/>
      </c>
      <c r="I34" t="n">
        <v>26.40000000000001</v>
      </c>
      <c r="J34" s="4">
        <f>(I34-$AJ$7)/$AK$7</f>
        <v/>
      </c>
      <c r="K34" t="n">
        <v>2</v>
      </c>
      <c r="L34" s="4">
        <f>(K34-$AJ$8)/$AK$8</f>
        <v/>
      </c>
      <c r="M34" t="n">
        <v>53541</v>
      </c>
      <c r="N34">
        <f>(M34-$AJ$9)/$AK$9</f>
        <v/>
      </c>
      <c r="O34" t="n">
        <v>0.270407867</v>
      </c>
      <c r="P34">
        <f>(O34-$AJ$11)/$AK$11</f>
        <v/>
      </c>
      <c r="Q34" t="n">
        <v>0.2721</v>
      </c>
      <c r="R34">
        <f>(Q34-$AJ$12)/$AK$12</f>
        <v/>
      </c>
      <c r="S34">
        <f>F34*(R34*0.5+P34*0.5)*(H34*0.35+J34*0.35+L34*0.3)</f>
        <v/>
      </c>
      <c r="T34" s="14">
        <f>(S34-$AJ$10)/$AK$10</f>
        <v/>
      </c>
      <c r="U34">
        <f>IF(T34&gt;0.7,"High",IF(T34&gt;0.3,"Moderate",IF(T34&gt;0.15,"Low","No Impact")))</f>
        <v/>
      </c>
      <c r="V34">
        <f>F34*(R34*1)*(H34*0.35+J34*0.35+L34*0.3)</f>
        <v/>
      </c>
      <c r="W34">
        <f>(V34-$AJ$13)/$AK$13</f>
        <v/>
      </c>
      <c r="X34">
        <f>IF(W34&gt;0.7,"High",IF(W34&gt;0.3,"Moderate",IF(W34&gt;0.15,"Low","No Impact")))</f>
        <v/>
      </c>
      <c r="Y34">
        <f>F34*(P34*1)*(H34*0.35+J34*0.35+L34*0.3)</f>
        <v/>
      </c>
      <c r="Z34">
        <f>(Y34-$AJ$14)/$AK$14</f>
        <v/>
      </c>
      <c r="AA34">
        <f>IF(Z34&gt;0.7,"High",IF(Z34&gt;0.3,"Moderate",IF(Z34&gt;0.15,"Low","No Impact")))</f>
        <v/>
      </c>
      <c r="AB34">
        <f>F34*(R34*0.35+P34*0.3+N34*0.35)*(H34*0.35+J34*0.35+L34*0.3)</f>
        <v/>
      </c>
      <c r="AC34">
        <f>(AB34-$AJ$15)/$AK$15</f>
        <v/>
      </c>
      <c r="AD34">
        <f>IF(AC34&gt;0.7,"High",IF(AC34&gt;0.3,"Moderate",IF(AC34&gt;0.15,"Low","No Impact")))</f>
        <v/>
      </c>
      <c r="AE34">
        <f>F34*(N34*1)*(H34*0.35+J34*0.35+L34*0.3)</f>
        <v/>
      </c>
      <c r="AF34">
        <f>(AE34-$AJ$16)/$AK$16</f>
        <v/>
      </c>
      <c r="AG34">
        <f>IF(AF34&gt;0.7,"High",IF(AF34&gt;0.3,"Moderate",IF(AF34&gt;0.15,"Low","No Impact")))</f>
        <v/>
      </c>
    </row>
    <row r="35">
      <c r="A35" t="n">
        <v>107914</v>
      </c>
      <c r="B35" t="inlineStr">
        <is>
          <t>BD107914</t>
        </is>
      </c>
      <c r="C35" t="inlineStr">
        <is>
          <t>Pirojpur</t>
        </is>
      </c>
      <c r="D35" t="inlineStr">
        <is>
          <t>Bhandaria</t>
        </is>
      </c>
      <c r="E35" s="3" t="n">
        <v>7.1</v>
      </c>
      <c r="F35" s="4">
        <f>(E35-$AJ$5)/$AK$5</f>
        <v/>
      </c>
      <c r="G35" t="n">
        <v>120.094506</v>
      </c>
      <c r="H35">
        <f>(G35-$AJ$6)/$AK$6</f>
        <v/>
      </c>
      <c r="I35" t="n">
        <v>30</v>
      </c>
      <c r="J35" s="4">
        <f>(I35-$AJ$7)/$AK$7</f>
        <v/>
      </c>
      <c r="K35" t="n">
        <v>2</v>
      </c>
      <c r="L35" s="4">
        <f>(K35-$AJ$8)/$AK$8</f>
        <v/>
      </c>
      <c r="M35" t="n">
        <v>20310</v>
      </c>
      <c r="N35">
        <f>(M35-$AJ$9)/$AK$9</f>
        <v/>
      </c>
      <c r="O35" t="n">
        <v>0.330111593</v>
      </c>
      <c r="P35">
        <f>(O35-$AJ$11)/$AK$11</f>
        <v/>
      </c>
      <c r="Q35" t="n">
        <v>0.3002</v>
      </c>
      <c r="R35">
        <f>(Q35-$AJ$12)/$AK$12</f>
        <v/>
      </c>
      <c r="S35">
        <f>F35*(R35*0.5+P35*0.5)*(H35*0.35+J35*0.35+L35*0.3)</f>
        <v/>
      </c>
      <c r="T35" s="14">
        <f>(S35-$AJ$10)/$AK$10</f>
        <v/>
      </c>
      <c r="U35">
        <f>IF(T35&gt;0.7,"High",IF(T35&gt;0.3,"Moderate",IF(T35&gt;0.15,"Low","No Impact")))</f>
        <v/>
      </c>
      <c r="V35">
        <f>F35*(R35*1)*(H35*0.35+J35*0.35+L35*0.3)</f>
        <v/>
      </c>
      <c r="W35">
        <f>(V35-$AJ$13)/$AK$13</f>
        <v/>
      </c>
      <c r="X35">
        <f>IF(W35&gt;0.7,"High",IF(W35&gt;0.3,"Moderate",IF(W35&gt;0.15,"Low","No Impact")))</f>
        <v/>
      </c>
      <c r="Y35">
        <f>F35*(P35*1)*(H35*0.35+J35*0.35+L35*0.3)</f>
        <v/>
      </c>
      <c r="Z35">
        <f>(Y35-$AJ$14)/$AK$14</f>
        <v/>
      </c>
      <c r="AA35">
        <f>IF(Z35&gt;0.7,"High",IF(Z35&gt;0.3,"Moderate",IF(Z35&gt;0.15,"Low","No Impact")))</f>
        <v/>
      </c>
      <c r="AB35">
        <f>F35*(R35*0.35+P35*0.3+N35*0.35)*(H35*0.35+J35*0.35+L35*0.3)</f>
        <v/>
      </c>
      <c r="AC35">
        <f>(AB35-$AJ$15)/$AK$15</f>
        <v/>
      </c>
      <c r="AD35">
        <f>IF(AC35&gt;0.7,"High",IF(AC35&gt;0.3,"Moderate",IF(AC35&gt;0.15,"Low","No Impact")))</f>
        <v/>
      </c>
      <c r="AE35">
        <f>F35*(N35*1)*(H35*0.35+J35*0.35+L35*0.3)</f>
        <v/>
      </c>
      <c r="AF35">
        <f>(AE35-$AJ$16)/$AK$16</f>
        <v/>
      </c>
      <c r="AG35">
        <f>IF(AF35&gt;0.7,"High",IF(AF35&gt;0.3,"Moderate",IF(AF35&gt;0.15,"Low","No Impact")))</f>
        <v/>
      </c>
    </row>
    <row r="36">
      <c r="A36" t="n">
        <v>107947</v>
      </c>
      <c r="B36" t="inlineStr">
        <is>
          <t>BD107947</t>
        </is>
      </c>
      <c r="C36" t="inlineStr">
        <is>
          <t>Pirojpur</t>
        </is>
      </c>
      <c r="D36" t="inlineStr">
        <is>
          <t>Kawkhali</t>
        </is>
      </c>
      <c r="E36" s="3" t="n">
        <v>7.2</v>
      </c>
      <c r="F36" s="4">
        <f>(E36-$AJ$5)/$AK$5</f>
        <v/>
      </c>
      <c r="G36" t="n">
        <v>112.64841</v>
      </c>
      <c r="H36">
        <f>(G36-$AJ$6)/$AK$6</f>
        <v/>
      </c>
      <c r="I36" t="n">
        <v>32.5</v>
      </c>
      <c r="J36" s="4">
        <f>(I36-$AJ$7)/$AK$7</f>
        <v/>
      </c>
      <c r="K36" t="n">
        <v>2</v>
      </c>
      <c r="L36" s="4">
        <f>(K36-$AJ$8)/$AK$8</f>
        <v/>
      </c>
      <c r="M36" t="n">
        <v>9387</v>
      </c>
      <c r="N36">
        <f>(M36-$AJ$9)/$AK$9</f>
        <v/>
      </c>
      <c r="O36" t="n">
        <v>0.32624591</v>
      </c>
      <c r="P36">
        <f>(O36-$AJ$11)/$AK$11</f>
        <v/>
      </c>
      <c r="Q36" t="n">
        <v>0.2995</v>
      </c>
      <c r="R36">
        <f>(Q36-$AJ$12)/$AK$12</f>
        <v/>
      </c>
      <c r="S36">
        <f>F36*(R36*0.5+P36*0.5)*(H36*0.35+J36*0.35+L36*0.3)</f>
        <v/>
      </c>
      <c r="T36" s="14">
        <f>(S36-$AJ$10)/$AK$10</f>
        <v/>
      </c>
      <c r="U36">
        <f>IF(T36&gt;0.7,"High",IF(T36&gt;0.3,"Moderate",IF(T36&gt;0.15,"Low","No Impact")))</f>
        <v/>
      </c>
      <c r="V36">
        <f>F36*(R36*1)*(H36*0.35+J36*0.35+L36*0.3)</f>
        <v/>
      </c>
      <c r="W36">
        <f>(V36-$AJ$13)/$AK$13</f>
        <v/>
      </c>
      <c r="X36">
        <f>IF(W36&gt;0.7,"High",IF(W36&gt;0.3,"Moderate",IF(W36&gt;0.15,"Low","No Impact")))</f>
        <v/>
      </c>
      <c r="Y36">
        <f>F36*(P36*1)*(H36*0.35+J36*0.35+L36*0.3)</f>
        <v/>
      </c>
      <c r="Z36">
        <f>(Y36-$AJ$14)/$AK$14</f>
        <v/>
      </c>
      <c r="AA36">
        <f>IF(Z36&gt;0.7,"High",IF(Z36&gt;0.3,"Moderate",IF(Z36&gt;0.15,"Low","No Impact")))</f>
        <v/>
      </c>
      <c r="AB36">
        <f>F36*(R36*0.35+P36*0.3+N36*0.35)*(H36*0.35+J36*0.35+L36*0.3)</f>
        <v/>
      </c>
      <c r="AC36">
        <f>(AB36-$AJ$15)/$AK$15</f>
        <v/>
      </c>
      <c r="AD36">
        <f>IF(AC36&gt;0.7,"High",IF(AC36&gt;0.3,"Moderate",IF(AC36&gt;0.15,"Low","No Impact")))</f>
        <v/>
      </c>
      <c r="AE36">
        <f>F36*(N36*1)*(H36*0.35+J36*0.35+L36*0.3)</f>
        <v/>
      </c>
      <c r="AF36">
        <f>(AE36-$AJ$16)/$AK$16</f>
        <v/>
      </c>
      <c r="AG36">
        <f>IF(AF36&gt;0.7,"High",IF(AF36&gt;0.3,"Moderate",IF(AF36&gt;0.15,"Low","No Impact")))</f>
        <v/>
      </c>
    </row>
    <row r="37">
      <c r="A37" t="n">
        <v>107958</v>
      </c>
      <c r="B37" t="inlineStr">
        <is>
          <t>BD107958</t>
        </is>
      </c>
      <c r="C37" t="inlineStr">
        <is>
          <t>Pirojpur</t>
        </is>
      </c>
      <c r="D37" t="inlineStr">
        <is>
          <t>Mathbaria</t>
        </is>
      </c>
      <c r="E37" s="3" t="n">
        <v>7.1</v>
      </c>
      <c r="F37" s="4">
        <f>(E37-$AJ$5)/$AK$5</f>
        <v/>
      </c>
      <c r="G37" t="n">
        <v>136.1538792</v>
      </c>
      <c r="H37">
        <f>(G37-$AJ$6)/$AK$6</f>
        <v/>
      </c>
      <c r="I37" t="n">
        <v>38.40000000000001</v>
      </c>
      <c r="J37" s="4">
        <f>(I37-$AJ$7)/$AK$7</f>
        <v/>
      </c>
      <c r="K37" t="n">
        <v>2</v>
      </c>
      <c r="L37" s="4">
        <f>(K37-$AJ$8)/$AK$8</f>
        <v/>
      </c>
      <c r="M37" t="n">
        <v>34224</v>
      </c>
      <c r="N37">
        <f>(M37-$AJ$9)/$AK$9</f>
        <v/>
      </c>
      <c r="O37" t="n">
        <v>0.5513957819999999</v>
      </c>
      <c r="P37">
        <f>(O37-$AJ$11)/$AK$11</f>
        <v/>
      </c>
      <c r="Q37" t="n">
        <v>0.2687</v>
      </c>
      <c r="R37">
        <f>(Q37-$AJ$12)/$AK$12</f>
        <v/>
      </c>
      <c r="S37">
        <f>F37*(R37*0.5+P37*0.5)*(H37*0.35+J37*0.35+L37*0.3)</f>
        <v/>
      </c>
      <c r="T37" s="14">
        <f>(S37-$AJ$10)/$AK$10</f>
        <v/>
      </c>
      <c r="U37">
        <f>IF(T37&gt;0.7,"High",IF(T37&gt;0.3,"Moderate",IF(T37&gt;0.15,"Low","No Impact")))</f>
        <v/>
      </c>
      <c r="V37">
        <f>F37*(R37*1)*(H37*0.35+J37*0.35+L37*0.3)</f>
        <v/>
      </c>
      <c r="W37">
        <f>(V37-$AJ$13)/$AK$13</f>
        <v/>
      </c>
      <c r="X37">
        <f>IF(W37&gt;0.7,"High",IF(W37&gt;0.3,"Moderate",IF(W37&gt;0.15,"Low","No Impact")))</f>
        <v/>
      </c>
      <c r="Y37">
        <f>F37*(P37*1)*(H37*0.35+J37*0.35+L37*0.3)</f>
        <v/>
      </c>
      <c r="Z37">
        <f>(Y37-$AJ$14)/$AK$14</f>
        <v/>
      </c>
      <c r="AA37">
        <f>IF(Z37&gt;0.7,"High",IF(Z37&gt;0.3,"Moderate",IF(Z37&gt;0.15,"Low","No Impact")))</f>
        <v/>
      </c>
      <c r="AB37">
        <f>F37*(R37*0.35+P37*0.3+N37*0.35)*(H37*0.35+J37*0.35+L37*0.3)</f>
        <v/>
      </c>
      <c r="AC37">
        <f>(AB37-$AJ$15)/$AK$15</f>
        <v/>
      </c>
      <c r="AD37">
        <f>IF(AC37&gt;0.7,"High",IF(AC37&gt;0.3,"Moderate",IF(AC37&gt;0.15,"Low","No Impact")))</f>
        <v/>
      </c>
      <c r="AE37">
        <f>F37*(N37*1)*(H37*0.35+J37*0.35+L37*0.3)</f>
        <v/>
      </c>
      <c r="AF37">
        <f>(AE37-$AJ$16)/$AK$16</f>
        <v/>
      </c>
      <c r="AG37">
        <f>IF(AF37&gt;0.7,"High",IF(AF37&gt;0.3,"Moderate",IF(AF37&gt;0.15,"Low","No Impact")))</f>
        <v/>
      </c>
    </row>
    <row r="38">
      <c r="A38" t="n">
        <v>107976</v>
      </c>
      <c r="B38" t="inlineStr">
        <is>
          <t>BD107976</t>
        </is>
      </c>
      <c r="C38" t="inlineStr">
        <is>
          <t>Pirojpur</t>
        </is>
      </c>
      <c r="D38" t="inlineStr">
        <is>
          <t>Nazirpur</t>
        </is>
      </c>
      <c r="E38" s="3" t="n">
        <v>7</v>
      </c>
      <c r="F38" s="4">
        <f>(E38-$AJ$5)/$AK$5</f>
        <v/>
      </c>
      <c r="G38" t="n">
        <v>123.230448</v>
      </c>
      <c r="H38">
        <f>(G38-$AJ$6)/$AK$6</f>
        <v/>
      </c>
      <c r="I38" t="n">
        <v>39.59999999999999</v>
      </c>
      <c r="J38" s="4">
        <f>(I38-$AJ$7)/$AK$7</f>
        <v/>
      </c>
      <c r="K38" t="n">
        <v>0</v>
      </c>
      <c r="L38" s="4">
        <f>(K38-$AJ$8)/$AK$8</f>
        <v/>
      </c>
      <c r="M38" t="n">
        <v>7339</v>
      </c>
      <c r="N38">
        <f>(M38-$AJ$9)/$AK$9</f>
        <v/>
      </c>
      <c r="O38" t="n">
        <v>0.671544651</v>
      </c>
      <c r="P38">
        <f>(O38-$AJ$11)/$AK$11</f>
        <v/>
      </c>
      <c r="Q38" t="n">
        <v>0.2717</v>
      </c>
      <c r="R38">
        <f>(Q38-$AJ$12)/$AK$12</f>
        <v/>
      </c>
      <c r="S38">
        <f>F38*(R38*0.5+P38*0.5)*(H38*0.35+J38*0.35+L38*0.3)</f>
        <v/>
      </c>
      <c r="T38" s="14">
        <f>(S38-$AJ$10)/$AK$10</f>
        <v/>
      </c>
      <c r="U38">
        <f>IF(T38&gt;0.7,"High",IF(T38&gt;0.3,"Moderate",IF(T38&gt;0.15,"Low","No Impact")))</f>
        <v/>
      </c>
      <c r="V38">
        <f>F38*(R38*1)*(H38*0.35+J38*0.35+L38*0.3)</f>
        <v/>
      </c>
      <c r="W38">
        <f>(V38-$AJ$13)/$AK$13</f>
        <v/>
      </c>
      <c r="X38">
        <f>IF(W38&gt;0.7,"High",IF(W38&gt;0.3,"Moderate",IF(W38&gt;0.15,"Low","No Impact")))</f>
        <v/>
      </c>
      <c r="Y38">
        <f>F38*(P38*1)*(H38*0.35+J38*0.35+L38*0.3)</f>
        <v/>
      </c>
      <c r="Z38">
        <f>(Y38-$AJ$14)/$AK$14</f>
        <v/>
      </c>
      <c r="AA38">
        <f>IF(Z38&gt;0.7,"High",IF(Z38&gt;0.3,"Moderate",IF(Z38&gt;0.15,"Low","No Impact")))</f>
        <v/>
      </c>
      <c r="AB38">
        <f>F38*(R38*0.35+P38*0.3+N38*0.35)*(H38*0.35+J38*0.35+L38*0.3)</f>
        <v/>
      </c>
      <c r="AC38">
        <f>(AB38-$AJ$15)/$AK$15</f>
        <v/>
      </c>
      <c r="AD38">
        <f>IF(AC38&gt;0.7,"High",IF(AC38&gt;0.3,"Moderate",IF(AC38&gt;0.15,"Low","No Impact")))</f>
        <v/>
      </c>
      <c r="AE38">
        <f>F38*(N38*1)*(H38*0.35+J38*0.35+L38*0.3)</f>
        <v/>
      </c>
      <c r="AF38">
        <f>(AE38-$AJ$16)/$AK$16</f>
        <v/>
      </c>
      <c r="AG38">
        <f>IF(AF38&gt;0.7,"High",IF(AF38&gt;0.3,"Moderate",IF(AF38&gt;0.15,"Low","No Impact")))</f>
        <v/>
      </c>
    </row>
    <row r="39">
      <c r="A39" t="n">
        <v>107980</v>
      </c>
      <c r="B39" t="inlineStr">
        <is>
          <t>BD107980</t>
        </is>
      </c>
      <c r="C39" t="inlineStr">
        <is>
          <t>Pirojpur</t>
        </is>
      </c>
      <c r="D39" t="inlineStr">
        <is>
          <t>Pirojpur Sadar</t>
        </is>
      </c>
      <c r="E39" s="3" t="n">
        <v>7.1</v>
      </c>
      <c r="F39" s="4">
        <f>(E39-$AJ$5)/$AK$5</f>
        <v/>
      </c>
      <c r="G39" t="n">
        <v>112.64841</v>
      </c>
      <c r="H39">
        <f>(G39-$AJ$6)/$AK$6</f>
        <v/>
      </c>
      <c r="I39" t="n">
        <v>32.5</v>
      </c>
      <c r="J39" s="4">
        <f>(I39-$AJ$7)/$AK$7</f>
        <v/>
      </c>
      <c r="K39" t="n">
        <v>0</v>
      </c>
      <c r="L39" s="4">
        <f>(K39-$AJ$8)/$AK$8</f>
        <v/>
      </c>
      <c r="M39" t="n">
        <v>16497</v>
      </c>
      <c r="N39">
        <f>(M39-$AJ$9)/$AK$9</f>
        <v/>
      </c>
      <c r="O39" t="n">
        <v>0.440070547</v>
      </c>
      <c r="P39">
        <f>(O39-$AJ$11)/$AK$11</f>
        <v/>
      </c>
      <c r="Q39" t="n">
        <v>0.3127</v>
      </c>
      <c r="R39">
        <f>(Q39-$AJ$12)/$AK$12</f>
        <v/>
      </c>
      <c r="S39">
        <f>F39*(R39*0.5+P39*0.5)*(H39*0.35+J39*0.35+L39*0.3)</f>
        <v/>
      </c>
      <c r="T39" s="14">
        <f>(S39-$AJ$10)/$AK$10</f>
        <v/>
      </c>
      <c r="U39">
        <f>IF(T39&gt;0.7,"High",IF(T39&gt;0.3,"Moderate",IF(T39&gt;0.15,"Low","No Impact")))</f>
        <v/>
      </c>
      <c r="V39">
        <f>F39*(R39*1)*(H39*0.35+J39*0.35+L39*0.3)</f>
        <v/>
      </c>
      <c r="W39">
        <f>(V39-$AJ$13)/$AK$13</f>
        <v/>
      </c>
      <c r="X39">
        <f>IF(W39&gt;0.7,"High",IF(W39&gt;0.3,"Moderate",IF(W39&gt;0.15,"Low","No Impact")))</f>
        <v/>
      </c>
      <c r="Y39">
        <f>F39*(P39*1)*(H39*0.35+J39*0.35+L39*0.3)</f>
        <v/>
      </c>
      <c r="Z39">
        <f>(Y39-$AJ$14)/$AK$14</f>
        <v/>
      </c>
      <c r="AA39">
        <f>IF(Z39&gt;0.7,"High",IF(Z39&gt;0.3,"Moderate",IF(Z39&gt;0.15,"Low","No Impact")))</f>
        <v/>
      </c>
      <c r="AB39">
        <f>F39*(R39*0.35+P39*0.3+N39*0.35)*(H39*0.35+J39*0.35+L39*0.3)</f>
        <v/>
      </c>
      <c r="AC39">
        <f>(AB39-$AJ$15)/$AK$15</f>
        <v/>
      </c>
      <c r="AD39">
        <f>IF(AC39&gt;0.7,"High",IF(AC39&gt;0.3,"Moderate",IF(AC39&gt;0.15,"Low","No Impact")))</f>
        <v/>
      </c>
      <c r="AE39">
        <f>F39*(N39*1)*(H39*0.35+J39*0.35+L39*0.3)</f>
        <v/>
      </c>
      <c r="AF39">
        <f>(AE39-$AJ$16)/$AK$16</f>
        <v/>
      </c>
      <c r="AG39">
        <f>IF(AF39&gt;0.7,"High",IF(AF39&gt;0.3,"Moderate",IF(AF39&gt;0.15,"Low","No Impact")))</f>
        <v/>
      </c>
    </row>
    <row r="40">
      <c r="A40" t="n">
        <v>107987</v>
      </c>
      <c r="B40" t="inlineStr">
        <is>
          <t>BD107987</t>
        </is>
      </c>
      <c r="C40" t="inlineStr">
        <is>
          <t>Pirojpur</t>
        </is>
      </c>
      <c r="D40" t="inlineStr">
        <is>
          <t>Nesarabad (Swarupkati)</t>
        </is>
      </c>
      <c r="E40" s="3" t="n">
        <v>7.1</v>
      </c>
      <c r="F40" s="4">
        <f>(E40-$AJ$5)/$AK$5</f>
        <v/>
      </c>
      <c r="G40" t="n">
        <v>108.4753656</v>
      </c>
      <c r="H40">
        <f>(G40-$AJ$6)/$AK$6</f>
        <v/>
      </c>
      <c r="I40" t="n">
        <v>31.6</v>
      </c>
      <c r="J40" s="4">
        <f>(I40-$AJ$7)/$AK$7</f>
        <v/>
      </c>
      <c r="K40" t="n">
        <v>0</v>
      </c>
      <c r="L40" s="4">
        <f>(K40-$AJ$8)/$AK$8</f>
        <v/>
      </c>
      <c r="M40" t="n">
        <v>14296</v>
      </c>
      <c r="N40">
        <f>(M40-$AJ$9)/$AK$9</f>
        <v/>
      </c>
      <c r="O40" t="n">
        <v>0.706760141</v>
      </c>
      <c r="P40">
        <f>(O40-$AJ$11)/$AK$11</f>
        <v/>
      </c>
      <c r="Q40" t="n">
        <v>0.3246</v>
      </c>
      <c r="R40">
        <f>(Q40-$AJ$12)/$AK$12</f>
        <v/>
      </c>
      <c r="S40">
        <f>F40*(R40*0.5+P40*0.5)*(H40*0.35+J40*0.35+L40*0.3)</f>
        <v/>
      </c>
      <c r="T40" s="14">
        <f>(S40-$AJ$10)/$AK$10</f>
        <v/>
      </c>
      <c r="U40">
        <f>IF(T40&gt;0.7,"High",IF(T40&gt;0.3,"Moderate",IF(T40&gt;0.15,"Low","No Impact")))</f>
        <v/>
      </c>
      <c r="V40">
        <f>F40*(R40*1)*(H40*0.35+J40*0.35+L40*0.3)</f>
        <v/>
      </c>
      <c r="W40">
        <f>(V40-$AJ$13)/$AK$13</f>
        <v/>
      </c>
      <c r="X40">
        <f>IF(W40&gt;0.7,"High",IF(W40&gt;0.3,"Moderate",IF(W40&gt;0.15,"Low","No Impact")))</f>
        <v/>
      </c>
      <c r="Y40">
        <f>F40*(P40*1)*(H40*0.35+J40*0.35+L40*0.3)</f>
        <v/>
      </c>
      <c r="Z40">
        <f>(Y40-$AJ$14)/$AK$14</f>
        <v/>
      </c>
      <c r="AA40">
        <f>IF(Z40&gt;0.7,"High",IF(Z40&gt;0.3,"Moderate",IF(Z40&gt;0.15,"Low","No Impact")))</f>
        <v/>
      </c>
      <c r="AB40">
        <f>F40*(R40*0.35+P40*0.3+N40*0.35)*(H40*0.35+J40*0.35+L40*0.3)</f>
        <v/>
      </c>
      <c r="AC40">
        <f>(AB40-$AJ$15)/$AK$15</f>
        <v/>
      </c>
      <c r="AD40">
        <f>IF(AC40&gt;0.7,"High",IF(AC40&gt;0.3,"Moderate",IF(AC40&gt;0.15,"Low","No Impact")))</f>
        <v/>
      </c>
      <c r="AE40">
        <f>F40*(N40*1)*(H40*0.35+J40*0.35+L40*0.3)</f>
        <v/>
      </c>
      <c r="AF40">
        <f>(AE40-$AJ$16)/$AK$16</f>
        <v/>
      </c>
      <c r="AG40">
        <f>IF(AF40&gt;0.7,"High",IF(AF40&gt;0.3,"Moderate",IF(AF40&gt;0.15,"Low","No Impact")))</f>
        <v/>
      </c>
    </row>
    <row r="41">
      <c r="A41" t="n">
        <v>107990</v>
      </c>
      <c r="B41" t="inlineStr">
        <is>
          <t>BD107990</t>
        </is>
      </c>
      <c r="C41" t="inlineStr">
        <is>
          <t>Pirojpur</t>
        </is>
      </c>
      <c r="D41" t="inlineStr">
        <is>
          <t>Zianagar</t>
        </is>
      </c>
      <c r="E41" s="3" t="n">
        <v>7.1</v>
      </c>
      <c r="F41" s="4">
        <f>(E41-$AJ$5)/$AK$5</f>
        <v/>
      </c>
      <c r="G41" t="n">
        <v>124.1866944</v>
      </c>
      <c r="H41">
        <f>(G41-$AJ$6)/$AK$6</f>
        <v/>
      </c>
      <c r="I41" t="n">
        <v>39.40000000000001</v>
      </c>
      <c r="J41" s="4">
        <f>(I41-$AJ$7)/$AK$7</f>
        <v/>
      </c>
      <c r="K41" t="n">
        <v>2</v>
      </c>
      <c r="L41" s="4">
        <f>(K41-$AJ$8)/$AK$8</f>
        <v/>
      </c>
      <c r="M41" t="n">
        <v>6600</v>
      </c>
      <c r="N41">
        <f>(M41-$AJ$9)/$AK$9</f>
        <v/>
      </c>
      <c r="O41" t="n">
        <v>0.631419811</v>
      </c>
      <c r="P41">
        <f>(O41-$AJ$11)/$AK$11</f>
        <v/>
      </c>
      <c r="Q41" t="n">
        <v>0.2821</v>
      </c>
      <c r="R41">
        <f>(Q41-$AJ$12)/$AK$12</f>
        <v/>
      </c>
      <c r="S41">
        <f>F41*(R41*0.5+P41*0.5)*(H41*0.35+J41*0.35+L41*0.3)</f>
        <v/>
      </c>
      <c r="T41" s="14">
        <f>(S41-$AJ$10)/$AK$10</f>
        <v/>
      </c>
      <c r="U41">
        <f>IF(T41&gt;0.7,"High",IF(T41&gt;0.3,"Moderate",IF(T41&gt;0.15,"Low","No Impact")))</f>
        <v/>
      </c>
      <c r="V41">
        <f>F41*(R41*1)*(H41*0.35+J41*0.35+L41*0.3)</f>
        <v/>
      </c>
      <c r="W41">
        <f>(V41-$AJ$13)/$AK$13</f>
        <v/>
      </c>
      <c r="X41">
        <f>IF(W41&gt;0.7,"High",IF(W41&gt;0.3,"Moderate",IF(W41&gt;0.15,"Low","No Impact")))</f>
        <v/>
      </c>
      <c r="Y41">
        <f>F41*(P41*1)*(H41*0.35+J41*0.35+L41*0.3)</f>
        <v/>
      </c>
      <c r="Z41">
        <f>(Y41-$AJ$14)/$AK$14</f>
        <v/>
      </c>
      <c r="AA41">
        <f>IF(Z41&gt;0.7,"High",IF(Z41&gt;0.3,"Moderate",IF(Z41&gt;0.15,"Low","No Impact")))</f>
        <v/>
      </c>
      <c r="AB41">
        <f>F41*(R41*0.35+P41*0.3+N41*0.35)*(H41*0.35+J41*0.35+L41*0.3)</f>
        <v/>
      </c>
      <c r="AC41">
        <f>(AB41-$AJ$15)/$AK$15</f>
        <v/>
      </c>
      <c r="AD41">
        <f>IF(AC41&gt;0.7,"High",IF(AC41&gt;0.3,"Moderate",IF(AC41&gt;0.15,"Low","No Impact")))</f>
        <v/>
      </c>
      <c r="AE41">
        <f>F41*(N41*1)*(H41*0.35+J41*0.35+L41*0.3)</f>
        <v/>
      </c>
      <c r="AF41">
        <f>(AE41-$AJ$16)/$AK$16</f>
        <v/>
      </c>
      <c r="AG41">
        <f>IF(AF41&gt;0.7,"High",IF(AF41&gt;0.3,"Moderate",IF(AF41&gt;0.15,"Low","No Impact")))</f>
        <v/>
      </c>
    </row>
    <row r="42">
      <c r="A42" t="n">
        <v>200304</v>
      </c>
      <c r="B42" t="inlineStr">
        <is>
          <t>BD200304</t>
        </is>
      </c>
      <c r="C42" t="inlineStr">
        <is>
          <t>Bandarban</t>
        </is>
      </c>
      <c r="D42" t="inlineStr">
        <is>
          <t>Alikadam</t>
        </is>
      </c>
      <c r="E42" s="3" t="n">
        <v>6</v>
      </c>
      <c r="F42" s="4">
        <f>(E42-$AJ$5)/$AK$5</f>
        <v/>
      </c>
      <c r="G42" t="n">
        <v>78.901704</v>
      </c>
      <c r="H42">
        <f>(G42-$AJ$6)/$AK$6</f>
        <v/>
      </c>
      <c r="I42" t="n">
        <v>0.8000000000000004</v>
      </c>
      <c r="J42" s="4">
        <f>(I42-$AJ$7)/$AK$7</f>
        <v/>
      </c>
      <c r="K42" t="n">
        <v>0</v>
      </c>
      <c r="L42" s="4">
        <f>(K42-$AJ$8)/$AK$8</f>
        <v/>
      </c>
      <c r="M42" t="n">
        <v>7538</v>
      </c>
      <c r="N42">
        <f>(M42-$AJ$9)/$AK$9</f>
        <v/>
      </c>
      <c r="O42" t="n">
        <v>0.839182799</v>
      </c>
      <c r="P42">
        <f>(O42-$AJ$11)/$AK$11</f>
        <v/>
      </c>
      <c r="Q42" t="n">
        <v>0.3561</v>
      </c>
      <c r="R42">
        <f>(Q42-$AJ$12)/$AK$12</f>
        <v/>
      </c>
      <c r="S42">
        <f>F42*(R42*0.5+P42*0.5)*(H42*0.35+J42*0.35+L42*0.3)</f>
        <v/>
      </c>
      <c r="T42" s="14">
        <f>(S42-$AJ$10)/$AK$10</f>
        <v/>
      </c>
      <c r="U42">
        <f>IF(T42&gt;0.7,"High",IF(T42&gt;0.3,"Moderate",IF(T42&gt;0.15,"Low","No Impact")))</f>
        <v/>
      </c>
      <c r="V42">
        <f>F42*(R42*1)*(H42*0.35+J42*0.35+L42*0.3)</f>
        <v/>
      </c>
      <c r="W42">
        <f>(V42-$AJ$13)/$AK$13</f>
        <v/>
      </c>
      <c r="X42">
        <f>IF(W42&gt;0.7,"High",IF(W42&gt;0.3,"Moderate",IF(W42&gt;0.15,"Low","No Impact")))</f>
        <v/>
      </c>
      <c r="Y42">
        <f>F42*(P42*1)*(H42*0.35+J42*0.35+L42*0.3)</f>
        <v/>
      </c>
      <c r="Z42">
        <f>(Y42-$AJ$14)/$AK$14</f>
        <v/>
      </c>
      <c r="AA42">
        <f>IF(Z42&gt;0.7,"High",IF(Z42&gt;0.3,"Moderate",IF(Z42&gt;0.15,"Low","No Impact")))</f>
        <v/>
      </c>
      <c r="AB42">
        <f>F42*(R42*0.35+P42*0.3+N42*0.35)*(H42*0.35+J42*0.35+L42*0.3)</f>
        <v/>
      </c>
      <c r="AC42">
        <f>(AB42-$AJ$15)/$AK$15</f>
        <v/>
      </c>
      <c r="AD42">
        <f>IF(AC42&gt;0.7,"High",IF(AC42&gt;0.3,"Moderate",IF(AC42&gt;0.15,"Low","No Impact")))</f>
        <v/>
      </c>
      <c r="AE42">
        <f>F42*(N42*1)*(H42*0.35+J42*0.35+L42*0.3)</f>
        <v/>
      </c>
      <c r="AF42">
        <f>(AE42-$AJ$16)/$AK$16</f>
        <v/>
      </c>
      <c r="AG42">
        <f>IF(AF42&gt;0.7,"High",IF(AF42&gt;0.3,"Moderate",IF(AF42&gt;0.15,"Low","No Impact")))</f>
        <v/>
      </c>
    </row>
    <row r="43">
      <c r="A43" t="n">
        <v>200314</v>
      </c>
      <c r="B43" t="inlineStr">
        <is>
          <t>BD200314</t>
        </is>
      </c>
      <c r="C43" t="inlineStr">
        <is>
          <t>Bandarban</t>
        </is>
      </c>
      <c r="D43" t="inlineStr">
        <is>
          <t>Bandarban Sadar</t>
        </is>
      </c>
      <c r="E43" s="3" t="n">
        <v>7.6</v>
      </c>
      <c r="F43" s="4">
        <f>(E43-$AJ$5)/$AK$5</f>
        <v/>
      </c>
      <c r="G43" t="n">
        <v>71.9742492</v>
      </c>
      <c r="H43">
        <f>(G43-$AJ$6)/$AK$6</f>
        <v/>
      </c>
      <c r="I43" t="n">
        <v>0.2000000000000001</v>
      </c>
      <c r="J43" s="4">
        <f>(I43-$AJ$7)/$AK$7</f>
        <v/>
      </c>
      <c r="K43" t="n">
        <v>0</v>
      </c>
      <c r="L43" s="4">
        <f>(K43-$AJ$8)/$AK$8</f>
        <v/>
      </c>
      <c r="M43" t="n">
        <v>10534</v>
      </c>
      <c r="N43">
        <f>(M43-$AJ$9)/$AK$9</f>
        <v/>
      </c>
      <c r="O43" t="n">
        <v>0.716294251</v>
      </c>
      <c r="P43">
        <f>(O43-$AJ$11)/$AK$11</f>
        <v/>
      </c>
      <c r="Q43" t="n">
        <v>0.3357</v>
      </c>
      <c r="R43">
        <f>(Q43-$AJ$12)/$AK$12</f>
        <v/>
      </c>
      <c r="S43">
        <f>F43*(R43*0.5+P43*0.5)*(H43*0.35+J43*0.35+L43*0.3)</f>
        <v/>
      </c>
      <c r="T43" s="14">
        <f>(S43-$AJ$10)/$AK$10</f>
        <v/>
      </c>
      <c r="U43">
        <f>IF(T43&gt;0.7,"High",IF(T43&gt;0.3,"Moderate",IF(T43&gt;0.15,"Low","No Impact")))</f>
        <v/>
      </c>
      <c r="V43">
        <f>F43*(R43*1)*(H43*0.35+J43*0.35+L43*0.3)</f>
        <v/>
      </c>
      <c r="W43">
        <f>(V43-$AJ$13)/$AK$13</f>
        <v/>
      </c>
      <c r="X43">
        <f>IF(W43&gt;0.7,"High",IF(W43&gt;0.3,"Moderate",IF(W43&gt;0.15,"Low","No Impact")))</f>
        <v/>
      </c>
      <c r="Y43">
        <f>F43*(P43*1)*(H43*0.35+J43*0.35+L43*0.3)</f>
        <v/>
      </c>
      <c r="Z43">
        <f>(Y43-$AJ$14)/$AK$14</f>
        <v/>
      </c>
      <c r="AA43">
        <f>IF(Z43&gt;0.7,"High",IF(Z43&gt;0.3,"Moderate",IF(Z43&gt;0.15,"Low","No Impact")))</f>
        <v/>
      </c>
      <c r="AB43">
        <f>F43*(R43*0.35+P43*0.3+N43*0.35)*(H43*0.35+J43*0.35+L43*0.3)</f>
        <v/>
      </c>
      <c r="AC43">
        <f>(AB43-$AJ$15)/$AK$15</f>
        <v/>
      </c>
      <c r="AD43">
        <f>IF(AC43&gt;0.7,"High",IF(AC43&gt;0.3,"Moderate",IF(AC43&gt;0.15,"Low","No Impact")))</f>
        <v/>
      </c>
      <c r="AE43">
        <f>F43*(N43*1)*(H43*0.35+J43*0.35+L43*0.3)</f>
        <v/>
      </c>
      <c r="AF43">
        <f>(AE43-$AJ$16)/$AK$16</f>
        <v/>
      </c>
      <c r="AG43">
        <f>IF(AF43&gt;0.7,"High",IF(AF43&gt;0.3,"Moderate",IF(AF43&gt;0.15,"Low","No Impact")))</f>
        <v/>
      </c>
    </row>
    <row r="44">
      <c r="A44" t="n">
        <v>200351</v>
      </c>
      <c r="B44" t="inlineStr">
        <is>
          <t>BD200351</t>
        </is>
      </c>
      <c r="C44" t="inlineStr">
        <is>
          <t>Bandarban</t>
        </is>
      </c>
      <c r="D44" t="inlineStr">
        <is>
          <t>Lama</t>
        </is>
      </c>
      <c r="E44" s="3" t="n">
        <v>7.7</v>
      </c>
      <c r="F44" s="4">
        <f>(E44-$AJ$5)/$AK$5</f>
        <v/>
      </c>
      <c r="G44" t="n">
        <v>76.6219068</v>
      </c>
      <c r="H44">
        <f>(G44-$AJ$6)/$AK$6</f>
        <v/>
      </c>
      <c r="I44" t="n">
        <v>0.7000000000000001</v>
      </c>
      <c r="J44" s="4">
        <f>(I44-$AJ$7)/$AK$7</f>
        <v/>
      </c>
      <c r="K44" t="n">
        <v>0</v>
      </c>
      <c r="L44" s="4">
        <f>(K44-$AJ$8)/$AK$8</f>
        <v/>
      </c>
      <c r="M44" t="n">
        <v>14751</v>
      </c>
      <c r="N44">
        <f>(M44-$AJ$9)/$AK$9</f>
        <v/>
      </c>
      <c r="O44" t="n">
        <v>0.126318275</v>
      </c>
      <c r="P44">
        <f>(O44-$AJ$11)/$AK$11</f>
        <v/>
      </c>
      <c r="Q44" t="n">
        <v>0.3404</v>
      </c>
      <c r="R44">
        <f>(Q44-$AJ$12)/$AK$12</f>
        <v/>
      </c>
      <c r="S44">
        <f>F44*(R44*0.5+P44*0.5)*(H44*0.35+J44*0.35+L44*0.3)</f>
        <v/>
      </c>
      <c r="T44" s="14">
        <f>(S44-$AJ$10)/$AK$10</f>
        <v/>
      </c>
      <c r="U44">
        <f>IF(T44&gt;0.7,"High",IF(T44&gt;0.3,"Moderate",IF(T44&gt;0.15,"Low","No Impact")))</f>
        <v/>
      </c>
      <c r="V44">
        <f>F44*(R44*1)*(H44*0.35+J44*0.35+L44*0.3)</f>
        <v/>
      </c>
      <c r="W44">
        <f>(V44-$AJ$13)/$AK$13</f>
        <v/>
      </c>
      <c r="X44">
        <f>IF(W44&gt;0.7,"High",IF(W44&gt;0.3,"Moderate",IF(W44&gt;0.15,"Low","No Impact")))</f>
        <v/>
      </c>
      <c r="Y44">
        <f>F44*(P44*1)*(H44*0.35+J44*0.35+L44*0.3)</f>
        <v/>
      </c>
      <c r="Z44">
        <f>(Y44-$AJ$14)/$AK$14</f>
        <v/>
      </c>
      <c r="AA44">
        <f>IF(Z44&gt;0.7,"High",IF(Z44&gt;0.3,"Moderate",IF(Z44&gt;0.15,"Low","No Impact")))</f>
        <v/>
      </c>
      <c r="AB44">
        <f>F44*(R44*0.35+P44*0.3+N44*0.35)*(H44*0.35+J44*0.35+L44*0.3)</f>
        <v/>
      </c>
      <c r="AC44">
        <f>(AB44-$AJ$15)/$AK$15</f>
        <v/>
      </c>
      <c r="AD44">
        <f>IF(AC44&gt;0.7,"High",IF(AC44&gt;0.3,"Moderate",IF(AC44&gt;0.15,"Low","No Impact")))</f>
        <v/>
      </c>
      <c r="AE44">
        <f>F44*(N44*1)*(H44*0.35+J44*0.35+L44*0.3)</f>
        <v/>
      </c>
      <c r="AF44">
        <f>(AE44-$AJ$16)/$AK$16</f>
        <v/>
      </c>
      <c r="AG44">
        <f>IF(AF44&gt;0.7,"High",IF(AF44&gt;0.3,"Moderate",IF(AF44&gt;0.15,"Low","No Impact")))</f>
        <v/>
      </c>
    </row>
    <row r="45">
      <c r="A45" t="n">
        <v>200373</v>
      </c>
      <c r="B45" t="inlineStr">
        <is>
          <t>BD200373</t>
        </is>
      </c>
      <c r="C45" t="inlineStr">
        <is>
          <t>Bandarban</t>
        </is>
      </c>
      <c r="D45" t="inlineStr">
        <is>
          <t>Naikhongchhari</t>
        </is>
      </c>
      <c r="E45" s="3" t="n">
        <v>7.7</v>
      </c>
      <c r="F45" s="4">
        <f>(E45-$AJ$5)/$AK$5</f>
        <v/>
      </c>
      <c r="G45" t="n">
        <v>76.6219068</v>
      </c>
      <c r="H45">
        <f>(G45-$AJ$6)/$AK$6</f>
        <v/>
      </c>
      <c r="I45" t="n">
        <v>1.3</v>
      </c>
      <c r="J45" s="4">
        <f>(I45-$AJ$7)/$AK$7</f>
        <v/>
      </c>
      <c r="K45" t="n">
        <v>0</v>
      </c>
      <c r="L45" s="4">
        <f>(K45-$AJ$8)/$AK$8</f>
        <v/>
      </c>
      <c r="M45" t="n">
        <v>12144</v>
      </c>
      <c r="N45">
        <f>(M45-$AJ$9)/$AK$9</f>
        <v/>
      </c>
      <c r="O45" t="n">
        <v>0.14690879</v>
      </c>
      <c r="P45">
        <f>(O45-$AJ$11)/$AK$11</f>
        <v/>
      </c>
      <c r="Q45" t="n">
        <v>0.3728</v>
      </c>
      <c r="R45">
        <f>(Q45-$AJ$12)/$AK$12</f>
        <v/>
      </c>
      <c r="S45">
        <f>F45*(R45*0.5+P45*0.5)*(H45*0.35+J45*0.35+L45*0.3)</f>
        <v/>
      </c>
      <c r="T45" s="14">
        <f>(S45-$AJ$10)/$AK$10</f>
        <v/>
      </c>
      <c r="U45">
        <f>IF(T45&gt;0.7,"High",IF(T45&gt;0.3,"Moderate",IF(T45&gt;0.15,"Low","No Impact")))</f>
        <v/>
      </c>
      <c r="V45">
        <f>F45*(R45*1)*(H45*0.35+J45*0.35+L45*0.3)</f>
        <v/>
      </c>
      <c r="W45">
        <f>(V45-$AJ$13)/$AK$13</f>
        <v/>
      </c>
      <c r="X45">
        <f>IF(W45&gt;0.7,"High",IF(W45&gt;0.3,"Moderate",IF(W45&gt;0.15,"Low","No Impact")))</f>
        <v/>
      </c>
      <c r="Y45">
        <f>F45*(P45*1)*(H45*0.35+J45*0.35+L45*0.3)</f>
        <v/>
      </c>
      <c r="Z45">
        <f>(Y45-$AJ$14)/$AK$14</f>
        <v/>
      </c>
      <c r="AA45">
        <f>IF(Z45&gt;0.7,"High",IF(Z45&gt;0.3,"Moderate",IF(Z45&gt;0.15,"Low","No Impact")))</f>
        <v/>
      </c>
      <c r="AB45">
        <f>F45*(R45*0.35+P45*0.3+N45*0.35)*(H45*0.35+J45*0.35+L45*0.3)</f>
        <v/>
      </c>
      <c r="AC45">
        <f>(AB45-$AJ$15)/$AK$15</f>
        <v/>
      </c>
      <c r="AD45">
        <f>IF(AC45&gt;0.7,"High",IF(AC45&gt;0.3,"Moderate",IF(AC45&gt;0.15,"Low","No Impact")))</f>
        <v/>
      </c>
      <c r="AE45">
        <f>F45*(N45*1)*(H45*0.35+J45*0.35+L45*0.3)</f>
        <v/>
      </c>
      <c r="AF45">
        <f>(AE45-$AJ$16)/$AK$16</f>
        <v/>
      </c>
      <c r="AG45">
        <f>IF(AF45&gt;0.7,"High",IF(AF45&gt;0.3,"Moderate",IF(AF45&gt;0.15,"Low","No Impact")))</f>
        <v/>
      </c>
    </row>
    <row r="46">
      <c r="A46" t="n">
        <v>200389</v>
      </c>
      <c r="B46" t="inlineStr">
        <is>
          <t>BD200389</t>
        </is>
      </c>
      <c r="C46" t="inlineStr">
        <is>
          <t>Bandarban</t>
        </is>
      </c>
      <c r="D46" t="inlineStr">
        <is>
          <t>Rowangchhari</t>
        </is>
      </c>
      <c r="E46" s="3" t="n">
        <v>5.9</v>
      </c>
      <c r="F46" s="4">
        <f>(E46-$AJ$5)/$AK$5</f>
        <v/>
      </c>
      <c r="G46" t="n">
        <v>71.9742492</v>
      </c>
      <c r="H46">
        <f>(G46-$AJ$6)/$AK$6</f>
        <v/>
      </c>
      <c r="I46" t="n">
        <v>0.2000000000000001</v>
      </c>
      <c r="J46" s="4">
        <f>(I46-$AJ$7)/$AK$7</f>
        <v/>
      </c>
      <c r="K46" t="n">
        <v>0</v>
      </c>
      <c r="L46" s="4">
        <f>(K46-$AJ$8)/$AK$8</f>
        <v/>
      </c>
      <c r="M46" t="n">
        <v>5632</v>
      </c>
      <c r="N46">
        <f>(M46-$AJ$9)/$AK$9</f>
        <v/>
      </c>
      <c r="O46" t="n">
        <v>0.207731509</v>
      </c>
      <c r="P46">
        <f>(O46-$AJ$11)/$AK$11</f>
        <v/>
      </c>
      <c r="Q46" t="n">
        <v>0.3353</v>
      </c>
      <c r="R46">
        <f>(Q46-$AJ$12)/$AK$12</f>
        <v/>
      </c>
      <c r="S46">
        <f>F46*(R46*0.5+P46*0.5)*(H46*0.35+J46*0.35+L46*0.3)</f>
        <v/>
      </c>
      <c r="T46" s="14">
        <f>(S46-$AJ$10)/$AK$10</f>
        <v/>
      </c>
      <c r="U46">
        <f>IF(T46&gt;0.7,"High",IF(T46&gt;0.3,"Moderate",IF(T46&gt;0.15,"Low","No Impact")))</f>
        <v/>
      </c>
      <c r="V46">
        <f>F46*(R46*1)*(H46*0.35+J46*0.35+L46*0.3)</f>
        <v/>
      </c>
      <c r="W46">
        <f>(V46-$AJ$13)/$AK$13</f>
        <v/>
      </c>
      <c r="X46">
        <f>IF(W46&gt;0.7,"High",IF(W46&gt;0.3,"Moderate",IF(W46&gt;0.15,"Low","No Impact")))</f>
        <v/>
      </c>
      <c r="Y46">
        <f>F46*(P46*1)*(H46*0.35+J46*0.35+L46*0.3)</f>
        <v/>
      </c>
      <c r="Z46">
        <f>(Y46-$AJ$14)/$AK$14</f>
        <v/>
      </c>
      <c r="AA46">
        <f>IF(Z46&gt;0.7,"High",IF(Z46&gt;0.3,"Moderate",IF(Z46&gt;0.15,"Low","No Impact")))</f>
        <v/>
      </c>
      <c r="AB46">
        <f>F46*(R46*0.35+P46*0.3+N46*0.35)*(H46*0.35+J46*0.35+L46*0.3)</f>
        <v/>
      </c>
      <c r="AC46">
        <f>(AB46-$AJ$15)/$AK$15</f>
        <v/>
      </c>
      <c r="AD46">
        <f>IF(AC46&gt;0.7,"High",IF(AC46&gt;0.3,"Moderate",IF(AC46&gt;0.15,"Low","No Impact")))</f>
        <v/>
      </c>
      <c r="AE46">
        <f>F46*(N46*1)*(H46*0.35+J46*0.35+L46*0.3)</f>
        <v/>
      </c>
      <c r="AF46">
        <f>(AE46-$AJ$16)/$AK$16</f>
        <v/>
      </c>
      <c r="AG46">
        <f>IF(AF46&gt;0.7,"High",IF(AF46&gt;0.3,"Moderate",IF(AF46&gt;0.15,"Low","No Impact")))</f>
        <v/>
      </c>
    </row>
    <row r="47">
      <c r="A47" t="n">
        <v>200391</v>
      </c>
      <c r="B47" t="inlineStr">
        <is>
          <t>BD200391</t>
        </is>
      </c>
      <c r="C47" t="inlineStr">
        <is>
          <t>Bandarban</t>
        </is>
      </c>
      <c r="D47" t="inlineStr">
        <is>
          <t>Ruma</t>
        </is>
      </c>
      <c r="E47" s="3" t="n">
        <v>7.7</v>
      </c>
      <c r="F47" s="4">
        <f>(E47-$AJ$5)/$AK$5</f>
        <v/>
      </c>
      <c r="G47" t="n">
        <v>78.901704</v>
      </c>
      <c r="H47">
        <f>(G47-$AJ$6)/$AK$6</f>
        <v/>
      </c>
      <c r="I47" t="n">
        <v>0.1999999999999999</v>
      </c>
      <c r="J47" s="4">
        <f>(I47-$AJ$7)/$AK$7</f>
        <v/>
      </c>
      <c r="K47" t="n">
        <v>0</v>
      </c>
      <c r="L47" s="4">
        <f>(K47-$AJ$8)/$AK$8</f>
        <v/>
      </c>
      <c r="M47" t="n">
        <v>2880</v>
      </c>
      <c r="N47">
        <f>(M47-$AJ$9)/$AK$9</f>
        <v/>
      </c>
      <c r="O47" t="n">
        <v>0.269621012</v>
      </c>
      <c r="P47">
        <f>(O47-$AJ$11)/$AK$11</f>
        <v/>
      </c>
      <c r="Q47" t="n">
        <v>0.3462</v>
      </c>
      <c r="R47">
        <f>(Q47-$AJ$12)/$AK$12</f>
        <v/>
      </c>
      <c r="S47">
        <f>F47*(R47*0.5+P47*0.5)*(H47*0.35+J47*0.35+L47*0.3)</f>
        <v/>
      </c>
      <c r="T47" s="14">
        <f>(S47-$AJ$10)/$AK$10</f>
        <v/>
      </c>
      <c r="U47">
        <f>IF(T47&gt;0.7,"High",IF(T47&gt;0.3,"Moderate",IF(T47&gt;0.15,"Low","No Impact")))</f>
        <v/>
      </c>
      <c r="V47">
        <f>F47*(R47*1)*(H47*0.35+J47*0.35+L47*0.3)</f>
        <v/>
      </c>
      <c r="W47">
        <f>(V47-$AJ$13)/$AK$13</f>
        <v/>
      </c>
      <c r="X47">
        <f>IF(W47&gt;0.7,"High",IF(W47&gt;0.3,"Moderate",IF(W47&gt;0.15,"Low","No Impact")))</f>
        <v/>
      </c>
      <c r="Y47">
        <f>F47*(P47*1)*(H47*0.35+J47*0.35+L47*0.3)</f>
        <v/>
      </c>
      <c r="Z47">
        <f>(Y47-$AJ$14)/$AK$14</f>
        <v/>
      </c>
      <c r="AA47">
        <f>IF(Z47&gt;0.7,"High",IF(Z47&gt;0.3,"Moderate",IF(Z47&gt;0.15,"Low","No Impact")))</f>
        <v/>
      </c>
      <c r="AB47">
        <f>F47*(R47*0.35+P47*0.3+N47*0.35)*(H47*0.35+J47*0.35+L47*0.3)</f>
        <v/>
      </c>
      <c r="AC47">
        <f>(AB47-$AJ$15)/$AK$15</f>
        <v/>
      </c>
      <c r="AD47">
        <f>IF(AC47&gt;0.7,"High",IF(AC47&gt;0.3,"Moderate",IF(AC47&gt;0.15,"Low","No Impact")))</f>
        <v/>
      </c>
      <c r="AE47">
        <f>F47*(N47*1)*(H47*0.35+J47*0.35+L47*0.3)</f>
        <v/>
      </c>
      <c r="AF47">
        <f>(AE47-$AJ$16)/$AK$16</f>
        <v/>
      </c>
      <c r="AG47">
        <f>IF(AF47&gt;0.7,"High",IF(AF47&gt;0.3,"Moderate",IF(AF47&gt;0.15,"Low","No Impact")))</f>
        <v/>
      </c>
    </row>
    <row r="48">
      <c r="A48" t="n">
        <v>200395</v>
      </c>
      <c r="B48" t="inlineStr">
        <is>
          <t>BD200395</t>
        </is>
      </c>
      <c r="C48" t="inlineStr">
        <is>
          <t>Bandarban</t>
        </is>
      </c>
      <c r="D48" t="inlineStr">
        <is>
          <t>Thanchi</t>
        </is>
      </c>
      <c r="E48" s="3" t="n">
        <v>7.7</v>
      </c>
      <c r="F48" s="4">
        <f>(E48-$AJ$5)/$AK$5</f>
        <v/>
      </c>
      <c r="G48" t="n">
        <v>78.901704</v>
      </c>
      <c r="H48">
        <f>(G48-$AJ$6)/$AK$6</f>
        <v/>
      </c>
      <c r="I48" t="n">
        <v>0.5999999999999999</v>
      </c>
      <c r="J48" s="4">
        <f>(I48-$AJ$7)/$AK$7</f>
        <v/>
      </c>
      <c r="K48" t="n">
        <v>0</v>
      </c>
      <c r="L48" s="4">
        <f>(K48-$AJ$8)/$AK$8</f>
        <v/>
      </c>
      <c r="M48" t="n">
        <v>2642</v>
      </c>
      <c r="N48">
        <f>(M48-$AJ$9)/$AK$9</f>
        <v/>
      </c>
      <c r="O48" t="n">
        <v>0.126312644</v>
      </c>
      <c r="P48">
        <f>(O48-$AJ$11)/$AK$11</f>
        <v/>
      </c>
      <c r="Q48" t="n">
        <v>0.3754</v>
      </c>
      <c r="R48">
        <f>(Q48-$AJ$12)/$AK$12</f>
        <v/>
      </c>
      <c r="S48">
        <f>F48*(R48*0.5+P48*0.5)*(H48*0.35+J48*0.35+L48*0.3)</f>
        <v/>
      </c>
      <c r="T48" s="14">
        <f>(S48-$AJ$10)/$AK$10</f>
        <v/>
      </c>
      <c r="U48">
        <f>IF(T48&gt;0.7,"High",IF(T48&gt;0.3,"Moderate",IF(T48&gt;0.15,"Low","No Impact")))</f>
        <v/>
      </c>
      <c r="V48">
        <f>F48*(R48*1)*(H48*0.35+J48*0.35+L48*0.3)</f>
        <v/>
      </c>
      <c r="W48">
        <f>(V48-$AJ$13)/$AK$13</f>
        <v/>
      </c>
      <c r="X48">
        <f>IF(W48&gt;0.7,"High",IF(W48&gt;0.3,"Moderate",IF(W48&gt;0.15,"Low","No Impact")))</f>
        <v/>
      </c>
      <c r="Y48">
        <f>F48*(P48*1)*(H48*0.35+J48*0.35+L48*0.3)</f>
        <v/>
      </c>
      <c r="Z48">
        <f>(Y48-$AJ$14)/$AK$14</f>
        <v/>
      </c>
      <c r="AA48">
        <f>IF(Z48&gt;0.7,"High",IF(Z48&gt;0.3,"Moderate",IF(Z48&gt;0.15,"Low","No Impact")))</f>
        <v/>
      </c>
      <c r="AB48">
        <f>F48*(R48*0.35+P48*0.3+N48*0.35)*(H48*0.35+J48*0.35+L48*0.3)</f>
        <v/>
      </c>
      <c r="AC48">
        <f>(AB48-$AJ$15)/$AK$15</f>
        <v/>
      </c>
      <c r="AD48">
        <f>IF(AC48&gt;0.7,"High",IF(AC48&gt;0.3,"Moderate",IF(AC48&gt;0.15,"Low","No Impact")))</f>
        <v/>
      </c>
      <c r="AE48">
        <f>F48*(N48*1)*(H48*0.35+J48*0.35+L48*0.3)</f>
        <v/>
      </c>
      <c r="AF48">
        <f>(AE48-$AJ$16)/$AK$16</f>
        <v/>
      </c>
      <c r="AG48">
        <f>IF(AF48&gt;0.7,"High",IF(AF48&gt;0.3,"Moderate",IF(AF48&gt;0.15,"Low","No Impact")))</f>
        <v/>
      </c>
    </row>
    <row r="49">
      <c r="A49" t="n">
        <v>201202</v>
      </c>
      <c r="B49" t="inlineStr">
        <is>
          <t>BD201202</t>
        </is>
      </c>
      <c r="C49" t="inlineStr">
        <is>
          <t>Brahamanbaria</t>
        </is>
      </c>
      <c r="D49" t="inlineStr">
        <is>
          <t>Akhaura</t>
        </is>
      </c>
      <c r="E49" s="3" t="n">
        <v>6</v>
      </c>
      <c r="F49" s="4">
        <f>(E49-$AJ$5)/$AK$5</f>
        <v/>
      </c>
      <c r="G49" t="n">
        <v>54.462924</v>
      </c>
      <c r="H49">
        <f>(G49-$AJ$6)/$AK$6</f>
        <v/>
      </c>
      <c r="I49" t="n">
        <v>0.9999999999999991</v>
      </c>
      <c r="J49" s="4">
        <f>(I49-$AJ$7)/$AK$7</f>
        <v/>
      </c>
      <c r="K49" t="n">
        <v>0</v>
      </c>
      <c r="L49" s="4">
        <f>(K49-$AJ$8)/$AK$8</f>
        <v/>
      </c>
      <c r="M49" t="n">
        <v>17023</v>
      </c>
      <c r="N49">
        <f>(M49-$AJ$9)/$AK$9</f>
        <v/>
      </c>
      <c r="O49" t="n">
        <v>0.138239841</v>
      </c>
      <c r="P49">
        <f>(O49-$AJ$11)/$AK$11</f>
        <v/>
      </c>
      <c r="Q49" t="n">
        <v>0.208</v>
      </c>
      <c r="R49">
        <f>(Q49-$AJ$12)/$AK$12</f>
        <v/>
      </c>
      <c r="S49">
        <f>F49*(R49*0.5+P49*0.5)*(H49*0.35+J49*0.35+L49*0.3)</f>
        <v/>
      </c>
      <c r="T49" s="14">
        <f>(S49-$AJ$10)/$AK$10</f>
        <v/>
      </c>
      <c r="U49">
        <f>IF(T49&gt;0.7,"High",IF(T49&gt;0.3,"Moderate",IF(T49&gt;0.15,"Low","No Impact")))</f>
        <v/>
      </c>
      <c r="V49">
        <f>F49*(R49*1)*(H49*0.35+J49*0.35+L49*0.3)</f>
        <v/>
      </c>
      <c r="W49">
        <f>(V49-$AJ$13)/$AK$13</f>
        <v/>
      </c>
      <c r="X49">
        <f>IF(W49&gt;0.7,"High",IF(W49&gt;0.3,"Moderate",IF(W49&gt;0.15,"Low","No Impact")))</f>
        <v/>
      </c>
      <c r="Y49">
        <f>F49*(P49*1)*(H49*0.35+J49*0.35+L49*0.3)</f>
        <v/>
      </c>
      <c r="Z49">
        <f>(Y49-$AJ$14)/$AK$14</f>
        <v/>
      </c>
      <c r="AA49">
        <f>IF(Z49&gt;0.7,"High",IF(Z49&gt;0.3,"Moderate",IF(Z49&gt;0.15,"Low","No Impact")))</f>
        <v/>
      </c>
      <c r="AB49">
        <f>F49*(R49*0.35+P49*0.3+N49*0.35)*(H49*0.35+J49*0.35+L49*0.3)</f>
        <v/>
      </c>
      <c r="AC49">
        <f>(AB49-$AJ$15)/$AK$15</f>
        <v/>
      </c>
      <c r="AD49">
        <f>IF(AC49&gt;0.7,"High",IF(AC49&gt;0.3,"Moderate",IF(AC49&gt;0.15,"Low","No Impact")))</f>
        <v/>
      </c>
      <c r="AE49">
        <f>F49*(N49*1)*(H49*0.35+J49*0.35+L49*0.3)</f>
        <v/>
      </c>
      <c r="AF49">
        <f>(AE49-$AJ$16)/$AK$16</f>
        <v/>
      </c>
      <c r="AG49">
        <f>IF(AF49&gt;0.7,"High",IF(AF49&gt;0.3,"Moderate",IF(AF49&gt;0.15,"Low","No Impact")))</f>
        <v/>
      </c>
    </row>
    <row r="50">
      <c r="A50" t="n">
        <v>201204</v>
      </c>
      <c r="B50" t="inlineStr">
        <is>
          <t>BD201204</t>
        </is>
      </c>
      <c r="C50" t="inlineStr">
        <is>
          <t>Brahamanbaria</t>
        </is>
      </c>
      <c r="D50" t="inlineStr">
        <is>
          <t>Banchharampur</t>
        </is>
      </c>
      <c r="E50" s="3" t="n">
        <v>6</v>
      </c>
      <c r="F50" s="4">
        <f>(E50-$AJ$5)/$AK$5</f>
        <v/>
      </c>
      <c r="G50" t="n">
        <v>57.0258144</v>
      </c>
      <c r="H50">
        <f>(G50-$AJ$6)/$AK$6</f>
        <v/>
      </c>
      <c r="I50" t="n">
        <v>1.899999999999999</v>
      </c>
      <c r="J50" s="4">
        <f>(I50-$AJ$7)/$AK$7</f>
        <v/>
      </c>
      <c r="K50" t="n">
        <v>0</v>
      </c>
      <c r="L50" s="4">
        <f>(K50-$AJ$8)/$AK$8</f>
        <v/>
      </c>
      <c r="M50" t="n">
        <v>40696</v>
      </c>
      <c r="N50">
        <f>(M50-$AJ$9)/$AK$9</f>
        <v/>
      </c>
      <c r="O50" t="n">
        <v>0.229054796</v>
      </c>
      <c r="P50">
        <f>(O50-$AJ$11)/$AK$11</f>
        <v/>
      </c>
      <c r="Q50" t="n">
        <v>0.2675</v>
      </c>
      <c r="R50">
        <f>(Q50-$AJ$12)/$AK$12</f>
        <v/>
      </c>
      <c r="S50">
        <f>F50*(R50*0.5+P50*0.5)*(H50*0.35+J50*0.35+L50*0.3)</f>
        <v/>
      </c>
      <c r="T50" s="14">
        <f>(S50-$AJ$10)/$AK$10</f>
        <v/>
      </c>
      <c r="U50">
        <f>IF(T50&gt;0.7,"High",IF(T50&gt;0.3,"Moderate",IF(T50&gt;0.15,"Low","No Impact")))</f>
        <v/>
      </c>
      <c r="V50">
        <f>F50*(R50*1)*(H50*0.35+J50*0.35+L50*0.3)</f>
        <v/>
      </c>
      <c r="W50">
        <f>(V50-$AJ$13)/$AK$13</f>
        <v/>
      </c>
      <c r="X50">
        <f>IF(W50&gt;0.7,"High",IF(W50&gt;0.3,"Moderate",IF(W50&gt;0.15,"Low","No Impact")))</f>
        <v/>
      </c>
      <c r="Y50">
        <f>F50*(P50*1)*(H50*0.35+J50*0.35+L50*0.3)</f>
        <v/>
      </c>
      <c r="Z50">
        <f>(Y50-$AJ$14)/$AK$14</f>
        <v/>
      </c>
      <c r="AA50">
        <f>IF(Z50&gt;0.7,"High",IF(Z50&gt;0.3,"Moderate",IF(Z50&gt;0.15,"Low","No Impact")))</f>
        <v/>
      </c>
      <c r="AB50">
        <f>F50*(R50*0.35+P50*0.3+N50*0.35)*(H50*0.35+J50*0.35+L50*0.3)</f>
        <v/>
      </c>
      <c r="AC50">
        <f>(AB50-$AJ$15)/$AK$15</f>
        <v/>
      </c>
      <c r="AD50">
        <f>IF(AC50&gt;0.7,"High",IF(AC50&gt;0.3,"Moderate",IF(AC50&gt;0.15,"Low","No Impact")))</f>
        <v/>
      </c>
      <c r="AE50">
        <f>F50*(N50*1)*(H50*0.35+J50*0.35+L50*0.3)</f>
        <v/>
      </c>
      <c r="AF50">
        <f>(AE50-$AJ$16)/$AK$16</f>
        <v/>
      </c>
      <c r="AG50">
        <f>IF(AF50&gt;0.7,"High",IF(AF50&gt;0.3,"Moderate",IF(AF50&gt;0.15,"Low","No Impact")))</f>
        <v/>
      </c>
    </row>
    <row r="51">
      <c r="A51" t="n">
        <v>201207</v>
      </c>
      <c r="B51" t="inlineStr">
        <is>
          <t>BD201207</t>
        </is>
      </c>
      <c r="C51" t="inlineStr">
        <is>
          <t>Brahamanbaria</t>
        </is>
      </c>
      <c r="D51" t="inlineStr">
        <is>
          <t>Bijoynagar</t>
        </is>
      </c>
      <c r="E51" s="3" t="n">
        <v>5.2</v>
      </c>
      <c r="F51" s="4">
        <f>(E51-$AJ$5)/$AK$5</f>
        <v/>
      </c>
      <c r="G51" t="n">
        <v>43.1761428</v>
      </c>
      <c r="H51">
        <f>(G51-$AJ$6)/$AK$6</f>
        <v/>
      </c>
      <c r="I51" t="n">
        <v>0.400000000000001</v>
      </c>
      <c r="J51" s="4">
        <f>(I51-$AJ$7)/$AK$7</f>
        <v/>
      </c>
      <c r="K51" t="n">
        <v>0</v>
      </c>
      <c r="L51" s="4">
        <f>(K51-$AJ$8)/$AK$8</f>
        <v/>
      </c>
      <c r="M51" t="n">
        <v>16310</v>
      </c>
      <c r="N51">
        <f>(M51-$AJ$9)/$AK$9</f>
        <v/>
      </c>
      <c r="O51" t="n">
        <v>0.336749593</v>
      </c>
      <c r="P51">
        <f>(O51-$AJ$11)/$AK$11</f>
        <v/>
      </c>
      <c r="Q51" t="n">
        <v>0.1846</v>
      </c>
      <c r="R51">
        <f>(Q51-$AJ$12)/$AK$12</f>
        <v/>
      </c>
      <c r="S51">
        <f>F51*(R51*0.5+P51*0.5)*(H51*0.35+J51*0.35+L51*0.3)</f>
        <v/>
      </c>
      <c r="T51" s="14">
        <f>(S51-$AJ$10)/$AK$10</f>
        <v/>
      </c>
      <c r="U51">
        <f>IF(T51&gt;0.7,"High",IF(T51&gt;0.3,"Moderate",IF(T51&gt;0.15,"Low","No Impact")))</f>
        <v/>
      </c>
      <c r="V51">
        <f>F51*(R51*1)*(H51*0.35+J51*0.35+L51*0.3)</f>
        <v/>
      </c>
      <c r="W51">
        <f>(V51-$AJ$13)/$AK$13</f>
        <v/>
      </c>
      <c r="X51">
        <f>IF(W51&gt;0.7,"High",IF(W51&gt;0.3,"Moderate",IF(W51&gt;0.15,"Low","No Impact")))</f>
        <v/>
      </c>
      <c r="Y51">
        <f>F51*(P51*1)*(H51*0.35+J51*0.35+L51*0.3)</f>
        <v/>
      </c>
      <c r="Z51">
        <f>(Y51-$AJ$14)/$AK$14</f>
        <v/>
      </c>
      <c r="AA51">
        <f>IF(Z51&gt;0.7,"High",IF(Z51&gt;0.3,"Moderate",IF(Z51&gt;0.15,"Low","No Impact")))</f>
        <v/>
      </c>
      <c r="AB51">
        <f>F51*(R51*0.35+P51*0.3+N51*0.35)*(H51*0.35+J51*0.35+L51*0.3)</f>
        <v/>
      </c>
      <c r="AC51">
        <f>(AB51-$AJ$15)/$AK$15</f>
        <v/>
      </c>
      <c r="AD51">
        <f>IF(AC51&gt;0.7,"High",IF(AC51&gt;0.3,"Moderate",IF(AC51&gt;0.15,"Low","No Impact")))</f>
        <v/>
      </c>
      <c r="AE51">
        <f>F51*(N51*1)*(H51*0.35+J51*0.35+L51*0.3)</f>
        <v/>
      </c>
      <c r="AF51">
        <f>(AE51-$AJ$16)/$AK$16</f>
        <v/>
      </c>
      <c r="AG51">
        <f>IF(AF51&gt;0.7,"High",IF(AF51&gt;0.3,"Moderate",IF(AF51&gt;0.15,"Low","No Impact")))</f>
        <v/>
      </c>
    </row>
    <row r="52">
      <c r="A52" t="n">
        <v>201213</v>
      </c>
      <c r="B52" t="inlineStr">
        <is>
          <t>BD201213</t>
        </is>
      </c>
      <c r="C52" t="inlineStr">
        <is>
          <t>Brahamanbaria</t>
        </is>
      </c>
      <c r="D52" t="inlineStr">
        <is>
          <t>Brahmanbaria Sadar</t>
        </is>
      </c>
      <c r="E52" s="3" t="n">
        <v>6</v>
      </c>
      <c r="F52" s="4">
        <f>(E52-$AJ$5)/$AK$5</f>
        <v/>
      </c>
      <c r="G52" t="n">
        <v>54.462924</v>
      </c>
      <c r="H52">
        <f>(G52-$AJ$6)/$AK$6</f>
        <v/>
      </c>
      <c r="I52" t="n">
        <v>0.8999999999999998</v>
      </c>
      <c r="J52" s="4">
        <f>(I52-$AJ$7)/$AK$7</f>
        <v/>
      </c>
      <c r="K52" t="n">
        <v>0</v>
      </c>
      <c r="L52" s="4">
        <f>(K52-$AJ$8)/$AK$8</f>
        <v/>
      </c>
      <c r="M52" t="n">
        <v>60378</v>
      </c>
      <c r="N52">
        <f>(M52-$AJ$9)/$AK$9</f>
        <v/>
      </c>
      <c r="O52" t="n">
        <v>0.615149289</v>
      </c>
      <c r="P52">
        <f>(O52-$AJ$11)/$AK$11</f>
        <v/>
      </c>
      <c r="Q52" t="n">
        <v>0.189</v>
      </c>
      <c r="R52">
        <f>(Q52-$AJ$12)/$AK$12</f>
        <v/>
      </c>
      <c r="S52">
        <f>F52*(R52*0.5+P52*0.5)*(H52*0.35+J52*0.35+L52*0.3)</f>
        <v/>
      </c>
      <c r="T52" s="14">
        <f>(S52-$AJ$10)/$AK$10</f>
        <v/>
      </c>
      <c r="U52">
        <f>IF(T52&gt;0.7,"High",IF(T52&gt;0.3,"Moderate",IF(T52&gt;0.15,"Low","No Impact")))</f>
        <v/>
      </c>
      <c r="V52">
        <f>F52*(R52*1)*(H52*0.35+J52*0.35+L52*0.3)</f>
        <v/>
      </c>
      <c r="W52">
        <f>(V52-$AJ$13)/$AK$13</f>
        <v/>
      </c>
      <c r="X52">
        <f>IF(W52&gt;0.7,"High",IF(W52&gt;0.3,"Moderate",IF(W52&gt;0.15,"Low","No Impact")))</f>
        <v/>
      </c>
      <c r="Y52">
        <f>F52*(P52*1)*(H52*0.35+J52*0.35+L52*0.3)</f>
        <v/>
      </c>
      <c r="Z52">
        <f>(Y52-$AJ$14)/$AK$14</f>
        <v/>
      </c>
      <c r="AA52">
        <f>IF(Z52&gt;0.7,"High",IF(Z52&gt;0.3,"Moderate",IF(Z52&gt;0.15,"Low","No Impact")))</f>
        <v/>
      </c>
      <c r="AB52">
        <f>F52*(R52*0.35+P52*0.3+N52*0.35)*(H52*0.35+J52*0.35+L52*0.3)</f>
        <v/>
      </c>
      <c r="AC52">
        <f>(AB52-$AJ$15)/$AK$15</f>
        <v/>
      </c>
      <c r="AD52">
        <f>IF(AC52&gt;0.7,"High",IF(AC52&gt;0.3,"Moderate",IF(AC52&gt;0.15,"Low","No Impact")))</f>
        <v/>
      </c>
      <c r="AE52">
        <f>F52*(N52*1)*(H52*0.35+J52*0.35+L52*0.3)</f>
        <v/>
      </c>
      <c r="AF52">
        <f>(AE52-$AJ$16)/$AK$16</f>
        <v/>
      </c>
      <c r="AG52">
        <f>IF(AF52&gt;0.7,"High",IF(AF52&gt;0.3,"Moderate",IF(AF52&gt;0.15,"Low","No Impact")))</f>
        <v/>
      </c>
    </row>
    <row r="53">
      <c r="A53" t="n">
        <v>201233</v>
      </c>
      <c r="B53" t="inlineStr">
        <is>
          <t>BD201233</t>
        </is>
      </c>
      <c r="C53" t="inlineStr">
        <is>
          <t>Brahamanbaria</t>
        </is>
      </c>
      <c r="D53" t="inlineStr">
        <is>
          <t>Ashuganj</t>
        </is>
      </c>
      <c r="E53" s="3" t="n">
        <v>6</v>
      </c>
      <c r="F53" s="4">
        <f>(E53-$AJ$5)/$AK$5</f>
        <v/>
      </c>
      <c r="G53" t="n">
        <v>43.1761428</v>
      </c>
      <c r="H53">
        <f>(G53-$AJ$6)/$AK$6</f>
        <v/>
      </c>
      <c r="I53" t="n">
        <v>0.4999999999999996</v>
      </c>
      <c r="J53" s="4">
        <f>(I53-$AJ$7)/$AK$7</f>
        <v/>
      </c>
      <c r="K53" t="n">
        <v>0</v>
      </c>
      <c r="L53" s="4">
        <f>(K53-$AJ$8)/$AK$8</f>
        <v/>
      </c>
      <c r="M53" t="n">
        <v>21752</v>
      </c>
      <c r="N53">
        <f>(M53-$AJ$9)/$AK$9</f>
        <v/>
      </c>
      <c r="O53" t="n">
        <v>0.261648303</v>
      </c>
      <c r="P53">
        <f>(O53-$AJ$11)/$AK$11</f>
        <v/>
      </c>
      <c r="Q53" t="n">
        <v>0.2098</v>
      </c>
      <c r="R53">
        <f>(Q53-$AJ$12)/$AK$12</f>
        <v/>
      </c>
      <c r="S53">
        <f>F53*(R53*0.5+P53*0.5)*(H53*0.35+J53*0.35+L53*0.3)</f>
        <v/>
      </c>
      <c r="T53" s="14">
        <f>(S53-$AJ$10)/$AK$10</f>
        <v/>
      </c>
      <c r="U53">
        <f>IF(T53&gt;0.7,"High",IF(T53&gt;0.3,"Moderate",IF(T53&gt;0.15,"Low","No Impact")))</f>
        <v/>
      </c>
      <c r="V53">
        <f>F53*(R53*1)*(H53*0.35+J53*0.35+L53*0.3)</f>
        <v/>
      </c>
      <c r="W53">
        <f>(V53-$AJ$13)/$AK$13</f>
        <v/>
      </c>
      <c r="X53">
        <f>IF(W53&gt;0.7,"High",IF(W53&gt;0.3,"Moderate",IF(W53&gt;0.15,"Low","No Impact")))</f>
        <v/>
      </c>
      <c r="Y53">
        <f>F53*(P53*1)*(H53*0.35+J53*0.35+L53*0.3)</f>
        <v/>
      </c>
      <c r="Z53">
        <f>(Y53-$AJ$14)/$AK$14</f>
        <v/>
      </c>
      <c r="AA53">
        <f>IF(Z53&gt;0.7,"High",IF(Z53&gt;0.3,"Moderate",IF(Z53&gt;0.15,"Low","No Impact")))</f>
        <v/>
      </c>
      <c r="AB53">
        <f>F53*(R53*0.35+P53*0.3+N53*0.35)*(H53*0.35+J53*0.35+L53*0.3)</f>
        <v/>
      </c>
      <c r="AC53">
        <f>(AB53-$AJ$15)/$AK$15</f>
        <v/>
      </c>
      <c r="AD53">
        <f>IF(AC53&gt;0.7,"High",IF(AC53&gt;0.3,"Moderate",IF(AC53&gt;0.15,"Low","No Impact")))</f>
        <v/>
      </c>
      <c r="AE53">
        <f>F53*(N53*1)*(H53*0.35+J53*0.35+L53*0.3)</f>
        <v/>
      </c>
      <c r="AF53">
        <f>(AE53-$AJ$16)/$AK$16</f>
        <v/>
      </c>
      <c r="AG53">
        <f>IF(AF53&gt;0.7,"High",IF(AF53&gt;0.3,"Moderate",IF(AF53&gt;0.15,"Low","No Impact")))</f>
        <v/>
      </c>
    </row>
    <row r="54">
      <c r="A54" t="n">
        <v>201263</v>
      </c>
      <c r="B54" t="inlineStr">
        <is>
          <t>BD201263</t>
        </is>
      </c>
      <c r="C54" t="inlineStr">
        <is>
          <t>Brahamanbaria</t>
        </is>
      </c>
      <c r="D54" t="inlineStr">
        <is>
          <t>Kasba</t>
        </is>
      </c>
      <c r="E54" s="3" t="n">
        <v>5.9</v>
      </c>
      <c r="F54" s="4">
        <f>(E54-$AJ$5)/$AK$5</f>
        <v/>
      </c>
      <c r="G54" t="n">
        <v>54.462924</v>
      </c>
      <c r="H54">
        <f>(G54-$AJ$6)/$AK$6</f>
        <v/>
      </c>
      <c r="I54" t="n">
        <v>1.300000000000001</v>
      </c>
      <c r="J54" s="4">
        <f>(I54-$AJ$7)/$AK$7</f>
        <v/>
      </c>
      <c r="K54" t="n">
        <v>0</v>
      </c>
      <c r="L54" s="4">
        <f>(K54-$AJ$8)/$AK$8</f>
        <v/>
      </c>
      <c r="M54" t="n">
        <v>28839</v>
      </c>
      <c r="N54">
        <f>(M54-$AJ$9)/$AK$9</f>
        <v/>
      </c>
      <c r="O54" t="n">
        <v>0.328014455</v>
      </c>
      <c r="P54">
        <f>(O54-$AJ$11)/$AK$11</f>
        <v/>
      </c>
      <c r="Q54" t="n">
        <v>0.2254</v>
      </c>
      <c r="R54">
        <f>(Q54-$AJ$12)/$AK$12</f>
        <v/>
      </c>
      <c r="S54">
        <f>F54*(R54*0.5+P54*0.5)*(H54*0.35+J54*0.35+L54*0.3)</f>
        <v/>
      </c>
      <c r="T54" s="14">
        <f>(S54-$AJ$10)/$AK$10</f>
        <v/>
      </c>
      <c r="U54">
        <f>IF(T54&gt;0.7,"High",IF(T54&gt;0.3,"Moderate",IF(T54&gt;0.15,"Low","No Impact")))</f>
        <v/>
      </c>
      <c r="V54">
        <f>F54*(R54*1)*(H54*0.35+J54*0.35+L54*0.3)</f>
        <v/>
      </c>
      <c r="W54">
        <f>(V54-$AJ$13)/$AK$13</f>
        <v/>
      </c>
      <c r="X54">
        <f>IF(W54&gt;0.7,"High",IF(W54&gt;0.3,"Moderate",IF(W54&gt;0.15,"Low","No Impact")))</f>
        <v/>
      </c>
      <c r="Y54">
        <f>F54*(P54*1)*(H54*0.35+J54*0.35+L54*0.3)</f>
        <v/>
      </c>
      <c r="Z54">
        <f>(Y54-$AJ$14)/$AK$14</f>
        <v/>
      </c>
      <c r="AA54">
        <f>IF(Z54&gt;0.7,"High",IF(Z54&gt;0.3,"Moderate",IF(Z54&gt;0.15,"Low","No Impact")))</f>
        <v/>
      </c>
      <c r="AB54">
        <f>F54*(R54*0.35+P54*0.3+N54*0.35)*(H54*0.35+J54*0.35+L54*0.3)</f>
        <v/>
      </c>
      <c r="AC54">
        <f>(AB54-$AJ$15)/$AK$15</f>
        <v/>
      </c>
      <c r="AD54">
        <f>IF(AC54&gt;0.7,"High",IF(AC54&gt;0.3,"Moderate",IF(AC54&gt;0.15,"Low","No Impact")))</f>
        <v/>
      </c>
      <c r="AE54">
        <f>F54*(N54*1)*(H54*0.35+J54*0.35+L54*0.3)</f>
        <v/>
      </c>
      <c r="AF54">
        <f>(AE54-$AJ$16)/$AK$16</f>
        <v/>
      </c>
      <c r="AG54">
        <f>IF(AF54&gt;0.7,"High",IF(AF54&gt;0.3,"Moderate",IF(AF54&gt;0.15,"Low","No Impact")))</f>
        <v/>
      </c>
    </row>
    <row r="55">
      <c r="A55" t="n">
        <v>201285</v>
      </c>
      <c r="B55" t="inlineStr">
        <is>
          <t>BD201285</t>
        </is>
      </c>
      <c r="C55" t="inlineStr">
        <is>
          <t>Brahamanbaria</t>
        </is>
      </c>
      <c r="D55" t="inlineStr">
        <is>
          <t>Nabinagar</t>
        </is>
      </c>
      <c r="E55" s="3" t="n">
        <v>6</v>
      </c>
      <c r="F55" s="4">
        <f>(E55-$AJ$5)/$AK$5</f>
        <v/>
      </c>
      <c r="G55" t="n">
        <v>57.0258144</v>
      </c>
      <c r="H55">
        <f>(G55-$AJ$6)/$AK$6</f>
        <v/>
      </c>
      <c r="I55" t="n">
        <v>1.2</v>
      </c>
      <c r="J55" s="4">
        <f>(I55-$AJ$7)/$AK$7</f>
        <v/>
      </c>
      <c r="K55" t="n">
        <v>0</v>
      </c>
      <c r="L55" s="4">
        <f>(K55-$AJ$8)/$AK$8</f>
        <v/>
      </c>
      <c r="M55" t="n">
        <v>31740</v>
      </c>
      <c r="N55">
        <f>(M55-$AJ$9)/$AK$9</f>
        <v/>
      </c>
      <c r="O55" t="n">
        <v>0.53308235</v>
      </c>
      <c r="P55">
        <f>(O55-$AJ$11)/$AK$11</f>
        <v/>
      </c>
      <c r="Q55" t="n">
        <v>0.2248</v>
      </c>
      <c r="R55">
        <f>(Q55-$AJ$12)/$AK$12</f>
        <v/>
      </c>
      <c r="S55">
        <f>F55*(R55*0.5+P55*0.5)*(H55*0.35+J55*0.35+L55*0.3)</f>
        <v/>
      </c>
      <c r="T55" s="14">
        <f>(S55-$AJ$10)/$AK$10</f>
        <v/>
      </c>
      <c r="U55">
        <f>IF(T55&gt;0.7,"High",IF(T55&gt;0.3,"Moderate",IF(T55&gt;0.15,"Low","No Impact")))</f>
        <v/>
      </c>
      <c r="V55">
        <f>F55*(R55*1)*(H55*0.35+J55*0.35+L55*0.3)</f>
        <v/>
      </c>
      <c r="W55">
        <f>(V55-$AJ$13)/$AK$13</f>
        <v/>
      </c>
      <c r="X55">
        <f>IF(W55&gt;0.7,"High",IF(W55&gt;0.3,"Moderate",IF(W55&gt;0.15,"Low","No Impact")))</f>
        <v/>
      </c>
      <c r="Y55">
        <f>F55*(P55*1)*(H55*0.35+J55*0.35+L55*0.3)</f>
        <v/>
      </c>
      <c r="Z55">
        <f>(Y55-$AJ$14)/$AK$14</f>
        <v/>
      </c>
      <c r="AA55">
        <f>IF(Z55&gt;0.7,"High",IF(Z55&gt;0.3,"Moderate",IF(Z55&gt;0.15,"Low","No Impact")))</f>
        <v/>
      </c>
      <c r="AB55">
        <f>F55*(R55*0.35+P55*0.3+N55*0.35)*(H55*0.35+J55*0.35+L55*0.3)</f>
        <v/>
      </c>
      <c r="AC55">
        <f>(AB55-$AJ$15)/$AK$15</f>
        <v/>
      </c>
      <c r="AD55">
        <f>IF(AC55&gt;0.7,"High",IF(AC55&gt;0.3,"Moderate",IF(AC55&gt;0.15,"Low","No Impact")))</f>
        <v/>
      </c>
      <c r="AE55">
        <f>F55*(N55*1)*(H55*0.35+J55*0.35+L55*0.3)</f>
        <v/>
      </c>
      <c r="AF55">
        <f>(AE55-$AJ$16)/$AK$16</f>
        <v/>
      </c>
      <c r="AG55">
        <f>IF(AF55&gt;0.7,"High",IF(AF55&gt;0.3,"Moderate",IF(AF55&gt;0.15,"Low","No Impact")))</f>
        <v/>
      </c>
    </row>
    <row r="56">
      <c r="A56" t="n">
        <v>201290</v>
      </c>
      <c r="B56" t="inlineStr">
        <is>
          <t>BD201290</t>
        </is>
      </c>
      <c r="C56" t="inlineStr">
        <is>
          <t>Brahamanbaria</t>
        </is>
      </c>
      <c r="D56" t="inlineStr">
        <is>
          <t>Nasirnagar</t>
        </is>
      </c>
      <c r="E56" s="3" t="n">
        <v>5.8</v>
      </c>
      <c r="F56" s="4">
        <f>(E56-$AJ$5)/$AK$5</f>
        <v/>
      </c>
      <c r="G56" t="n">
        <v>42.2039376</v>
      </c>
      <c r="H56">
        <f>(G56-$AJ$6)/$AK$6</f>
        <v/>
      </c>
      <c r="I56" t="n">
        <v>0.2000000000000005</v>
      </c>
      <c r="J56" s="4">
        <f>(I56-$AJ$7)/$AK$7</f>
        <v/>
      </c>
      <c r="K56" t="n">
        <v>0</v>
      </c>
      <c r="L56" s="4">
        <f>(K56-$AJ$8)/$AK$8</f>
        <v/>
      </c>
      <c r="M56" t="n">
        <v>31073</v>
      </c>
      <c r="N56">
        <f>(M56-$AJ$9)/$AK$9</f>
        <v/>
      </c>
      <c r="O56" t="n">
        <v>0.271907805</v>
      </c>
      <c r="P56">
        <f>(O56-$AJ$11)/$AK$11</f>
        <v/>
      </c>
      <c r="Q56" t="n">
        <v>0.181</v>
      </c>
      <c r="R56">
        <f>(Q56-$AJ$12)/$AK$12</f>
        <v/>
      </c>
      <c r="S56">
        <f>F56*(R56*0.5+P56*0.5)*(H56*0.35+J56*0.35+L56*0.3)</f>
        <v/>
      </c>
      <c r="T56" s="14">
        <f>(S56-$AJ$10)/$AK$10</f>
        <v/>
      </c>
      <c r="U56">
        <f>IF(T56&gt;0.7,"High",IF(T56&gt;0.3,"Moderate",IF(T56&gt;0.15,"Low","No Impact")))</f>
        <v/>
      </c>
      <c r="V56">
        <f>F56*(R56*1)*(H56*0.35+J56*0.35+L56*0.3)</f>
        <v/>
      </c>
      <c r="W56">
        <f>(V56-$AJ$13)/$AK$13</f>
        <v/>
      </c>
      <c r="X56">
        <f>IF(W56&gt;0.7,"High",IF(W56&gt;0.3,"Moderate",IF(W56&gt;0.15,"Low","No Impact")))</f>
        <v/>
      </c>
      <c r="Y56">
        <f>F56*(P56*1)*(H56*0.35+J56*0.35+L56*0.3)</f>
        <v/>
      </c>
      <c r="Z56">
        <f>(Y56-$AJ$14)/$AK$14</f>
        <v/>
      </c>
      <c r="AA56">
        <f>IF(Z56&gt;0.7,"High",IF(Z56&gt;0.3,"Moderate",IF(Z56&gt;0.15,"Low","No Impact")))</f>
        <v/>
      </c>
      <c r="AB56">
        <f>F56*(R56*0.35+P56*0.3+N56*0.35)*(H56*0.35+J56*0.35+L56*0.3)</f>
        <v/>
      </c>
      <c r="AC56">
        <f>(AB56-$AJ$15)/$AK$15</f>
        <v/>
      </c>
      <c r="AD56">
        <f>IF(AC56&gt;0.7,"High",IF(AC56&gt;0.3,"Moderate",IF(AC56&gt;0.15,"Low","No Impact")))</f>
        <v/>
      </c>
      <c r="AE56">
        <f>F56*(N56*1)*(H56*0.35+J56*0.35+L56*0.3)</f>
        <v/>
      </c>
      <c r="AF56">
        <f>(AE56-$AJ$16)/$AK$16</f>
        <v/>
      </c>
      <c r="AG56">
        <f>IF(AF56&gt;0.7,"High",IF(AF56&gt;0.3,"Moderate",IF(AF56&gt;0.15,"Low","No Impact")))</f>
        <v/>
      </c>
    </row>
    <row r="57">
      <c r="A57" t="n">
        <v>201294</v>
      </c>
      <c r="B57" t="inlineStr">
        <is>
          <t>BD201294</t>
        </is>
      </c>
      <c r="C57" t="inlineStr">
        <is>
          <t>Brahamanbaria</t>
        </is>
      </c>
      <c r="D57" t="inlineStr">
        <is>
          <t>Sarail</t>
        </is>
      </c>
      <c r="E57" s="3" t="n">
        <v>5.5</v>
      </c>
      <c r="F57" s="4">
        <f>(E57-$AJ$5)/$AK$5</f>
        <v/>
      </c>
      <c r="G57" t="n">
        <v>43.1761428</v>
      </c>
      <c r="H57">
        <f>(G57-$AJ$6)/$AK$6</f>
        <v/>
      </c>
      <c r="I57" t="n">
        <v>0.2999999999999999</v>
      </c>
      <c r="J57" s="4">
        <f>(I57-$AJ$7)/$AK$7</f>
        <v/>
      </c>
      <c r="K57" t="n">
        <v>0</v>
      </c>
      <c r="L57" s="4">
        <f>(K57-$AJ$8)/$AK$8</f>
        <v/>
      </c>
      <c r="M57" t="n">
        <v>26913</v>
      </c>
      <c r="N57">
        <f>(M57-$AJ$9)/$AK$9</f>
        <v/>
      </c>
      <c r="O57" t="n">
        <v>0.529465435</v>
      </c>
      <c r="P57">
        <f>(O57-$AJ$11)/$AK$11</f>
        <v/>
      </c>
      <c r="Q57" t="n">
        <v>0.1587</v>
      </c>
      <c r="R57">
        <f>(Q57-$AJ$12)/$AK$12</f>
        <v/>
      </c>
      <c r="S57">
        <f>F57*(R57*0.5+P57*0.5)*(H57*0.35+J57*0.35+L57*0.3)</f>
        <v/>
      </c>
      <c r="T57" s="14">
        <f>(S57-$AJ$10)/$AK$10</f>
        <v/>
      </c>
      <c r="U57">
        <f>IF(T57&gt;0.7,"High",IF(T57&gt;0.3,"Moderate",IF(T57&gt;0.15,"Low","No Impact")))</f>
        <v/>
      </c>
      <c r="V57">
        <f>F57*(R57*1)*(H57*0.35+J57*0.35+L57*0.3)</f>
        <v/>
      </c>
      <c r="W57">
        <f>(V57-$AJ$13)/$AK$13</f>
        <v/>
      </c>
      <c r="X57">
        <f>IF(W57&gt;0.7,"High",IF(W57&gt;0.3,"Moderate",IF(W57&gt;0.15,"Low","No Impact")))</f>
        <v/>
      </c>
      <c r="Y57">
        <f>F57*(P57*1)*(H57*0.35+J57*0.35+L57*0.3)</f>
        <v/>
      </c>
      <c r="Z57">
        <f>(Y57-$AJ$14)/$AK$14</f>
        <v/>
      </c>
      <c r="AA57">
        <f>IF(Z57&gt;0.7,"High",IF(Z57&gt;0.3,"Moderate",IF(Z57&gt;0.15,"Low","No Impact")))</f>
        <v/>
      </c>
      <c r="AB57">
        <f>F57*(R57*0.35+P57*0.3+N57*0.35)*(H57*0.35+J57*0.35+L57*0.3)</f>
        <v/>
      </c>
      <c r="AC57">
        <f>(AB57-$AJ$15)/$AK$15</f>
        <v/>
      </c>
      <c r="AD57">
        <f>IF(AC57&gt;0.7,"High",IF(AC57&gt;0.3,"Moderate",IF(AC57&gt;0.15,"Low","No Impact")))</f>
        <v/>
      </c>
      <c r="AE57">
        <f>F57*(N57*1)*(H57*0.35+J57*0.35+L57*0.3)</f>
        <v/>
      </c>
      <c r="AF57">
        <f>(AE57-$AJ$16)/$AK$16</f>
        <v/>
      </c>
      <c r="AG57">
        <f>IF(AF57&gt;0.7,"High",IF(AF57&gt;0.3,"Moderate",IF(AF57&gt;0.15,"Low","No Impact")))</f>
        <v/>
      </c>
    </row>
    <row r="58">
      <c r="A58" t="n">
        <v>201322</v>
      </c>
      <c r="B58" t="inlineStr">
        <is>
          <t>BD201322</t>
        </is>
      </c>
      <c r="C58" t="inlineStr">
        <is>
          <t>Chandpur</t>
        </is>
      </c>
      <c r="D58" t="inlineStr">
        <is>
          <t>Chandpur Sadar</t>
        </is>
      </c>
      <c r="E58" s="3" t="n">
        <v>6</v>
      </c>
      <c r="F58" s="4">
        <f>(E58-$AJ$5)/$AK$5</f>
        <v/>
      </c>
      <c r="G58" t="n">
        <v>75.5585676</v>
      </c>
      <c r="H58">
        <f>(G58-$AJ$6)/$AK$6</f>
        <v/>
      </c>
      <c r="I58" t="n">
        <v>12.8</v>
      </c>
      <c r="J58" s="4">
        <f>(I58-$AJ$7)/$AK$7</f>
        <v/>
      </c>
      <c r="K58" t="n">
        <v>0</v>
      </c>
      <c r="L58" s="4">
        <f>(K58-$AJ$8)/$AK$8</f>
        <v/>
      </c>
      <c r="M58" t="n">
        <v>31606</v>
      </c>
      <c r="N58">
        <f>(M58-$AJ$9)/$AK$9</f>
        <v/>
      </c>
      <c r="O58" t="n">
        <v>0.561877916</v>
      </c>
      <c r="P58">
        <f>(O58-$AJ$11)/$AK$11</f>
        <v/>
      </c>
      <c r="Q58" t="n">
        <v>0.3079</v>
      </c>
      <c r="R58">
        <f>(Q58-$AJ$12)/$AK$12</f>
        <v/>
      </c>
      <c r="S58">
        <f>F58*(R58*0.5+P58*0.5)*(H58*0.35+J58*0.35+L58*0.3)</f>
        <v/>
      </c>
      <c r="T58" s="14">
        <f>(S58-$AJ$10)/$AK$10</f>
        <v/>
      </c>
      <c r="U58">
        <f>IF(T58&gt;0.7,"High",IF(T58&gt;0.3,"Moderate",IF(T58&gt;0.15,"Low","No Impact")))</f>
        <v/>
      </c>
      <c r="V58">
        <f>F58*(R58*1)*(H58*0.35+J58*0.35+L58*0.3)</f>
        <v/>
      </c>
      <c r="W58">
        <f>(V58-$AJ$13)/$AK$13</f>
        <v/>
      </c>
      <c r="X58">
        <f>IF(W58&gt;0.7,"High",IF(W58&gt;0.3,"Moderate",IF(W58&gt;0.15,"Low","No Impact")))</f>
        <v/>
      </c>
      <c r="Y58">
        <f>F58*(P58*1)*(H58*0.35+J58*0.35+L58*0.3)</f>
        <v/>
      </c>
      <c r="Z58">
        <f>(Y58-$AJ$14)/$AK$14</f>
        <v/>
      </c>
      <c r="AA58">
        <f>IF(Z58&gt;0.7,"High",IF(Z58&gt;0.3,"Moderate",IF(Z58&gt;0.15,"Low","No Impact")))</f>
        <v/>
      </c>
      <c r="AB58">
        <f>F58*(R58*0.35+P58*0.3+N58*0.35)*(H58*0.35+J58*0.35+L58*0.3)</f>
        <v/>
      </c>
      <c r="AC58">
        <f>(AB58-$AJ$15)/$AK$15</f>
        <v/>
      </c>
      <c r="AD58">
        <f>IF(AC58&gt;0.7,"High",IF(AC58&gt;0.3,"Moderate",IF(AC58&gt;0.15,"Low","No Impact")))</f>
        <v/>
      </c>
      <c r="AE58">
        <f>F58*(N58*1)*(H58*0.35+J58*0.35+L58*0.3)</f>
        <v/>
      </c>
      <c r="AF58">
        <f>(AE58-$AJ$16)/$AK$16</f>
        <v/>
      </c>
      <c r="AG58">
        <f>IF(AF58&gt;0.7,"High",IF(AF58&gt;0.3,"Moderate",IF(AF58&gt;0.15,"Low","No Impact")))</f>
        <v/>
      </c>
    </row>
    <row r="59">
      <c r="A59" t="n">
        <v>201345</v>
      </c>
      <c r="B59" t="inlineStr">
        <is>
          <t>BD201345</t>
        </is>
      </c>
      <c r="C59" t="inlineStr">
        <is>
          <t>Chandpur</t>
        </is>
      </c>
      <c r="D59" t="inlineStr">
        <is>
          <t>Faridganj</t>
        </is>
      </c>
      <c r="E59" s="3" t="n">
        <v>6</v>
      </c>
      <c r="F59" s="4">
        <f>(E59-$AJ$5)/$AK$5</f>
        <v/>
      </c>
      <c r="G59" t="n">
        <v>69.6312252</v>
      </c>
      <c r="H59">
        <f>(G59-$AJ$6)/$AK$6</f>
        <v/>
      </c>
      <c r="I59" t="n">
        <v>10.4</v>
      </c>
      <c r="J59" s="4">
        <f>(I59-$AJ$7)/$AK$7</f>
        <v/>
      </c>
      <c r="K59" t="n">
        <v>0</v>
      </c>
      <c r="L59" s="4">
        <f>(K59-$AJ$8)/$AK$8</f>
        <v/>
      </c>
      <c r="M59" t="n">
        <v>25019</v>
      </c>
      <c r="N59">
        <f>(M59-$AJ$9)/$AK$9</f>
        <v/>
      </c>
      <c r="O59" t="n">
        <v>0.51858346</v>
      </c>
      <c r="P59">
        <f>(O59-$AJ$11)/$AK$11</f>
        <v/>
      </c>
      <c r="Q59" t="n">
        <v>0.3234</v>
      </c>
      <c r="R59">
        <f>(Q59-$AJ$12)/$AK$12</f>
        <v/>
      </c>
      <c r="S59">
        <f>F59*(R59*0.5+P59*0.5)*(H59*0.35+J59*0.35+L59*0.3)</f>
        <v/>
      </c>
      <c r="T59" s="14">
        <f>(S59-$AJ$10)/$AK$10</f>
        <v/>
      </c>
      <c r="U59">
        <f>IF(T59&gt;0.7,"High",IF(T59&gt;0.3,"Moderate",IF(T59&gt;0.15,"Low","No Impact")))</f>
        <v/>
      </c>
      <c r="V59">
        <f>F59*(R59*1)*(H59*0.35+J59*0.35+L59*0.3)</f>
        <v/>
      </c>
      <c r="W59">
        <f>(V59-$AJ$13)/$AK$13</f>
        <v/>
      </c>
      <c r="X59">
        <f>IF(W59&gt;0.7,"High",IF(W59&gt;0.3,"Moderate",IF(W59&gt;0.15,"Low","No Impact")))</f>
        <v/>
      </c>
      <c r="Y59">
        <f>F59*(P59*1)*(H59*0.35+J59*0.35+L59*0.3)</f>
        <v/>
      </c>
      <c r="Z59">
        <f>(Y59-$AJ$14)/$AK$14</f>
        <v/>
      </c>
      <c r="AA59">
        <f>IF(Z59&gt;0.7,"High",IF(Z59&gt;0.3,"Moderate",IF(Z59&gt;0.15,"Low","No Impact")))</f>
        <v/>
      </c>
      <c r="AB59">
        <f>F59*(R59*0.35+P59*0.3+N59*0.35)*(H59*0.35+J59*0.35+L59*0.3)</f>
        <v/>
      </c>
      <c r="AC59">
        <f>(AB59-$AJ$15)/$AK$15</f>
        <v/>
      </c>
      <c r="AD59">
        <f>IF(AC59&gt;0.7,"High",IF(AC59&gt;0.3,"Moderate",IF(AC59&gt;0.15,"Low","No Impact")))</f>
        <v/>
      </c>
      <c r="AE59">
        <f>F59*(N59*1)*(H59*0.35+J59*0.35+L59*0.3)</f>
        <v/>
      </c>
      <c r="AF59">
        <f>(AE59-$AJ$16)/$AK$16</f>
        <v/>
      </c>
      <c r="AG59">
        <f>IF(AF59&gt;0.7,"High",IF(AF59&gt;0.3,"Moderate",IF(AF59&gt;0.15,"Low","No Impact")))</f>
        <v/>
      </c>
    </row>
    <row r="60">
      <c r="A60" t="n">
        <v>201347</v>
      </c>
      <c r="B60" t="inlineStr">
        <is>
          <t>BD201347</t>
        </is>
      </c>
      <c r="C60" t="inlineStr">
        <is>
          <t>Chandpur</t>
        </is>
      </c>
      <c r="D60" t="inlineStr">
        <is>
          <t>Haim Char</t>
        </is>
      </c>
      <c r="E60" s="3" t="n">
        <v>6</v>
      </c>
      <c r="F60" s="4">
        <f>(E60-$AJ$5)/$AK$5</f>
        <v/>
      </c>
      <c r="G60" t="n">
        <v>82.463256</v>
      </c>
      <c r="H60">
        <f>(G60-$AJ$6)/$AK$6</f>
        <v/>
      </c>
      <c r="I60" t="n">
        <v>15.6</v>
      </c>
      <c r="J60" s="4">
        <f>(I60-$AJ$7)/$AK$7</f>
        <v/>
      </c>
      <c r="K60" t="n">
        <v>0</v>
      </c>
      <c r="L60" s="4">
        <f>(K60-$AJ$8)/$AK$8</f>
        <v/>
      </c>
      <c r="M60" t="n">
        <v>5413</v>
      </c>
      <c r="N60">
        <f>(M60-$AJ$9)/$AK$9</f>
        <v/>
      </c>
      <c r="O60" t="n">
        <v>0.576521043</v>
      </c>
      <c r="P60">
        <f>(O60-$AJ$11)/$AK$11</f>
        <v/>
      </c>
      <c r="Q60" t="n">
        <v>0.2566</v>
      </c>
      <c r="R60">
        <f>(Q60-$AJ$12)/$AK$12</f>
        <v/>
      </c>
      <c r="S60">
        <f>F60*(R60*0.5+P60*0.5)*(H60*0.35+J60*0.35+L60*0.3)</f>
        <v/>
      </c>
      <c r="T60" s="14">
        <f>(S60-$AJ$10)/$AK$10</f>
        <v/>
      </c>
      <c r="U60">
        <f>IF(T60&gt;0.7,"High",IF(T60&gt;0.3,"Moderate",IF(T60&gt;0.15,"Low","No Impact")))</f>
        <v/>
      </c>
      <c r="V60">
        <f>F60*(R60*1)*(H60*0.35+J60*0.35+L60*0.3)</f>
        <v/>
      </c>
      <c r="W60">
        <f>(V60-$AJ$13)/$AK$13</f>
        <v/>
      </c>
      <c r="X60">
        <f>IF(W60&gt;0.7,"High",IF(W60&gt;0.3,"Moderate",IF(W60&gt;0.15,"Low","No Impact")))</f>
        <v/>
      </c>
      <c r="Y60">
        <f>F60*(P60*1)*(H60*0.35+J60*0.35+L60*0.3)</f>
        <v/>
      </c>
      <c r="Z60">
        <f>(Y60-$AJ$14)/$AK$14</f>
        <v/>
      </c>
      <c r="AA60">
        <f>IF(Z60&gt;0.7,"High",IF(Z60&gt;0.3,"Moderate",IF(Z60&gt;0.15,"Low","No Impact")))</f>
        <v/>
      </c>
      <c r="AB60">
        <f>F60*(R60*0.35+P60*0.3+N60*0.35)*(H60*0.35+J60*0.35+L60*0.3)</f>
        <v/>
      </c>
      <c r="AC60">
        <f>(AB60-$AJ$15)/$AK$15</f>
        <v/>
      </c>
      <c r="AD60">
        <f>IF(AC60&gt;0.7,"High",IF(AC60&gt;0.3,"Moderate",IF(AC60&gt;0.15,"Low","No Impact")))</f>
        <v/>
      </c>
      <c r="AE60">
        <f>F60*(N60*1)*(H60*0.35+J60*0.35+L60*0.3)</f>
        <v/>
      </c>
      <c r="AF60">
        <f>(AE60-$AJ$16)/$AK$16</f>
        <v/>
      </c>
      <c r="AG60">
        <f>IF(AF60&gt;0.7,"High",IF(AF60&gt;0.3,"Moderate",IF(AF60&gt;0.15,"Low","No Impact")))</f>
        <v/>
      </c>
    </row>
    <row r="61">
      <c r="A61" t="n">
        <v>201349</v>
      </c>
      <c r="B61" t="inlineStr">
        <is>
          <t>BD201349</t>
        </is>
      </c>
      <c r="C61" t="inlineStr">
        <is>
          <t>Chandpur</t>
        </is>
      </c>
      <c r="D61" t="inlineStr">
        <is>
          <t>Hajiganj</t>
        </is>
      </c>
      <c r="E61" s="3" t="n">
        <v>4.6</v>
      </c>
      <c r="F61" s="4">
        <f>(E61-$AJ$5)/$AK$5</f>
        <v/>
      </c>
      <c r="G61" t="n">
        <v>65.6409888</v>
      </c>
      <c r="H61">
        <f>(G61-$AJ$6)/$AK$6</f>
        <v/>
      </c>
      <c r="I61" t="n">
        <v>6.6</v>
      </c>
      <c r="J61" s="4">
        <f>(I61-$AJ$7)/$AK$7</f>
        <v/>
      </c>
      <c r="K61" t="n">
        <v>0</v>
      </c>
      <c r="L61" s="4">
        <f>(K61-$AJ$8)/$AK$8</f>
        <v/>
      </c>
      <c r="M61" t="n">
        <v>29282</v>
      </c>
      <c r="N61">
        <f>(M61-$AJ$9)/$AK$9</f>
        <v/>
      </c>
      <c r="O61" t="n">
        <v>0.61689507</v>
      </c>
      <c r="P61">
        <f>(O61-$AJ$11)/$AK$11</f>
        <v/>
      </c>
      <c r="Q61" t="n">
        <v>0.2652</v>
      </c>
      <c r="R61">
        <f>(Q61-$AJ$12)/$AK$12</f>
        <v/>
      </c>
      <c r="S61">
        <f>F61*(R61*0.5+P61*0.5)*(H61*0.35+J61*0.35+L61*0.3)</f>
        <v/>
      </c>
      <c r="T61" s="14">
        <f>(S61-$AJ$10)/$AK$10</f>
        <v/>
      </c>
      <c r="U61">
        <f>IF(T61&gt;0.7,"High",IF(T61&gt;0.3,"Moderate",IF(T61&gt;0.15,"Low","No Impact")))</f>
        <v/>
      </c>
      <c r="V61">
        <f>F61*(R61*1)*(H61*0.35+J61*0.35+L61*0.3)</f>
        <v/>
      </c>
      <c r="W61">
        <f>(V61-$AJ$13)/$AK$13</f>
        <v/>
      </c>
      <c r="X61">
        <f>IF(W61&gt;0.7,"High",IF(W61&gt;0.3,"Moderate",IF(W61&gt;0.15,"Low","No Impact")))</f>
        <v/>
      </c>
      <c r="Y61">
        <f>F61*(P61*1)*(H61*0.35+J61*0.35+L61*0.3)</f>
        <v/>
      </c>
      <c r="Z61">
        <f>(Y61-$AJ$14)/$AK$14</f>
        <v/>
      </c>
      <c r="AA61">
        <f>IF(Z61&gt;0.7,"High",IF(Z61&gt;0.3,"Moderate",IF(Z61&gt;0.15,"Low","No Impact")))</f>
        <v/>
      </c>
      <c r="AB61">
        <f>F61*(R61*0.35+P61*0.3+N61*0.35)*(H61*0.35+J61*0.35+L61*0.3)</f>
        <v/>
      </c>
      <c r="AC61">
        <f>(AB61-$AJ$15)/$AK$15</f>
        <v/>
      </c>
      <c r="AD61">
        <f>IF(AC61&gt;0.7,"High",IF(AC61&gt;0.3,"Moderate",IF(AC61&gt;0.15,"Low","No Impact")))</f>
        <v/>
      </c>
      <c r="AE61">
        <f>F61*(N61*1)*(H61*0.35+J61*0.35+L61*0.3)</f>
        <v/>
      </c>
      <c r="AF61">
        <f>(AE61-$AJ$16)/$AK$16</f>
        <v/>
      </c>
      <c r="AG61">
        <f>IF(AF61&gt;0.7,"High",IF(AF61&gt;0.3,"Moderate",IF(AF61&gt;0.15,"Low","No Impact")))</f>
        <v/>
      </c>
    </row>
    <row r="62">
      <c r="A62" t="n">
        <v>201358</v>
      </c>
      <c r="B62" t="inlineStr">
        <is>
          <t>BD201358</t>
        </is>
      </c>
      <c r="C62" t="inlineStr">
        <is>
          <t>Bagerhat</t>
        </is>
      </c>
      <c r="D62" t="inlineStr">
        <is>
          <t>Kachua</t>
        </is>
      </c>
      <c r="E62" s="3" t="n">
        <v>5.6</v>
      </c>
      <c r="F62" s="4">
        <f>(E62-$AJ$5)/$AK$5</f>
        <v/>
      </c>
      <c r="G62" t="n">
        <v>65.6409888</v>
      </c>
      <c r="H62">
        <f>(G62-$AJ$6)/$AK$6</f>
        <v/>
      </c>
      <c r="I62" t="n">
        <v>5.300000000000001</v>
      </c>
      <c r="J62" s="4">
        <f>(I62-$AJ$7)/$AK$7</f>
        <v/>
      </c>
      <c r="K62" t="n">
        <v>0</v>
      </c>
      <c r="L62" s="4">
        <f>(K62-$AJ$8)/$AK$8</f>
        <v/>
      </c>
      <c r="M62" t="n">
        <v>41920</v>
      </c>
      <c r="N62">
        <f>(M62-$AJ$9)/$AK$9</f>
        <v/>
      </c>
      <c r="O62" t="n">
        <v>0.697194389</v>
      </c>
      <c r="P62">
        <f>(O62-$AJ$11)/$AK$11</f>
        <v/>
      </c>
      <c r="Q62" t="n">
        <v>0.254</v>
      </c>
      <c r="R62">
        <f>(Q62-$AJ$12)/$AK$12</f>
        <v/>
      </c>
      <c r="S62">
        <f>F62*(R62*0.5+P62*0.5)*(H62*0.35+J62*0.35+L62*0.3)</f>
        <v/>
      </c>
      <c r="T62" s="14">
        <f>(S62-$AJ$10)/$AK$10</f>
        <v/>
      </c>
      <c r="U62">
        <f>IF(T62&gt;0.7,"High",IF(T62&gt;0.3,"Moderate",IF(T62&gt;0.15,"Low","No Impact")))</f>
        <v/>
      </c>
      <c r="V62">
        <f>F62*(R62*1)*(H62*0.35+J62*0.35+L62*0.3)</f>
        <v/>
      </c>
      <c r="W62">
        <f>(V62-$AJ$13)/$AK$13</f>
        <v/>
      </c>
      <c r="X62">
        <f>IF(W62&gt;0.7,"High",IF(W62&gt;0.3,"Moderate",IF(W62&gt;0.15,"Low","No Impact")))</f>
        <v/>
      </c>
      <c r="Y62">
        <f>F62*(P62*1)*(H62*0.35+J62*0.35+L62*0.3)</f>
        <v/>
      </c>
      <c r="Z62">
        <f>(Y62-$AJ$14)/$AK$14</f>
        <v/>
      </c>
      <c r="AA62">
        <f>IF(Z62&gt;0.7,"High",IF(Z62&gt;0.3,"Moderate",IF(Z62&gt;0.15,"Low","No Impact")))</f>
        <v/>
      </c>
      <c r="AB62">
        <f>F62*(R62*0.35+P62*0.3+N62*0.35)*(H62*0.35+J62*0.35+L62*0.3)</f>
        <v/>
      </c>
      <c r="AC62">
        <f>(AB62-$AJ$15)/$AK$15</f>
        <v/>
      </c>
      <c r="AD62">
        <f>IF(AC62&gt;0.7,"High",IF(AC62&gt;0.3,"Moderate",IF(AC62&gt;0.15,"Low","No Impact")))</f>
        <v/>
      </c>
      <c r="AE62">
        <f>F62*(N62*1)*(H62*0.35+J62*0.35+L62*0.3)</f>
        <v/>
      </c>
      <c r="AF62">
        <f>(AE62-$AJ$16)/$AK$16</f>
        <v/>
      </c>
      <c r="AG62">
        <f>IF(AF62&gt;0.7,"High",IF(AF62&gt;0.3,"Moderate",IF(AF62&gt;0.15,"Low","No Impact")))</f>
        <v/>
      </c>
    </row>
    <row r="63">
      <c r="A63" t="n">
        <v>201376</v>
      </c>
      <c r="B63" t="inlineStr">
        <is>
          <t>BD201376</t>
        </is>
      </c>
      <c r="C63" t="inlineStr">
        <is>
          <t>Chandpur</t>
        </is>
      </c>
      <c r="D63" t="inlineStr">
        <is>
          <t>Matlab Dakshin</t>
        </is>
      </c>
      <c r="E63" s="3" t="n">
        <v>6</v>
      </c>
      <c r="F63" s="4">
        <f>(E63-$AJ$5)/$AK$5</f>
        <v/>
      </c>
      <c r="G63" t="n">
        <v>65.6409888</v>
      </c>
      <c r="H63">
        <f>(G63-$AJ$6)/$AK$6</f>
        <v/>
      </c>
      <c r="I63" t="n">
        <v>6</v>
      </c>
      <c r="J63" s="4">
        <f>(I63-$AJ$7)/$AK$7</f>
        <v/>
      </c>
      <c r="K63" t="n">
        <v>0</v>
      </c>
      <c r="L63" s="4">
        <f>(K63-$AJ$8)/$AK$8</f>
        <v/>
      </c>
      <c r="M63" t="n">
        <v>14716</v>
      </c>
      <c r="N63">
        <f>(M63-$AJ$9)/$AK$9</f>
        <v/>
      </c>
      <c r="O63" t="n">
        <v>0.670707083</v>
      </c>
      <c r="P63">
        <f>(O63-$AJ$11)/$AK$11</f>
        <v/>
      </c>
      <c r="Q63" t="n">
        <v>0.2772</v>
      </c>
      <c r="R63">
        <f>(Q63-$AJ$12)/$AK$12</f>
        <v/>
      </c>
      <c r="S63">
        <f>F63*(R63*0.5+P63*0.5)*(H63*0.35+J63*0.35+L63*0.3)</f>
        <v/>
      </c>
      <c r="T63" s="14">
        <f>(S63-$AJ$10)/$AK$10</f>
        <v/>
      </c>
      <c r="U63">
        <f>IF(T63&gt;0.7,"High",IF(T63&gt;0.3,"Moderate",IF(T63&gt;0.15,"Low","No Impact")))</f>
        <v/>
      </c>
      <c r="V63">
        <f>F63*(R63*1)*(H63*0.35+J63*0.35+L63*0.3)</f>
        <v/>
      </c>
      <c r="W63">
        <f>(V63-$AJ$13)/$AK$13</f>
        <v/>
      </c>
      <c r="X63">
        <f>IF(W63&gt;0.7,"High",IF(W63&gt;0.3,"Moderate",IF(W63&gt;0.15,"Low","No Impact")))</f>
        <v/>
      </c>
      <c r="Y63">
        <f>F63*(P63*1)*(H63*0.35+J63*0.35+L63*0.3)</f>
        <v/>
      </c>
      <c r="Z63">
        <f>(Y63-$AJ$14)/$AK$14</f>
        <v/>
      </c>
      <c r="AA63">
        <f>IF(Z63&gt;0.7,"High",IF(Z63&gt;0.3,"Moderate",IF(Z63&gt;0.15,"Low","No Impact")))</f>
        <v/>
      </c>
      <c r="AB63">
        <f>F63*(R63*0.35+P63*0.3+N63*0.35)*(H63*0.35+J63*0.35+L63*0.3)</f>
        <v/>
      </c>
      <c r="AC63">
        <f>(AB63-$AJ$15)/$AK$15</f>
        <v/>
      </c>
      <c r="AD63">
        <f>IF(AC63&gt;0.7,"High",IF(AC63&gt;0.3,"Moderate",IF(AC63&gt;0.15,"Low","No Impact")))</f>
        <v/>
      </c>
      <c r="AE63">
        <f>F63*(N63*1)*(H63*0.35+J63*0.35+L63*0.3)</f>
        <v/>
      </c>
      <c r="AF63">
        <f>(AE63-$AJ$16)/$AK$16</f>
        <v/>
      </c>
      <c r="AG63">
        <f>IF(AF63&gt;0.7,"High",IF(AF63&gt;0.3,"Moderate",IF(AF63&gt;0.15,"Low","No Impact")))</f>
        <v/>
      </c>
    </row>
    <row r="64">
      <c r="A64" t="n">
        <v>201379</v>
      </c>
      <c r="B64" t="inlineStr">
        <is>
          <t>BD201379</t>
        </is>
      </c>
      <c r="C64" t="inlineStr">
        <is>
          <t>Chandpur</t>
        </is>
      </c>
      <c r="D64" t="inlineStr">
        <is>
          <t>Matlab Uttar</t>
        </is>
      </c>
      <c r="E64" s="3" t="n">
        <v>5.3</v>
      </c>
      <c r="F64" s="4">
        <f>(E64-$AJ$5)/$AK$5</f>
        <v/>
      </c>
      <c r="G64" t="n">
        <v>75.5585676</v>
      </c>
      <c r="H64">
        <f>(G64-$AJ$6)/$AK$6</f>
        <v/>
      </c>
      <c r="I64" t="n">
        <v>9.9</v>
      </c>
      <c r="J64" s="4">
        <f>(I64-$AJ$7)/$AK$7</f>
        <v/>
      </c>
      <c r="K64" t="n">
        <v>0</v>
      </c>
      <c r="L64" s="4">
        <f>(K64-$AJ$8)/$AK$8</f>
        <v/>
      </c>
      <c r="M64" t="n">
        <v>26290</v>
      </c>
      <c r="N64">
        <f>(M64-$AJ$9)/$AK$9</f>
        <v/>
      </c>
      <c r="O64" t="n">
        <v>0.615449669</v>
      </c>
      <c r="P64">
        <f>(O64-$AJ$11)/$AK$11</f>
        <v/>
      </c>
      <c r="Q64" t="n">
        <v>0.2701</v>
      </c>
      <c r="R64">
        <f>(Q64-$AJ$12)/$AK$12</f>
        <v/>
      </c>
      <c r="S64">
        <f>F64*(R64*0.5+P64*0.5)*(H64*0.35+J64*0.35+L64*0.3)</f>
        <v/>
      </c>
      <c r="T64" s="14">
        <f>(S64-$AJ$10)/$AK$10</f>
        <v/>
      </c>
      <c r="U64">
        <f>IF(T64&gt;0.7,"High",IF(T64&gt;0.3,"Moderate",IF(T64&gt;0.15,"Low","No Impact")))</f>
        <v/>
      </c>
      <c r="V64">
        <f>F64*(R64*1)*(H64*0.35+J64*0.35+L64*0.3)</f>
        <v/>
      </c>
      <c r="W64">
        <f>(V64-$AJ$13)/$AK$13</f>
        <v/>
      </c>
      <c r="X64">
        <f>IF(W64&gt;0.7,"High",IF(W64&gt;0.3,"Moderate",IF(W64&gt;0.15,"Low","No Impact")))</f>
        <v/>
      </c>
      <c r="Y64">
        <f>F64*(P64*1)*(H64*0.35+J64*0.35+L64*0.3)</f>
        <v/>
      </c>
      <c r="Z64">
        <f>(Y64-$AJ$14)/$AK$14</f>
        <v/>
      </c>
      <c r="AA64">
        <f>IF(Z64&gt;0.7,"High",IF(Z64&gt;0.3,"Moderate",IF(Z64&gt;0.15,"Low","No Impact")))</f>
        <v/>
      </c>
      <c r="AB64">
        <f>F64*(R64*0.35+P64*0.3+N64*0.35)*(H64*0.35+J64*0.35+L64*0.3)</f>
        <v/>
      </c>
      <c r="AC64">
        <f>(AB64-$AJ$15)/$AK$15</f>
        <v/>
      </c>
      <c r="AD64">
        <f>IF(AC64&gt;0.7,"High",IF(AC64&gt;0.3,"Moderate",IF(AC64&gt;0.15,"Low","No Impact")))</f>
        <v/>
      </c>
      <c r="AE64">
        <f>F64*(N64*1)*(H64*0.35+J64*0.35+L64*0.3)</f>
        <v/>
      </c>
      <c r="AF64">
        <f>(AE64-$AJ$16)/$AK$16</f>
        <v/>
      </c>
      <c r="AG64">
        <f>IF(AF64&gt;0.7,"High",IF(AF64&gt;0.3,"Moderate",IF(AF64&gt;0.15,"Low","No Impact")))</f>
        <v/>
      </c>
    </row>
    <row r="65">
      <c r="A65" t="n">
        <v>201395</v>
      </c>
      <c r="B65" t="inlineStr">
        <is>
          <t>BD201395</t>
        </is>
      </c>
      <c r="C65" t="inlineStr">
        <is>
          <t>Chandpur</t>
        </is>
      </c>
      <c r="D65" t="inlineStr">
        <is>
          <t>Shahrasti</t>
        </is>
      </c>
      <c r="E65" s="3" t="n">
        <v>6</v>
      </c>
      <c r="F65" s="4">
        <f>(E65-$AJ$5)/$AK$5</f>
        <v/>
      </c>
      <c r="G65" t="n">
        <v>65.6409888</v>
      </c>
      <c r="H65">
        <f>(G65-$AJ$6)/$AK$6</f>
        <v/>
      </c>
      <c r="I65" t="n">
        <v>6.6</v>
      </c>
      <c r="J65" s="4">
        <f>(I65-$AJ$7)/$AK$7</f>
        <v/>
      </c>
      <c r="K65" t="n">
        <v>0</v>
      </c>
      <c r="L65" s="4">
        <f>(K65-$AJ$8)/$AK$8</f>
        <v/>
      </c>
      <c r="M65" t="n">
        <v>14024</v>
      </c>
      <c r="N65">
        <f>(M65-$AJ$9)/$AK$9</f>
        <v/>
      </c>
      <c r="O65" t="n">
        <v>0.64029065</v>
      </c>
      <c r="P65">
        <f>(O65-$AJ$11)/$AK$11</f>
        <v/>
      </c>
      <c r="Q65" t="n">
        <v>0.2465</v>
      </c>
      <c r="R65">
        <f>(Q65-$AJ$12)/$AK$12</f>
        <v/>
      </c>
      <c r="S65">
        <f>F65*(R65*0.5+P65*0.5)*(H65*0.35+J65*0.35+L65*0.3)</f>
        <v/>
      </c>
      <c r="T65" s="14">
        <f>(S65-$AJ$10)/$AK$10</f>
        <v/>
      </c>
      <c r="U65">
        <f>IF(T65&gt;0.7,"High",IF(T65&gt;0.3,"Moderate",IF(T65&gt;0.15,"Low","No Impact")))</f>
        <v/>
      </c>
      <c r="V65">
        <f>F65*(R65*1)*(H65*0.35+J65*0.35+L65*0.3)</f>
        <v/>
      </c>
      <c r="W65">
        <f>(V65-$AJ$13)/$AK$13</f>
        <v/>
      </c>
      <c r="X65">
        <f>IF(W65&gt;0.7,"High",IF(W65&gt;0.3,"Moderate",IF(W65&gt;0.15,"Low","No Impact")))</f>
        <v/>
      </c>
      <c r="Y65">
        <f>F65*(P65*1)*(H65*0.35+J65*0.35+L65*0.3)</f>
        <v/>
      </c>
      <c r="Z65">
        <f>(Y65-$AJ$14)/$AK$14</f>
        <v/>
      </c>
      <c r="AA65">
        <f>IF(Z65&gt;0.7,"High",IF(Z65&gt;0.3,"Moderate",IF(Z65&gt;0.15,"Low","No Impact")))</f>
        <v/>
      </c>
      <c r="AB65">
        <f>F65*(R65*0.35+P65*0.3+N65*0.35)*(H65*0.35+J65*0.35+L65*0.3)</f>
        <v/>
      </c>
      <c r="AC65">
        <f>(AB65-$AJ$15)/$AK$15</f>
        <v/>
      </c>
      <c r="AD65">
        <f>IF(AC65&gt;0.7,"High",IF(AC65&gt;0.3,"Moderate",IF(AC65&gt;0.15,"Low","No Impact")))</f>
        <v/>
      </c>
      <c r="AE65">
        <f>F65*(N65*1)*(H65*0.35+J65*0.35+L65*0.3)</f>
        <v/>
      </c>
      <c r="AF65">
        <f>(AE65-$AJ$16)/$AK$16</f>
        <v/>
      </c>
      <c r="AG65">
        <f>IF(AF65&gt;0.7,"High",IF(AF65&gt;0.3,"Moderate",IF(AF65&gt;0.15,"Low","No Impact")))</f>
        <v/>
      </c>
    </row>
    <row r="66">
      <c r="A66" t="n">
        <v>201504</v>
      </c>
      <c r="B66" t="inlineStr">
        <is>
          <t>BD201504</t>
        </is>
      </c>
      <c r="C66" t="inlineStr">
        <is>
          <t>Chittagong</t>
        </is>
      </c>
      <c r="D66" t="inlineStr">
        <is>
          <t>Anowara</t>
        </is>
      </c>
      <c r="E66" s="3" t="n">
        <v>5.2</v>
      </c>
      <c r="F66" s="4">
        <f>(E66-$AJ$5)/$AK$5</f>
        <v/>
      </c>
      <c r="G66" t="n">
        <v>76.808232</v>
      </c>
      <c r="H66">
        <f>(G66-$AJ$6)/$AK$6</f>
        <v/>
      </c>
      <c r="I66" t="n">
        <v>1.6</v>
      </c>
      <c r="J66" s="4">
        <f>(I66-$AJ$7)/$AK$7</f>
        <v/>
      </c>
      <c r="K66" t="n">
        <v>0</v>
      </c>
      <c r="L66" s="4">
        <f>(K66-$AJ$8)/$AK$8</f>
        <v/>
      </c>
      <c r="M66" t="n">
        <v>33279</v>
      </c>
      <c r="N66">
        <f>(M66-$AJ$9)/$AK$9</f>
        <v/>
      </c>
      <c r="O66" t="n">
        <v>0.545157393</v>
      </c>
      <c r="P66">
        <f>(O66-$AJ$11)/$AK$11</f>
        <v/>
      </c>
      <c r="Q66" t="n">
        <v>0.2794</v>
      </c>
      <c r="R66">
        <f>(Q66-$AJ$12)/$AK$12</f>
        <v/>
      </c>
      <c r="S66">
        <f>F66*(R66*0.5+P66*0.5)*(H66*0.35+J66*0.35+L66*0.3)</f>
        <v/>
      </c>
      <c r="T66" s="14">
        <f>(S66-$AJ$10)/$AK$10</f>
        <v/>
      </c>
      <c r="U66">
        <f>IF(T66&gt;0.7,"High",IF(T66&gt;0.3,"Moderate",IF(T66&gt;0.15,"Low","No Impact")))</f>
        <v/>
      </c>
      <c r="V66">
        <f>F66*(R66*1)*(H66*0.35+J66*0.35+L66*0.3)</f>
        <v/>
      </c>
      <c r="W66">
        <f>(V66-$AJ$13)/$AK$13</f>
        <v/>
      </c>
      <c r="X66">
        <f>IF(W66&gt;0.7,"High",IF(W66&gt;0.3,"Moderate",IF(W66&gt;0.15,"Low","No Impact")))</f>
        <v/>
      </c>
      <c r="Y66">
        <f>F66*(P66*1)*(H66*0.35+J66*0.35+L66*0.3)</f>
        <v/>
      </c>
      <c r="Z66">
        <f>(Y66-$AJ$14)/$AK$14</f>
        <v/>
      </c>
      <c r="AA66">
        <f>IF(Z66&gt;0.7,"High",IF(Z66&gt;0.3,"Moderate",IF(Z66&gt;0.15,"Low","No Impact")))</f>
        <v/>
      </c>
      <c r="AB66">
        <f>F66*(R66*0.35+P66*0.3+N66*0.35)*(H66*0.35+J66*0.35+L66*0.3)</f>
        <v/>
      </c>
      <c r="AC66">
        <f>(AB66-$AJ$15)/$AK$15</f>
        <v/>
      </c>
      <c r="AD66">
        <f>IF(AC66&gt;0.7,"High",IF(AC66&gt;0.3,"Moderate",IF(AC66&gt;0.15,"Low","No Impact")))</f>
        <v/>
      </c>
      <c r="AE66">
        <f>F66*(N66*1)*(H66*0.35+J66*0.35+L66*0.3)</f>
        <v/>
      </c>
      <c r="AF66">
        <f>(AE66-$AJ$16)/$AK$16</f>
        <v/>
      </c>
      <c r="AG66">
        <f>IF(AF66&gt;0.7,"High",IF(AF66&gt;0.3,"Moderate",IF(AF66&gt;0.15,"Low","No Impact")))</f>
        <v/>
      </c>
    </row>
    <row r="67">
      <c r="A67" t="n">
        <v>201506</v>
      </c>
      <c r="B67" t="inlineStr">
        <is>
          <t>BD201506</t>
        </is>
      </c>
      <c r="C67" t="inlineStr">
        <is>
          <t>Chittagong</t>
        </is>
      </c>
      <c r="D67" t="inlineStr">
        <is>
          <t>Bayejid Bostami</t>
        </is>
      </c>
      <c r="E67" s="3" t="n">
        <v>5.3</v>
      </c>
      <c r="F67" s="4">
        <f>(E67-$AJ$5)/$AK$5</f>
        <v/>
      </c>
      <c r="G67" t="n">
        <v>67.84339319999999</v>
      </c>
      <c r="H67">
        <f>(G67-$AJ$6)/$AK$6</f>
        <v/>
      </c>
      <c r="I67" t="n">
        <v>1.200000000000001</v>
      </c>
      <c r="J67" s="4">
        <f>(I67-$AJ$7)/$AK$7</f>
        <v/>
      </c>
      <c r="K67" t="n">
        <v>0</v>
      </c>
      <c r="L67" s="4">
        <f>(K67-$AJ$8)/$AK$8</f>
        <v/>
      </c>
      <c r="M67" t="n">
        <v>20965</v>
      </c>
      <c r="N67">
        <f>(M67-$AJ$9)/$AK$9</f>
        <v/>
      </c>
      <c r="O67" t="n">
        <v>0.367081758</v>
      </c>
      <c r="P67">
        <f>(O67-$AJ$11)/$AK$11</f>
        <v/>
      </c>
      <c r="Q67" t="n">
        <v>0.3106</v>
      </c>
      <c r="R67">
        <f>(Q67-$AJ$12)/$AK$12</f>
        <v/>
      </c>
      <c r="S67">
        <f>F67*(R67*0.5+P67*0.5)*(H67*0.35+J67*0.35+L67*0.3)</f>
        <v/>
      </c>
      <c r="T67" s="14">
        <f>(S67-$AJ$10)/$AK$10</f>
        <v/>
      </c>
      <c r="U67">
        <f>IF(T67&gt;0.7,"High",IF(T67&gt;0.3,"Moderate",IF(T67&gt;0.15,"Low","No Impact")))</f>
        <v/>
      </c>
      <c r="V67">
        <f>F67*(R67*1)*(H67*0.35+J67*0.35+L67*0.3)</f>
        <v/>
      </c>
      <c r="W67">
        <f>(V67-$AJ$13)/$AK$13</f>
        <v/>
      </c>
      <c r="X67">
        <f>IF(W67&gt;0.7,"High",IF(W67&gt;0.3,"Moderate",IF(W67&gt;0.15,"Low","No Impact")))</f>
        <v/>
      </c>
      <c r="Y67">
        <f>F67*(P67*1)*(H67*0.35+J67*0.35+L67*0.3)</f>
        <v/>
      </c>
      <c r="Z67">
        <f>(Y67-$AJ$14)/$AK$14</f>
        <v/>
      </c>
      <c r="AA67">
        <f>IF(Z67&gt;0.7,"High",IF(Z67&gt;0.3,"Moderate",IF(Z67&gt;0.15,"Low","No Impact")))</f>
        <v/>
      </c>
      <c r="AB67">
        <f>F67*(R67*0.35+P67*0.3+N67*0.35)*(H67*0.35+J67*0.35+L67*0.3)</f>
        <v/>
      </c>
      <c r="AC67">
        <f>(AB67-$AJ$15)/$AK$15</f>
        <v/>
      </c>
      <c r="AD67">
        <f>IF(AC67&gt;0.7,"High",IF(AC67&gt;0.3,"Moderate",IF(AC67&gt;0.15,"Low","No Impact")))</f>
        <v/>
      </c>
      <c r="AE67">
        <f>F67*(N67*1)*(H67*0.35+J67*0.35+L67*0.3)</f>
        <v/>
      </c>
      <c r="AF67">
        <f>(AE67-$AJ$16)/$AK$16</f>
        <v/>
      </c>
      <c r="AG67">
        <f>IF(AF67&gt;0.7,"High",IF(AF67&gt;0.3,"Moderate",IF(AF67&gt;0.15,"Low","No Impact")))</f>
        <v/>
      </c>
    </row>
    <row r="68">
      <c r="A68" t="n">
        <v>201508</v>
      </c>
      <c r="B68" t="inlineStr">
        <is>
          <t>BD201508</t>
        </is>
      </c>
      <c r="C68" t="inlineStr">
        <is>
          <t>Chittagong</t>
        </is>
      </c>
      <c r="D68" t="inlineStr">
        <is>
          <t>Banshkhali</t>
        </is>
      </c>
      <c r="E68" s="3" t="n">
        <v>5.7</v>
      </c>
      <c r="F68" s="4">
        <f>(E68-$AJ$5)/$AK$5</f>
        <v/>
      </c>
      <c r="G68" t="n">
        <v>76.808232</v>
      </c>
      <c r="H68">
        <f>(G68-$AJ$6)/$AK$6</f>
        <v/>
      </c>
      <c r="I68" t="n">
        <v>1.5</v>
      </c>
      <c r="J68" s="4">
        <f>(I68-$AJ$7)/$AK$7</f>
        <v/>
      </c>
      <c r="K68" t="n">
        <v>0</v>
      </c>
      <c r="L68" s="4">
        <f>(K68-$AJ$8)/$AK$8</f>
        <v/>
      </c>
      <c r="M68" t="n">
        <v>56891</v>
      </c>
      <c r="N68">
        <f>(M68-$AJ$9)/$AK$9</f>
        <v/>
      </c>
      <c r="O68" t="n">
        <v>0.638712972</v>
      </c>
      <c r="P68">
        <f>(O68-$AJ$11)/$AK$11</f>
        <v/>
      </c>
      <c r="Q68" t="n">
        <v>0.2625</v>
      </c>
      <c r="R68">
        <f>(Q68-$AJ$12)/$AK$12</f>
        <v/>
      </c>
      <c r="S68">
        <f>F68*(R68*0.5+P68*0.5)*(H68*0.35+J68*0.35+L68*0.3)</f>
        <v/>
      </c>
      <c r="T68" s="14">
        <f>(S68-$AJ$10)/$AK$10</f>
        <v/>
      </c>
      <c r="U68">
        <f>IF(T68&gt;0.7,"High",IF(T68&gt;0.3,"Moderate",IF(T68&gt;0.15,"Low","No Impact")))</f>
        <v/>
      </c>
      <c r="V68">
        <f>F68*(R68*1)*(H68*0.35+J68*0.35+L68*0.3)</f>
        <v/>
      </c>
      <c r="W68">
        <f>(V68-$AJ$13)/$AK$13</f>
        <v/>
      </c>
      <c r="X68">
        <f>IF(W68&gt;0.7,"High",IF(W68&gt;0.3,"Moderate",IF(W68&gt;0.15,"Low","No Impact")))</f>
        <v/>
      </c>
      <c r="Y68">
        <f>F68*(P68*1)*(H68*0.35+J68*0.35+L68*0.3)</f>
        <v/>
      </c>
      <c r="Z68">
        <f>(Y68-$AJ$14)/$AK$14</f>
        <v/>
      </c>
      <c r="AA68">
        <f>IF(Z68&gt;0.7,"High",IF(Z68&gt;0.3,"Moderate",IF(Z68&gt;0.15,"Low","No Impact")))</f>
        <v/>
      </c>
      <c r="AB68">
        <f>F68*(R68*0.35+P68*0.3+N68*0.35)*(H68*0.35+J68*0.35+L68*0.3)</f>
        <v/>
      </c>
      <c r="AC68">
        <f>(AB68-$AJ$15)/$AK$15</f>
        <v/>
      </c>
      <c r="AD68">
        <f>IF(AC68&gt;0.7,"High",IF(AC68&gt;0.3,"Moderate",IF(AC68&gt;0.15,"Low","No Impact")))</f>
        <v/>
      </c>
      <c r="AE68">
        <f>F68*(N68*1)*(H68*0.35+J68*0.35+L68*0.3)</f>
        <v/>
      </c>
      <c r="AF68">
        <f>(AE68-$AJ$16)/$AK$16</f>
        <v/>
      </c>
      <c r="AG68">
        <f>IF(AF68&gt;0.7,"High",IF(AF68&gt;0.3,"Moderate",IF(AF68&gt;0.15,"Low","No Impact")))</f>
        <v/>
      </c>
    </row>
    <row r="69">
      <c r="A69" t="n">
        <v>201510</v>
      </c>
      <c r="B69" t="inlineStr">
        <is>
          <t>BD201510</t>
        </is>
      </c>
      <c r="C69" t="inlineStr">
        <is>
          <t>Chittagong</t>
        </is>
      </c>
      <c r="D69" t="inlineStr">
        <is>
          <t>Bakalia</t>
        </is>
      </c>
      <c r="E69" s="3" t="n">
        <v>5.6</v>
      </c>
      <c r="F69" s="4">
        <f>(E69-$AJ$5)/$AK$5</f>
        <v/>
      </c>
      <c r="G69" t="n">
        <v>67.84339319999999</v>
      </c>
      <c r="H69">
        <f>(G69-$AJ$6)/$AK$6</f>
        <v/>
      </c>
      <c r="I69" t="n">
        <v>1.6</v>
      </c>
      <c r="J69" s="4">
        <f>(I69-$AJ$7)/$AK$7</f>
        <v/>
      </c>
      <c r="K69" t="n">
        <v>0</v>
      </c>
      <c r="L69" s="4">
        <f>(K69-$AJ$8)/$AK$8</f>
        <v/>
      </c>
      <c r="M69" t="n">
        <v>9263</v>
      </c>
      <c r="N69">
        <f>(M69-$AJ$9)/$AK$9</f>
        <v/>
      </c>
      <c r="O69" t="n">
        <v>0.7990572419999999</v>
      </c>
      <c r="P69">
        <f>(O69-$AJ$11)/$AK$11</f>
        <v/>
      </c>
      <c r="Q69" t="n">
        <v>0.1229</v>
      </c>
      <c r="R69">
        <f>(Q69-$AJ$12)/$AK$12</f>
        <v/>
      </c>
      <c r="S69">
        <f>F69*(R69*0.5+P69*0.5)*(H69*0.35+J69*0.35+L69*0.3)</f>
        <v/>
      </c>
      <c r="T69" s="14">
        <f>(S69-$AJ$10)/$AK$10</f>
        <v/>
      </c>
      <c r="U69">
        <f>IF(T69&gt;0.7,"High",IF(T69&gt;0.3,"Moderate",IF(T69&gt;0.15,"Low","No Impact")))</f>
        <v/>
      </c>
      <c r="V69">
        <f>F69*(R69*1)*(H69*0.35+J69*0.35+L69*0.3)</f>
        <v/>
      </c>
      <c r="W69">
        <f>(V69-$AJ$13)/$AK$13</f>
        <v/>
      </c>
      <c r="X69">
        <f>IF(W69&gt;0.7,"High",IF(W69&gt;0.3,"Moderate",IF(W69&gt;0.15,"Low","No Impact")))</f>
        <v/>
      </c>
      <c r="Y69">
        <f>F69*(P69*1)*(H69*0.35+J69*0.35+L69*0.3)</f>
        <v/>
      </c>
      <c r="Z69">
        <f>(Y69-$AJ$14)/$AK$14</f>
        <v/>
      </c>
      <c r="AA69">
        <f>IF(Z69&gt;0.7,"High",IF(Z69&gt;0.3,"Moderate",IF(Z69&gt;0.15,"Low","No Impact")))</f>
        <v/>
      </c>
      <c r="AB69">
        <f>F69*(R69*0.35+P69*0.3+N69*0.35)*(H69*0.35+J69*0.35+L69*0.3)</f>
        <v/>
      </c>
      <c r="AC69">
        <f>(AB69-$AJ$15)/$AK$15</f>
        <v/>
      </c>
      <c r="AD69">
        <f>IF(AC69&gt;0.7,"High",IF(AC69&gt;0.3,"Moderate",IF(AC69&gt;0.15,"Low","No Impact")))</f>
        <v/>
      </c>
      <c r="AE69">
        <f>F69*(N69*1)*(H69*0.35+J69*0.35+L69*0.3)</f>
        <v/>
      </c>
      <c r="AF69">
        <f>(AE69-$AJ$16)/$AK$16</f>
        <v/>
      </c>
      <c r="AG69">
        <f>IF(AF69&gt;0.7,"High",IF(AF69&gt;0.3,"Moderate",IF(AF69&gt;0.15,"Low","No Impact")))</f>
        <v/>
      </c>
    </row>
    <row r="70">
      <c r="A70" t="n">
        <v>201512</v>
      </c>
      <c r="B70" t="inlineStr">
        <is>
          <t>BD201512</t>
        </is>
      </c>
      <c r="C70" t="inlineStr">
        <is>
          <t>Chittagong</t>
        </is>
      </c>
      <c r="D70" t="inlineStr">
        <is>
          <t>Boalkhali</t>
        </is>
      </c>
      <c r="E70" s="3" t="n">
        <v>5.8</v>
      </c>
      <c r="F70" s="4">
        <f>(E70-$AJ$5)/$AK$5</f>
        <v/>
      </c>
      <c r="G70" t="n">
        <v>67.84339319999999</v>
      </c>
      <c r="H70">
        <f>(G70-$AJ$6)/$AK$6</f>
        <v/>
      </c>
      <c r="I70" t="n">
        <v>1</v>
      </c>
      <c r="J70" s="4">
        <f>(I70-$AJ$7)/$AK$7</f>
        <v/>
      </c>
      <c r="K70" t="n">
        <v>0</v>
      </c>
      <c r="L70" s="4">
        <f>(K70-$AJ$8)/$AK$8</f>
        <v/>
      </c>
      <c r="M70" t="n">
        <v>21163</v>
      </c>
      <c r="N70">
        <f>(M70-$AJ$9)/$AK$9</f>
        <v/>
      </c>
      <c r="O70" t="n">
        <v>0.615423243</v>
      </c>
      <c r="P70">
        <f>(O70-$AJ$11)/$AK$11</f>
        <v/>
      </c>
      <c r="Q70" t="n">
        <v>0.3217</v>
      </c>
      <c r="R70">
        <f>(Q70-$AJ$12)/$AK$12</f>
        <v/>
      </c>
      <c r="S70">
        <f>F70*(R70*0.5+P70*0.5)*(H70*0.35+J70*0.35+L70*0.3)</f>
        <v/>
      </c>
      <c r="T70" s="14">
        <f>(S70-$AJ$10)/$AK$10</f>
        <v/>
      </c>
      <c r="U70">
        <f>IF(T70&gt;0.7,"High",IF(T70&gt;0.3,"Moderate",IF(T70&gt;0.15,"Low","No Impact")))</f>
        <v/>
      </c>
      <c r="V70">
        <f>F70*(R70*1)*(H70*0.35+J70*0.35+L70*0.3)</f>
        <v/>
      </c>
      <c r="W70">
        <f>(V70-$AJ$13)/$AK$13</f>
        <v/>
      </c>
      <c r="X70">
        <f>IF(W70&gt;0.7,"High",IF(W70&gt;0.3,"Moderate",IF(W70&gt;0.15,"Low","No Impact")))</f>
        <v/>
      </c>
      <c r="Y70">
        <f>F70*(P70*1)*(H70*0.35+J70*0.35+L70*0.3)</f>
        <v/>
      </c>
      <c r="Z70">
        <f>(Y70-$AJ$14)/$AK$14</f>
        <v/>
      </c>
      <c r="AA70">
        <f>IF(Z70&gt;0.7,"High",IF(Z70&gt;0.3,"Moderate",IF(Z70&gt;0.15,"Low","No Impact")))</f>
        <v/>
      </c>
      <c r="AB70">
        <f>F70*(R70*0.35+P70*0.3+N70*0.35)*(H70*0.35+J70*0.35+L70*0.3)</f>
        <v/>
      </c>
      <c r="AC70">
        <f>(AB70-$AJ$15)/$AK$15</f>
        <v/>
      </c>
      <c r="AD70">
        <f>IF(AC70&gt;0.7,"High",IF(AC70&gt;0.3,"Moderate",IF(AC70&gt;0.15,"Low","No Impact")))</f>
        <v/>
      </c>
      <c r="AE70">
        <f>F70*(N70*1)*(H70*0.35+J70*0.35+L70*0.3)</f>
        <v/>
      </c>
      <c r="AF70">
        <f>(AE70-$AJ$16)/$AK$16</f>
        <v/>
      </c>
      <c r="AG70">
        <f>IF(AF70&gt;0.7,"High",IF(AF70&gt;0.3,"Moderate",IF(AF70&gt;0.15,"Low","No Impact")))</f>
        <v/>
      </c>
    </row>
    <row r="71">
      <c r="A71" t="n">
        <v>201518</v>
      </c>
      <c r="B71" t="inlineStr">
        <is>
          <t>BD201518</t>
        </is>
      </c>
      <c r="C71" t="inlineStr">
        <is>
          <t>Chittagong</t>
        </is>
      </c>
      <c r="D71" t="inlineStr">
        <is>
          <t>Chandanaish</t>
        </is>
      </c>
      <c r="E71" s="3" t="n">
        <v>5.7</v>
      </c>
      <c r="F71" s="4">
        <f>(E71-$AJ$5)/$AK$5</f>
        <v/>
      </c>
      <c r="G71" t="n">
        <v>63.615762</v>
      </c>
      <c r="H71">
        <f>(G71-$AJ$6)/$AK$6</f>
        <v/>
      </c>
      <c r="I71" t="n">
        <v>0.5</v>
      </c>
      <c r="J71" s="4">
        <f>(I71-$AJ$7)/$AK$7</f>
        <v/>
      </c>
      <c r="K71" t="n">
        <v>0</v>
      </c>
      <c r="L71" s="4">
        <f>(K71-$AJ$8)/$AK$8</f>
        <v/>
      </c>
      <c r="M71" t="n">
        <v>25017</v>
      </c>
      <c r="N71">
        <f>(M71-$AJ$9)/$AK$9</f>
        <v/>
      </c>
      <c r="O71" t="n">
        <v>0.765131703</v>
      </c>
      <c r="P71">
        <f>(O71-$AJ$11)/$AK$11</f>
        <v/>
      </c>
      <c r="Q71" t="n">
        <v>0.3292</v>
      </c>
      <c r="R71">
        <f>(Q71-$AJ$12)/$AK$12</f>
        <v/>
      </c>
      <c r="S71">
        <f>F71*(R71*0.5+P71*0.5)*(H71*0.35+J71*0.35+L71*0.3)</f>
        <v/>
      </c>
      <c r="T71" s="14">
        <f>(S71-$AJ$10)/$AK$10</f>
        <v/>
      </c>
      <c r="U71">
        <f>IF(T71&gt;0.7,"High",IF(T71&gt;0.3,"Moderate",IF(T71&gt;0.15,"Low","No Impact")))</f>
        <v/>
      </c>
      <c r="V71">
        <f>F71*(R71*1)*(H71*0.35+J71*0.35+L71*0.3)</f>
        <v/>
      </c>
      <c r="W71">
        <f>(V71-$AJ$13)/$AK$13</f>
        <v/>
      </c>
      <c r="X71">
        <f>IF(W71&gt;0.7,"High",IF(W71&gt;0.3,"Moderate",IF(W71&gt;0.15,"Low","No Impact")))</f>
        <v/>
      </c>
      <c r="Y71">
        <f>F71*(P71*1)*(H71*0.35+J71*0.35+L71*0.3)</f>
        <v/>
      </c>
      <c r="Z71">
        <f>(Y71-$AJ$14)/$AK$14</f>
        <v/>
      </c>
      <c r="AA71">
        <f>IF(Z71&gt;0.7,"High",IF(Z71&gt;0.3,"Moderate",IF(Z71&gt;0.15,"Low","No Impact")))</f>
        <v/>
      </c>
      <c r="AB71">
        <f>F71*(R71*0.35+P71*0.3+N71*0.35)*(H71*0.35+J71*0.35+L71*0.3)</f>
        <v/>
      </c>
      <c r="AC71">
        <f>(AB71-$AJ$15)/$AK$15</f>
        <v/>
      </c>
      <c r="AD71">
        <f>IF(AC71&gt;0.7,"High",IF(AC71&gt;0.3,"Moderate",IF(AC71&gt;0.15,"Low","No Impact")))</f>
        <v/>
      </c>
      <c r="AE71">
        <f>F71*(N71*1)*(H71*0.35+J71*0.35+L71*0.3)</f>
        <v/>
      </c>
      <c r="AF71">
        <f>(AE71-$AJ$16)/$AK$16</f>
        <v/>
      </c>
      <c r="AG71">
        <f>IF(AF71&gt;0.7,"High",IF(AF71&gt;0.3,"Moderate",IF(AF71&gt;0.15,"Low","No Impact")))</f>
        <v/>
      </c>
    </row>
    <row r="72">
      <c r="A72" t="n">
        <v>201519</v>
      </c>
      <c r="B72" t="inlineStr">
        <is>
          <t>BD201519</t>
        </is>
      </c>
      <c r="C72" t="inlineStr">
        <is>
          <t>Chittagong</t>
        </is>
      </c>
      <c r="D72" t="inlineStr">
        <is>
          <t>Chandgaon</t>
        </is>
      </c>
      <c r="E72" s="3" t="n">
        <v>5.7</v>
      </c>
      <c r="F72" s="4">
        <f>(E72-$AJ$5)/$AK$5</f>
        <v/>
      </c>
      <c r="G72" t="n">
        <v>67.84339319999999</v>
      </c>
      <c r="H72">
        <f>(G72-$AJ$6)/$AK$6</f>
        <v/>
      </c>
      <c r="I72" t="n">
        <v>1</v>
      </c>
      <c r="J72" s="4">
        <f>(I72-$AJ$7)/$AK$7</f>
        <v/>
      </c>
      <c r="K72" t="n">
        <v>0</v>
      </c>
      <c r="L72" s="4">
        <f>(K72-$AJ$8)/$AK$8</f>
        <v/>
      </c>
      <c r="M72" t="n">
        <v>16713</v>
      </c>
      <c r="N72">
        <f>(M72-$AJ$9)/$AK$9</f>
        <v/>
      </c>
      <c r="O72" t="n">
        <v>0.717121731</v>
      </c>
      <c r="P72">
        <f>(O72-$AJ$11)/$AK$11</f>
        <v/>
      </c>
      <c r="Q72" t="n">
        <v>0.1927</v>
      </c>
      <c r="R72">
        <f>(Q72-$AJ$12)/$AK$12</f>
        <v/>
      </c>
      <c r="S72">
        <f>F72*(R72*0.5+P72*0.5)*(H72*0.35+J72*0.35+L72*0.3)</f>
        <v/>
      </c>
      <c r="T72" s="14">
        <f>(S72-$AJ$10)/$AK$10</f>
        <v/>
      </c>
      <c r="U72">
        <f>IF(T72&gt;0.7,"High",IF(T72&gt;0.3,"Moderate",IF(T72&gt;0.15,"Low","No Impact")))</f>
        <v/>
      </c>
      <c r="V72">
        <f>F72*(R72*1)*(H72*0.35+J72*0.35+L72*0.3)</f>
        <v/>
      </c>
      <c r="W72">
        <f>(V72-$AJ$13)/$AK$13</f>
        <v/>
      </c>
      <c r="X72">
        <f>IF(W72&gt;0.7,"High",IF(W72&gt;0.3,"Moderate",IF(W72&gt;0.15,"Low","No Impact")))</f>
        <v/>
      </c>
      <c r="Y72">
        <f>F72*(P72*1)*(H72*0.35+J72*0.35+L72*0.3)</f>
        <v/>
      </c>
      <c r="Z72">
        <f>(Y72-$AJ$14)/$AK$14</f>
        <v/>
      </c>
      <c r="AA72">
        <f>IF(Z72&gt;0.7,"High",IF(Z72&gt;0.3,"Moderate",IF(Z72&gt;0.15,"Low","No Impact")))</f>
        <v/>
      </c>
      <c r="AB72">
        <f>F72*(R72*0.35+P72*0.3+N72*0.35)*(H72*0.35+J72*0.35+L72*0.3)</f>
        <v/>
      </c>
      <c r="AC72">
        <f>(AB72-$AJ$15)/$AK$15</f>
        <v/>
      </c>
      <c r="AD72">
        <f>IF(AC72&gt;0.7,"High",IF(AC72&gt;0.3,"Moderate",IF(AC72&gt;0.15,"Low","No Impact")))</f>
        <v/>
      </c>
      <c r="AE72">
        <f>F72*(N72*1)*(H72*0.35+J72*0.35+L72*0.3)</f>
        <v/>
      </c>
      <c r="AF72">
        <f>(AE72-$AJ$16)/$AK$16</f>
        <v/>
      </c>
      <c r="AG72">
        <f>IF(AF72&gt;0.7,"High",IF(AF72&gt;0.3,"Moderate",IF(AF72&gt;0.15,"Low","No Impact")))</f>
        <v/>
      </c>
    </row>
    <row r="73">
      <c r="A73" t="n">
        <v>201520</v>
      </c>
      <c r="B73" t="inlineStr">
        <is>
          <t>BD201520</t>
        </is>
      </c>
      <c r="C73" t="inlineStr">
        <is>
          <t>Chittagong</t>
        </is>
      </c>
      <c r="D73" t="inlineStr">
        <is>
          <t>Chittagong Port</t>
        </is>
      </c>
      <c r="E73" s="3" t="n">
        <v>5.5</v>
      </c>
      <c r="F73" s="4">
        <f>(E73-$AJ$5)/$AK$5</f>
        <v/>
      </c>
      <c r="G73" t="n">
        <v>67.84339319999999</v>
      </c>
      <c r="H73">
        <f>(G73-$AJ$6)/$AK$6</f>
        <v/>
      </c>
      <c r="I73" t="n">
        <v>1.6</v>
      </c>
      <c r="J73" s="4">
        <f>(I73-$AJ$7)/$AK$7</f>
        <v/>
      </c>
      <c r="K73" t="n">
        <v>0</v>
      </c>
      <c r="L73" s="4">
        <f>(K73-$AJ$8)/$AK$8</f>
        <v/>
      </c>
      <c r="M73" t="n">
        <v>10040</v>
      </c>
      <c r="N73">
        <f>(M73-$AJ$9)/$AK$9</f>
        <v/>
      </c>
      <c r="O73" t="n">
        <v>0.519853392</v>
      </c>
      <c r="P73">
        <f>(O73-$AJ$11)/$AK$11</f>
        <v/>
      </c>
      <c r="Q73" t="n">
        <v>0.1357</v>
      </c>
      <c r="R73">
        <f>(Q73-$AJ$12)/$AK$12</f>
        <v/>
      </c>
      <c r="S73">
        <f>F73*(R73*0.5+P73*0.5)*(H73*0.35+J73*0.35+L73*0.3)</f>
        <v/>
      </c>
      <c r="T73" s="14">
        <f>(S73-$AJ$10)/$AK$10</f>
        <v/>
      </c>
      <c r="U73">
        <f>IF(T73&gt;0.7,"High",IF(T73&gt;0.3,"Moderate",IF(T73&gt;0.15,"Low","No Impact")))</f>
        <v/>
      </c>
      <c r="V73">
        <f>F73*(R73*1)*(H73*0.35+J73*0.35+L73*0.3)</f>
        <v/>
      </c>
      <c r="W73">
        <f>(V73-$AJ$13)/$AK$13</f>
        <v/>
      </c>
      <c r="X73">
        <f>IF(W73&gt;0.7,"High",IF(W73&gt;0.3,"Moderate",IF(W73&gt;0.15,"Low","No Impact")))</f>
        <v/>
      </c>
      <c r="Y73">
        <f>F73*(P73*1)*(H73*0.35+J73*0.35+L73*0.3)</f>
        <v/>
      </c>
      <c r="Z73">
        <f>(Y73-$AJ$14)/$AK$14</f>
        <v/>
      </c>
      <c r="AA73">
        <f>IF(Z73&gt;0.7,"High",IF(Z73&gt;0.3,"Moderate",IF(Z73&gt;0.15,"Low","No Impact")))</f>
        <v/>
      </c>
      <c r="AB73">
        <f>F73*(R73*0.35+P73*0.3+N73*0.35)*(H73*0.35+J73*0.35+L73*0.3)</f>
        <v/>
      </c>
      <c r="AC73">
        <f>(AB73-$AJ$15)/$AK$15</f>
        <v/>
      </c>
      <c r="AD73">
        <f>IF(AC73&gt;0.7,"High",IF(AC73&gt;0.3,"Moderate",IF(AC73&gt;0.15,"Low","No Impact")))</f>
        <v/>
      </c>
      <c r="AE73">
        <f>F73*(N73*1)*(H73*0.35+J73*0.35+L73*0.3)</f>
        <v/>
      </c>
      <c r="AF73">
        <f>(AE73-$AJ$16)/$AK$16</f>
        <v/>
      </c>
      <c r="AG73">
        <f>IF(AF73&gt;0.7,"High",IF(AF73&gt;0.3,"Moderate",IF(AF73&gt;0.15,"Low","No Impact")))</f>
        <v/>
      </c>
    </row>
    <row r="74">
      <c r="A74" t="n">
        <v>201528</v>
      </c>
      <c r="B74" t="inlineStr">
        <is>
          <t>BD201528</t>
        </is>
      </c>
      <c r="C74" t="inlineStr">
        <is>
          <t>Chittagong</t>
        </is>
      </c>
      <c r="D74" t="inlineStr">
        <is>
          <t>Double Mooring</t>
        </is>
      </c>
      <c r="E74" s="3" t="n">
        <v>5.7</v>
      </c>
      <c r="F74" s="4">
        <f>(E74-$AJ$5)/$AK$5</f>
        <v/>
      </c>
      <c r="G74" t="n">
        <v>67.84339319999999</v>
      </c>
      <c r="H74">
        <f>(G74-$AJ$6)/$AK$6</f>
        <v/>
      </c>
      <c r="I74" t="n">
        <v>1.6</v>
      </c>
      <c r="J74" s="4">
        <f>(I74-$AJ$7)/$AK$7</f>
        <v/>
      </c>
      <c r="K74" t="n">
        <v>0</v>
      </c>
      <c r="L74" s="4">
        <f>(K74-$AJ$8)/$AK$8</f>
        <v/>
      </c>
      <c r="M74" t="n">
        <v>11215</v>
      </c>
      <c r="N74">
        <f>(M74-$AJ$9)/$AK$9</f>
        <v/>
      </c>
      <c r="O74" t="n">
        <v>0.819980521</v>
      </c>
      <c r="P74">
        <f>(O74-$AJ$11)/$AK$11</f>
        <v/>
      </c>
      <c r="Q74" t="n">
        <v>0.1093</v>
      </c>
      <c r="R74">
        <f>(Q74-$AJ$12)/$AK$12</f>
        <v/>
      </c>
      <c r="S74">
        <f>F74*(R74*0.5+P74*0.5)*(H74*0.35+J74*0.35+L74*0.3)</f>
        <v/>
      </c>
      <c r="T74" s="14">
        <f>(S74-$AJ$10)/$AK$10</f>
        <v/>
      </c>
      <c r="U74">
        <f>IF(T74&gt;0.7,"High",IF(T74&gt;0.3,"Moderate",IF(T74&gt;0.15,"Low","No Impact")))</f>
        <v/>
      </c>
      <c r="V74">
        <f>F74*(R74*1)*(H74*0.35+J74*0.35+L74*0.3)</f>
        <v/>
      </c>
      <c r="W74">
        <f>(V74-$AJ$13)/$AK$13</f>
        <v/>
      </c>
      <c r="X74">
        <f>IF(W74&gt;0.7,"High",IF(W74&gt;0.3,"Moderate",IF(W74&gt;0.15,"Low","No Impact")))</f>
        <v/>
      </c>
      <c r="Y74">
        <f>F74*(P74*1)*(H74*0.35+J74*0.35+L74*0.3)</f>
        <v/>
      </c>
      <c r="Z74">
        <f>(Y74-$AJ$14)/$AK$14</f>
        <v/>
      </c>
      <c r="AA74">
        <f>IF(Z74&gt;0.7,"High",IF(Z74&gt;0.3,"Moderate",IF(Z74&gt;0.15,"Low","No Impact")))</f>
        <v/>
      </c>
      <c r="AB74">
        <f>F74*(R74*0.35+P74*0.3+N74*0.35)*(H74*0.35+J74*0.35+L74*0.3)</f>
        <v/>
      </c>
      <c r="AC74">
        <f>(AB74-$AJ$15)/$AK$15</f>
        <v/>
      </c>
      <c r="AD74">
        <f>IF(AC74&gt;0.7,"High",IF(AC74&gt;0.3,"Moderate",IF(AC74&gt;0.15,"Low","No Impact")))</f>
        <v/>
      </c>
      <c r="AE74">
        <f>F74*(N74*1)*(H74*0.35+J74*0.35+L74*0.3)</f>
        <v/>
      </c>
      <c r="AF74">
        <f>(AE74-$AJ$16)/$AK$16</f>
        <v/>
      </c>
      <c r="AG74">
        <f>IF(AF74&gt;0.7,"High",IF(AF74&gt;0.3,"Moderate",IF(AF74&gt;0.15,"Low","No Impact")))</f>
        <v/>
      </c>
    </row>
    <row r="75">
      <c r="A75" t="n">
        <v>201533</v>
      </c>
      <c r="B75" t="inlineStr">
        <is>
          <t>BD201533</t>
        </is>
      </c>
      <c r="C75" t="inlineStr">
        <is>
          <t>Chittagong</t>
        </is>
      </c>
      <c r="D75" t="inlineStr">
        <is>
          <t>Fatikchhari</t>
        </is>
      </c>
      <c r="E75" s="3" t="n">
        <v>5.6</v>
      </c>
      <c r="F75" s="4">
        <f>(E75-$AJ$5)/$AK$5</f>
        <v/>
      </c>
      <c r="G75" t="n">
        <v>63.58763880000001</v>
      </c>
      <c r="H75">
        <f>(G75-$AJ$6)/$AK$6</f>
        <v/>
      </c>
      <c r="I75" t="n">
        <v>0.9999999999999991</v>
      </c>
      <c r="J75" s="4">
        <f>(I75-$AJ$7)/$AK$7</f>
        <v/>
      </c>
      <c r="K75" t="n">
        <v>0</v>
      </c>
      <c r="L75" s="4">
        <f>(K75-$AJ$8)/$AK$8</f>
        <v/>
      </c>
      <c r="M75" t="n">
        <v>78242</v>
      </c>
      <c r="N75">
        <f>(M75-$AJ$9)/$AK$9</f>
        <v/>
      </c>
      <c r="O75" t="n">
        <v>0.632557407</v>
      </c>
      <c r="P75">
        <f>(O75-$AJ$11)/$AK$11</f>
        <v/>
      </c>
      <c r="Q75" t="n">
        <v>0.3313</v>
      </c>
      <c r="R75">
        <f>(Q75-$AJ$12)/$AK$12</f>
        <v/>
      </c>
      <c r="S75">
        <f>F75*(R75*0.5+P75*0.5)*(H75*0.35+J75*0.35+L75*0.3)</f>
        <v/>
      </c>
      <c r="T75" s="14">
        <f>(S75-$AJ$10)/$AK$10</f>
        <v/>
      </c>
      <c r="U75">
        <f>IF(T75&gt;0.7,"High",IF(T75&gt;0.3,"Moderate",IF(T75&gt;0.15,"Low","No Impact")))</f>
        <v/>
      </c>
      <c r="V75">
        <f>F75*(R75*1)*(H75*0.35+J75*0.35+L75*0.3)</f>
        <v/>
      </c>
      <c r="W75">
        <f>(V75-$AJ$13)/$AK$13</f>
        <v/>
      </c>
      <c r="X75">
        <f>IF(W75&gt;0.7,"High",IF(W75&gt;0.3,"Moderate",IF(W75&gt;0.15,"Low","No Impact")))</f>
        <v/>
      </c>
      <c r="Y75">
        <f>F75*(P75*1)*(H75*0.35+J75*0.35+L75*0.3)</f>
        <v/>
      </c>
      <c r="Z75">
        <f>(Y75-$AJ$14)/$AK$14</f>
        <v/>
      </c>
      <c r="AA75">
        <f>IF(Z75&gt;0.7,"High",IF(Z75&gt;0.3,"Moderate",IF(Z75&gt;0.15,"Low","No Impact")))</f>
        <v/>
      </c>
      <c r="AB75">
        <f>F75*(R75*0.35+P75*0.3+N75*0.35)*(H75*0.35+J75*0.35+L75*0.3)</f>
        <v/>
      </c>
      <c r="AC75">
        <f>(AB75-$AJ$15)/$AK$15</f>
        <v/>
      </c>
      <c r="AD75">
        <f>IF(AC75&gt;0.7,"High",IF(AC75&gt;0.3,"Moderate",IF(AC75&gt;0.15,"Low","No Impact")))</f>
        <v/>
      </c>
      <c r="AE75">
        <f>F75*(N75*1)*(H75*0.35+J75*0.35+L75*0.3)</f>
        <v/>
      </c>
      <c r="AF75">
        <f>(AE75-$AJ$16)/$AK$16</f>
        <v/>
      </c>
      <c r="AG75">
        <f>IF(AF75&gt;0.7,"High",IF(AF75&gt;0.3,"Moderate",IF(AF75&gt;0.15,"Low","No Impact")))</f>
        <v/>
      </c>
    </row>
    <row r="76">
      <c r="A76" t="n">
        <v>201535</v>
      </c>
      <c r="B76" t="inlineStr">
        <is>
          <t>BD201535</t>
        </is>
      </c>
      <c r="C76" t="inlineStr">
        <is>
          <t>Chittagong</t>
        </is>
      </c>
      <c r="D76" t="inlineStr">
        <is>
          <t>Halishahar</t>
        </is>
      </c>
      <c r="E76" s="3" t="n">
        <v>5.7</v>
      </c>
      <c r="F76" s="4">
        <f>(E76-$AJ$5)/$AK$5</f>
        <v/>
      </c>
      <c r="G76" t="n">
        <v>67.84339319999999</v>
      </c>
      <c r="H76">
        <f>(G76-$AJ$6)/$AK$6</f>
        <v/>
      </c>
      <c r="I76" t="n">
        <v>1.6</v>
      </c>
      <c r="J76" s="4">
        <f>(I76-$AJ$7)/$AK$7</f>
        <v/>
      </c>
      <c r="K76" t="n">
        <v>0</v>
      </c>
      <c r="L76" s="4">
        <f>(K76-$AJ$8)/$AK$8</f>
        <v/>
      </c>
      <c r="M76" t="n">
        <v>11544</v>
      </c>
      <c r="N76">
        <f>(M76-$AJ$9)/$AK$9</f>
        <v/>
      </c>
      <c r="O76" t="n">
        <v>0.650346567</v>
      </c>
      <c r="P76">
        <f>(O76-$AJ$11)/$AK$11</f>
        <v/>
      </c>
      <c r="Q76" t="n">
        <v>0.1669</v>
      </c>
      <c r="R76">
        <f>(Q76-$AJ$12)/$AK$12</f>
        <v/>
      </c>
      <c r="S76">
        <f>F76*(R76*0.5+P76*0.5)*(H76*0.35+J76*0.35+L76*0.3)</f>
        <v/>
      </c>
      <c r="T76" s="14">
        <f>(S76-$AJ$10)/$AK$10</f>
        <v/>
      </c>
      <c r="U76">
        <f>IF(T76&gt;0.7,"High",IF(T76&gt;0.3,"Moderate",IF(T76&gt;0.15,"Low","No Impact")))</f>
        <v/>
      </c>
      <c r="V76">
        <f>F76*(R76*1)*(H76*0.35+J76*0.35+L76*0.3)</f>
        <v/>
      </c>
      <c r="W76">
        <f>(V76-$AJ$13)/$AK$13</f>
        <v/>
      </c>
      <c r="X76">
        <f>IF(W76&gt;0.7,"High",IF(W76&gt;0.3,"Moderate",IF(W76&gt;0.15,"Low","No Impact")))</f>
        <v/>
      </c>
      <c r="Y76">
        <f>F76*(P76*1)*(H76*0.35+J76*0.35+L76*0.3)</f>
        <v/>
      </c>
      <c r="Z76">
        <f>(Y76-$AJ$14)/$AK$14</f>
        <v/>
      </c>
      <c r="AA76">
        <f>IF(Z76&gt;0.7,"High",IF(Z76&gt;0.3,"Moderate",IF(Z76&gt;0.15,"Low","No Impact")))</f>
        <v/>
      </c>
      <c r="AB76">
        <f>F76*(R76*0.35+P76*0.3+N76*0.35)*(H76*0.35+J76*0.35+L76*0.3)</f>
        <v/>
      </c>
      <c r="AC76">
        <f>(AB76-$AJ$15)/$AK$15</f>
        <v/>
      </c>
      <c r="AD76">
        <f>IF(AC76&gt;0.7,"High",IF(AC76&gt;0.3,"Moderate",IF(AC76&gt;0.15,"Low","No Impact")))</f>
        <v/>
      </c>
      <c r="AE76">
        <f>F76*(N76*1)*(H76*0.35+J76*0.35+L76*0.3)</f>
        <v/>
      </c>
      <c r="AF76">
        <f>(AE76-$AJ$16)/$AK$16</f>
        <v/>
      </c>
      <c r="AG76">
        <f>IF(AF76&gt;0.7,"High",IF(AF76&gt;0.3,"Moderate",IF(AF76&gt;0.15,"Low","No Impact")))</f>
        <v/>
      </c>
    </row>
    <row r="77">
      <c r="A77" t="n">
        <v>201537</v>
      </c>
      <c r="B77" t="inlineStr">
        <is>
          <t>BD201537</t>
        </is>
      </c>
      <c r="C77" t="inlineStr">
        <is>
          <t>Chittagong</t>
        </is>
      </c>
      <c r="D77" t="inlineStr">
        <is>
          <t>Hathazari</t>
        </is>
      </c>
      <c r="E77" s="3" t="n">
        <v>5.8</v>
      </c>
      <c r="F77" s="4">
        <f>(E77-$AJ$5)/$AK$5</f>
        <v/>
      </c>
      <c r="G77" t="n">
        <v>63.58763880000001</v>
      </c>
      <c r="H77">
        <f>(G77-$AJ$6)/$AK$6</f>
        <v/>
      </c>
      <c r="I77" t="n">
        <v>0.6000000000000008</v>
      </c>
      <c r="J77" s="4">
        <f>(I77-$AJ$7)/$AK$7</f>
        <v/>
      </c>
      <c r="K77" t="n">
        <v>0</v>
      </c>
      <c r="L77" s="4">
        <f>(K77-$AJ$8)/$AK$8</f>
        <v/>
      </c>
      <c r="M77" t="n">
        <v>46431</v>
      </c>
      <c r="N77">
        <f>(M77-$AJ$9)/$AK$9</f>
        <v/>
      </c>
      <c r="O77" t="n">
        <v>0.5333378600000001</v>
      </c>
      <c r="P77">
        <f>(O77-$AJ$11)/$AK$11</f>
        <v/>
      </c>
      <c r="Q77" t="n">
        <v>0.3243</v>
      </c>
      <c r="R77">
        <f>(Q77-$AJ$12)/$AK$12</f>
        <v/>
      </c>
      <c r="S77">
        <f>F77*(R77*0.5+P77*0.5)*(H77*0.35+J77*0.35+L77*0.3)</f>
        <v/>
      </c>
      <c r="T77" s="14">
        <f>(S77-$AJ$10)/$AK$10</f>
        <v/>
      </c>
      <c r="U77">
        <f>IF(T77&gt;0.7,"High",IF(T77&gt;0.3,"Moderate",IF(T77&gt;0.15,"Low","No Impact")))</f>
        <v/>
      </c>
      <c r="V77">
        <f>F77*(R77*1)*(H77*0.35+J77*0.35+L77*0.3)</f>
        <v/>
      </c>
      <c r="W77">
        <f>(V77-$AJ$13)/$AK$13</f>
        <v/>
      </c>
      <c r="X77">
        <f>IF(W77&gt;0.7,"High",IF(W77&gt;0.3,"Moderate",IF(W77&gt;0.15,"Low","No Impact")))</f>
        <v/>
      </c>
      <c r="Y77">
        <f>F77*(P77*1)*(H77*0.35+J77*0.35+L77*0.3)</f>
        <v/>
      </c>
      <c r="Z77">
        <f>(Y77-$AJ$14)/$AK$14</f>
        <v/>
      </c>
      <c r="AA77">
        <f>IF(Z77&gt;0.7,"High",IF(Z77&gt;0.3,"Moderate",IF(Z77&gt;0.15,"Low","No Impact")))</f>
        <v/>
      </c>
      <c r="AB77">
        <f>F77*(R77*0.35+P77*0.3+N77*0.35)*(H77*0.35+J77*0.35+L77*0.3)</f>
        <v/>
      </c>
      <c r="AC77">
        <f>(AB77-$AJ$15)/$AK$15</f>
        <v/>
      </c>
      <c r="AD77">
        <f>IF(AC77&gt;0.7,"High",IF(AC77&gt;0.3,"Moderate",IF(AC77&gt;0.15,"Low","No Impact")))</f>
        <v/>
      </c>
      <c r="AE77">
        <f>F77*(N77*1)*(H77*0.35+J77*0.35+L77*0.3)</f>
        <v/>
      </c>
      <c r="AF77">
        <f>(AE77-$AJ$16)/$AK$16</f>
        <v/>
      </c>
      <c r="AG77">
        <f>IF(AF77&gt;0.7,"High",IF(AF77&gt;0.3,"Moderate",IF(AF77&gt;0.15,"Low","No Impact")))</f>
        <v/>
      </c>
    </row>
    <row r="78">
      <c r="A78" t="n">
        <v>201541</v>
      </c>
      <c r="B78" t="inlineStr">
        <is>
          <t>BD201541</t>
        </is>
      </c>
      <c r="C78" t="inlineStr">
        <is>
          <t>Chittagong</t>
        </is>
      </c>
      <c r="D78" t="inlineStr">
        <is>
          <t>Kotwali</t>
        </is>
      </c>
      <c r="E78" s="3" t="n">
        <v>5.7</v>
      </c>
      <c r="F78" s="4">
        <f>(E78-$AJ$5)/$AK$5</f>
        <v/>
      </c>
      <c r="G78" t="n">
        <v>67.84339319999999</v>
      </c>
      <c r="H78">
        <f>(G78-$AJ$6)/$AK$6</f>
        <v/>
      </c>
      <c r="I78" t="n">
        <v>1.6</v>
      </c>
      <c r="J78" s="4">
        <f>(I78-$AJ$7)/$AK$7</f>
        <v/>
      </c>
      <c r="K78" t="n">
        <v>0</v>
      </c>
      <c r="L78" s="4">
        <f>(K78-$AJ$8)/$AK$8</f>
        <v/>
      </c>
      <c r="M78" t="n">
        <v>9508</v>
      </c>
      <c r="N78">
        <f>(M78-$AJ$9)/$AK$9</f>
        <v/>
      </c>
      <c r="O78" t="n">
        <v>0.6558502899999999</v>
      </c>
      <c r="P78">
        <f>(O78-$AJ$11)/$AK$11</f>
        <v/>
      </c>
      <c r="Q78" t="n">
        <v>0.078</v>
      </c>
      <c r="R78">
        <f>(Q78-$AJ$12)/$AK$12</f>
        <v/>
      </c>
      <c r="S78">
        <f>F78*(R78*0.5+P78*0.5)*(H78*0.35+J78*0.35+L78*0.3)</f>
        <v/>
      </c>
      <c r="T78" s="14">
        <f>(S78-$AJ$10)/$AK$10</f>
        <v/>
      </c>
      <c r="U78">
        <f>IF(T78&gt;0.7,"High",IF(T78&gt;0.3,"Moderate",IF(T78&gt;0.15,"Low","No Impact")))</f>
        <v/>
      </c>
      <c r="V78">
        <f>F78*(R78*1)*(H78*0.35+J78*0.35+L78*0.3)</f>
        <v/>
      </c>
      <c r="W78">
        <f>(V78-$AJ$13)/$AK$13</f>
        <v/>
      </c>
      <c r="X78">
        <f>IF(W78&gt;0.7,"High",IF(W78&gt;0.3,"Moderate",IF(W78&gt;0.15,"Low","No Impact")))</f>
        <v/>
      </c>
      <c r="Y78">
        <f>F78*(P78*1)*(H78*0.35+J78*0.35+L78*0.3)</f>
        <v/>
      </c>
      <c r="Z78">
        <f>(Y78-$AJ$14)/$AK$14</f>
        <v/>
      </c>
      <c r="AA78">
        <f>IF(Z78&gt;0.7,"High",IF(Z78&gt;0.3,"Moderate",IF(Z78&gt;0.15,"Low","No Impact")))</f>
        <v/>
      </c>
      <c r="AB78">
        <f>F78*(R78*0.35+P78*0.3+N78*0.35)*(H78*0.35+J78*0.35+L78*0.3)</f>
        <v/>
      </c>
      <c r="AC78">
        <f>(AB78-$AJ$15)/$AK$15</f>
        <v/>
      </c>
      <c r="AD78">
        <f>IF(AC78&gt;0.7,"High",IF(AC78&gt;0.3,"Moderate",IF(AC78&gt;0.15,"Low","No Impact")))</f>
        <v/>
      </c>
      <c r="AE78">
        <f>F78*(N78*1)*(H78*0.35+J78*0.35+L78*0.3)</f>
        <v/>
      </c>
      <c r="AF78">
        <f>(AE78-$AJ$16)/$AK$16</f>
        <v/>
      </c>
      <c r="AG78">
        <f>IF(AF78&gt;0.7,"High",IF(AF78&gt;0.3,"Moderate",IF(AF78&gt;0.15,"Low","No Impact")))</f>
        <v/>
      </c>
    </row>
    <row r="79">
      <c r="A79" t="n">
        <v>201543</v>
      </c>
      <c r="B79" t="inlineStr">
        <is>
          <t>BD201543</t>
        </is>
      </c>
      <c r="C79" t="inlineStr">
        <is>
          <t>Chittagong</t>
        </is>
      </c>
      <c r="D79" t="inlineStr">
        <is>
          <t>Khulshi</t>
        </is>
      </c>
      <c r="E79" s="3" t="n">
        <v>5.3</v>
      </c>
      <c r="F79" s="4">
        <f>(E79-$AJ$5)/$AK$5</f>
        <v/>
      </c>
      <c r="G79" t="n">
        <v>67.84339319999999</v>
      </c>
      <c r="H79">
        <f>(G79-$AJ$6)/$AK$6</f>
        <v/>
      </c>
      <c r="I79" t="n">
        <v>1.200000000000001</v>
      </c>
      <c r="J79" s="4">
        <f>(I79-$AJ$7)/$AK$7</f>
        <v/>
      </c>
      <c r="K79" t="n">
        <v>0</v>
      </c>
      <c r="L79" s="4">
        <f>(K79-$AJ$8)/$AK$8</f>
        <v/>
      </c>
      <c r="M79" t="n">
        <v>12037</v>
      </c>
      <c r="N79">
        <f>(M79-$AJ$9)/$AK$9</f>
        <v/>
      </c>
      <c r="O79" t="n">
        <v>0.709205604</v>
      </c>
      <c r="P79">
        <f>(O79-$AJ$11)/$AK$11</f>
        <v/>
      </c>
      <c r="Q79" t="n">
        <v>0.2762</v>
      </c>
      <c r="R79">
        <f>(Q79-$AJ$12)/$AK$12</f>
        <v/>
      </c>
      <c r="S79">
        <f>F79*(R79*0.5+P79*0.5)*(H79*0.35+J79*0.35+L79*0.3)</f>
        <v/>
      </c>
      <c r="T79" s="14">
        <f>(S79-$AJ$10)/$AK$10</f>
        <v/>
      </c>
      <c r="U79">
        <f>IF(T79&gt;0.7,"High",IF(T79&gt;0.3,"Moderate",IF(T79&gt;0.15,"Low","No Impact")))</f>
        <v/>
      </c>
      <c r="V79">
        <f>F79*(R79*1)*(H79*0.35+J79*0.35+L79*0.3)</f>
        <v/>
      </c>
      <c r="W79">
        <f>(V79-$AJ$13)/$AK$13</f>
        <v/>
      </c>
      <c r="X79">
        <f>IF(W79&gt;0.7,"High",IF(W79&gt;0.3,"Moderate",IF(W79&gt;0.15,"Low","No Impact")))</f>
        <v/>
      </c>
      <c r="Y79">
        <f>F79*(P79*1)*(H79*0.35+J79*0.35+L79*0.3)</f>
        <v/>
      </c>
      <c r="Z79">
        <f>(Y79-$AJ$14)/$AK$14</f>
        <v/>
      </c>
      <c r="AA79">
        <f>IF(Z79&gt;0.7,"High",IF(Z79&gt;0.3,"Moderate",IF(Z79&gt;0.15,"Low","No Impact")))</f>
        <v/>
      </c>
      <c r="AB79">
        <f>F79*(R79*0.35+P79*0.3+N79*0.35)*(H79*0.35+J79*0.35+L79*0.3)</f>
        <v/>
      </c>
      <c r="AC79">
        <f>(AB79-$AJ$15)/$AK$15</f>
        <v/>
      </c>
      <c r="AD79">
        <f>IF(AC79&gt;0.7,"High",IF(AC79&gt;0.3,"Moderate",IF(AC79&gt;0.15,"Low","No Impact")))</f>
        <v/>
      </c>
      <c r="AE79">
        <f>F79*(N79*1)*(H79*0.35+J79*0.35+L79*0.3)</f>
        <v/>
      </c>
      <c r="AF79">
        <f>(AE79-$AJ$16)/$AK$16</f>
        <v/>
      </c>
      <c r="AG79">
        <f>IF(AF79&gt;0.7,"High",IF(AF79&gt;0.3,"Moderate",IF(AF79&gt;0.15,"Low","No Impact")))</f>
        <v/>
      </c>
    </row>
    <row r="80">
      <c r="A80" t="n">
        <v>201547</v>
      </c>
      <c r="B80" t="inlineStr">
        <is>
          <t>BD201547</t>
        </is>
      </c>
      <c r="C80" t="inlineStr">
        <is>
          <t>Chittagong</t>
        </is>
      </c>
      <c r="D80" t="inlineStr">
        <is>
          <t>Lohagara</t>
        </is>
      </c>
      <c r="E80" s="3" t="n">
        <v>5.7</v>
      </c>
      <c r="F80" s="4">
        <f>(E80-$AJ$5)/$AK$5</f>
        <v/>
      </c>
      <c r="G80" t="n">
        <v>71.9742492</v>
      </c>
      <c r="H80">
        <f>(G80-$AJ$6)/$AK$6</f>
        <v/>
      </c>
      <c r="I80" t="n">
        <v>0.8000000000000002</v>
      </c>
      <c r="J80" s="4">
        <f>(I80-$AJ$7)/$AK$7</f>
        <v/>
      </c>
      <c r="K80" t="n">
        <v>0</v>
      </c>
      <c r="L80" s="4">
        <f>(K80-$AJ$8)/$AK$8</f>
        <v/>
      </c>
      <c r="M80" t="n">
        <v>21502</v>
      </c>
      <c r="N80">
        <f>(M80-$AJ$9)/$AK$9</f>
        <v/>
      </c>
      <c r="O80" t="n">
        <v>0.74926096</v>
      </c>
      <c r="P80">
        <f>(O80-$AJ$11)/$AK$11</f>
        <v/>
      </c>
      <c r="Q80" t="n">
        <v>0.2964</v>
      </c>
      <c r="R80">
        <f>(Q80-$AJ$12)/$AK$12</f>
        <v/>
      </c>
      <c r="S80">
        <f>F80*(R80*0.5+P80*0.5)*(H80*0.35+J80*0.35+L80*0.3)</f>
        <v/>
      </c>
      <c r="T80" s="14">
        <f>(S80-$AJ$10)/$AK$10</f>
        <v/>
      </c>
      <c r="U80">
        <f>IF(T80&gt;0.7,"High",IF(T80&gt;0.3,"Moderate",IF(T80&gt;0.15,"Low","No Impact")))</f>
        <v/>
      </c>
      <c r="V80">
        <f>F80*(R80*1)*(H80*0.35+J80*0.35+L80*0.3)</f>
        <v/>
      </c>
      <c r="W80">
        <f>(V80-$AJ$13)/$AK$13</f>
        <v/>
      </c>
      <c r="X80">
        <f>IF(W80&gt;0.7,"High",IF(W80&gt;0.3,"Moderate",IF(W80&gt;0.15,"Low","No Impact")))</f>
        <v/>
      </c>
      <c r="Y80">
        <f>F80*(P80*1)*(H80*0.35+J80*0.35+L80*0.3)</f>
        <v/>
      </c>
      <c r="Z80">
        <f>(Y80-$AJ$14)/$AK$14</f>
        <v/>
      </c>
      <c r="AA80">
        <f>IF(Z80&gt;0.7,"High",IF(Z80&gt;0.3,"Moderate",IF(Z80&gt;0.15,"Low","No Impact")))</f>
        <v/>
      </c>
      <c r="AB80">
        <f>F80*(R80*0.35+P80*0.3+N80*0.35)*(H80*0.35+J80*0.35+L80*0.3)</f>
        <v/>
      </c>
      <c r="AC80">
        <f>(AB80-$AJ$15)/$AK$15</f>
        <v/>
      </c>
      <c r="AD80">
        <f>IF(AC80&gt;0.7,"High",IF(AC80&gt;0.3,"Moderate",IF(AC80&gt;0.15,"Low","No Impact")))</f>
        <v/>
      </c>
      <c r="AE80">
        <f>F80*(N80*1)*(H80*0.35+J80*0.35+L80*0.3)</f>
        <v/>
      </c>
      <c r="AF80">
        <f>(AE80-$AJ$16)/$AK$16</f>
        <v/>
      </c>
      <c r="AG80">
        <f>IF(AF80&gt;0.7,"High",IF(AF80&gt;0.3,"Moderate",IF(AF80&gt;0.15,"Low","No Impact")))</f>
        <v/>
      </c>
    </row>
    <row r="81">
      <c r="A81" t="n">
        <v>201553</v>
      </c>
      <c r="B81" t="inlineStr">
        <is>
          <t>BD201553</t>
        </is>
      </c>
      <c r="C81" t="inlineStr">
        <is>
          <t>Chittagong</t>
        </is>
      </c>
      <c r="D81" t="inlineStr">
        <is>
          <t>Mirsharai</t>
        </is>
      </c>
      <c r="E81" s="3" t="n">
        <v>5.8</v>
      </c>
      <c r="F81" s="4">
        <f>(E81-$AJ$5)/$AK$5</f>
        <v/>
      </c>
      <c r="G81" t="n">
        <v>60.383232</v>
      </c>
      <c r="H81">
        <f>(G81-$AJ$6)/$AK$6</f>
        <v/>
      </c>
      <c r="I81" t="n">
        <v>1.300000000000001</v>
      </c>
      <c r="J81" s="4">
        <f>(I81-$AJ$7)/$AK$7</f>
        <v/>
      </c>
      <c r="K81" t="n">
        <v>0</v>
      </c>
      <c r="L81" s="4">
        <f>(K81-$AJ$8)/$AK$8</f>
        <v/>
      </c>
      <c r="M81" t="n">
        <v>64375</v>
      </c>
      <c r="N81">
        <f>(M81-$AJ$9)/$AK$9</f>
        <v/>
      </c>
      <c r="O81" t="n">
        <v>0.726660929</v>
      </c>
      <c r="P81">
        <f>(O81-$AJ$11)/$AK$11</f>
        <v/>
      </c>
      <c r="Q81" t="n">
        <v>0.3053</v>
      </c>
      <c r="R81">
        <f>(Q81-$AJ$12)/$AK$12</f>
        <v/>
      </c>
      <c r="S81">
        <f>F81*(R81*0.5+P81*0.5)*(H81*0.35+J81*0.35+L81*0.3)</f>
        <v/>
      </c>
      <c r="T81" s="14">
        <f>(S81-$AJ$10)/$AK$10</f>
        <v/>
      </c>
      <c r="U81">
        <f>IF(T81&gt;0.7,"High",IF(T81&gt;0.3,"Moderate",IF(T81&gt;0.15,"Low","No Impact")))</f>
        <v/>
      </c>
      <c r="V81">
        <f>F81*(R81*1)*(H81*0.35+J81*0.35+L81*0.3)</f>
        <v/>
      </c>
      <c r="W81">
        <f>(V81-$AJ$13)/$AK$13</f>
        <v/>
      </c>
      <c r="X81">
        <f>IF(W81&gt;0.7,"High",IF(W81&gt;0.3,"Moderate",IF(W81&gt;0.15,"Low","No Impact")))</f>
        <v/>
      </c>
      <c r="Y81">
        <f>F81*(P81*1)*(H81*0.35+J81*0.35+L81*0.3)</f>
        <v/>
      </c>
      <c r="Z81">
        <f>(Y81-$AJ$14)/$AK$14</f>
        <v/>
      </c>
      <c r="AA81">
        <f>IF(Z81&gt;0.7,"High",IF(Z81&gt;0.3,"Moderate",IF(Z81&gt;0.15,"Low","No Impact")))</f>
        <v/>
      </c>
      <c r="AB81">
        <f>F81*(R81*0.35+P81*0.3+N81*0.35)*(H81*0.35+J81*0.35+L81*0.3)</f>
        <v/>
      </c>
      <c r="AC81">
        <f>(AB81-$AJ$15)/$AK$15</f>
        <v/>
      </c>
      <c r="AD81">
        <f>IF(AC81&gt;0.7,"High",IF(AC81&gt;0.3,"Moderate",IF(AC81&gt;0.15,"Low","No Impact")))</f>
        <v/>
      </c>
      <c r="AE81">
        <f>F81*(N81*1)*(H81*0.35+J81*0.35+L81*0.3)</f>
        <v/>
      </c>
      <c r="AF81">
        <f>(AE81-$AJ$16)/$AK$16</f>
        <v/>
      </c>
      <c r="AG81">
        <f>IF(AF81&gt;0.7,"High",IF(AF81&gt;0.3,"Moderate",IF(AF81&gt;0.15,"Low","No Impact")))</f>
        <v/>
      </c>
    </row>
    <row r="82">
      <c r="A82" t="n">
        <v>201555</v>
      </c>
      <c r="B82" t="inlineStr">
        <is>
          <t>BD201555</t>
        </is>
      </c>
      <c r="C82" t="inlineStr">
        <is>
          <t>Chittagong</t>
        </is>
      </c>
      <c r="D82" t="inlineStr">
        <is>
          <t>Pahartali</t>
        </is>
      </c>
      <c r="E82" s="3" t="n">
        <v>5.8</v>
      </c>
      <c r="F82" s="4">
        <f>(E82-$AJ$5)/$AK$5</f>
        <v/>
      </c>
      <c r="G82" t="n">
        <v>67.84339319999999</v>
      </c>
      <c r="H82">
        <f>(G82-$AJ$6)/$AK$6</f>
        <v/>
      </c>
      <c r="I82" t="n">
        <v>1.200000000000001</v>
      </c>
      <c r="J82" s="4">
        <f>(I82-$AJ$7)/$AK$7</f>
        <v/>
      </c>
      <c r="K82" t="n">
        <v>0</v>
      </c>
      <c r="L82" s="4">
        <f>(K82-$AJ$8)/$AK$8</f>
        <v/>
      </c>
      <c r="M82" t="n">
        <v>9603</v>
      </c>
      <c r="N82">
        <f>(M82-$AJ$9)/$AK$9</f>
        <v/>
      </c>
      <c r="O82" t="n">
        <v>0.463363628</v>
      </c>
      <c r="P82">
        <f>(O82-$AJ$11)/$AK$11</f>
        <v/>
      </c>
      <c r="Q82" t="n">
        <v>0.2375</v>
      </c>
      <c r="R82">
        <f>(Q82-$AJ$12)/$AK$12</f>
        <v/>
      </c>
      <c r="S82">
        <f>F82*(R82*0.5+P82*0.5)*(H82*0.35+J82*0.35+L82*0.3)</f>
        <v/>
      </c>
      <c r="T82" s="14">
        <f>(S82-$AJ$10)/$AK$10</f>
        <v/>
      </c>
      <c r="U82">
        <f>IF(T82&gt;0.7,"High",IF(T82&gt;0.3,"Moderate",IF(T82&gt;0.15,"Low","No Impact")))</f>
        <v/>
      </c>
      <c r="V82">
        <f>F82*(R82*1)*(H82*0.35+J82*0.35+L82*0.3)</f>
        <v/>
      </c>
      <c r="W82">
        <f>(V82-$AJ$13)/$AK$13</f>
        <v/>
      </c>
      <c r="X82">
        <f>IF(W82&gt;0.7,"High",IF(W82&gt;0.3,"Moderate",IF(W82&gt;0.15,"Low","No Impact")))</f>
        <v/>
      </c>
      <c r="Y82">
        <f>F82*(P82*1)*(H82*0.35+J82*0.35+L82*0.3)</f>
        <v/>
      </c>
      <c r="Z82">
        <f>(Y82-$AJ$14)/$AK$14</f>
        <v/>
      </c>
      <c r="AA82">
        <f>IF(Z82&gt;0.7,"High",IF(Z82&gt;0.3,"Moderate",IF(Z82&gt;0.15,"Low","No Impact")))</f>
        <v/>
      </c>
      <c r="AB82">
        <f>F82*(R82*0.35+P82*0.3+N82*0.35)*(H82*0.35+J82*0.35+L82*0.3)</f>
        <v/>
      </c>
      <c r="AC82">
        <f>(AB82-$AJ$15)/$AK$15</f>
        <v/>
      </c>
      <c r="AD82">
        <f>IF(AC82&gt;0.7,"High",IF(AC82&gt;0.3,"Moderate",IF(AC82&gt;0.15,"Low","No Impact")))</f>
        <v/>
      </c>
      <c r="AE82">
        <f>F82*(N82*1)*(H82*0.35+J82*0.35+L82*0.3)</f>
        <v/>
      </c>
      <c r="AF82">
        <f>(AE82-$AJ$16)/$AK$16</f>
        <v/>
      </c>
      <c r="AG82">
        <f>IF(AF82&gt;0.7,"High",IF(AF82&gt;0.3,"Moderate",IF(AF82&gt;0.15,"Low","No Impact")))</f>
        <v/>
      </c>
    </row>
    <row r="83">
      <c r="A83" t="n">
        <v>201557</v>
      </c>
      <c r="B83" t="inlineStr">
        <is>
          <t>BD201557</t>
        </is>
      </c>
      <c r="C83" t="inlineStr">
        <is>
          <t>Chittagong</t>
        </is>
      </c>
      <c r="D83" t="inlineStr">
        <is>
          <t>Panchlaish</t>
        </is>
      </c>
      <c r="E83" s="3" t="n">
        <v>5.7</v>
      </c>
      <c r="F83" s="4">
        <f>(E83-$AJ$5)/$AK$5</f>
        <v/>
      </c>
      <c r="G83" t="n">
        <v>67.84339319999999</v>
      </c>
      <c r="H83">
        <f>(G83-$AJ$6)/$AK$6</f>
        <v/>
      </c>
      <c r="I83" t="n">
        <v>1.200000000000001</v>
      </c>
      <c r="J83" s="4">
        <f>(I83-$AJ$7)/$AK$7</f>
        <v/>
      </c>
      <c r="K83" t="n">
        <v>0</v>
      </c>
      <c r="L83" s="4">
        <f>(K83-$AJ$8)/$AK$8</f>
        <v/>
      </c>
      <c r="M83" t="n">
        <v>8383</v>
      </c>
      <c r="N83">
        <f>(M83-$AJ$9)/$AK$9</f>
        <v/>
      </c>
      <c r="O83" t="n">
        <v>0.550800655</v>
      </c>
      <c r="P83">
        <f>(O83-$AJ$11)/$AK$11</f>
        <v/>
      </c>
      <c r="Q83" t="n">
        <v>0.2375</v>
      </c>
      <c r="R83">
        <f>(Q83-$AJ$12)/$AK$12</f>
        <v/>
      </c>
      <c r="S83">
        <f>F83*(R83*0.5+P83*0.5)*(H83*0.35+J83*0.35+L83*0.3)</f>
        <v/>
      </c>
      <c r="T83" s="14">
        <f>(S83-$AJ$10)/$AK$10</f>
        <v/>
      </c>
      <c r="U83">
        <f>IF(T83&gt;0.7,"High",IF(T83&gt;0.3,"Moderate",IF(T83&gt;0.15,"Low","No Impact")))</f>
        <v/>
      </c>
      <c r="V83">
        <f>F83*(R83*1)*(H83*0.35+J83*0.35+L83*0.3)</f>
        <v/>
      </c>
      <c r="W83">
        <f>(V83-$AJ$13)/$AK$13</f>
        <v/>
      </c>
      <c r="X83">
        <f>IF(W83&gt;0.7,"High",IF(W83&gt;0.3,"Moderate",IF(W83&gt;0.15,"Low","No Impact")))</f>
        <v/>
      </c>
      <c r="Y83">
        <f>F83*(P83*1)*(H83*0.35+J83*0.35+L83*0.3)</f>
        <v/>
      </c>
      <c r="Z83">
        <f>(Y83-$AJ$14)/$AK$14</f>
        <v/>
      </c>
      <c r="AA83">
        <f>IF(Z83&gt;0.7,"High",IF(Z83&gt;0.3,"Moderate",IF(Z83&gt;0.15,"Low","No Impact")))</f>
        <v/>
      </c>
      <c r="AB83">
        <f>F83*(R83*0.35+P83*0.3+N83*0.35)*(H83*0.35+J83*0.35+L83*0.3)</f>
        <v/>
      </c>
      <c r="AC83">
        <f>(AB83-$AJ$15)/$AK$15</f>
        <v/>
      </c>
      <c r="AD83">
        <f>IF(AC83&gt;0.7,"High",IF(AC83&gt;0.3,"Moderate",IF(AC83&gt;0.15,"Low","No Impact")))</f>
        <v/>
      </c>
      <c r="AE83">
        <f>F83*(N83*1)*(H83*0.35+J83*0.35+L83*0.3)</f>
        <v/>
      </c>
      <c r="AF83">
        <f>(AE83-$AJ$16)/$AK$16</f>
        <v/>
      </c>
      <c r="AG83">
        <f>IF(AF83&gt;0.7,"High",IF(AF83&gt;0.3,"Moderate",IF(AF83&gt;0.15,"Low","No Impact")))</f>
        <v/>
      </c>
    </row>
    <row r="84">
      <c r="A84" t="n">
        <v>201561</v>
      </c>
      <c r="B84" t="inlineStr">
        <is>
          <t>BD201561</t>
        </is>
      </c>
      <c r="C84" t="inlineStr">
        <is>
          <t>Chittagong</t>
        </is>
      </c>
      <c r="D84" t="inlineStr">
        <is>
          <t>Patiya</t>
        </is>
      </c>
      <c r="E84" s="3" t="n">
        <v>5.1</v>
      </c>
      <c r="F84" s="4">
        <f>(E84-$AJ$5)/$AK$5</f>
        <v/>
      </c>
      <c r="G84" t="n">
        <v>67.84339319999999</v>
      </c>
      <c r="H84">
        <f>(G84-$AJ$6)/$AK$6</f>
        <v/>
      </c>
      <c r="I84" t="n">
        <v>1.4</v>
      </c>
      <c r="J84" s="4">
        <f>(I84-$AJ$7)/$AK$7</f>
        <v/>
      </c>
      <c r="K84" t="n">
        <v>0</v>
      </c>
      <c r="L84" s="4">
        <f>(K84-$AJ$8)/$AK$8</f>
        <v/>
      </c>
      <c r="M84" t="n">
        <v>61378</v>
      </c>
      <c r="N84">
        <f>(M84-$AJ$9)/$AK$9</f>
        <v/>
      </c>
      <c r="O84" t="n">
        <v>0.768394691</v>
      </c>
      <c r="P84">
        <f>(O84-$AJ$11)/$AK$11</f>
        <v/>
      </c>
      <c r="Q84" t="n">
        <v>0.3161</v>
      </c>
      <c r="R84">
        <f>(Q84-$AJ$12)/$AK$12</f>
        <v/>
      </c>
      <c r="S84">
        <f>F84*(R84*0.5+P84*0.5)*(H84*0.35+J84*0.35+L84*0.3)</f>
        <v/>
      </c>
      <c r="T84" s="14">
        <f>(S84-$AJ$10)/$AK$10</f>
        <v/>
      </c>
      <c r="U84">
        <f>IF(T84&gt;0.7,"High",IF(T84&gt;0.3,"Moderate",IF(T84&gt;0.15,"Low","No Impact")))</f>
        <v/>
      </c>
      <c r="V84">
        <f>F84*(R84*1)*(H84*0.35+J84*0.35+L84*0.3)</f>
        <v/>
      </c>
      <c r="W84">
        <f>(V84-$AJ$13)/$AK$13</f>
        <v/>
      </c>
      <c r="X84">
        <f>IF(W84&gt;0.7,"High",IF(W84&gt;0.3,"Moderate",IF(W84&gt;0.15,"Low","No Impact")))</f>
        <v/>
      </c>
      <c r="Y84">
        <f>F84*(P84*1)*(H84*0.35+J84*0.35+L84*0.3)</f>
        <v/>
      </c>
      <c r="Z84">
        <f>(Y84-$AJ$14)/$AK$14</f>
        <v/>
      </c>
      <c r="AA84">
        <f>IF(Z84&gt;0.7,"High",IF(Z84&gt;0.3,"Moderate",IF(Z84&gt;0.15,"Low","No Impact")))</f>
        <v/>
      </c>
      <c r="AB84">
        <f>F84*(R84*0.35+P84*0.3+N84*0.35)*(H84*0.35+J84*0.35+L84*0.3)</f>
        <v/>
      </c>
      <c r="AC84">
        <f>(AB84-$AJ$15)/$AK$15</f>
        <v/>
      </c>
      <c r="AD84">
        <f>IF(AC84&gt;0.7,"High",IF(AC84&gt;0.3,"Moderate",IF(AC84&gt;0.15,"Low","No Impact")))</f>
        <v/>
      </c>
      <c r="AE84">
        <f>F84*(N84*1)*(H84*0.35+J84*0.35+L84*0.3)</f>
        <v/>
      </c>
      <c r="AF84">
        <f>(AE84-$AJ$16)/$AK$16</f>
        <v/>
      </c>
      <c r="AG84">
        <f>IF(AF84&gt;0.7,"High",IF(AF84&gt;0.3,"Moderate",IF(AF84&gt;0.15,"Low","No Impact")))</f>
        <v/>
      </c>
    </row>
    <row r="85">
      <c r="A85" t="n">
        <v>201565</v>
      </c>
      <c r="B85" t="inlineStr">
        <is>
          <t>BD201565</t>
        </is>
      </c>
      <c r="C85" t="inlineStr">
        <is>
          <t>Chittagong</t>
        </is>
      </c>
      <c r="D85" t="inlineStr">
        <is>
          <t>Patenga</t>
        </is>
      </c>
      <c r="E85" s="3" t="n">
        <v>4.1</v>
      </c>
      <c r="F85" s="4">
        <f>(E85-$AJ$5)/$AK$5</f>
        <v/>
      </c>
      <c r="G85" t="n">
        <v>67.84339319999999</v>
      </c>
      <c r="H85">
        <f>(G85-$AJ$6)/$AK$6</f>
        <v/>
      </c>
      <c r="I85" t="n">
        <v>1.6</v>
      </c>
      <c r="J85" s="4">
        <f>(I85-$AJ$7)/$AK$7</f>
        <v/>
      </c>
      <c r="K85" t="n">
        <v>0</v>
      </c>
      <c r="L85" s="4">
        <f>(K85-$AJ$8)/$AK$8</f>
        <v/>
      </c>
      <c r="M85" t="n">
        <v>13802</v>
      </c>
      <c r="N85">
        <f>(M85-$AJ$9)/$AK$9</f>
        <v/>
      </c>
      <c r="O85" t="n">
        <v>0.776323891</v>
      </c>
      <c r="P85">
        <f>(O85-$AJ$11)/$AK$11</f>
        <v/>
      </c>
      <c r="Q85" t="n">
        <v>0.1711</v>
      </c>
      <c r="R85">
        <f>(Q85-$AJ$12)/$AK$12</f>
        <v/>
      </c>
      <c r="S85">
        <f>F85*(R85*0.5+P85*0.5)*(H85*0.35+J85*0.35+L85*0.3)</f>
        <v/>
      </c>
      <c r="T85" s="14">
        <f>(S85-$AJ$10)/$AK$10</f>
        <v/>
      </c>
      <c r="U85">
        <f>IF(T85&gt;0.7,"High",IF(T85&gt;0.3,"Moderate",IF(T85&gt;0.15,"Low","No Impact")))</f>
        <v/>
      </c>
      <c r="V85">
        <f>F85*(R85*1)*(H85*0.35+J85*0.35+L85*0.3)</f>
        <v/>
      </c>
      <c r="W85">
        <f>(V85-$AJ$13)/$AK$13</f>
        <v/>
      </c>
      <c r="X85">
        <f>IF(W85&gt;0.7,"High",IF(W85&gt;0.3,"Moderate",IF(W85&gt;0.15,"Low","No Impact")))</f>
        <v/>
      </c>
      <c r="Y85">
        <f>F85*(P85*1)*(H85*0.35+J85*0.35+L85*0.3)</f>
        <v/>
      </c>
      <c r="Z85">
        <f>(Y85-$AJ$14)/$AK$14</f>
        <v/>
      </c>
      <c r="AA85">
        <f>IF(Z85&gt;0.7,"High",IF(Z85&gt;0.3,"Moderate",IF(Z85&gt;0.15,"Low","No Impact")))</f>
        <v/>
      </c>
      <c r="AB85">
        <f>F85*(R85*0.35+P85*0.3+N85*0.35)*(H85*0.35+J85*0.35+L85*0.3)</f>
        <v/>
      </c>
      <c r="AC85">
        <f>(AB85-$AJ$15)/$AK$15</f>
        <v/>
      </c>
      <c r="AD85">
        <f>IF(AC85&gt;0.7,"High",IF(AC85&gt;0.3,"Moderate",IF(AC85&gt;0.15,"Low","No Impact")))</f>
        <v/>
      </c>
      <c r="AE85">
        <f>F85*(N85*1)*(H85*0.35+J85*0.35+L85*0.3)</f>
        <v/>
      </c>
      <c r="AF85">
        <f>(AE85-$AJ$16)/$AK$16</f>
        <v/>
      </c>
      <c r="AG85">
        <f>IF(AF85&gt;0.7,"High",IF(AF85&gt;0.3,"Moderate",IF(AF85&gt;0.15,"Low","No Impact")))</f>
        <v/>
      </c>
    </row>
    <row r="86">
      <c r="A86" t="n">
        <v>201570</v>
      </c>
      <c r="B86" t="inlineStr">
        <is>
          <t>BD201570</t>
        </is>
      </c>
      <c r="C86" t="inlineStr">
        <is>
          <t>Chittagong</t>
        </is>
      </c>
      <c r="D86" t="inlineStr">
        <is>
          <t>Rangunia</t>
        </is>
      </c>
      <c r="E86" s="3" t="n">
        <v>5.7</v>
      </c>
      <c r="F86" s="4">
        <f>(E86-$AJ$5)/$AK$5</f>
        <v/>
      </c>
      <c r="G86" t="n">
        <v>63.615762</v>
      </c>
      <c r="H86">
        <f>(G86-$AJ$6)/$AK$6</f>
        <v/>
      </c>
      <c r="I86" t="n">
        <v>0.4000000000000002</v>
      </c>
      <c r="J86" s="4">
        <f>(I86-$AJ$7)/$AK$7</f>
        <v/>
      </c>
      <c r="K86" t="n">
        <v>0</v>
      </c>
      <c r="L86" s="4">
        <f>(K86-$AJ$8)/$AK$8</f>
        <v/>
      </c>
      <c r="M86" t="n">
        <v>39341</v>
      </c>
      <c r="N86">
        <f>(M86-$AJ$9)/$AK$9</f>
        <v/>
      </c>
      <c r="O86" t="n">
        <v>0.642605291</v>
      </c>
      <c r="P86">
        <f>(O86-$AJ$11)/$AK$11</f>
        <v/>
      </c>
      <c r="Q86" t="n">
        <v>0.2998</v>
      </c>
      <c r="R86">
        <f>(Q86-$AJ$12)/$AK$12</f>
        <v/>
      </c>
      <c r="S86">
        <f>F86*(R86*0.5+P86*0.5)*(H86*0.35+J86*0.35+L86*0.3)</f>
        <v/>
      </c>
      <c r="T86" s="14">
        <f>(S86-$AJ$10)/$AK$10</f>
        <v/>
      </c>
      <c r="U86">
        <f>IF(T86&gt;0.7,"High",IF(T86&gt;0.3,"Moderate",IF(T86&gt;0.15,"Low","No Impact")))</f>
        <v/>
      </c>
      <c r="V86">
        <f>F86*(R86*1)*(H86*0.35+J86*0.35+L86*0.3)</f>
        <v/>
      </c>
      <c r="W86">
        <f>(V86-$AJ$13)/$AK$13</f>
        <v/>
      </c>
      <c r="X86">
        <f>IF(W86&gt;0.7,"High",IF(W86&gt;0.3,"Moderate",IF(W86&gt;0.15,"Low","No Impact")))</f>
        <v/>
      </c>
      <c r="Y86">
        <f>F86*(P86*1)*(H86*0.35+J86*0.35+L86*0.3)</f>
        <v/>
      </c>
      <c r="Z86">
        <f>(Y86-$AJ$14)/$AK$14</f>
        <v/>
      </c>
      <c r="AA86">
        <f>IF(Z86&gt;0.7,"High",IF(Z86&gt;0.3,"Moderate",IF(Z86&gt;0.15,"Low","No Impact")))</f>
        <v/>
      </c>
      <c r="AB86">
        <f>F86*(R86*0.35+P86*0.3+N86*0.35)*(H86*0.35+J86*0.35+L86*0.3)</f>
        <v/>
      </c>
      <c r="AC86">
        <f>(AB86-$AJ$15)/$AK$15</f>
        <v/>
      </c>
      <c r="AD86">
        <f>IF(AC86&gt;0.7,"High",IF(AC86&gt;0.3,"Moderate",IF(AC86&gt;0.15,"Low","No Impact")))</f>
        <v/>
      </c>
      <c r="AE86">
        <f>F86*(N86*1)*(H86*0.35+J86*0.35+L86*0.3)</f>
        <v/>
      </c>
      <c r="AF86">
        <f>(AE86-$AJ$16)/$AK$16</f>
        <v/>
      </c>
      <c r="AG86">
        <f>IF(AF86&gt;0.7,"High",IF(AF86&gt;0.3,"Moderate",IF(AF86&gt;0.15,"Low","No Impact")))</f>
        <v/>
      </c>
    </row>
    <row r="87">
      <c r="A87" t="n">
        <v>201574</v>
      </c>
      <c r="B87" t="inlineStr">
        <is>
          <t>BD201574</t>
        </is>
      </c>
      <c r="C87" t="inlineStr">
        <is>
          <t>Chittagong</t>
        </is>
      </c>
      <c r="D87" t="inlineStr">
        <is>
          <t>Raozan</t>
        </is>
      </c>
      <c r="E87" s="3" t="n">
        <v>5.5</v>
      </c>
      <c r="F87" s="4">
        <f>(E87-$AJ$5)/$AK$5</f>
        <v/>
      </c>
      <c r="G87" t="n">
        <v>63.58763880000001</v>
      </c>
      <c r="H87">
        <f>(G87-$AJ$6)/$AK$6</f>
        <v/>
      </c>
      <c r="I87" t="n">
        <v>0.4999999999999996</v>
      </c>
      <c r="J87" s="4">
        <f>(I87-$AJ$7)/$AK$7</f>
        <v/>
      </c>
      <c r="K87" t="n">
        <v>0</v>
      </c>
      <c r="L87" s="4">
        <f>(K87-$AJ$8)/$AK$8</f>
        <v/>
      </c>
      <c r="M87" t="n">
        <v>34140</v>
      </c>
      <c r="N87">
        <f>(M87-$AJ$9)/$AK$9</f>
        <v/>
      </c>
      <c r="O87" t="n">
        <v>0.54628781</v>
      </c>
      <c r="P87">
        <f>(O87-$AJ$11)/$AK$11</f>
        <v/>
      </c>
      <c r="Q87" t="n">
        <v>0.3251</v>
      </c>
      <c r="R87">
        <f>(Q87-$AJ$12)/$AK$12</f>
        <v/>
      </c>
      <c r="S87">
        <f>F87*(R87*0.5+P87*0.5)*(H87*0.35+J87*0.35+L87*0.3)</f>
        <v/>
      </c>
      <c r="T87" s="14">
        <f>(S87-$AJ$10)/$AK$10</f>
        <v/>
      </c>
      <c r="U87">
        <f>IF(T87&gt;0.7,"High",IF(T87&gt;0.3,"Moderate",IF(T87&gt;0.15,"Low","No Impact")))</f>
        <v/>
      </c>
      <c r="V87">
        <f>F87*(R87*1)*(H87*0.35+J87*0.35+L87*0.3)</f>
        <v/>
      </c>
      <c r="W87">
        <f>(V87-$AJ$13)/$AK$13</f>
        <v/>
      </c>
      <c r="X87">
        <f>IF(W87&gt;0.7,"High",IF(W87&gt;0.3,"Moderate",IF(W87&gt;0.15,"Low","No Impact")))</f>
        <v/>
      </c>
      <c r="Y87">
        <f>F87*(P87*1)*(H87*0.35+J87*0.35+L87*0.3)</f>
        <v/>
      </c>
      <c r="Z87">
        <f>(Y87-$AJ$14)/$AK$14</f>
        <v/>
      </c>
      <c r="AA87">
        <f>IF(Z87&gt;0.7,"High",IF(Z87&gt;0.3,"Moderate",IF(Z87&gt;0.15,"Low","No Impact")))</f>
        <v/>
      </c>
      <c r="AB87">
        <f>F87*(R87*0.35+P87*0.3+N87*0.35)*(H87*0.35+J87*0.35+L87*0.3)</f>
        <v/>
      </c>
      <c r="AC87">
        <f>(AB87-$AJ$15)/$AK$15</f>
        <v/>
      </c>
      <c r="AD87">
        <f>IF(AC87&gt;0.7,"High",IF(AC87&gt;0.3,"Moderate",IF(AC87&gt;0.15,"Low","No Impact")))</f>
        <v/>
      </c>
      <c r="AE87">
        <f>F87*(N87*1)*(H87*0.35+J87*0.35+L87*0.3)</f>
        <v/>
      </c>
      <c r="AF87">
        <f>(AE87-$AJ$16)/$AK$16</f>
        <v/>
      </c>
      <c r="AG87">
        <f>IF(AF87&gt;0.7,"High",IF(AF87&gt;0.3,"Moderate",IF(AF87&gt;0.15,"Low","No Impact")))</f>
        <v/>
      </c>
    </row>
    <row r="88">
      <c r="A88" t="n">
        <v>201578</v>
      </c>
      <c r="B88" t="inlineStr">
        <is>
          <t>BD201578</t>
        </is>
      </c>
      <c r="C88" t="inlineStr">
        <is>
          <t>Chittagong</t>
        </is>
      </c>
      <c r="D88" t="inlineStr">
        <is>
          <t>Sandwip</t>
        </is>
      </c>
      <c r="E88" s="3" t="n">
        <v>5.8</v>
      </c>
      <c r="F88" s="4">
        <f>(E88-$AJ$5)/$AK$5</f>
        <v/>
      </c>
      <c r="G88" t="n">
        <v>101.8097388</v>
      </c>
      <c r="H88">
        <f>(G88-$AJ$6)/$AK$6</f>
        <v/>
      </c>
      <c r="I88" t="n">
        <v>4</v>
      </c>
      <c r="J88" s="4">
        <f>(I88-$AJ$7)/$AK$7</f>
        <v/>
      </c>
      <c r="K88" t="n">
        <v>0</v>
      </c>
      <c r="L88" s="4">
        <f>(K88-$AJ$8)/$AK$8</f>
        <v/>
      </c>
      <c r="M88" t="n">
        <v>39476</v>
      </c>
      <c r="N88">
        <f>(M88-$AJ$9)/$AK$9</f>
        <v/>
      </c>
      <c r="O88" t="n">
        <v>0.483672607</v>
      </c>
      <c r="P88">
        <f>(O88-$AJ$11)/$AK$11</f>
        <v/>
      </c>
      <c r="Q88" t="n">
        <v>0.2544</v>
      </c>
      <c r="R88">
        <f>(Q88-$AJ$12)/$AK$12</f>
        <v/>
      </c>
      <c r="S88">
        <f>F88*(R88*0.5+P88*0.5)*(H88*0.35+J88*0.35+L88*0.3)</f>
        <v/>
      </c>
      <c r="T88" s="14">
        <f>(S88-$AJ$10)/$AK$10</f>
        <v/>
      </c>
      <c r="U88">
        <f>IF(T88&gt;0.7,"High",IF(T88&gt;0.3,"Moderate",IF(T88&gt;0.15,"Low","No Impact")))</f>
        <v/>
      </c>
      <c r="V88">
        <f>F88*(R88*1)*(H88*0.35+J88*0.35+L88*0.3)</f>
        <v/>
      </c>
      <c r="W88">
        <f>(V88-$AJ$13)/$AK$13</f>
        <v/>
      </c>
      <c r="X88">
        <f>IF(W88&gt;0.7,"High",IF(W88&gt;0.3,"Moderate",IF(W88&gt;0.15,"Low","No Impact")))</f>
        <v/>
      </c>
      <c r="Y88">
        <f>F88*(P88*1)*(H88*0.35+J88*0.35+L88*0.3)</f>
        <v/>
      </c>
      <c r="Z88">
        <f>(Y88-$AJ$14)/$AK$14</f>
        <v/>
      </c>
      <c r="AA88">
        <f>IF(Z88&gt;0.7,"High",IF(Z88&gt;0.3,"Moderate",IF(Z88&gt;0.15,"Low","No Impact")))</f>
        <v/>
      </c>
      <c r="AB88">
        <f>F88*(R88*0.35+P88*0.3+N88*0.35)*(H88*0.35+J88*0.35+L88*0.3)</f>
        <v/>
      </c>
      <c r="AC88">
        <f>(AB88-$AJ$15)/$AK$15</f>
        <v/>
      </c>
      <c r="AD88">
        <f>IF(AC88&gt;0.7,"High",IF(AC88&gt;0.3,"Moderate",IF(AC88&gt;0.15,"Low","No Impact")))</f>
        <v/>
      </c>
      <c r="AE88">
        <f>F88*(N88*1)*(H88*0.35+J88*0.35+L88*0.3)</f>
        <v/>
      </c>
      <c r="AF88">
        <f>(AE88-$AJ$16)/$AK$16</f>
        <v/>
      </c>
      <c r="AG88">
        <f>IF(AF88&gt;0.7,"High",IF(AF88&gt;0.3,"Moderate",IF(AF88&gt;0.15,"Low","No Impact")))</f>
        <v/>
      </c>
    </row>
    <row r="89">
      <c r="A89" t="n">
        <v>201582</v>
      </c>
      <c r="B89" t="inlineStr">
        <is>
          <t>BD201582</t>
        </is>
      </c>
      <c r="C89" t="inlineStr">
        <is>
          <t>Chittagong</t>
        </is>
      </c>
      <c r="D89" t="inlineStr">
        <is>
          <t>Satkania</t>
        </is>
      </c>
      <c r="E89" s="3" t="n">
        <v>5.7</v>
      </c>
      <c r="F89" s="4">
        <f>(E89-$AJ$5)/$AK$5</f>
        <v/>
      </c>
      <c r="G89" t="n">
        <v>71.9742492</v>
      </c>
      <c r="H89">
        <f>(G89-$AJ$6)/$AK$6</f>
        <v/>
      </c>
      <c r="I89" t="n">
        <v>0.7000000000000001</v>
      </c>
      <c r="J89" s="4">
        <f>(I89-$AJ$7)/$AK$7</f>
        <v/>
      </c>
      <c r="K89" t="n">
        <v>0</v>
      </c>
      <c r="L89" s="4">
        <f>(K89-$AJ$8)/$AK$8</f>
        <v/>
      </c>
      <c r="M89" t="n">
        <v>40219</v>
      </c>
      <c r="N89">
        <f>(M89-$AJ$9)/$AK$9</f>
        <v/>
      </c>
      <c r="O89" t="n">
        <v>0.702885047</v>
      </c>
      <c r="P89">
        <f>(O89-$AJ$11)/$AK$11</f>
        <v/>
      </c>
      <c r="Q89" t="n">
        <v>0.302</v>
      </c>
      <c r="R89">
        <f>(Q89-$AJ$12)/$AK$12</f>
        <v/>
      </c>
      <c r="S89">
        <f>F89*(R89*0.5+P89*0.5)*(H89*0.35+J89*0.35+L89*0.3)</f>
        <v/>
      </c>
      <c r="T89" s="14">
        <f>(S89-$AJ$10)/$AK$10</f>
        <v/>
      </c>
      <c r="U89">
        <f>IF(T89&gt;0.7,"High",IF(T89&gt;0.3,"Moderate",IF(T89&gt;0.15,"Low","No Impact")))</f>
        <v/>
      </c>
      <c r="V89">
        <f>F89*(R89*1)*(H89*0.35+J89*0.35+L89*0.3)</f>
        <v/>
      </c>
      <c r="W89">
        <f>(V89-$AJ$13)/$AK$13</f>
        <v/>
      </c>
      <c r="X89">
        <f>IF(W89&gt;0.7,"High",IF(W89&gt;0.3,"Moderate",IF(W89&gt;0.15,"Low","No Impact")))</f>
        <v/>
      </c>
      <c r="Y89">
        <f>F89*(P89*1)*(H89*0.35+J89*0.35+L89*0.3)</f>
        <v/>
      </c>
      <c r="Z89">
        <f>(Y89-$AJ$14)/$AK$14</f>
        <v/>
      </c>
      <c r="AA89">
        <f>IF(Z89&gt;0.7,"High",IF(Z89&gt;0.3,"Moderate",IF(Z89&gt;0.15,"Low","No Impact")))</f>
        <v/>
      </c>
      <c r="AB89">
        <f>F89*(R89*0.35+P89*0.3+N89*0.35)*(H89*0.35+J89*0.35+L89*0.3)</f>
        <v/>
      </c>
      <c r="AC89">
        <f>(AB89-$AJ$15)/$AK$15</f>
        <v/>
      </c>
      <c r="AD89">
        <f>IF(AC89&gt;0.7,"High",IF(AC89&gt;0.3,"Moderate",IF(AC89&gt;0.15,"Low","No Impact")))</f>
        <v/>
      </c>
      <c r="AE89">
        <f>F89*(N89*1)*(H89*0.35+J89*0.35+L89*0.3)</f>
        <v/>
      </c>
      <c r="AF89">
        <f>(AE89-$AJ$16)/$AK$16</f>
        <v/>
      </c>
      <c r="AG89">
        <f>IF(AF89&gt;0.7,"High",IF(AF89&gt;0.3,"Moderate",IF(AF89&gt;0.15,"Low","No Impact")))</f>
        <v/>
      </c>
    </row>
    <row r="90">
      <c r="A90" t="n">
        <v>201586</v>
      </c>
      <c r="B90" t="inlineStr">
        <is>
          <t>BD201586</t>
        </is>
      </c>
      <c r="C90" t="inlineStr">
        <is>
          <t>Chittagong</t>
        </is>
      </c>
      <c r="D90" t="inlineStr">
        <is>
          <t>Sitakunda</t>
        </is>
      </c>
      <c r="E90" s="3" t="n">
        <v>5.8</v>
      </c>
      <c r="F90" s="4">
        <f>(E90-$AJ$5)/$AK$5</f>
        <v/>
      </c>
      <c r="G90" t="n">
        <v>80.3976876</v>
      </c>
      <c r="H90">
        <f>(G90-$AJ$6)/$AK$6</f>
        <v/>
      </c>
      <c r="I90" t="n">
        <v>1.4</v>
      </c>
      <c r="J90" s="4">
        <f>(I90-$AJ$7)/$AK$7</f>
        <v/>
      </c>
      <c r="K90" t="n">
        <v>0</v>
      </c>
      <c r="L90" s="4">
        <f>(K90-$AJ$8)/$AK$8</f>
        <v/>
      </c>
      <c r="M90" t="n">
        <v>54977</v>
      </c>
      <c r="N90">
        <f>(M90-$AJ$9)/$AK$9</f>
        <v/>
      </c>
      <c r="O90" t="n">
        <v>0.39355948</v>
      </c>
      <c r="P90">
        <f>(O90-$AJ$11)/$AK$11</f>
        <v/>
      </c>
      <c r="Q90" t="n">
        <v>0.3182</v>
      </c>
      <c r="R90">
        <f>(Q90-$AJ$12)/$AK$12</f>
        <v/>
      </c>
      <c r="S90">
        <f>F90*(R90*0.5+P90*0.5)*(H90*0.35+J90*0.35+L90*0.3)</f>
        <v/>
      </c>
      <c r="T90" s="14">
        <f>(S90-$AJ$10)/$AK$10</f>
        <v/>
      </c>
      <c r="U90">
        <f>IF(T90&gt;0.7,"High",IF(T90&gt;0.3,"Moderate",IF(T90&gt;0.15,"Low","No Impact")))</f>
        <v/>
      </c>
      <c r="V90">
        <f>F90*(R90*1)*(H90*0.35+J90*0.35+L90*0.3)</f>
        <v/>
      </c>
      <c r="W90">
        <f>(V90-$AJ$13)/$AK$13</f>
        <v/>
      </c>
      <c r="X90">
        <f>IF(W90&gt;0.7,"High",IF(W90&gt;0.3,"Moderate",IF(W90&gt;0.15,"Low","No Impact")))</f>
        <v/>
      </c>
      <c r="Y90">
        <f>F90*(P90*1)*(H90*0.35+J90*0.35+L90*0.3)</f>
        <v/>
      </c>
      <c r="Z90">
        <f>(Y90-$AJ$14)/$AK$14</f>
        <v/>
      </c>
      <c r="AA90">
        <f>IF(Z90&gt;0.7,"High",IF(Z90&gt;0.3,"Moderate",IF(Z90&gt;0.15,"Low","No Impact")))</f>
        <v/>
      </c>
      <c r="AB90">
        <f>F90*(R90*0.35+P90*0.3+N90*0.35)*(H90*0.35+J90*0.35+L90*0.3)</f>
        <v/>
      </c>
      <c r="AC90">
        <f>(AB90-$AJ$15)/$AK$15</f>
        <v/>
      </c>
      <c r="AD90">
        <f>IF(AC90&gt;0.7,"High",IF(AC90&gt;0.3,"Moderate",IF(AC90&gt;0.15,"Low","No Impact")))</f>
        <v/>
      </c>
      <c r="AE90">
        <f>F90*(N90*1)*(H90*0.35+J90*0.35+L90*0.3)</f>
        <v/>
      </c>
      <c r="AF90">
        <f>(AE90-$AJ$16)/$AK$16</f>
        <v/>
      </c>
      <c r="AG90">
        <f>IF(AF90&gt;0.7,"High",IF(AF90&gt;0.3,"Moderate",IF(AF90&gt;0.15,"Low","No Impact")))</f>
        <v/>
      </c>
    </row>
    <row r="91">
      <c r="A91" t="n">
        <v>201909</v>
      </c>
      <c r="B91" t="inlineStr">
        <is>
          <t>BD201909</t>
        </is>
      </c>
      <c r="C91" t="inlineStr">
        <is>
          <t>Comilla</t>
        </is>
      </c>
      <c r="D91" t="inlineStr">
        <is>
          <t>Barura</t>
        </is>
      </c>
      <c r="E91" s="3" t="n">
        <v>4.4</v>
      </c>
      <c r="F91" s="4">
        <f>(E91-$AJ$5)/$AK$5</f>
        <v/>
      </c>
      <c r="G91" t="n">
        <v>59.3794332</v>
      </c>
      <c r="H91">
        <f>(G91-$AJ$6)/$AK$6</f>
        <v/>
      </c>
      <c r="I91" t="n">
        <v>4.000000000000002</v>
      </c>
      <c r="J91" s="4">
        <f>(I91-$AJ$7)/$AK$7</f>
        <v/>
      </c>
      <c r="K91" t="n">
        <v>0</v>
      </c>
      <c r="L91" s="4">
        <f>(K91-$AJ$8)/$AK$8</f>
        <v/>
      </c>
      <c r="M91" t="n">
        <v>52813</v>
      </c>
      <c r="N91">
        <f>(M91-$AJ$9)/$AK$9</f>
        <v/>
      </c>
      <c r="O91" t="n">
        <v>0.538682952</v>
      </c>
      <c r="P91">
        <f>(O91-$AJ$11)/$AK$11</f>
        <v/>
      </c>
      <c r="Q91" t="n">
        <v>0.2451</v>
      </c>
      <c r="R91">
        <f>(Q91-$AJ$12)/$AK$12</f>
        <v/>
      </c>
      <c r="S91">
        <f>F91*(R91*0.5+P91*0.5)*(H91*0.35+J91*0.35+L91*0.3)</f>
        <v/>
      </c>
      <c r="T91" s="14">
        <f>(S91-$AJ$10)/$AK$10</f>
        <v/>
      </c>
      <c r="U91">
        <f>IF(T91&gt;0.7,"High",IF(T91&gt;0.3,"Moderate",IF(T91&gt;0.15,"Low","No Impact")))</f>
        <v/>
      </c>
      <c r="V91">
        <f>F91*(R91*1)*(H91*0.35+J91*0.35+L91*0.3)</f>
        <v/>
      </c>
      <c r="W91">
        <f>(V91-$AJ$13)/$AK$13</f>
        <v/>
      </c>
      <c r="X91">
        <f>IF(W91&gt;0.7,"High",IF(W91&gt;0.3,"Moderate",IF(W91&gt;0.15,"Low","No Impact")))</f>
        <v/>
      </c>
      <c r="Y91">
        <f>F91*(P91*1)*(H91*0.35+J91*0.35+L91*0.3)</f>
        <v/>
      </c>
      <c r="Z91">
        <f>(Y91-$AJ$14)/$AK$14</f>
        <v/>
      </c>
      <c r="AA91">
        <f>IF(Z91&gt;0.7,"High",IF(Z91&gt;0.3,"Moderate",IF(Z91&gt;0.15,"Low","No Impact")))</f>
        <v/>
      </c>
      <c r="AB91">
        <f>F91*(R91*0.35+P91*0.3+N91*0.35)*(H91*0.35+J91*0.35+L91*0.3)</f>
        <v/>
      </c>
      <c r="AC91">
        <f>(AB91-$AJ$15)/$AK$15</f>
        <v/>
      </c>
      <c r="AD91">
        <f>IF(AC91&gt;0.7,"High",IF(AC91&gt;0.3,"Moderate",IF(AC91&gt;0.15,"Low","No Impact")))</f>
        <v/>
      </c>
      <c r="AE91">
        <f>F91*(N91*1)*(H91*0.35+J91*0.35+L91*0.3)</f>
        <v/>
      </c>
      <c r="AF91">
        <f>(AE91-$AJ$16)/$AK$16</f>
        <v/>
      </c>
      <c r="AG91">
        <f>IF(AF91&gt;0.7,"High",IF(AF91&gt;0.3,"Moderate",IF(AF91&gt;0.15,"Low","No Impact")))</f>
        <v/>
      </c>
    </row>
    <row r="92">
      <c r="A92" t="n">
        <v>201915</v>
      </c>
      <c r="B92" t="inlineStr">
        <is>
          <t>BD201915</t>
        </is>
      </c>
      <c r="C92" t="inlineStr">
        <is>
          <t>Comilla</t>
        </is>
      </c>
      <c r="D92" t="inlineStr">
        <is>
          <t>Brahman Para</t>
        </is>
      </c>
      <c r="E92" s="3" t="n">
        <v>4.4</v>
      </c>
      <c r="F92" s="4">
        <f>(E92-$AJ$5)/$AK$5</f>
        <v/>
      </c>
      <c r="G92" t="n">
        <v>57.3087312</v>
      </c>
      <c r="H92">
        <f>(G92-$AJ$6)/$AK$6</f>
        <v/>
      </c>
      <c r="I92" t="n">
        <v>2</v>
      </c>
      <c r="J92" s="4">
        <f>(I92-$AJ$7)/$AK$7</f>
        <v/>
      </c>
      <c r="K92" t="n">
        <v>0</v>
      </c>
      <c r="L92" s="4">
        <f>(K92-$AJ$8)/$AK$8</f>
        <v/>
      </c>
      <c r="M92" t="n">
        <v>14956</v>
      </c>
      <c r="N92">
        <f>(M92-$AJ$9)/$AK$9</f>
        <v/>
      </c>
      <c r="O92" t="n">
        <v>0.624445019</v>
      </c>
      <c r="P92">
        <f>(O92-$AJ$11)/$AK$11</f>
        <v/>
      </c>
      <c r="Q92" t="n">
        <v>0.2323</v>
      </c>
      <c r="R92">
        <f>(Q92-$AJ$12)/$AK$12</f>
        <v/>
      </c>
      <c r="S92">
        <f>F92*(R92*0.5+P92*0.5)*(H92*0.35+J92*0.35+L92*0.3)</f>
        <v/>
      </c>
      <c r="T92" s="14">
        <f>(S92-$AJ$10)/$AK$10</f>
        <v/>
      </c>
      <c r="U92">
        <f>IF(T92&gt;0.7,"High",IF(T92&gt;0.3,"Moderate",IF(T92&gt;0.15,"Low","No Impact")))</f>
        <v/>
      </c>
      <c r="V92">
        <f>F92*(R92*1)*(H92*0.35+J92*0.35+L92*0.3)</f>
        <v/>
      </c>
      <c r="W92">
        <f>(V92-$AJ$13)/$AK$13</f>
        <v/>
      </c>
      <c r="X92">
        <f>IF(W92&gt;0.7,"High",IF(W92&gt;0.3,"Moderate",IF(W92&gt;0.15,"Low","No Impact")))</f>
        <v/>
      </c>
      <c r="Y92">
        <f>F92*(P92*1)*(H92*0.35+J92*0.35+L92*0.3)</f>
        <v/>
      </c>
      <c r="Z92">
        <f>(Y92-$AJ$14)/$AK$14</f>
        <v/>
      </c>
      <c r="AA92">
        <f>IF(Z92&gt;0.7,"High",IF(Z92&gt;0.3,"Moderate",IF(Z92&gt;0.15,"Low","No Impact")))</f>
        <v/>
      </c>
      <c r="AB92">
        <f>F92*(R92*0.35+P92*0.3+N92*0.35)*(H92*0.35+J92*0.35+L92*0.3)</f>
        <v/>
      </c>
      <c r="AC92">
        <f>(AB92-$AJ$15)/$AK$15</f>
        <v/>
      </c>
      <c r="AD92">
        <f>IF(AC92&gt;0.7,"High",IF(AC92&gt;0.3,"Moderate",IF(AC92&gt;0.15,"Low","No Impact")))</f>
        <v/>
      </c>
      <c r="AE92">
        <f>F92*(N92*1)*(H92*0.35+J92*0.35+L92*0.3)</f>
        <v/>
      </c>
      <c r="AF92">
        <f>(AE92-$AJ$16)/$AK$16</f>
        <v/>
      </c>
      <c r="AG92">
        <f>IF(AF92&gt;0.7,"High",IF(AF92&gt;0.3,"Moderate",IF(AF92&gt;0.15,"Low","No Impact")))</f>
        <v/>
      </c>
    </row>
    <row r="93">
      <c r="A93" t="n">
        <v>201918</v>
      </c>
      <c r="B93" t="inlineStr">
        <is>
          <t>BD201918</t>
        </is>
      </c>
      <c r="C93" t="inlineStr">
        <is>
          <t>Comilla</t>
        </is>
      </c>
      <c r="D93" t="inlineStr">
        <is>
          <t>Burichang</t>
        </is>
      </c>
      <c r="E93" s="3" t="n">
        <v>4.3</v>
      </c>
      <c r="F93" s="4">
        <f>(E93-$AJ$5)/$AK$5</f>
        <v/>
      </c>
      <c r="G93" t="n">
        <v>57.3087312</v>
      </c>
      <c r="H93">
        <f>(G93-$AJ$6)/$AK$6</f>
        <v/>
      </c>
      <c r="I93" t="n">
        <v>2.6</v>
      </c>
      <c r="J93" s="4">
        <f>(I93-$AJ$7)/$AK$7</f>
        <v/>
      </c>
      <c r="K93" t="n">
        <v>0</v>
      </c>
      <c r="L93" s="4">
        <f>(K93-$AJ$8)/$AK$8</f>
        <v/>
      </c>
      <c r="M93" t="n">
        <v>36049</v>
      </c>
      <c r="N93">
        <f>(M93-$AJ$9)/$AK$9</f>
        <v/>
      </c>
      <c r="O93" t="n">
        <v>0.5013048</v>
      </c>
      <c r="P93">
        <f>(O93-$AJ$11)/$AK$11</f>
        <v/>
      </c>
      <c r="Q93" t="n">
        <v>0.2345</v>
      </c>
      <c r="R93">
        <f>(Q93-$AJ$12)/$AK$12</f>
        <v/>
      </c>
      <c r="S93">
        <f>F93*(R93*0.5+P93*0.5)*(H93*0.35+J93*0.35+L93*0.3)</f>
        <v/>
      </c>
      <c r="T93" s="14">
        <f>(S93-$AJ$10)/$AK$10</f>
        <v/>
      </c>
      <c r="U93">
        <f>IF(T93&gt;0.7,"High",IF(T93&gt;0.3,"Moderate",IF(T93&gt;0.15,"Low","No Impact")))</f>
        <v/>
      </c>
      <c r="V93">
        <f>F93*(R93*1)*(H93*0.35+J93*0.35+L93*0.3)</f>
        <v/>
      </c>
      <c r="W93">
        <f>(V93-$AJ$13)/$AK$13</f>
        <v/>
      </c>
      <c r="X93">
        <f>IF(W93&gt;0.7,"High",IF(W93&gt;0.3,"Moderate",IF(W93&gt;0.15,"Low","No Impact")))</f>
        <v/>
      </c>
      <c r="Y93">
        <f>F93*(P93*1)*(H93*0.35+J93*0.35+L93*0.3)</f>
        <v/>
      </c>
      <c r="Z93">
        <f>(Y93-$AJ$14)/$AK$14</f>
        <v/>
      </c>
      <c r="AA93">
        <f>IF(Z93&gt;0.7,"High",IF(Z93&gt;0.3,"Moderate",IF(Z93&gt;0.15,"Low","No Impact")))</f>
        <v/>
      </c>
      <c r="AB93">
        <f>F93*(R93*0.35+P93*0.3+N93*0.35)*(H93*0.35+J93*0.35+L93*0.3)</f>
        <v/>
      </c>
      <c r="AC93">
        <f>(AB93-$AJ$15)/$AK$15</f>
        <v/>
      </c>
      <c r="AD93">
        <f>IF(AC93&gt;0.7,"High",IF(AC93&gt;0.3,"Moderate",IF(AC93&gt;0.15,"Low","No Impact")))</f>
        <v/>
      </c>
      <c r="AE93">
        <f>F93*(N93*1)*(H93*0.35+J93*0.35+L93*0.3)</f>
        <v/>
      </c>
      <c r="AF93">
        <f>(AE93-$AJ$16)/$AK$16</f>
        <v/>
      </c>
      <c r="AG93">
        <f>IF(AF93&gt;0.7,"High",IF(AF93&gt;0.3,"Moderate",IF(AF93&gt;0.15,"Low","No Impact")))</f>
        <v/>
      </c>
    </row>
    <row r="94">
      <c r="A94" t="n">
        <v>201927</v>
      </c>
      <c r="B94" t="inlineStr">
        <is>
          <t>BD201927</t>
        </is>
      </c>
      <c r="C94" t="inlineStr">
        <is>
          <t>Comilla</t>
        </is>
      </c>
      <c r="D94" t="inlineStr">
        <is>
          <t>Chandina</t>
        </is>
      </c>
      <c r="E94" s="3" t="n">
        <v>3.8</v>
      </c>
      <c r="F94" s="4">
        <f>(E94-$AJ$5)/$AK$5</f>
        <v/>
      </c>
      <c r="G94" t="n">
        <v>59.3794332</v>
      </c>
      <c r="H94">
        <f>(G94-$AJ$6)/$AK$6</f>
        <v/>
      </c>
      <c r="I94" t="n">
        <v>4.499999999999999</v>
      </c>
      <c r="J94" s="4">
        <f>(I94-$AJ$7)/$AK$7</f>
        <v/>
      </c>
      <c r="K94" t="n">
        <v>0</v>
      </c>
      <c r="L94" s="4">
        <f>(K94-$AJ$8)/$AK$8</f>
        <v/>
      </c>
      <c r="M94" t="n">
        <v>52969</v>
      </c>
      <c r="N94">
        <f>(M94-$AJ$9)/$AK$9</f>
        <v/>
      </c>
      <c r="O94" t="n">
        <v>0.427053527</v>
      </c>
      <c r="P94">
        <f>(O94-$AJ$11)/$AK$11</f>
        <v/>
      </c>
      <c r="Q94" t="n">
        <v>0.2318</v>
      </c>
      <c r="R94">
        <f>(Q94-$AJ$12)/$AK$12</f>
        <v/>
      </c>
      <c r="S94">
        <f>F94*(R94*0.5+P94*0.5)*(H94*0.35+J94*0.35+L94*0.3)</f>
        <v/>
      </c>
      <c r="T94" s="14">
        <f>(S94-$AJ$10)/$AK$10</f>
        <v/>
      </c>
      <c r="U94">
        <f>IF(T94&gt;0.7,"High",IF(T94&gt;0.3,"Moderate",IF(T94&gt;0.15,"Low","No Impact")))</f>
        <v/>
      </c>
      <c r="V94">
        <f>F94*(R94*1)*(H94*0.35+J94*0.35+L94*0.3)</f>
        <v/>
      </c>
      <c r="W94">
        <f>(V94-$AJ$13)/$AK$13</f>
        <v/>
      </c>
      <c r="X94">
        <f>IF(W94&gt;0.7,"High",IF(W94&gt;0.3,"Moderate",IF(W94&gt;0.15,"Low","No Impact")))</f>
        <v/>
      </c>
      <c r="Y94">
        <f>F94*(P94*1)*(H94*0.35+J94*0.35+L94*0.3)</f>
        <v/>
      </c>
      <c r="Z94">
        <f>(Y94-$AJ$14)/$AK$14</f>
        <v/>
      </c>
      <c r="AA94">
        <f>IF(Z94&gt;0.7,"High",IF(Z94&gt;0.3,"Moderate",IF(Z94&gt;0.15,"Low","No Impact")))</f>
        <v/>
      </c>
      <c r="AB94">
        <f>F94*(R94*0.35+P94*0.3+N94*0.35)*(H94*0.35+J94*0.35+L94*0.3)</f>
        <v/>
      </c>
      <c r="AC94">
        <f>(AB94-$AJ$15)/$AK$15</f>
        <v/>
      </c>
      <c r="AD94">
        <f>IF(AC94&gt;0.7,"High",IF(AC94&gt;0.3,"Moderate",IF(AC94&gt;0.15,"Low","No Impact")))</f>
        <v/>
      </c>
      <c r="AE94">
        <f>F94*(N94*1)*(H94*0.35+J94*0.35+L94*0.3)</f>
        <v/>
      </c>
      <c r="AF94">
        <f>(AE94-$AJ$16)/$AK$16</f>
        <v/>
      </c>
      <c r="AG94">
        <f>IF(AF94&gt;0.7,"High",IF(AF94&gt;0.3,"Moderate",IF(AF94&gt;0.15,"Low","No Impact")))</f>
        <v/>
      </c>
    </row>
    <row r="95">
      <c r="A95" t="n">
        <v>201931</v>
      </c>
      <c r="B95" t="inlineStr">
        <is>
          <t>BD201931</t>
        </is>
      </c>
      <c r="C95" t="inlineStr">
        <is>
          <t>Comilla</t>
        </is>
      </c>
      <c r="D95" t="inlineStr">
        <is>
          <t>Chauddagram</t>
        </is>
      </c>
      <c r="E95" s="3" t="n">
        <v>4.5</v>
      </c>
      <c r="F95" s="4">
        <f>(E95-$AJ$5)/$AK$5</f>
        <v/>
      </c>
      <c r="G95" t="n">
        <v>58.18060800000001</v>
      </c>
      <c r="H95">
        <f>(G95-$AJ$6)/$AK$6</f>
        <v/>
      </c>
      <c r="I95" t="n">
        <v>3.4</v>
      </c>
      <c r="J95" s="4">
        <f>(I95-$AJ$7)/$AK$7</f>
        <v/>
      </c>
      <c r="K95" t="n">
        <v>0</v>
      </c>
      <c r="L95" s="4">
        <f>(K95-$AJ$8)/$AK$8</f>
        <v/>
      </c>
      <c r="M95" t="n">
        <v>58877</v>
      </c>
      <c r="N95">
        <f>(M95-$AJ$9)/$AK$9</f>
        <v/>
      </c>
      <c r="O95" t="n">
        <v>0.537837346</v>
      </c>
      <c r="P95">
        <f>(O95-$AJ$11)/$AK$11</f>
        <v/>
      </c>
      <c r="Q95" t="n">
        <v>0.2445</v>
      </c>
      <c r="R95">
        <f>(Q95-$AJ$12)/$AK$12</f>
        <v/>
      </c>
      <c r="S95">
        <f>F95*(R95*0.5+P95*0.5)*(H95*0.35+J95*0.35+L95*0.3)</f>
        <v/>
      </c>
      <c r="T95" s="14">
        <f>(S95-$AJ$10)/$AK$10</f>
        <v/>
      </c>
      <c r="U95">
        <f>IF(T95&gt;0.7,"High",IF(T95&gt;0.3,"Moderate",IF(T95&gt;0.15,"Low","No Impact")))</f>
        <v/>
      </c>
      <c r="V95">
        <f>F95*(R95*1)*(H95*0.35+J95*0.35+L95*0.3)</f>
        <v/>
      </c>
      <c r="W95">
        <f>(V95-$AJ$13)/$AK$13</f>
        <v/>
      </c>
      <c r="X95">
        <f>IF(W95&gt;0.7,"High",IF(W95&gt;0.3,"Moderate",IF(W95&gt;0.15,"Low","No Impact")))</f>
        <v/>
      </c>
      <c r="Y95">
        <f>F95*(P95*1)*(H95*0.35+J95*0.35+L95*0.3)</f>
        <v/>
      </c>
      <c r="Z95">
        <f>(Y95-$AJ$14)/$AK$14</f>
        <v/>
      </c>
      <c r="AA95">
        <f>IF(Z95&gt;0.7,"High",IF(Z95&gt;0.3,"Moderate",IF(Z95&gt;0.15,"Low","No Impact")))</f>
        <v/>
      </c>
      <c r="AB95">
        <f>F95*(R95*0.35+P95*0.3+N95*0.35)*(H95*0.35+J95*0.35+L95*0.3)</f>
        <v/>
      </c>
      <c r="AC95">
        <f>(AB95-$AJ$15)/$AK$15</f>
        <v/>
      </c>
      <c r="AD95">
        <f>IF(AC95&gt;0.7,"High",IF(AC95&gt;0.3,"Moderate",IF(AC95&gt;0.15,"Low","No Impact")))</f>
        <v/>
      </c>
      <c r="AE95">
        <f>F95*(N95*1)*(H95*0.35+J95*0.35+L95*0.3)</f>
        <v/>
      </c>
      <c r="AF95">
        <f>(AE95-$AJ$16)/$AK$16</f>
        <v/>
      </c>
      <c r="AG95">
        <f>IF(AF95&gt;0.7,"High",IF(AF95&gt;0.3,"Moderate",IF(AF95&gt;0.15,"Low","No Impact")))</f>
        <v/>
      </c>
    </row>
    <row r="96">
      <c r="A96" t="n">
        <v>201933</v>
      </c>
      <c r="B96" t="inlineStr">
        <is>
          <t>BD201933</t>
        </is>
      </c>
      <c r="C96" t="inlineStr">
        <is>
          <t>Comilla</t>
        </is>
      </c>
      <c r="D96" t="inlineStr">
        <is>
          <t>Comilla Sadar Dakshin</t>
        </is>
      </c>
      <c r="E96" s="3" t="n">
        <v>4.4</v>
      </c>
      <c r="F96" s="4">
        <f>(E96-$AJ$5)/$AK$5</f>
        <v/>
      </c>
      <c r="G96" t="n">
        <v>59.3794332</v>
      </c>
      <c r="H96">
        <f>(G96-$AJ$6)/$AK$6</f>
        <v/>
      </c>
      <c r="I96" t="n">
        <v>3.5</v>
      </c>
      <c r="J96" s="4">
        <f>(I96-$AJ$7)/$AK$7</f>
        <v/>
      </c>
      <c r="K96" t="n">
        <v>0</v>
      </c>
      <c r="L96" s="4">
        <f>(K96-$AJ$8)/$AK$8</f>
        <v/>
      </c>
      <c r="M96" t="n">
        <v>63237</v>
      </c>
      <c r="N96">
        <f>(M96-$AJ$9)/$AK$9</f>
        <v/>
      </c>
      <c r="O96" t="n">
        <v>0.62370599</v>
      </c>
      <c r="P96">
        <f>(O96-$AJ$11)/$AK$11</f>
        <v/>
      </c>
      <c r="Q96" t="n">
        <v>0.2522</v>
      </c>
      <c r="R96">
        <f>(Q96-$AJ$12)/$AK$12</f>
        <v/>
      </c>
      <c r="S96">
        <f>F96*(R96*0.5+P96*0.5)*(H96*0.35+J96*0.35+L96*0.3)</f>
        <v/>
      </c>
      <c r="T96" s="14">
        <f>(S96-$AJ$10)/$AK$10</f>
        <v/>
      </c>
      <c r="U96">
        <f>IF(T96&gt;0.7,"High",IF(T96&gt;0.3,"Moderate",IF(T96&gt;0.15,"Low","No Impact")))</f>
        <v/>
      </c>
      <c r="V96">
        <f>F96*(R96*1)*(H96*0.35+J96*0.35+L96*0.3)</f>
        <v/>
      </c>
      <c r="W96">
        <f>(V96-$AJ$13)/$AK$13</f>
        <v/>
      </c>
      <c r="X96">
        <f>IF(W96&gt;0.7,"High",IF(W96&gt;0.3,"Moderate",IF(W96&gt;0.15,"Low","No Impact")))</f>
        <v/>
      </c>
      <c r="Y96">
        <f>F96*(P96*1)*(H96*0.35+J96*0.35+L96*0.3)</f>
        <v/>
      </c>
      <c r="Z96">
        <f>(Y96-$AJ$14)/$AK$14</f>
        <v/>
      </c>
      <c r="AA96">
        <f>IF(Z96&gt;0.7,"High",IF(Z96&gt;0.3,"Moderate",IF(Z96&gt;0.15,"Low","No Impact")))</f>
        <v/>
      </c>
      <c r="AB96">
        <f>F96*(R96*0.35+P96*0.3+N96*0.35)*(H96*0.35+J96*0.35+L96*0.3)</f>
        <v/>
      </c>
      <c r="AC96">
        <f>(AB96-$AJ$15)/$AK$15</f>
        <v/>
      </c>
      <c r="AD96">
        <f>IF(AC96&gt;0.7,"High",IF(AC96&gt;0.3,"Moderate",IF(AC96&gt;0.15,"Low","No Impact")))</f>
        <v/>
      </c>
      <c r="AE96">
        <f>F96*(N96*1)*(H96*0.35+J96*0.35+L96*0.3)</f>
        <v/>
      </c>
      <c r="AF96">
        <f>(AE96-$AJ$16)/$AK$16</f>
        <v/>
      </c>
      <c r="AG96">
        <f>IF(AF96&gt;0.7,"High",IF(AF96&gt;0.3,"Moderate",IF(AF96&gt;0.15,"Low","No Impact")))</f>
        <v/>
      </c>
    </row>
    <row r="97">
      <c r="A97" t="n">
        <v>201936</v>
      </c>
      <c r="B97" t="inlineStr">
        <is>
          <t>BD201936</t>
        </is>
      </c>
      <c r="C97" t="inlineStr">
        <is>
          <t>Comilla</t>
        </is>
      </c>
      <c r="D97" t="inlineStr">
        <is>
          <t>Daudkandi</t>
        </is>
      </c>
      <c r="E97" s="3" t="n">
        <v>4.3</v>
      </c>
      <c r="F97" s="4">
        <f>(E97-$AJ$5)/$AK$5</f>
        <v/>
      </c>
      <c r="G97" t="n">
        <v>58.9540428</v>
      </c>
      <c r="H97">
        <f>(G97-$AJ$6)/$AK$6</f>
        <v/>
      </c>
      <c r="I97" t="n">
        <v>3.800000000000001</v>
      </c>
      <c r="J97" s="4">
        <f>(I97-$AJ$7)/$AK$7</f>
        <v/>
      </c>
      <c r="K97" t="n">
        <v>0</v>
      </c>
      <c r="L97" s="4">
        <f>(K97-$AJ$8)/$AK$8</f>
        <v/>
      </c>
      <c r="M97" t="n">
        <v>46512</v>
      </c>
      <c r="N97">
        <f>(M97-$AJ$9)/$AK$9</f>
        <v/>
      </c>
      <c r="O97" t="n">
        <v>0.339590037</v>
      </c>
      <c r="P97">
        <f>(O97-$AJ$11)/$AK$11</f>
        <v/>
      </c>
      <c r="Q97" t="n">
        <v>0.2431</v>
      </c>
      <c r="R97">
        <f>(Q97-$AJ$12)/$AK$12</f>
        <v/>
      </c>
      <c r="S97">
        <f>F97*(R97*0.5+P97*0.5)*(H97*0.35+J97*0.35+L97*0.3)</f>
        <v/>
      </c>
      <c r="T97" s="14">
        <f>(S97-$AJ$10)/$AK$10</f>
        <v/>
      </c>
      <c r="U97">
        <f>IF(T97&gt;0.7,"High",IF(T97&gt;0.3,"Moderate",IF(T97&gt;0.15,"Low","No Impact")))</f>
        <v/>
      </c>
      <c r="V97">
        <f>F97*(R97*1)*(H97*0.35+J97*0.35+L97*0.3)</f>
        <v/>
      </c>
      <c r="W97">
        <f>(V97-$AJ$13)/$AK$13</f>
        <v/>
      </c>
      <c r="X97">
        <f>IF(W97&gt;0.7,"High",IF(W97&gt;0.3,"Moderate",IF(W97&gt;0.15,"Low","No Impact")))</f>
        <v/>
      </c>
      <c r="Y97">
        <f>F97*(P97*1)*(H97*0.35+J97*0.35+L97*0.3)</f>
        <v/>
      </c>
      <c r="Z97">
        <f>(Y97-$AJ$14)/$AK$14</f>
        <v/>
      </c>
      <c r="AA97">
        <f>IF(Z97&gt;0.7,"High",IF(Z97&gt;0.3,"Moderate",IF(Z97&gt;0.15,"Low","No Impact")))</f>
        <v/>
      </c>
      <c r="AB97">
        <f>F97*(R97*0.35+P97*0.3+N97*0.35)*(H97*0.35+J97*0.35+L97*0.3)</f>
        <v/>
      </c>
      <c r="AC97">
        <f>(AB97-$AJ$15)/$AK$15</f>
        <v/>
      </c>
      <c r="AD97">
        <f>IF(AC97&gt;0.7,"High",IF(AC97&gt;0.3,"Moderate",IF(AC97&gt;0.15,"Low","No Impact")))</f>
        <v/>
      </c>
      <c r="AE97">
        <f>F97*(N97*1)*(H97*0.35+J97*0.35+L97*0.3)</f>
        <v/>
      </c>
      <c r="AF97">
        <f>(AE97-$AJ$16)/$AK$16</f>
        <v/>
      </c>
      <c r="AG97">
        <f>IF(AF97&gt;0.7,"High",IF(AF97&gt;0.3,"Moderate",IF(AF97&gt;0.15,"Low","No Impact")))</f>
        <v/>
      </c>
    </row>
    <row r="98">
      <c r="A98" t="n">
        <v>201940</v>
      </c>
      <c r="B98" t="inlineStr">
        <is>
          <t>BD201940</t>
        </is>
      </c>
      <c r="C98" t="inlineStr">
        <is>
          <t>Comilla</t>
        </is>
      </c>
      <c r="D98" t="inlineStr">
        <is>
          <t>Debidwar</t>
        </is>
      </c>
      <c r="E98" s="3" t="n">
        <v>4.4</v>
      </c>
      <c r="F98" s="4">
        <f>(E98-$AJ$5)/$AK$5</f>
        <v/>
      </c>
      <c r="G98" t="n">
        <v>57.3087312</v>
      </c>
      <c r="H98">
        <f>(G98-$AJ$6)/$AK$6</f>
        <v/>
      </c>
      <c r="I98" t="n">
        <v>2.500000000000002</v>
      </c>
      <c r="J98" s="4">
        <f>(I98-$AJ$7)/$AK$7</f>
        <v/>
      </c>
      <c r="K98" t="n">
        <v>0</v>
      </c>
      <c r="L98" s="4">
        <f>(K98-$AJ$8)/$AK$8</f>
        <v/>
      </c>
      <c r="M98" t="n">
        <v>53195</v>
      </c>
      <c r="N98">
        <f>(M98-$AJ$9)/$AK$9</f>
        <v/>
      </c>
      <c r="O98" t="n">
        <v>0.526457772</v>
      </c>
      <c r="P98">
        <f>(O98-$AJ$11)/$AK$11</f>
        <v/>
      </c>
      <c r="Q98" t="n">
        <v>0.2439</v>
      </c>
      <c r="R98">
        <f>(Q98-$AJ$12)/$AK$12</f>
        <v/>
      </c>
      <c r="S98">
        <f>F98*(R98*0.5+P98*0.5)*(H98*0.35+J98*0.35+L98*0.3)</f>
        <v/>
      </c>
      <c r="T98" s="14">
        <f>(S98-$AJ$10)/$AK$10</f>
        <v/>
      </c>
      <c r="U98">
        <f>IF(T98&gt;0.7,"High",IF(T98&gt;0.3,"Moderate",IF(T98&gt;0.15,"Low","No Impact")))</f>
        <v/>
      </c>
      <c r="V98">
        <f>F98*(R98*1)*(H98*0.35+J98*0.35+L98*0.3)</f>
        <v/>
      </c>
      <c r="W98">
        <f>(V98-$AJ$13)/$AK$13</f>
        <v/>
      </c>
      <c r="X98">
        <f>IF(W98&gt;0.7,"High",IF(W98&gt;0.3,"Moderate",IF(W98&gt;0.15,"Low","No Impact")))</f>
        <v/>
      </c>
      <c r="Y98">
        <f>F98*(P98*1)*(H98*0.35+J98*0.35+L98*0.3)</f>
        <v/>
      </c>
      <c r="Z98">
        <f>(Y98-$AJ$14)/$AK$14</f>
        <v/>
      </c>
      <c r="AA98">
        <f>IF(Z98&gt;0.7,"High",IF(Z98&gt;0.3,"Moderate",IF(Z98&gt;0.15,"Low","No Impact")))</f>
        <v/>
      </c>
      <c r="AB98">
        <f>F98*(R98*0.35+P98*0.3+N98*0.35)*(H98*0.35+J98*0.35+L98*0.3)</f>
        <v/>
      </c>
      <c r="AC98">
        <f>(AB98-$AJ$15)/$AK$15</f>
        <v/>
      </c>
      <c r="AD98">
        <f>IF(AC98&gt;0.7,"High",IF(AC98&gt;0.3,"Moderate",IF(AC98&gt;0.15,"Low","No Impact")))</f>
        <v/>
      </c>
      <c r="AE98">
        <f>F98*(N98*1)*(H98*0.35+J98*0.35+L98*0.3)</f>
        <v/>
      </c>
      <c r="AF98">
        <f>(AE98-$AJ$16)/$AK$16</f>
        <v/>
      </c>
      <c r="AG98">
        <f>IF(AF98&gt;0.7,"High",IF(AF98&gt;0.3,"Moderate",IF(AF98&gt;0.15,"Low","No Impact")))</f>
        <v/>
      </c>
    </row>
    <row r="99">
      <c r="A99" t="n">
        <v>201954</v>
      </c>
      <c r="B99" t="inlineStr">
        <is>
          <t>BD201954</t>
        </is>
      </c>
      <c r="C99" t="inlineStr">
        <is>
          <t>Comilla</t>
        </is>
      </c>
      <c r="D99" t="inlineStr">
        <is>
          <t>Homna</t>
        </is>
      </c>
      <c r="E99" s="3" t="n">
        <v>4.4</v>
      </c>
      <c r="F99" s="4">
        <f>(E99-$AJ$5)/$AK$5</f>
        <v/>
      </c>
      <c r="G99" t="n">
        <v>58.9540428</v>
      </c>
      <c r="H99">
        <f>(G99-$AJ$6)/$AK$6</f>
        <v/>
      </c>
      <c r="I99" t="n">
        <v>2.799999999999998</v>
      </c>
      <c r="J99" s="4">
        <f>(I99-$AJ$7)/$AK$7</f>
        <v/>
      </c>
      <c r="K99" t="n">
        <v>0</v>
      </c>
      <c r="L99" s="4">
        <f>(K99-$AJ$8)/$AK$8</f>
        <v/>
      </c>
      <c r="M99" t="n">
        <v>23236</v>
      </c>
      <c r="N99">
        <f>(M99-$AJ$9)/$AK$9</f>
        <v/>
      </c>
      <c r="O99" t="n">
        <v>0.576518135</v>
      </c>
      <c r="P99">
        <f>(O99-$AJ$11)/$AK$11</f>
        <v/>
      </c>
      <c r="Q99" t="n">
        <v>0.2515</v>
      </c>
      <c r="R99">
        <f>(Q99-$AJ$12)/$AK$12</f>
        <v/>
      </c>
      <c r="S99">
        <f>F99*(R99*0.5+P99*0.5)*(H99*0.35+J99*0.35+L99*0.3)</f>
        <v/>
      </c>
      <c r="T99" s="14">
        <f>(S99-$AJ$10)/$AK$10</f>
        <v/>
      </c>
      <c r="U99">
        <f>IF(T99&gt;0.7,"High",IF(T99&gt;0.3,"Moderate",IF(T99&gt;0.15,"Low","No Impact")))</f>
        <v/>
      </c>
      <c r="V99">
        <f>F99*(R99*1)*(H99*0.35+J99*0.35+L99*0.3)</f>
        <v/>
      </c>
      <c r="W99">
        <f>(V99-$AJ$13)/$AK$13</f>
        <v/>
      </c>
      <c r="X99">
        <f>IF(W99&gt;0.7,"High",IF(W99&gt;0.3,"Moderate",IF(W99&gt;0.15,"Low","No Impact")))</f>
        <v/>
      </c>
      <c r="Y99">
        <f>F99*(P99*1)*(H99*0.35+J99*0.35+L99*0.3)</f>
        <v/>
      </c>
      <c r="Z99">
        <f>(Y99-$AJ$14)/$AK$14</f>
        <v/>
      </c>
      <c r="AA99">
        <f>IF(Z99&gt;0.7,"High",IF(Z99&gt;0.3,"Moderate",IF(Z99&gt;0.15,"Low","No Impact")))</f>
        <v/>
      </c>
      <c r="AB99">
        <f>F99*(R99*0.35+P99*0.3+N99*0.35)*(H99*0.35+J99*0.35+L99*0.3)</f>
        <v/>
      </c>
      <c r="AC99">
        <f>(AB99-$AJ$15)/$AK$15</f>
        <v/>
      </c>
      <c r="AD99">
        <f>IF(AC99&gt;0.7,"High",IF(AC99&gt;0.3,"Moderate",IF(AC99&gt;0.15,"Low","No Impact")))</f>
        <v/>
      </c>
      <c r="AE99">
        <f>F99*(N99*1)*(H99*0.35+J99*0.35+L99*0.3)</f>
        <v/>
      </c>
      <c r="AF99">
        <f>(AE99-$AJ$16)/$AK$16</f>
        <v/>
      </c>
      <c r="AG99">
        <f>IF(AF99&gt;0.7,"High",IF(AF99&gt;0.3,"Moderate",IF(AF99&gt;0.15,"Low","No Impact")))</f>
        <v/>
      </c>
    </row>
    <row r="100">
      <c r="A100" t="n">
        <v>201967</v>
      </c>
      <c r="B100" t="inlineStr">
        <is>
          <t>BD201967</t>
        </is>
      </c>
      <c r="C100" t="inlineStr">
        <is>
          <t>Comilla</t>
        </is>
      </c>
      <c r="D100" t="inlineStr">
        <is>
          <t>Comilla Adarsha Sadar</t>
        </is>
      </c>
      <c r="E100" s="3" t="n">
        <v>4.4</v>
      </c>
      <c r="F100" s="4">
        <f>(E100-$AJ$5)/$AK$5</f>
        <v/>
      </c>
      <c r="G100" t="n">
        <v>57.3087312</v>
      </c>
      <c r="H100">
        <f>(G100-$AJ$6)/$AK$6</f>
        <v/>
      </c>
      <c r="I100" t="n">
        <v>2.6</v>
      </c>
      <c r="J100" s="4">
        <f>(I100-$AJ$7)/$AK$7</f>
        <v/>
      </c>
      <c r="K100" t="n">
        <v>0</v>
      </c>
      <c r="L100" s="4">
        <f>(K100-$AJ$8)/$AK$8</f>
        <v/>
      </c>
      <c r="M100" t="n">
        <v>64652</v>
      </c>
      <c r="N100">
        <f>(M100-$AJ$9)/$AK$9</f>
        <v/>
      </c>
      <c r="O100" t="n">
        <v>0.467173277</v>
      </c>
      <c r="P100">
        <f>(O100-$AJ$11)/$AK$11</f>
        <v/>
      </c>
      <c r="Q100" t="n">
        <v>0.2479</v>
      </c>
      <c r="R100">
        <f>(Q100-$AJ$12)/$AK$12</f>
        <v/>
      </c>
      <c r="S100">
        <f>F100*(R100*0.5+P100*0.5)*(H100*0.35+J100*0.35+L100*0.3)</f>
        <v/>
      </c>
      <c r="T100" s="14">
        <f>(S100-$AJ$10)/$AK$10</f>
        <v/>
      </c>
      <c r="U100">
        <f>IF(T100&gt;0.7,"High",IF(T100&gt;0.3,"Moderate",IF(T100&gt;0.15,"Low","No Impact")))</f>
        <v/>
      </c>
      <c r="V100">
        <f>F100*(R100*1)*(H100*0.35+J100*0.35+L100*0.3)</f>
        <v/>
      </c>
      <c r="W100">
        <f>(V100-$AJ$13)/$AK$13</f>
        <v/>
      </c>
      <c r="X100">
        <f>IF(W100&gt;0.7,"High",IF(W100&gt;0.3,"Moderate",IF(W100&gt;0.15,"Low","No Impact")))</f>
        <v/>
      </c>
      <c r="Y100">
        <f>F100*(P100*1)*(H100*0.35+J100*0.35+L100*0.3)</f>
        <v/>
      </c>
      <c r="Z100">
        <f>(Y100-$AJ$14)/$AK$14</f>
        <v/>
      </c>
      <c r="AA100">
        <f>IF(Z100&gt;0.7,"High",IF(Z100&gt;0.3,"Moderate",IF(Z100&gt;0.15,"Low","No Impact")))</f>
        <v/>
      </c>
      <c r="AB100">
        <f>F100*(R100*0.35+P100*0.3+N100*0.35)*(H100*0.35+J100*0.35+L100*0.3)</f>
        <v/>
      </c>
      <c r="AC100">
        <f>(AB100-$AJ$15)/$AK$15</f>
        <v/>
      </c>
      <c r="AD100">
        <f>IF(AC100&gt;0.7,"High",IF(AC100&gt;0.3,"Moderate",IF(AC100&gt;0.15,"Low","No Impact")))</f>
        <v/>
      </c>
      <c r="AE100">
        <f>F100*(N100*1)*(H100*0.35+J100*0.35+L100*0.3)</f>
        <v/>
      </c>
      <c r="AF100">
        <f>(AE100-$AJ$16)/$AK$16</f>
        <v/>
      </c>
      <c r="AG100">
        <f>IF(AF100&gt;0.7,"High",IF(AF100&gt;0.3,"Moderate",IF(AF100&gt;0.15,"Low","No Impact")))</f>
        <v/>
      </c>
    </row>
    <row r="101">
      <c r="A101" t="n">
        <v>201972</v>
      </c>
      <c r="B101" t="inlineStr">
        <is>
          <t>BD201972</t>
        </is>
      </c>
      <c r="C101" t="inlineStr">
        <is>
          <t>Comilla</t>
        </is>
      </c>
      <c r="D101" t="inlineStr">
        <is>
          <t>Laksam</t>
        </is>
      </c>
      <c r="E101" s="3" t="n">
        <v>4.4</v>
      </c>
      <c r="F101" s="4">
        <f>(E101-$AJ$5)/$AK$5</f>
        <v/>
      </c>
      <c r="G101" t="n">
        <v>59.3794332</v>
      </c>
      <c r="H101">
        <f>(G101-$AJ$6)/$AK$6</f>
        <v/>
      </c>
      <c r="I101" t="n">
        <v>4.399999999999999</v>
      </c>
      <c r="J101" s="4">
        <f>(I101-$AJ$7)/$AK$7</f>
        <v/>
      </c>
      <c r="K101" t="n">
        <v>0</v>
      </c>
      <c r="L101" s="4">
        <f>(K101-$AJ$8)/$AK$8</f>
        <v/>
      </c>
      <c r="M101" t="n">
        <v>22886</v>
      </c>
      <c r="N101">
        <f>(M101-$AJ$9)/$AK$9</f>
        <v/>
      </c>
      <c r="O101" t="n">
        <v>0.536043334</v>
      </c>
      <c r="P101">
        <f>(O101-$AJ$11)/$AK$11</f>
        <v/>
      </c>
      <c r="Q101" t="n">
        <v>0.2196</v>
      </c>
      <c r="R101">
        <f>(Q101-$AJ$12)/$AK$12</f>
        <v/>
      </c>
      <c r="S101">
        <f>F101*(R101*0.5+P101*0.5)*(H101*0.35+J101*0.35+L101*0.3)</f>
        <v/>
      </c>
      <c r="T101" s="14">
        <f>(S101-$AJ$10)/$AK$10</f>
        <v/>
      </c>
      <c r="U101">
        <f>IF(T101&gt;0.7,"High",IF(T101&gt;0.3,"Moderate",IF(T101&gt;0.15,"Low","No Impact")))</f>
        <v/>
      </c>
      <c r="V101">
        <f>F101*(R101*1)*(H101*0.35+J101*0.35+L101*0.3)</f>
        <v/>
      </c>
      <c r="W101">
        <f>(V101-$AJ$13)/$AK$13</f>
        <v/>
      </c>
      <c r="X101">
        <f>IF(W101&gt;0.7,"High",IF(W101&gt;0.3,"Moderate",IF(W101&gt;0.15,"Low","No Impact")))</f>
        <v/>
      </c>
      <c r="Y101">
        <f>F101*(P101*1)*(H101*0.35+J101*0.35+L101*0.3)</f>
        <v/>
      </c>
      <c r="Z101">
        <f>(Y101-$AJ$14)/$AK$14</f>
        <v/>
      </c>
      <c r="AA101">
        <f>IF(Z101&gt;0.7,"High",IF(Z101&gt;0.3,"Moderate",IF(Z101&gt;0.15,"Low","No Impact")))</f>
        <v/>
      </c>
      <c r="AB101">
        <f>F101*(R101*0.35+P101*0.3+N101*0.35)*(H101*0.35+J101*0.35+L101*0.3)</f>
        <v/>
      </c>
      <c r="AC101">
        <f>(AB101-$AJ$15)/$AK$15</f>
        <v/>
      </c>
      <c r="AD101">
        <f>IF(AC101&gt;0.7,"High",IF(AC101&gt;0.3,"Moderate",IF(AC101&gt;0.15,"Low","No Impact")))</f>
        <v/>
      </c>
      <c r="AE101">
        <f>F101*(N101*1)*(H101*0.35+J101*0.35+L101*0.3)</f>
        <v/>
      </c>
      <c r="AF101">
        <f>(AE101-$AJ$16)/$AK$16</f>
        <v/>
      </c>
      <c r="AG101">
        <f>IF(AF101&gt;0.7,"High",IF(AF101&gt;0.3,"Moderate",IF(AF101&gt;0.15,"Low","No Impact")))</f>
        <v/>
      </c>
    </row>
    <row r="102">
      <c r="A102" t="n">
        <v>201974</v>
      </c>
      <c r="B102" t="inlineStr">
        <is>
          <t>BD201974</t>
        </is>
      </c>
      <c r="C102" t="inlineStr">
        <is>
          <t>Comilla</t>
        </is>
      </c>
      <c r="D102" t="inlineStr">
        <is>
          <t>Manoharganj</t>
        </is>
      </c>
      <c r="E102" s="3" t="n">
        <v>4.4</v>
      </c>
      <c r="F102" s="4">
        <f>(E102-$AJ$5)/$AK$5</f>
        <v/>
      </c>
      <c r="G102" t="n">
        <v>67.04182800000001</v>
      </c>
      <c r="H102">
        <f>(G102-$AJ$6)/$AK$6</f>
        <v/>
      </c>
      <c r="I102" t="n">
        <v>5.2</v>
      </c>
      <c r="J102" s="4">
        <f>(I102-$AJ$7)/$AK$7</f>
        <v/>
      </c>
      <c r="K102" t="n">
        <v>0</v>
      </c>
      <c r="L102" s="4">
        <f>(K102-$AJ$8)/$AK$8</f>
        <v/>
      </c>
      <c r="M102" t="n">
        <v>12259</v>
      </c>
      <c r="N102">
        <f>(M102-$AJ$9)/$AK$9</f>
        <v/>
      </c>
      <c r="O102" t="n">
        <v>0.565678944</v>
      </c>
      <c r="P102">
        <f>(O102-$AJ$11)/$AK$11</f>
        <v/>
      </c>
      <c r="Q102" t="n">
        <v>0.2292</v>
      </c>
      <c r="R102">
        <f>(Q102-$AJ$12)/$AK$12</f>
        <v/>
      </c>
      <c r="S102">
        <f>F102*(R102*0.5+P102*0.5)*(H102*0.35+J102*0.35+L102*0.3)</f>
        <v/>
      </c>
      <c r="T102" s="14">
        <f>(S102-$AJ$10)/$AK$10</f>
        <v/>
      </c>
      <c r="U102">
        <f>IF(T102&gt;0.7,"High",IF(T102&gt;0.3,"Moderate",IF(T102&gt;0.15,"Low","No Impact")))</f>
        <v/>
      </c>
      <c r="V102">
        <f>F102*(R102*1)*(H102*0.35+J102*0.35+L102*0.3)</f>
        <v/>
      </c>
      <c r="W102">
        <f>(V102-$AJ$13)/$AK$13</f>
        <v/>
      </c>
      <c r="X102">
        <f>IF(W102&gt;0.7,"High",IF(W102&gt;0.3,"Moderate",IF(W102&gt;0.15,"Low","No Impact")))</f>
        <v/>
      </c>
      <c r="Y102">
        <f>F102*(P102*1)*(H102*0.35+J102*0.35+L102*0.3)</f>
        <v/>
      </c>
      <c r="Z102">
        <f>(Y102-$AJ$14)/$AK$14</f>
        <v/>
      </c>
      <c r="AA102">
        <f>IF(Z102&gt;0.7,"High",IF(Z102&gt;0.3,"Moderate",IF(Z102&gt;0.15,"Low","No Impact")))</f>
        <v/>
      </c>
      <c r="AB102">
        <f>F102*(R102*0.35+P102*0.3+N102*0.35)*(H102*0.35+J102*0.35+L102*0.3)</f>
        <v/>
      </c>
      <c r="AC102">
        <f>(AB102-$AJ$15)/$AK$15</f>
        <v/>
      </c>
      <c r="AD102">
        <f>IF(AC102&gt;0.7,"High",IF(AC102&gt;0.3,"Moderate",IF(AC102&gt;0.15,"Low","No Impact")))</f>
        <v/>
      </c>
      <c r="AE102">
        <f>F102*(N102*1)*(H102*0.35+J102*0.35+L102*0.3)</f>
        <v/>
      </c>
      <c r="AF102">
        <f>(AE102-$AJ$16)/$AK$16</f>
        <v/>
      </c>
      <c r="AG102">
        <f>IF(AF102&gt;0.7,"High",IF(AF102&gt;0.3,"Moderate",IF(AF102&gt;0.15,"Low","No Impact")))</f>
        <v/>
      </c>
    </row>
    <row r="103">
      <c r="A103" t="n">
        <v>201975</v>
      </c>
      <c r="B103" t="inlineStr">
        <is>
          <t>BD201975</t>
        </is>
      </c>
      <c r="C103" t="inlineStr">
        <is>
          <t>Comilla</t>
        </is>
      </c>
      <c r="D103" t="inlineStr">
        <is>
          <t>Meghna</t>
        </is>
      </c>
      <c r="E103" s="3" t="n">
        <v>3.2</v>
      </c>
      <c r="F103" s="4">
        <f>(E103-$AJ$5)/$AK$5</f>
        <v/>
      </c>
      <c r="G103" t="n">
        <v>58.9540428</v>
      </c>
      <c r="H103">
        <f>(G103-$AJ$6)/$AK$6</f>
        <v/>
      </c>
      <c r="I103" t="n">
        <v>3.299999999999999</v>
      </c>
      <c r="J103" s="4">
        <f>(I103-$AJ$7)/$AK$7</f>
        <v/>
      </c>
      <c r="K103" t="n">
        <v>0</v>
      </c>
      <c r="L103" s="4">
        <f>(K103-$AJ$8)/$AK$8</f>
        <v/>
      </c>
      <c r="M103" t="n">
        <v>18727</v>
      </c>
      <c r="N103">
        <f>(M103-$AJ$9)/$AK$9</f>
        <v/>
      </c>
      <c r="O103" t="n">
        <v>0.408201942</v>
      </c>
      <c r="P103">
        <f>(O103-$AJ$11)/$AK$11</f>
        <v/>
      </c>
      <c r="Q103" t="n">
        <v>0.2103</v>
      </c>
      <c r="R103">
        <f>(Q103-$AJ$12)/$AK$12</f>
        <v/>
      </c>
      <c r="S103">
        <f>F103*(R103*0.5+P103*0.5)*(H103*0.35+J103*0.35+L103*0.3)</f>
        <v/>
      </c>
      <c r="T103" s="14">
        <f>(S103-$AJ$10)/$AK$10</f>
        <v/>
      </c>
      <c r="U103">
        <f>IF(T103&gt;0.7,"High",IF(T103&gt;0.3,"Moderate",IF(T103&gt;0.15,"Low","No Impact")))</f>
        <v/>
      </c>
      <c r="V103">
        <f>F103*(R103*1)*(H103*0.35+J103*0.35+L103*0.3)</f>
        <v/>
      </c>
      <c r="W103">
        <f>(V103-$AJ$13)/$AK$13</f>
        <v/>
      </c>
      <c r="X103">
        <f>IF(W103&gt;0.7,"High",IF(W103&gt;0.3,"Moderate",IF(W103&gt;0.15,"Low","No Impact")))</f>
        <v/>
      </c>
      <c r="Y103">
        <f>F103*(P103*1)*(H103*0.35+J103*0.35+L103*0.3)</f>
        <v/>
      </c>
      <c r="Z103">
        <f>(Y103-$AJ$14)/$AK$14</f>
        <v/>
      </c>
      <c r="AA103">
        <f>IF(Z103&gt;0.7,"High",IF(Z103&gt;0.3,"Moderate",IF(Z103&gt;0.15,"Low","No Impact")))</f>
        <v/>
      </c>
      <c r="AB103">
        <f>F103*(R103*0.35+P103*0.3+N103*0.35)*(H103*0.35+J103*0.35+L103*0.3)</f>
        <v/>
      </c>
      <c r="AC103">
        <f>(AB103-$AJ$15)/$AK$15</f>
        <v/>
      </c>
      <c r="AD103">
        <f>IF(AC103&gt;0.7,"High",IF(AC103&gt;0.3,"Moderate",IF(AC103&gt;0.15,"Low","No Impact")))</f>
        <v/>
      </c>
      <c r="AE103">
        <f>F103*(N103*1)*(H103*0.35+J103*0.35+L103*0.3)</f>
        <v/>
      </c>
      <c r="AF103">
        <f>(AE103-$AJ$16)/$AK$16</f>
        <v/>
      </c>
      <c r="AG103">
        <f>IF(AF103&gt;0.7,"High",IF(AF103&gt;0.3,"Moderate",IF(AF103&gt;0.15,"Low","No Impact")))</f>
        <v/>
      </c>
    </row>
    <row r="104">
      <c r="A104" t="n">
        <v>201981</v>
      </c>
      <c r="B104" t="inlineStr">
        <is>
          <t>BD201981</t>
        </is>
      </c>
      <c r="C104" t="inlineStr">
        <is>
          <t>Comilla</t>
        </is>
      </c>
      <c r="D104" t="inlineStr">
        <is>
          <t>Muradnagar</t>
        </is>
      </c>
      <c r="E104" s="3" t="n">
        <v>4.4</v>
      </c>
      <c r="F104" s="4">
        <f>(E104-$AJ$5)/$AK$5</f>
        <v/>
      </c>
      <c r="G104" t="n">
        <v>58.9540428</v>
      </c>
      <c r="H104">
        <f>(G104-$AJ$6)/$AK$6</f>
        <v/>
      </c>
      <c r="I104" t="n">
        <v>2.900000000000002</v>
      </c>
      <c r="J104" s="4">
        <f>(I104-$AJ$7)/$AK$7</f>
        <v/>
      </c>
      <c r="K104" t="n">
        <v>0</v>
      </c>
      <c r="L104" s="4">
        <f>(K104-$AJ$8)/$AK$8</f>
        <v/>
      </c>
      <c r="M104" t="n">
        <v>60123</v>
      </c>
      <c r="N104">
        <f>(M104-$AJ$9)/$AK$9</f>
        <v/>
      </c>
      <c r="O104" t="n">
        <v>0.178646657</v>
      </c>
      <c r="P104">
        <f>(O104-$AJ$11)/$AK$11</f>
        <v/>
      </c>
      <c r="Q104" t="n">
        <v>0.2449</v>
      </c>
      <c r="R104">
        <f>(Q104-$AJ$12)/$AK$12</f>
        <v/>
      </c>
      <c r="S104">
        <f>F104*(R104*0.5+P104*0.5)*(H104*0.35+J104*0.35+L104*0.3)</f>
        <v/>
      </c>
      <c r="T104" s="14">
        <f>(S104-$AJ$10)/$AK$10</f>
        <v/>
      </c>
      <c r="U104">
        <f>IF(T104&gt;0.7,"High",IF(T104&gt;0.3,"Moderate",IF(T104&gt;0.15,"Low","No Impact")))</f>
        <v/>
      </c>
      <c r="V104">
        <f>F104*(R104*1)*(H104*0.35+J104*0.35+L104*0.3)</f>
        <v/>
      </c>
      <c r="W104">
        <f>(V104-$AJ$13)/$AK$13</f>
        <v/>
      </c>
      <c r="X104">
        <f>IF(W104&gt;0.7,"High",IF(W104&gt;0.3,"Moderate",IF(W104&gt;0.15,"Low","No Impact")))</f>
        <v/>
      </c>
      <c r="Y104">
        <f>F104*(P104*1)*(H104*0.35+J104*0.35+L104*0.3)</f>
        <v/>
      </c>
      <c r="Z104">
        <f>(Y104-$AJ$14)/$AK$14</f>
        <v/>
      </c>
      <c r="AA104">
        <f>IF(Z104&gt;0.7,"High",IF(Z104&gt;0.3,"Moderate",IF(Z104&gt;0.15,"Low","No Impact")))</f>
        <v/>
      </c>
      <c r="AB104">
        <f>F104*(R104*0.35+P104*0.3+N104*0.35)*(H104*0.35+J104*0.35+L104*0.3)</f>
        <v/>
      </c>
      <c r="AC104">
        <f>(AB104-$AJ$15)/$AK$15</f>
        <v/>
      </c>
      <c r="AD104">
        <f>IF(AC104&gt;0.7,"High",IF(AC104&gt;0.3,"Moderate",IF(AC104&gt;0.15,"Low","No Impact")))</f>
        <v/>
      </c>
      <c r="AE104">
        <f>F104*(N104*1)*(H104*0.35+J104*0.35+L104*0.3)</f>
        <v/>
      </c>
      <c r="AF104">
        <f>(AE104-$AJ$16)/$AK$16</f>
        <v/>
      </c>
      <c r="AG104">
        <f>IF(AF104&gt;0.7,"High",IF(AF104&gt;0.3,"Moderate",IF(AF104&gt;0.15,"Low","No Impact")))</f>
        <v/>
      </c>
    </row>
    <row r="105">
      <c r="A105" t="n">
        <v>201987</v>
      </c>
      <c r="B105" t="inlineStr">
        <is>
          <t>BD201987</t>
        </is>
      </c>
      <c r="C105" t="inlineStr">
        <is>
          <t>Comilla</t>
        </is>
      </c>
      <c r="D105" t="inlineStr">
        <is>
          <t>Nangalkot</t>
        </is>
      </c>
      <c r="E105" s="3" t="n">
        <v>4.4</v>
      </c>
      <c r="F105" s="4">
        <f>(E105-$AJ$5)/$AK$5</f>
        <v/>
      </c>
      <c r="G105" t="n">
        <v>59.3794332</v>
      </c>
      <c r="H105">
        <f>(G105-$AJ$6)/$AK$6</f>
        <v/>
      </c>
      <c r="I105" t="n">
        <v>4.1</v>
      </c>
      <c r="J105" s="4">
        <f>(I105-$AJ$7)/$AK$7</f>
        <v/>
      </c>
      <c r="K105" t="n">
        <v>0</v>
      </c>
      <c r="L105" s="4">
        <f>(K105-$AJ$8)/$AK$8</f>
        <v/>
      </c>
      <c r="M105" t="n">
        <v>33417</v>
      </c>
      <c r="N105">
        <f>(M105-$AJ$9)/$AK$9</f>
        <v/>
      </c>
      <c r="O105" t="n">
        <v>0.5804297430000001</v>
      </c>
      <c r="P105">
        <f>(O105-$AJ$11)/$AK$11</f>
        <v/>
      </c>
      <c r="Q105" t="n">
        <v>0.2266</v>
      </c>
      <c r="R105">
        <f>(Q105-$AJ$12)/$AK$12</f>
        <v/>
      </c>
      <c r="S105">
        <f>F105*(R105*0.5+P105*0.5)*(H105*0.35+J105*0.35+L105*0.3)</f>
        <v/>
      </c>
      <c r="T105" s="14">
        <f>(S105-$AJ$10)/$AK$10</f>
        <v/>
      </c>
      <c r="U105">
        <f>IF(T105&gt;0.7,"High",IF(T105&gt;0.3,"Moderate",IF(T105&gt;0.15,"Low","No Impact")))</f>
        <v/>
      </c>
      <c r="V105">
        <f>F105*(R105*1)*(H105*0.35+J105*0.35+L105*0.3)</f>
        <v/>
      </c>
      <c r="W105">
        <f>(V105-$AJ$13)/$AK$13</f>
        <v/>
      </c>
      <c r="X105">
        <f>IF(W105&gt;0.7,"High",IF(W105&gt;0.3,"Moderate",IF(W105&gt;0.15,"Low","No Impact")))</f>
        <v/>
      </c>
      <c r="Y105">
        <f>F105*(P105*1)*(H105*0.35+J105*0.35+L105*0.3)</f>
        <v/>
      </c>
      <c r="Z105">
        <f>(Y105-$AJ$14)/$AK$14</f>
        <v/>
      </c>
      <c r="AA105">
        <f>IF(Z105&gt;0.7,"High",IF(Z105&gt;0.3,"Moderate",IF(Z105&gt;0.15,"Low","No Impact")))</f>
        <v/>
      </c>
      <c r="AB105">
        <f>F105*(R105*0.35+P105*0.3+N105*0.35)*(H105*0.35+J105*0.35+L105*0.3)</f>
        <v/>
      </c>
      <c r="AC105">
        <f>(AB105-$AJ$15)/$AK$15</f>
        <v/>
      </c>
      <c r="AD105">
        <f>IF(AC105&gt;0.7,"High",IF(AC105&gt;0.3,"Moderate",IF(AC105&gt;0.15,"Low","No Impact")))</f>
        <v/>
      </c>
      <c r="AE105">
        <f>F105*(N105*1)*(H105*0.35+J105*0.35+L105*0.3)</f>
        <v/>
      </c>
      <c r="AF105">
        <f>(AE105-$AJ$16)/$AK$16</f>
        <v/>
      </c>
      <c r="AG105">
        <f>IF(AF105&gt;0.7,"High",IF(AF105&gt;0.3,"Moderate",IF(AF105&gt;0.15,"Low","No Impact")))</f>
        <v/>
      </c>
    </row>
    <row r="106">
      <c r="A106" t="n">
        <v>201994</v>
      </c>
      <c r="B106" t="inlineStr">
        <is>
          <t>BD201994</t>
        </is>
      </c>
      <c r="C106" t="inlineStr">
        <is>
          <t>Comilla</t>
        </is>
      </c>
      <c r="D106" t="inlineStr">
        <is>
          <t>Titas</t>
        </is>
      </c>
      <c r="E106" s="3" t="n">
        <v>4.3</v>
      </c>
      <c r="F106" s="4">
        <f>(E106-$AJ$5)/$AK$5</f>
        <v/>
      </c>
      <c r="G106" t="n">
        <v>58.9540428</v>
      </c>
      <c r="H106">
        <f>(G106-$AJ$6)/$AK$6</f>
        <v/>
      </c>
      <c r="I106" t="n">
        <v>3.299999999999999</v>
      </c>
      <c r="J106" s="4">
        <f>(I106-$AJ$7)/$AK$7</f>
        <v/>
      </c>
      <c r="K106" t="n">
        <v>0</v>
      </c>
      <c r="L106" s="4">
        <f>(K106-$AJ$8)/$AK$8</f>
        <v/>
      </c>
      <c r="M106" t="n">
        <v>27825</v>
      </c>
      <c r="N106">
        <f>(M106-$AJ$9)/$AK$9</f>
        <v/>
      </c>
      <c r="O106" t="n">
        <v>0.495067991</v>
      </c>
      <c r="P106">
        <f>(O106-$AJ$11)/$AK$11</f>
        <v/>
      </c>
      <c r="Q106" t="n">
        <v>0.2415</v>
      </c>
      <c r="R106">
        <f>(Q106-$AJ$12)/$AK$12</f>
        <v/>
      </c>
      <c r="S106">
        <f>F106*(R106*0.5+P106*0.5)*(H106*0.35+J106*0.35+L106*0.3)</f>
        <v/>
      </c>
      <c r="T106" s="14">
        <f>(S106-$AJ$10)/$AK$10</f>
        <v/>
      </c>
      <c r="U106">
        <f>IF(T106&gt;0.7,"High",IF(T106&gt;0.3,"Moderate",IF(T106&gt;0.15,"Low","No Impact")))</f>
        <v/>
      </c>
      <c r="V106">
        <f>F106*(R106*1)*(H106*0.35+J106*0.35+L106*0.3)</f>
        <v/>
      </c>
      <c r="W106">
        <f>(V106-$AJ$13)/$AK$13</f>
        <v/>
      </c>
      <c r="X106">
        <f>IF(W106&gt;0.7,"High",IF(W106&gt;0.3,"Moderate",IF(W106&gt;0.15,"Low","No Impact")))</f>
        <v/>
      </c>
      <c r="Y106">
        <f>F106*(P106*1)*(H106*0.35+J106*0.35+L106*0.3)</f>
        <v/>
      </c>
      <c r="Z106">
        <f>(Y106-$AJ$14)/$AK$14</f>
        <v/>
      </c>
      <c r="AA106">
        <f>IF(Z106&gt;0.7,"High",IF(Z106&gt;0.3,"Moderate",IF(Z106&gt;0.15,"Low","No Impact")))</f>
        <v/>
      </c>
      <c r="AB106">
        <f>F106*(R106*0.35+P106*0.3+N106*0.35)*(H106*0.35+J106*0.35+L106*0.3)</f>
        <v/>
      </c>
      <c r="AC106">
        <f>(AB106-$AJ$15)/$AK$15</f>
        <v/>
      </c>
      <c r="AD106">
        <f>IF(AC106&gt;0.7,"High",IF(AC106&gt;0.3,"Moderate",IF(AC106&gt;0.15,"Low","No Impact")))</f>
        <v/>
      </c>
      <c r="AE106">
        <f>F106*(N106*1)*(H106*0.35+J106*0.35+L106*0.3)</f>
        <v/>
      </c>
      <c r="AF106">
        <f>(AE106-$AJ$16)/$AK$16</f>
        <v/>
      </c>
      <c r="AG106">
        <f>IF(AF106&gt;0.7,"High",IF(AF106&gt;0.3,"Moderate",IF(AF106&gt;0.15,"Low","No Impact")))</f>
        <v/>
      </c>
    </row>
    <row r="107">
      <c r="A107" t="n">
        <v>202216</v>
      </c>
      <c r="B107" t="inlineStr">
        <is>
          <t>BD202216</t>
        </is>
      </c>
      <c r="C107" t="inlineStr">
        <is>
          <t>Cox's Bazar</t>
        </is>
      </c>
      <c r="D107" t="inlineStr">
        <is>
          <t>Chakaria</t>
        </is>
      </c>
      <c r="E107" s="3" t="n">
        <v>7.1</v>
      </c>
      <c r="F107" s="4">
        <f>(E107-$AJ$5)/$AK$5</f>
        <v/>
      </c>
      <c r="G107" t="n">
        <v>83.1204504</v>
      </c>
      <c r="H107">
        <f>(G107-$AJ$6)/$AK$6</f>
        <v/>
      </c>
      <c r="I107" t="n">
        <v>0.8999999999999998</v>
      </c>
      <c r="J107" s="4">
        <f>(I107-$AJ$7)/$AK$7</f>
        <v/>
      </c>
      <c r="K107" t="n">
        <v>0</v>
      </c>
      <c r="L107" s="4">
        <f>(K107-$AJ$8)/$AK$8</f>
        <v/>
      </c>
      <c r="M107" t="n">
        <v>58413</v>
      </c>
      <c r="N107">
        <f>(M107-$AJ$9)/$AK$9</f>
        <v/>
      </c>
      <c r="O107" t="n">
        <v>0.397576468</v>
      </c>
      <c r="P107">
        <f>(O107-$AJ$11)/$AK$11</f>
        <v/>
      </c>
      <c r="Q107" t="n">
        <v>0.2629</v>
      </c>
      <c r="R107">
        <f>(Q107-$AJ$12)/$AK$12</f>
        <v/>
      </c>
      <c r="S107">
        <f>F107*(R107*0.5+P107*0.5)*(H107*0.35+J107*0.35+L107*0.3)</f>
        <v/>
      </c>
      <c r="T107" s="14">
        <f>(S107-$AJ$10)/$AK$10</f>
        <v/>
      </c>
      <c r="U107">
        <f>IF(T107&gt;0.7,"High",IF(T107&gt;0.3,"Moderate",IF(T107&gt;0.15,"Low","No Impact")))</f>
        <v/>
      </c>
      <c r="V107">
        <f>F107*(R107*1)*(H107*0.35+J107*0.35+L107*0.3)</f>
        <v/>
      </c>
      <c r="W107">
        <f>(V107-$AJ$13)/$AK$13</f>
        <v/>
      </c>
      <c r="X107">
        <f>IF(W107&gt;0.7,"High",IF(W107&gt;0.3,"Moderate",IF(W107&gt;0.15,"Low","No Impact")))</f>
        <v/>
      </c>
      <c r="Y107">
        <f>F107*(P107*1)*(H107*0.35+J107*0.35+L107*0.3)</f>
        <v/>
      </c>
      <c r="Z107">
        <f>(Y107-$AJ$14)/$AK$14</f>
        <v/>
      </c>
      <c r="AA107">
        <f>IF(Z107&gt;0.7,"High",IF(Z107&gt;0.3,"Moderate",IF(Z107&gt;0.15,"Low","No Impact")))</f>
        <v/>
      </c>
      <c r="AB107">
        <f>F107*(R107*0.35+P107*0.3+N107*0.35)*(H107*0.35+J107*0.35+L107*0.3)</f>
        <v/>
      </c>
      <c r="AC107">
        <f>(AB107-$AJ$15)/$AK$15</f>
        <v/>
      </c>
      <c r="AD107">
        <f>IF(AC107&gt;0.7,"High",IF(AC107&gt;0.3,"Moderate",IF(AC107&gt;0.15,"Low","No Impact")))</f>
        <v/>
      </c>
      <c r="AE107">
        <f>F107*(N107*1)*(H107*0.35+J107*0.35+L107*0.3)</f>
        <v/>
      </c>
      <c r="AF107">
        <f>(AE107-$AJ$16)/$AK$16</f>
        <v/>
      </c>
      <c r="AG107">
        <f>IF(AF107&gt;0.7,"High",IF(AF107&gt;0.3,"Moderate",IF(AF107&gt;0.15,"Low","No Impact")))</f>
        <v/>
      </c>
    </row>
    <row r="108">
      <c r="A108" t="n">
        <v>202224</v>
      </c>
      <c r="B108" t="inlineStr">
        <is>
          <t>BD202224</t>
        </is>
      </c>
      <c r="C108" t="inlineStr">
        <is>
          <t>Cox's Bazar</t>
        </is>
      </c>
      <c r="D108" t="inlineStr">
        <is>
          <t>Cox's Bazar Sadar</t>
        </is>
      </c>
      <c r="E108" s="3" t="n">
        <v>7.1</v>
      </c>
      <c r="F108" s="4">
        <f>(E108-$AJ$5)/$AK$5</f>
        <v/>
      </c>
      <c r="G108" t="n">
        <v>83.1204504</v>
      </c>
      <c r="H108">
        <f>(G108-$AJ$6)/$AK$6</f>
        <v/>
      </c>
      <c r="I108" t="n">
        <v>0.8000000000000004</v>
      </c>
      <c r="J108" s="4">
        <f>(I108-$AJ$7)/$AK$7</f>
        <v/>
      </c>
      <c r="K108" t="n">
        <v>0</v>
      </c>
      <c r="L108" s="4">
        <f>(K108-$AJ$8)/$AK$8</f>
        <v/>
      </c>
      <c r="M108" t="n">
        <v>44313</v>
      </c>
      <c r="N108">
        <f>(M108-$AJ$9)/$AK$9</f>
        <v/>
      </c>
      <c r="O108" t="n">
        <v>0.47690486</v>
      </c>
      <c r="P108">
        <f>(O108-$AJ$11)/$AK$11</f>
        <v/>
      </c>
      <c r="Q108" t="n">
        <v>0.2409</v>
      </c>
      <c r="R108">
        <f>(Q108-$AJ$12)/$AK$12</f>
        <v/>
      </c>
      <c r="S108">
        <f>F108*(R108*0.5+P108*0.5)*(H108*0.35+J108*0.35+L108*0.3)</f>
        <v/>
      </c>
      <c r="T108" s="14">
        <f>(S108-$AJ$10)/$AK$10</f>
        <v/>
      </c>
      <c r="U108">
        <f>IF(T108&gt;0.7,"High",IF(T108&gt;0.3,"Moderate",IF(T108&gt;0.15,"Low","No Impact")))</f>
        <v/>
      </c>
      <c r="V108">
        <f>F108*(R108*1)*(H108*0.35+J108*0.35+L108*0.3)</f>
        <v/>
      </c>
      <c r="W108">
        <f>(V108-$AJ$13)/$AK$13</f>
        <v/>
      </c>
      <c r="X108">
        <f>IF(W108&gt;0.7,"High",IF(W108&gt;0.3,"Moderate",IF(W108&gt;0.15,"Low","No Impact")))</f>
        <v/>
      </c>
      <c r="Y108">
        <f>F108*(P108*1)*(H108*0.35+J108*0.35+L108*0.3)</f>
        <v/>
      </c>
      <c r="Z108">
        <f>(Y108-$AJ$14)/$AK$14</f>
        <v/>
      </c>
      <c r="AA108">
        <f>IF(Z108&gt;0.7,"High",IF(Z108&gt;0.3,"Moderate",IF(Z108&gt;0.15,"Low","No Impact")))</f>
        <v/>
      </c>
      <c r="AB108">
        <f>F108*(R108*0.35+P108*0.3+N108*0.35)*(H108*0.35+J108*0.35+L108*0.3)</f>
        <v/>
      </c>
      <c r="AC108">
        <f>(AB108-$AJ$15)/$AK$15</f>
        <v/>
      </c>
      <c r="AD108">
        <f>IF(AC108&gt;0.7,"High",IF(AC108&gt;0.3,"Moderate",IF(AC108&gt;0.15,"Low","No Impact")))</f>
        <v/>
      </c>
      <c r="AE108">
        <f>F108*(N108*1)*(H108*0.35+J108*0.35+L108*0.3)</f>
        <v/>
      </c>
      <c r="AF108">
        <f>(AE108-$AJ$16)/$AK$16</f>
        <v/>
      </c>
      <c r="AG108">
        <f>IF(AF108&gt;0.7,"High",IF(AF108&gt;0.3,"Moderate",IF(AF108&gt;0.15,"Low","No Impact")))</f>
        <v/>
      </c>
    </row>
    <row r="109">
      <c r="A109" t="n">
        <v>202245</v>
      </c>
      <c r="B109" t="inlineStr">
        <is>
          <t>BD202245</t>
        </is>
      </c>
      <c r="C109" t="inlineStr">
        <is>
          <t>Cox's Bazar</t>
        </is>
      </c>
      <c r="D109" t="inlineStr">
        <is>
          <t>Kutubdia</t>
        </is>
      </c>
      <c r="E109" s="3" t="n">
        <v>6.2</v>
      </c>
      <c r="F109" s="4">
        <f>(E109-$AJ$5)/$AK$5</f>
        <v/>
      </c>
      <c r="G109" t="n">
        <v>78.9281568</v>
      </c>
      <c r="H109">
        <f>(G109-$AJ$6)/$AK$6</f>
        <v/>
      </c>
      <c r="I109" t="n">
        <v>2.1</v>
      </c>
      <c r="J109" s="4">
        <f>(I109-$AJ$7)/$AK$7</f>
        <v/>
      </c>
      <c r="K109" t="n">
        <v>0</v>
      </c>
      <c r="L109" s="4">
        <f>(K109-$AJ$8)/$AK$8</f>
        <v/>
      </c>
      <c r="M109" t="n">
        <v>10526</v>
      </c>
      <c r="N109">
        <f>(M109-$AJ$9)/$AK$9</f>
        <v/>
      </c>
      <c r="O109" t="n">
        <v>0.53253237</v>
      </c>
      <c r="P109">
        <f>(O109-$AJ$11)/$AK$11</f>
        <v/>
      </c>
      <c r="Q109" t="n">
        <v>0.1188</v>
      </c>
      <c r="R109">
        <f>(Q109-$AJ$12)/$AK$12</f>
        <v/>
      </c>
      <c r="S109">
        <f>F109*(R109*0.5+P109*0.5)*(H109*0.35+J109*0.35+L109*0.3)</f>
        <v/>
      </c>
      <c r="T109" s="14">
        <f>(S109-$AJ$10)/$AK$10</f>
        <v/>
      </c>
      <c r="U109">
        <f>IF(T109&gt;0.7,"High",IF(T109&gt;0.3,"Moderate",IF(T109&gt;0.15,"Low","No Impact")))</f>
        <v/>
      </c>
      <c r="V109">
        <f>F109*(R109*1)*(H109*0.35+J109*0.35+L109*0.3)</f>
        <v/>
      </c>
      <c r="W109">
        <f>(V109-$AJ$13)/$AK$13</f>
        <v/>
      </c>
      <c r="X109">
        <f>IF(W109&gt;0.7,"High",IF(W109&gt;0.3,"Moderate",IF(W109&gt;0.15,"Low","No Impact")))</f>
        <v/>
      </c>
      <c r="Y109">
        <f>F109*(P109*1)*(H109*0.35+J109*0.35+L109*0.3)</f>
        <v/>
      </c>
      <c r="Z109">
        <f>(Y109-$AJ$14)/$AK$14</f>
        <v/>
      </c>
      <c r="AA109">
        <f>IF(Z109&gt;0.7,"High",IF(Z109&gt;0.3,"Moderate",IF(Z109&gt;0.15,"Low","No Impact")))</f>
        <v/>
      </c>
      <c r="AB109">
        <f>F109*(R109*0.35+P109*0.3+N109*0.35)*(H109*0.35+J109*0.35+L109*0.3)</f>
        <v/>
      </c>
      <c r="AC109">
        <f>(AB109-$AJ$15)/$AK$15</f>
        <v/>
      </c>
      <c r="AD109">
        <f>IF(AC109&gt;0.7,"High",IF(AC109&gt;0.3,"Moderate",IF(AC109&gt;0.15,"Low","No Impact")))</f>
        <v/>
      </c>
      <c r="AE109">
        <f>F109*(N109*1)*(H109*0.35+J109*0.35+L109*0.3)</f>
        <v/>
      </c>
      <c r="AF109">
        <f>(AE109-$AJ$16)/$AK$16</f>
        <v/>
      </c>
      <c r="AG109">
        <f>IF(AF109&gt;0.7,"High",IF(AF109&gt;0.3,"Moderate",IF(AF109&gt;0.15,"Low","No Impact")))</f>
        <v/>
      </c>
    </row>
    <row r="110">
      <c r="A110" t="n">
        <v>202249</v>
      </c>
      <c r="B110" t="inlineStr">
        <is>
          <t>BD202249</t>
        </is>
      </c>
      <c r="C110" t="inlineStr">
        <is>
          <t>Cox's Bazar</t>
        </is>
      </c>
      <c r="D110" t="inlineStr">
        <is>
          <t>Maheshkhali</t>
        </is>
      </c>
      <c r="E110" s="3" t="n">
        <v>6.2</v>
      </c>
      <c r="F110" s="4">
        <f>(E110-$AJ$5)/$AK$5</f>
        <v/>
      </c>
      <c r="G110" t="n">
        <v>91.869174</v>
      </c>
      <c r="H110">
        <f>(G110-$AJ$6)/$AK$6</f>
        <v/>
      </c>
      <c r="I110" t="n">
        <v>2.9</v>
      </c>
      <c r="J110" s="4">
        <f>(I110-$AJ$7)/$AK$7</f>
        <v/>
      </c>
      <c r="K110" t="n">
        <v>0</v>
      </c>
      <c r="L110" s="4">
        <f>(K110-$AJ$8)/$AK$8</f>
        <v/>
      </c>
      <c r="M110" t="n">
        <v>24265</v>
      </c>
      <c r="N110">
        <f>(M110-$AJ$9)/$AK$9</f>
        <v/>
      </c>
      <c r="O110" t="n">
        <v>0.409445078</v>
      </c>
      <c r="P110">
        <f>(O110-$AJ$11)/$AK$11</f>
        <v/>
      </c>
      <c r="Q110" t="n">
        <v>0.2554</v>
      </c>
      <c r="R110">
        <f>(Q110-$AJ$12)/$AK$12</f>
        <v/>
      </c>
      <c r="S110">
        <f>F110*(R110*0.5+P110*0.5)*(H110*0.35+J110*0.35+L110*0.3)</f>
        <v/>
      </c>
      <c r="T110" s="14">
        <f>(S110-$AJ$10)/$AK$10</f>
        <v/>
      </c>
      <c r="U110">
        <f>IF(T110&gt;0.7,"High",IF(T110&gt;0.3,"Moderate",IF(T110&gt;0.15,"Low","No Impact")))</f>
        <v/>
      </c>
      <c r="V110">
        <f>F110*(R110*1)*(H110*0.35+J110*0.35+L110*0.3)</f>
        <v/>
      </c>
      <c r="W110">
        <f>(V110-$AJ$13)/$AK$13</f>
        <v/>
      </c>
      <c r="X110">
        <f>IF(W110&gt;0.7,"High",IF(W110&gt;0.3,"Moderate",IF(W110&gt;0.15,"Low","No Impact")))</f>
        <v/>
      </c>
      <c r="Y110">
        <f>F110*(P110*1)*(H110*0.35+J110*0.35+L110*0.3)</f>
        <v/>
      </c>
      <c r="Z110">
        <f>(Y110-$AJ$14)/$AK$14</f>
        <v/>
      </c>
      <c r="AA110">
        <f>IF(Z110&gt;0.7,"High",IF(Z110&gt;0.3,"Moderate",IF(Z110&gt;0.15,"Low","No Impact")))</f>
        <v/>
      </c>
      <c r="AB110">
        <f>F110*(R110*0.35+P110*0.3+N110*0.35)*(H110*0.35+J110*0.35+L110*0.3)</f>
        <v/>
      </c>
      <c r="AC110">
        <f>(AB110-$AJ$15)/$AK$15</f>
        <v/>
      </c>
      <c r="AD110">
        <f>IF(AC110&gt;0.7,"High",IF(AC110&gt;0.3,"Moderate",IF(AC110&gt;0.15,"Low","No Impact")))</f>
        <v/>
      </c>
      <c r="AE110">
        <f>F110*(N110*1)*(H110*0.35+J110*0.35+L110*0.3)</f>
        <v/>
      </c>
      <c r="AF110">
        <f>(AE110-$AJ$16)/$AK$16</f>
        <v/>
      </c>
      <c r="AG110">
        <f>IF(AF110&gt;0.7,"High",IF(AF110&gt;0.3,"Moderate",IF(AF110&gt;0.15,"Low","No Impact")))</f>
        <v/>
      </c>
    </row>
    <row r="111">
      <c r="A111" t="n">
        <v>202256</v>
      </c>
      <c r="B111" t="inlineStr">
        <is>
          <t>BD202256</t>
        </is>
      </c>
      <c r="C111" t="inlineStr">
        <is>
          <t>Cox's Bazar</t>
        </is>
      </c>
      <c r="D111" t="inlineStr">
        <is>
          <t>Pekua</t>
        </is>
      </c>
      <c r="E111" s="3" t="n">
        <v>7</v>
      </c>
      <c r="F111" s="4">
        <f>(E111-$AJ$5)/$AK$5</f>
        <v/>
      </c>
      <c r="G111" t="n">
        <v>73.5949548</v>
      </c>
      <c r="H111">
        <f>(G111-$AJ$6)/$AK$6</f>
        <v/>
      </c>
      <c r="I111" t="n">
        <v>1.3</v>
      </c>
      <c r="J111" s="4">
        <f>(I111-$AJ$7)/$AK$7</f>
        <v/>
      </c>
      <c r="K111" t="n">
        <v>0</v>
      </c>
      <c r="L111" s="4">
        <f>(K111-$AJ$8)/$AK$8</f>
        <v/>
      </c>
      <c r="M111" t="n">
        <v>24564</v>
      </c>
      <c r="N111">
        <f>(M111-$AJ$9)/$AK$9</f>
        <v/>
      </c>
      <c r="O111" t="n">
        <v>0.572443452</v>
      </c>
      <c r="P111">
        <f>(O111-$AJ$11)/$AK$11</f>
        <v/>
      </c>
      <c r="Q111" t="n">
        <v>0.1813</v>
      </c>
      <c r="R111">
        <f>(Q111-$AJ$12)/$AK$12</f>
        <v/>
      </c>
      <c r="S111">
        <f>F111*(R111*0.5+P111*0.5)*(H111*0.35+J111*0.35+L111*0.3)</f>
        <v/>
      </c>
      <c r="T111" s="14">
        <f>(S111-$AJ$10)/$AK$10</f>
        <v/>
      </c>
      <c r="U111">
        <f>IF(T111&gt;0.7,"High",IF(T111&gt;0.3,"Moderate",IF(T111&gt;0.15,"Low","No Impact")))</f>
        <v/>
      </c>
      <c r="V111">
        <f>F111*(R111*1)*(H111*0.35+J111*0.35+L111*0.3)</f>
        <v/>
      </c>
      <c r="W111">
        <f>(V111-$AJ$13)/$AK$13</f>
        <v/>
      </c>
      <c r="X111">
        <f>IF(W111&gt;0.7,"High",IF(W111&gt;0.3,"Moderate",IF(W111&gt;0.15,"Low","No Impact")))</f>
        <v/>
      </c>
      <c r="Y111">
        <f>F111*(P111*1)*(H111*0.35+J111*0.35+L111*0.3)</f>
        <v/>
      </c>
      <c r="Z111">
        <f>(Y111-$AJ$14)/$AK$14</f>
        <v/>
      </c>
      <c r="AA111">
        <f>IF(Z111&gt;0.7,"High",IF(Z111&gt;0.3,"Moderate",IF(Z111&gt;0.15,"Low","No Impact")))</f>
        <v/>
      </c>
      <c r="AB111">
        <f>F111*(R111*0.35+P111*0.3+N111*0.35)*(H111*0.35+J111*0.35+L111*0.3)</f>
        <v/>
      </c>
      <c r="AC111">
        <f>(AB111-$AJ$15)/$AK$15</f>
        <v/>
      </c>
      <c r="AD111">
        <f>IF(AC111&gt;0.7,"High",IF(AC111&gt;0.3,"Moderate",IF(AC111&gt;0.15,"Low","No Impact")))</f>
        <v/>
      </c>
      <c r="AE111">
        <f>F111*(N111*1)*(H111*0.35+J111*0.35+L111*0.3)</f>
        <v/>
      </c>
      <c r="AF111">
        <f>(AE111-$AJ$16)/$AK$16</f>
        <v/>
      </c>
      <c r="AG111">
        <f>IF(AF111&gt;0.7,"High",IF(AF111&gt;0.3,"Moderate",IF(AF111&gt;0.15,"Low","No Impact")))</f>
        <v/>
      </c>
    </row>
    <row r="112">
      <c r="A112" t="n">
        <v>202266</v>
      </c>
      <c r="B112" t="inlineStr">
        <is>
          <t>BD202266</t>
        </is>
      </c>
      <c r="C112" t="inlineStr">
        <is>
          <t>Cox's Bazar</t>
        </is>
      </c>
      <c r="D112" t="inlineStr">
        <is>
          <t>Ramu</t>
        </is>
      </c>
      <c r="E112" s="3" t="n">
        <v>7</v>
      </c>
      <c r="F112" s="4">
        <f>(E112-$AJ$5)/$AK$5</f>
        <v/>
      </c>
      <c r="G112" t="n">
        <v>83.1204504</v>
      </c>
      <c r="H112">
        <f>(G112-$AJ$6)/$AK$6</f>
        <v/>
      </c>
      <c r="I112" t="n">
        <v>2</v>
      </c>
      <c r="J112" s="4">
        <f>(I112-$AJ$7)/$AK$7</f>
        <v/>
      </c>
      <c r="K112" t="n">
        <v>0</v>
      </c>
      <c r="L112" s="4">
        <f>(K112-$AJ$8)/$AK$8</f>
        <v/>
      </c>
      <c r="M112" t="n">
        <v>42505</v>
      </c>
      <c r="N112">
        <f>(M112-$AJ$9)/$AK$9</f>
        <v/>
      </c>
      <c r="O112" t="n">
        <v>0.533609954</v>
      </c>
      <c r="P112">
        <f>(O112-$AJ$11)/$AK$11</f>
        <v/>
      </c>
      <c r="Q112" t="n">
        <v>0.3176</v>
      </c>
      <c r="R112">
        <f>(Q112-$AJ$12)/$AK$12</f>
        <v/>
      </c>
      <c r="S112">
        <f>F112*(R112*0.5+P112*0.5)*(H112*0.35+J112*0.35+L112*0.3)</f>
        <v/>
      </c>
      <c r="T112" s="14">
        <f>(S112-$AJ$10)/$AK$10</f>
        <v/>
      </c>
      <c r="U112">
        <f>IF(T112&gt;0.7,"High",IF(T112&gt;0.3,"Moderate",IF(T112&gt;0.15,"Low","No Impact")))</f>
        <v/>
      </c>
      <c r="V112">
        <f>F112*(R112*1)*(H112*0.35+J112*0.35+L112*0.3)</f>
        <v/>
      </c>
      <c r="W112">
        <f>(V112-$AJ$13)/$AK$13</f>
        <v/>
      </c>
      <c r="X112">
        <f>IF(W112&gt;0.7,"High",IF(W112&gt;0.3,"Moderate",IF(W112&gt;0.15,"Low","No Impact")))</f>
        <v/>
      </c>
      <c r="Y112">
        <f>F112*(P112*1)*(H112*0.35+J112*0.35+L112*0.3)</f>
        <v/>
      </c>
      <c r="Z112">
        <f>(Y112-$AJ$14)/$AK$14</f>
        <v/>
      </c>
      <c r="AA112">
        <f>IF(Z112&gt;0.7,"High",IF(Z112&gt;0.3,"Moderate",IF(Z112&gt;0.15,"Low","No Impact")))</f>
        <v/>
      </c>
      <c r="AB112">
        <f>F112*(R112*0.35+P112*0.3+N112*0.35)*(H112*0.35+J112*0.35+L112*0.3)</f>
        <v/>
      </c>
      <c r="AC112">
        <f>(AB112-$AJ$15)/$AK$15</f>
        <v/>
      </c>
      <c r="AD112">
        <f>IF(AC112&gt;0.7,"High",IF(AC112&gt;0.3,"Moderate",IF(AC112&gt;0.15,"Low","No Impact")))</f>
        <v/>
      </c>
      <c r="AE112">
        <f>F112*(N112*1)*(H112*0.35+J112*0.35+L112*0.3)</f>
        <v/>
      </c>
      <c r="AF112">
        <f>(AE112-$AJ$16)/$AK$16</f>
        <v/>
      </c>
      <c r="AG112">
        <f>IF(AF112&gt;0.7,"High",IF(AF112&gt;0.3,"Moderate",IF(AF112&gt;0.15,"Low","No Impact")))</f>
        <v/>
      </c>
    </row>
    <row r="113">
      <c r="A113" t="n">
        <v>202290</v>
      </c>
      <c r="B113" t="inlineStr">
        <is>
          <t>BD202290</t>
        </is>
      </c>
      <c r="C113" t="inlineStr">
        <is>
          <t>Cox's Bazar</t>
        </is>
      </c>
      <c r="D113" t="inlineStr">
        <is>
          <t>Teknaf</t>
        </is>
      </c>
      <c r="E113" s="3" t="n">
        <v>7.2</v>
      </c>
      <c r="F113" s="4">
        <f>(E113-$AJ$5)/$AK$5</f>
        <v/>
      </c>
      <c r="G113" t="n">
        <v>97.81576200000001</v>
      </c>
      <c r="H113">
        <f>(G113-$AJ$6)/$AK$6</f>
        <v/>
      </c>
      <c r="I113" t="n">
        <v>5.600000000000001</v>
      </c>
      <c r="J113" s="4">
        <f>(I113-$AJ$7)/$AK$7</f>
        <v/>
      </c>
      <c r="K113" t="n">
        <v>0</v>
      </c>
      <c r="L113" s="4">
        <f>(K113-$AJ$8)/$AK$8</f>
        <v/>
      </c>
      <c r="M113" t="n">
        <v>42859</v>
      </c>
      <c r="N113">
        <f>(M113-$AJ$9)/$AK$9</f>
        <v/>
      </c>
      <c r="O113" t="n">
        <v>0.644971657</v>
      </c>
      <c r="P113">
        <f>(O113-$AJ$11)/$AK$11</f>
        <v/>
      </c>
      <c r="Q113" t="n">
        <v>0.3176</v>
      </c>
      <c r="R113">
        <f>(Q113-$AJ$12)/$AK$12</f>
        <v/>
      </c>
      <c r="S113">
        <f>F113*(R113*0.5+P113*0.5)*(H113*0.35+J113*0.35+L113*0.3)</f>
        <v/>
      </c>
      <c r="T113" s="14">
        <f>(S113-$AJ$10)/$AK$10</f>
        <v/>
      </c>
      <c r="U113">
        <f>IF(T113&gt;0.7,"High",IF(T113&gt;0.3,"Moderate",IF(T113&gt;0.15,"Low","No Impact")))</f>
        <v/>
      </c>
      <c r="V113">
        <f>F113*(R113*1)*(H113*0.35+J113*0.35+L113*0.3)</f>
        <v/>
      </c>
      <c r="W113">
        <f>(V113-$AJ$13)/$AK$13</f>
        <v/>
      </c>
      <c r="X113">
        <f>IF(W113&gt;0.7,"High",IF(W113&gt;0.3,"Moderate",IF(W113&gt;0.15,"Low","No Impact")))</f>
        <v/>
      </c>
      <c r="Y113">
        <f>F113*(P113*1)*(H113*0.35+J113*0.35+L113*0.3)</f>
        <v/>
      </c>
      <c r="Z113">
        <f>(Y113-$AJ$14)/$AK$14</f>
        <v/>
      </c>
      <c r="AA113">
        <f>IF(Z113&gt;0.7,"High",IF(Z113&gt;0.3,"Moderate",IF(Z113&gt;0.15,"Low","No Impact")))</f>
        <v/>
      </c>
      <c r="AB113">
        <f>F113*(R113*0.35+P113*0.3+N113*0.35)*(H113*0.35+J113*0.35+L113*0.3)</f>
        <v/>
      </c>
      <c r="AC113">
        <f>(AB113-$AJ$15)/$AK$15</f>
        <v/>
      </c>
      <c r="AD113">
        <f>IF(AC113&gt;0.7,"High",IF(AC113&gt;0.3,"Moderate",IF(AC113&gt;0.15,"Low","No Impact")))</f>
        <v/>
      </c>
      <c r="AE113">
        <f>F113*(N113*1)*(H113*0.35+J113*0.35+L113*0.3)</f>
        <v/>
      </c>
      <c r="AF113">
        <f>(AE113-$AJ$16)/$AK$16</f>
        <v/>
      </c>
      <c r="AG113">
        <f>IF(AF113&gt;0.7,"High",IF(AF113&gt;0.3,"Moderate",IF(AF113&gt;0.15,"Low","No Impact")))</f>
        <v/>
      </c>
    </row>
    <row r="114">
      <c r="A114" t="n">
        <v>202294</v>
      </c>
      <c r="B114" t="inlineStr">
        <is>
          <t>BD202294</t>
        </is>
      </c>
      <c r="C114" t="inlineStr">
        <is>
          <t>Cox's Bazar</t>
        </is>
      </c>
      <c r="D114" t="inlineStr">
        <is>
          <t>Ukhia</t>
        </is>
      </c>
      <c r="E114" s="3" t="n">
        <v>7</v>
      </c>
      <c r="F114" s="4">
        <f>(E114-$AJ$5)/$AK$5</f>
        <v/>
      </c>
      <c r="G114" t="n">
        <v>97.81576200000001</v>
      </c>
      <c r="H114">
        <f>(G114-$AJ$6)/$AK$6</f>
        <v/>
      </c>
      <c r="I114" t="n">
        <v>4.6</v>
      </c>
      <c r="J114" s="4">
        <f>(I114-$AJ$7)/$AK$7</f>
        <v/>
      </c>
      <c r="K114" t="n">
        <v>0</v>
      </c>
      <c r="L114" s="4">
        <f>(K114-$AJ$8)/$AK$8</f>
        <v/>
      </c>
      <c r="M114" t="n">
        <v>79128</v>
      </c>
      <c r="N114">
        <f>(M114-$AJ$9)/$AK$9</f>
        <v/>
      </c>
      <c r="O114" t="n">
        <v>0.324338022</v>
      </c>
      <c r="P114">
        <f>(O114-$AJ$11)/$AK$11</f>
        <v/>
      </c>
      <c r="Q114" t="n">
        <v>0.31</v>
      </c>
      <c r="R114">
        <f>(Q114-$AJ$12)/$AK$12</f>
        <v/>
      </c>
      <c r="S114">
        <f>F114*(R114*0.5+P114*0.5)*(H114*0.35+J114*0.35+L114*0.3)</f>
        <v/>
      </c>
      <c r="T114" s="14">
        <f>(S114-$AJ$10)/$AK$10</f>
        <v/>
      </c>
      <c r="U114">
        <f>IF(T114&gt;0.7,"High",IF(T114&gt;0.3,"Moderate",IF(T114&gt;0.15,"Low","No Impact")))</f>
        <v/>
      </c>
      <c r="V114">
        <f>F114*(R114*1)*(H114*0.35+J114*0.35+L114*0.3)</f>
        <v/>
      </c>
      <c r="W114">
        <f>(V114-$AJ$13)/$AK$13</f>
        <v/>
      </c>
      <c r="X114">
        <f>IF(W114&gt;0.7,"High",IF(W114&gt;0.3,"Moderate",IF(W114&gt;0.15,"Low","No Impact")))</f>
        <v/>
      </c>
      <c r="Y114">
        <f>F114*(P114*1)*(H114*0.35+J114*0.35+L114*0.3)</f>
        <v/>
      </c>
      <c r="Z114">
        <f>(Y114-$AJ$14)/$AK$14</f>
        <v/>
      </c>
      <c r="AA114">
        <f>IF(Z114&gt;0.7,"High",IF(Z114&gt;0.3,"Moderate",IF(Z114&gt;0.15,"Low","No Impact")))</f>
        <v/>
      </c>
      <c r="AB114">
        <f>F114*(R114*0.35+P114*0.3+N114*0.35)*(H114*0.35+J114*0.35+L114*0.3)</f>
        <v/>
      </c>
      <c r="AC114">
        <f>(AB114-$AJ$15)/$AK$15</f>
        <v/>
      </c>
      <c r="AD114">
        <f>IF(AC114&gt;0.7,"High",IF(AC114&gt;0.3,"Moderate",IF(AC114&gt;0.15,"Low","No Impact")))</f>
        <v/>
      </c>
      <c r="AE114">
        <f>F114*(N114*1)*(H114*0.35+J114*0.35+L114*0.3)</f>
        <v/>
      </c>
      <c r="AF114">
        <f>(AE114-$AJ$16)/$AK$16</f>
        <v/>
      </c>
      <c r="AG114">
        <f>IF(AF114&gt;0.7,"High",IF(AF114&gt;0.3,"Moderate",IF(AF114&gt;0.15,"Low","No Impact")))</f>
        <v/>
      </c>
    </row>
    <row r="115">
      <c r="A115" t="n">
        <v>203014</v>
      </c>
      <c r="B115" t="inlineStr">
        <is>
          <t>BD203014</t>
        </is>
      </c>
      <c r="C115" t="inlineStr">
        <is>
          <t>Feni</t>
        </is>
      </c>
      <c r="D115" t="inlineStr">
        <is>
          <t>Chhagalnaiya</t>
        </is>
      </c>
      <c r="E115" s="3" t="n">
        <v>5.5</v>
      </c>
      <c r="F115" s="4">
        <f>(E115-$AJ$5)/$AK$5</f>
        <v/>
      </c>
      <c r="G115" t="n">
        <v>54.2747484</v>
      </c>
      <c r="H115">
        <f>(G115-$AJ$6)/$AK$6</f>
        <v/>
      </c>
      <c r="I115" t="n">
        <v>2.1</v>
      </c>
      <c r="J115" s="4">
        <f>(I115-$AJ$7)/$AK$7</f>
        <v/>
      </c>
      <c r="K115" t="n">
        <v>0</v>
      </c>
      <c r="L115" s="4">
        <f>(K115-$AJ$8)/$AK$8</f>
        <v/>
      </c>
      <c r="M115" t="n">
        <v>24400</v>
      </c>
      <c r="N115">
        <f>(M115-$AJ$9)/$AK$9</f>
        <v/>
      </c>
      <c r="O115" t="n">
        <v>0.383349421</v>
      </c>
      <c r="P115">
        <f>(O115-$AJ$11)/$AK$11</f>
        <v/>
      </c>
      <c r="Q115" t="n">
        <v>0.2842</v>
      </c>
      <c r="R115">
        <f>(Q115-$AJ$12)/$AK$12</f>
        <v/>
      </c>
      <c r="S115">
        <f>F115*(R115*0.5+P115*0.5)*(H115*0.35+J115*0.35+L115*0.3)</f>
        <v/>
      </c>
      <c r="T115" s="14">
        <f>(S115-$AJ$10)/$AK$10</f>
        <v/>
      </c>
      <c r="U115">
        <f>IF(T115&gt;0.7,"High",IF(T115&gt;0.3,"Moderate",IF(T115&gt;0.15,"Low","No Impact")))</f>
        <v/>
      </c>
      <c r="V115">
        <f>F115*(R115*1)*(H115*0.35+J115*0.35+L115*0.3)</f>
        <v/>
      </c>
      <c r="W115">
        <f>(V115-$AJ$13)/$AK$13</f>
        <v/>
      </c>
      <c r="X115">
        <f>IF(W115&gt;0.7,"High",IF(W115&gt;0.3,"Moderate",IF(W115&gt;0.15,"Low","No Impact")))</f>
        <v/>
      </c>
      <c r="Y115">
        <f>F115*(P115*1)*(H115*0.35+J115*0.35+L115*0.3)</f>
        <v/>
      </c>
      <c r="Z115">
        <f>(Y115-$AJ$14)/$AK$14</f>
        <v/>
      </c>
      <c r="AA115">
        <f>IF(Z115&gt;0.7,"High",IF(Z115&gt;0.3,"Moderate",IF(Z115&gt;0.15,"Low","No Impact")))</f>
        <v/>
      </c>
      <c r="AB115">
        <f>F115*(R115*0.35+P115*0.3+N115*0.35)*(H115*0.35+J115*0.35+L115*0.3)</f>
        <v/>
      </c>
      <c r="AC115">
        <f>(AB115-$AJ$15)/$AK$15</f>
        <v/>
      </c>
      <c r="AD115">
        <f>IF(AC115&gt;0.7,"High",IF(AC115&gt;0.3,"Moderate",IF(AC115&gt;0.15,"Low","No Impact")))</f>
        <v/>
      </c>
      <c r="AE115">
        <f>F115*(N115*1)*(H115*0.35+J115*0.35+L115*0.3)</f>
        <v/>
      </c>
      <c r="AF115">
        <f>(AE115-$AJ$16)/$AK$16</f>
        <v/>
      </c>
      <c r="AG115">
        <f>IF(AF115&gt;0.7,"High",IF(AF115&gt;0.3,"Moderate",IF(AF115&gt;0.15,"Low","No Impact")))</f>
        <v/>
      </c>
    </row>
    <row r="116">
      <c r="A116" t="n">
        <v>203025</v>
      </c>
      <c r="B116" t="inlineStr">
        <is>
          <t>BD203025</t>
        </is>
      </c>
      <c r="C116" t="inlineStr">
        <is>
          <t>Feni</t>
        </is>
      </c>
      <c r="D116" t="inlineStr">
        <is>
          <t>Daganbhuiyan</t>
        </is>
      </c>
      <c r="E116" s="3" t="n">
        <v>5.6</v>
      </c>
      <c r="F116" s="4">
        <f>(E116-$AJ$5)/$AK$5</f>
        <v/>
      </c>
      <c r="G116" t="n">
        <v>58.18060800000001</v>
      </c>
      <c r="H116">
        <f>(G116-$AJ$6)/$AK$6</f>
        <v/>
      </c>
      <c r="I116" t="n">
        <v>3.600000000000001</v>
      </c>
      <c r="J116" s="4">
        <f>(I116-$AJ$7)/$AK$7</f>
        <v/>
      </c>
      <c r="K116" t="n">
        <v>0</v>
      </c>
      <c r="L116" s="4">
        <f>(K116-$AJ$8)/$AK$8</f>
        <v/>
      </c>
      <c r="M116" t="n">
        <v>37243</v>
      </c>
      <c r="N116">
        <f>(M116-$AJ$9)/$AK$9</f>
        <v/>
      </c>
      <c r="O116" t="n">
        <v>0.418896963</v>
      </c>
      <c r="P116">
        <f>(O116-$AJ$11)/$AK$11</f>
        <v/>
      </c>
      <c r="Q116" t="n">
        <v>0.2782</v>
      </c>
      <c r="R116">
        <f>(Q116-$AJ$12)/$AK$12</f>
        <v/>
      </c>
      <c r="S116">
        <f>F116*(R116*0.5+P116*0.5)*(H116*0.35+J116*0.35+L116*0.3)</f>
        <v/>
      </c>
      <c r="T116" s="14">
        <f>(S116-$AJ$10)/$AK$10</f>
        <v/>
      </c>
      <c r="U116">
        <f>IF(T116&gt;0.7,"High",IF(T116&gt;0.3,"Moderate",IF(T116&gt;0.15,"Low","No Impact")))</f>
        <v/>
      </c>
      <c r="V116">
        <f>F116*(R116*1)*(H116*0.35+J116*0.35+L116*0.3)</f>
        <v/>
      </c>
      <c r="W116">
        <f>(V116-$AJ$13)/$AK$13</f>
        <v/>
      </c>
      <c r="X116">
        <f>IF(W116&gt;0.7,"High",IF(W116&gt;0.3,"Moderate",IF(W116&gt;0.15,"Low","No Impact")))</f>
        <v/>
      </c>
      <c r="Y116">
        <f>F116*(P116*1)*(H116*0.35+J116*0.35+L116*0.3)</f>
        <v/>
      </c>
      <c r="Z116">
        <f>(Y116-$AJ$14)/$AK$14</f>
        <v/>
      </c>
      <c r="AA116">
        <f>IF(Z116&gt;0.7,"High",IF(Z116&gt;0.3,"Moderate",IF(Z116&gt;0.15,"Low","No Impact")))</f>
        <v/>
      </c>
      <c r="AB116">
        <f>F116*(R116*0.35+P116*0.3+N116*0.35)*(H116*0.35+J116*0.35+L116*0.3)</f>
        <v/>
      </c>
      <c r="AC116">
        <f>(AB116-$AJ$15)/$AK$15</f>
        <v/>
      </c>
      <c r="AD116">
        <f>IF(AC116&gt;0.7,"High",IF(AC116&gt;0.3,"Moderate",IF(AC116&gt;0.15,"Low","No Impact")))</f>
        <v/>
      </c>
      <c r="AE116">
        <f>F116*(N116*1)*(H116*0.35+J116*0.35+L116*0.3)</f>
        <v/>
      </c>
      <c r="AF116">
        <f>(AE116-$AJ$16)/$AK$16</f>
        <v/>
      </c>
      <c r="AG116">
        <f>IF(AF116&gt;0.7,"High",IF(AF116&gt;0.3,"Moderate",IF(AF116&gt;0.15,"Low","No Impact")))</f>
        <v/>
      </c>
    </row>
    <row r="117">
      <c r="A117" t="n">
        <v>203029</v>
      </c>
      <c r="B117" t="inlineStr">
        <is>
          <t>BD203029</t>
        </is>
      </c>
      <c r="C117" t="inlineStr">
        <is>
          <t>Feni</t>
        </is>
      </c>
      <c r="D117" t="inlineStr">
        <is>
          <t>Feni Sadar</t>
        </is>
      </c>
      <c r="E117" s="3" t="n">
        <v>5.6</v>
      </c>
      <c r="F117" s="4">
        <f>(E117-$AJ$5)/$AK$5</f>
        <v/>
      </c>
      <c r="G117" t="n">
        <v>58.18060800000001</v>
      </c>
      <c r="H117">
        <f>(G117-$AJ$6)/$AK$6</f>
        <v/>
      </c>
      <c r="I117" t="n">
        <v>2.8</v>
      </c>
      <c r="J117" s="4">
        <f>(I117-$AJ$7)/$AK$7</f>
        <v/>
      </c>
      <c r="K117" t="n">
        <v>0</v>
      </c>
      <c r="L117" s="4">
        <f>(K117-$AJ$8)/$AK$8</f>
        <v/>
      </c>
      <c r="M117" t="n">
        <v>65689</v>
      </c>
      <c r="N117">
        <f>(M117-$AJ$9)/$AK$9</f>
        <v/>
      </c>
      <c r="O117" t="n">
        <v>0.372665642</v>
      </c>
      <c r="P117">
        <f>(O117-$AJ$11)/$AK$11</f>
        <v/>
      </c>
      <c r="Q117" t="n">
        <v>0.2896</v>
      </c>
      <c r="R117">
        <f>(Q117-$AJ$12)/$AK$12</f>
        <v/>
      </c>
      <c r="S117">
        <f>F117*(R117*0.5+P117*0.5)*(H117*0.35+J117*0.35+L117*0.3)</f>
        <v/>
      </c>
      <c r="T117" s="14">
        <f>(S117-$AJ$10)/$AK$10</f>
        <v/>
      </c>
      <c r="U117">
        <f>IF(T117&gt;0.7,"High",IF(T117&gt;0.3,"Moderate",IF(T117&gt;0.15,"Low","No Impact")))</f>
        <v/>
      </c>
      <c r="V117">
        <f>F117*(R117*1)*(H117*0.35+J117*0.35+L117*0.3)</f>
        <v/>
      </c>
      <c r="W117">
        <f>(V117-$AJ$13)/$AK$13</f>
        <v/>
      </c>
      <c r="X117">
        <f>IF(W117&gt;0.7,"High",IF(W117&gt;0.3,"Moderate",IF(W117&gt;0.15,"Low","No Impact")))</f>
        <v/>
      </c>
      <c r="Y117">
        <f>F117*(P117*1)*(H117*0.35+J117*0.35+L117*0.3)</f>
        <v/>
      </c>
      <c r="Z117">
        <f>(Y117-$AJ$14)/$AK$14</f>
        <v/>
      </c>
      <c r="AA117">
        <f>IF(Z117&gt;0.7,"High",IF(Z117&gt;0.3,"Moderate",IF(Z117&gt;0.15,"Low","No Impact")))</f>
        <v/>
      </c>
      <c r="AB117">
        <f>F117*(R117*0.35+P117*0.3+N117*0.35)*(H117*0.35+J117*0.35+L117*0.3)</f>
        <v/>
      </c>
      <c r="AC117">
        <f>(AB117-$AJ$15)/$AK$15</f>
        <v/>
      </c>
      <c r="AD117">
        <f>IF(AC117&gt;0.7,"High",IF(AC117&gt;0.3,"Moderate",IF(AC117&gt;0.15,"Low","No Impact")))</f>
        <v/>
      </c>
      <c r="AE117">
        <f>F117*(N117*1)*(H117*0.35+J117*0.35+L117*0.3)</f>
        <v/>
      </c>
      <c r="AF117">
        <f>(AE117-$AJ$16)/$AK$16</f>
        <v/>
      </c>
      <c r="AG117">
        <f>IF(AF117&gt;0.7,"High",IF(AF117&gt;0.3,"Moderate",IF(AF117&gt;0.15,"Low","No Impact")))</f>
        <v/>
      </c>
    </row>
    <row r="118">
      <c r="A118" t="n">
        <v>203041</v>
      </c>
      <c r="B118" t="inlineStr">
        <is>
          <t>BD203041</t>
        </is>
      </c>
      <c r="C118" t="inlineStr">
        <is>
          <t>Feni</t>
        </is>
      </c>
      <c r="D118" t="inlineStr">
        <is>
          <t>Fulgazi</t>
        </is>
      </c>
      <c r="E118" s="3" t="n">
        <v>5.5</v>
      </c>
      <c r="F118" s="4">
        <f>(E118-$AJ$5)/$AK$5</f>
        <v/>
      </c>
      <c r="G118" t="n">
        <v>54.2747484</v>
      </c>
      <c r="H118">
        <f>(G118-$AJ$6)/$AK$6</f>
        <v/>
      </c>
      <c r="I118" t="n">
        <v>1.900000000000001</v>
      </c>
      <c r="J118" s="4">
        <f>(I118-$AJ$7)/$AK$7</f>
        <v/>
      </c>
      <c r="K118" t="n">
        <v>0</v>
      </c>
      <c r="L118" s="4">
        <f>(K118-$AJ$8)/$AK$8</f>
        <v/>
      </c>
      <c r="M118" t="n">
        <v>9161</v>
      </c>
      <c r="N118">
        <f>(M118-$AJ$9)/$AK$9</f>
        <v/>
      </c>
      <c r="O118" t="n">
        <v>0.256737907</v>
      </c>
      <c r="P118">
        <f>(O118-$AJ$11)/$AK$11</f>
        <v/>
      </c>
      <c r="Q118" t="n">
        <v>0.2624</v>
      </c>
      <c r="R118">
        <f>(Q118-$AJ$12)/$AK$12</f>
        <v/>
      </c>
      <c r="S118">
        <f>F118*(R118*0.5+P118*0.5)*(H118*0.35+J118*0.35+L118*0.3)</f>
        <v/>
      </c>
      <c r="T118" s="14">
        <f>(S118-$AJ$10)/$AK$10</f>
        <v/>
      </c>
      <c r="U118">
        <f>IF(T118&gt;0.7,"High",IF(T118&gt;0.3,"Moderate",IF(T118&gt;0.15,"Low","No Impact")))</f>
        <v/>
      </c>
      <c r="V118">
        <f>F118*(R118*1)*(H118*0.35+J118*0.35+L118*0.3)</f>
        <v/>
      </c>
      <c r="W118">
        <f>(V118-$AJ$13)/$AK$13</f>
        <v/>
      </c>
      <c r="X118">
        <f>IF(W118&gt;0.7,"High",IF(W118&gt;0.3,"Moderate",IF(W118&gt;0.15,"Low","No Impact")))</f>
        <v/>
      </c>
      <c r="Y118">
        <f>F118*(P118*1)*(H118*0.35+J118*0.35+L118*0.3)</f>
        <v/>
      </c>
      <c r="Z118">
        <f>(Y118-$AJ$14)/$AK$14</f>
        <v/>
      </c>
      <c r="AA118">
        <f>IF(Z118&gt;0.7,"High",IF(Z118&gt;0.3,"Moderate",IF(Z118&gt;0.15,"Low","No Impact")))</f>
        <v/>
      </c>
      <c r="AB118">
        <f>F118*(R118*0.35+P118*0.3+N118*0.35)*(H118*0.35+J118*0.35+L118*0.3)</f>
        <v/>
      </c>
      <c r="AC118">
        <f>(AB118-$AJ$15)/$AK$15</f>
        <v/>
      </c>
      <c r="AD118">
        <f>IF(AC118&gt;0.7,"High",IF(AC118&gt;0.3,"Moderate",IF(AC118&gt;0.15,"Low","No Impact")))</f>
        <v/>
      </c>
      <c r="AE118">
        <f>F118*(N118*1)*(H118*0.35+J118*0.35+L118*0.3)</f>
        <v/>
      </c>
      <c r="AF118">
        <f>(AE118-$AJ$16)/$AK$16</f>
        <v/>
      </c>
      <c r="AG118">
        <f>IF(AF118&gt;0.7,"High",IF(AF118&gt;0.3,"Moderate",IF(AF118&gt;0.15,"Low","No Impact")))</f>
        <v/>
      </c>
    </row>
    <row r="119">
      <c r="A119" t="n">
        <v>203051</v>
      </c>
      <c r="B119" t="inlineStr">
        <is>
          <t>BD203051</t>
        </is>
      </c>
      <c r="C119" t="inlineStr">
        <is>
          <t>Feni</t>
        </is>
      </c>
      <c r="D119" t="inlineStr">
        <is>
          <t>Parshuram</t>
        </is>
      </c>
      <c r="E119" s="3" t="n">
        <v>5.7</v>
      </c>
      <c r="F119" s="4">
        <f>(E119-$AJ$5)/$AK$5</f>
        <v/>
      </c>
      <c r="G119" t="n">
        <v>53.9829504</v>
      </c>
      <c r="H119">
        <f>(G119-$AJ$6)/$AK$6</f>
        <v/>
      </c>
      <c r="I119" t="n">
        <v>1.900000000000001</v>
      </c>
      <c r="J119" s="4">
        <f>(I119-$AJ$7)/$AK$7</f>
        <v/>
      </c>
      <c r="K119" t="n">
        <v>0</v>
      </c>
      <c r="L119" s="4">
        <f>(K119-$AJ$8)/$AK$8</f>
        <v/>
      </c>
      <c r="M119" t="n">
        <v>14970</v>
      </c>
      <c r="N119">
        <f>(M119-$AJ$9)/$AK$9</f>
        <v/>
      </c>
      <c r="O119" t="n">
        <v>0.300885622</v>
      </c>
      <c r="P119">
        <f>(O119-$AJ$11)/$AK$11</f>
        <v/>
      </c>
      <c r="Q119" t="n">
        <v>0.2621</v>
      </c>
      <c r="R119">
        <f>(Q119-$AJ$12)/$AK$12</f>
        <v/>
      </c>
      <c r="S119">
        <f>F119*(R119*0.5+P119*0.5)*(H119*0.35+J119*0.35+L119*0.3)</f>
        <v/>
      </c>
      <c r="T119" s="14">
        <f>(S119-$AJ$10)/$AK$10</f>
        <v/>
      </c>
      <c r="U119">
        <f>IF(T119&gt;0.7,"High",IF(T119&gt;0.3,"Moderate",IF(T119&gt;0.15,"Low","No Impact")))</f>
        <v/>
      </c>
      <c r="V119">
        <f>F119*(R119*1)*(H119*0.35+J119*0.35+L119*0.3)</f>
        <v/>
      </c>
      <c r="W119">
        <f>(V119-$AJ$13)/$AK$13</f>
        <v/>
      </c>
      <c r="X119">
        <f>IF(W119&gt;0.7,"High",IF(W119&gt;0.3,"Moderate",IF(W119&gt;0.15,"Low","No Impact")))</f>
        <v/>
      </c>
      <c r="Y119">
        <f>F119*(P119*1)*(H119*0.35+J119*0.35+L119*0.3)</f>
        <v/>
      </c>
      <c r="Z119">
        <f>(Y119-$AJ$14)/$AK$14</f>
        <v/>
      </c>
      <c r="AA119">
        <f>IF(Z119&gt;0.7,"High",IF(Z119&gt;0.3,"Moderate",IF(Z119&gt;0.15,"Low","No Impact")))</f>
        <v/>
      </c>
      <c r="AB119">
        <f>F119*(R119*0.35+P119*0.3+N119*0.35)*(H119*0.35+J119*0.35+L119*0.3)</f>
        <v/>
      </c>
      <c r="AC119">
        <f>(AB119-$AJ$15)/$AK$15</f>
        <v/>
      </c>
      <c r="AD119">
        <f>IF(AC119&gt;0.7,"High",IF(AC119&gt;0.3,"Moderate",IF(AC119&gt;0.15,"Low","No Impact")))</f>
        <v/>
      </c>
      <c r="AE119">
        <f>F119*(N119*1)*(H119*0.35+J119*0.35+L119*0.3)</f>
        <v/>
      </c>
      <c r="AF119">
        <f>(AE119-$AJ$16)/$AK$16</f>
        <v/>
      </c>
      <c r="AG119">
        <f>IF(AF119&gt;0.7,"High",IF(AF119&gt;0.3,"Moderate",IF(AF119&gt;0.15,"Low","No Impact")))</f>
        <v/>
      </c>
    </row>
    <row r="120">
      <c r="A120" t="n">
        <v>203094</v>
      </c>
      <c r="B120" t="inlineStr">
        <is>
          <t>BD203094</t>
        </is>
      </c>
      <c r="C120" t="inlineStr">
        <is>
          <t>Feni</t>
        </is>
      </c>
      <c r="D120" t="inlineStr">
        <is>
          <t>Sonagazi</t>
        </is>
      </c>
      <c r="E120" s="3" t="n">
        <v>5.4</v>
      </c>
      <c r="F120" s="4">
        <f>(E120-$AJ$5)/$AK$5</f>
        <v/>
      </c>
      <c r="G120" t="n">
        <v>71.68786559999999</v>
      </c>
      <c r="H120">
        <f>(G120-$AJ$6)/$AK$6</f>
        <v/>
      </c>
      <c r="I120" t="n">
        <v>2.999999999999999</v>
      </c>
      <c r="J120" s="4">
        <f>(I120-$AJ$7)/$AK$7</f>
        <v/>
      </c>
      <c r="K120" t="n">
        <v>0</v>
      </c>
      <c r="L120" s="4">
        <f>(K120-$AJ$8)/$AK$8</f>
        <v/>
      </c>
      <c r="M120" t="n">
        <v>40135</v>
      </c>
      <c r="N120">
        <f>(M120-$AJ$9)/$AK$9</f>
        <v/>
      </c>
      <c r="O120" t="n">
        <v>0.273289956</v>
      </c>
      <c r="P120">
        <f>(O120-$AJ$11)/$AK$11</f>
        <v/>
      </c>
      <c r="Q120" t="n">
        <v>0.2714</v>
      </c>
      <c r="R120">
        <f>(Q120-$AJ$12)/$AK$12</f>
        <v/>
      </c>
      <c r="S120">
        <f>F120*(R120*0.5+P120*0.5)*(H120*0.35+J120*0.35+L120*0.3)</f>
        <v/>
      </c>
      <c r="T120" s="14">
        <f>(S120-$AJ$10)/$AK$10</f>
        <v/>
      </c>
      <c r="U120">
        <f>IF(T120&gt;0.7,"High",IF(T120&gt;0.3,"Moderate",IF(T120&gt;0.15,"Low","No Impact")))</f>
        <v/>
      </c>
      <c r="V120">
        <f>F120*(R120*1)*(H120*0.35+J120*0.35+L120*0.3)</f>
        <v/>
      </c>
      <c r="W120">
        <f>(V120-$AJ$13)/$AK$13</f>
        <v/>
      </c>
      <c r="X120">
        <f>IF(W120&gt;0.7,"High",IF(W120&gt;0.3,"Moderate",IF(W120&gt;0.15,"Low","No Impact")))</f>
        <v/>
      </c>
      <c r="Y120">
        <f>F120*(P120*1)*(H120*0.35+J120*0.35+L120*0.3)</f>
        <v/>
      </c>
      <c r="Z120">
        <f>(Y120-$AJ$14)/$AK$14</f>
        <v/>
      </c>
      <c r="AA120">
        <f>IF(Z120&gt;0.7,"High",IF(Z120&gt;0.3,"Moderate",IF(Z120&gt;0.15,"Low","No Impact")))</f>
        <v/>
      </c>
      <c r="AB120">
        <f>F120*(R120*0.35+P120*0.3+N120*0.35)*(H120*0.35+J120*0.35+L120*0.3)</f>
        <v/>
      </c>
      <c r="AC120">
        <f>(AB120-$AJ$15)/$AK$15</f>
        <v/>
      </c>
      <c r="AD120">
        <f>IF(AC120&gt;0.7,"High",IF(AC120&gt;0.3,"Moderate",IF(AC120&gt;0.15,"Low","No Impact")))</f>
        <v/>
      </c>
      <c r="AE120">
        <f>F120*(N120*1)*(H120*0.35+J120*0.35+L120*0.3)</f>
        <v/>
      </c>
      <c r="AF120">
        <f>(AE120-$AJ$16)/$AK$16</f>
        <v/>
      </c>
      <c r="AG120">
        <f>IF(AF120&gt;0.7,"High",IF(AF120&gt;0.3,"Moderate",IF(AF120&gt;0.15,"Low","No Impact")))</f>
        <v/>
      </c>
    </row>
    <row r="121">
      <c r="A121" t="n">
        <v>204643</v>
      </c>
      <c r="B121" t="inlineStr">
        <is>
          <t>BD204643</t>
        </is>
      </c>
      <c r="C121" t="inlineStr">
        <is>
          <t>Khagrachhari</t>
        </is>
      </c>
      <c r="D121" t="inlineStr">
        <is>
          <t>Dighinala</t>
        </is>
      </c>
      <c r="E121" s="3" t="n">
        <v>6.2</v>
      </c>
      <c r="F121" s="4">
        <f>(E121-$AJ$5)/$AK$5</f>
        <v/>
      </c>
      <c r="G121" t="n">
        <v>49.1929992</v>
      </c>
      <c r="H121">
        <f>(G121-$AJ$6)/$AK$6</f>
        <v/>
      </c>
      <c r="I121" t="n">
        <v>0.1000000000000011</v>
      </c>
      <c r="J121" s="4">
        <f>(I121-$AJ$7)/$AK$7</f>
        <v/>
      </c>
      <c r="K121" t="n">
        <v>0</v>
      </c>
      <c r="L121" s="4">
        <f>(K121-$AJ$8)/$AK$8</f>
        <v/>
      </c>
      <c r="M121" t="n">
        <v>15793</v>
      </c>
      <c r="N121">
        <f>(M121-$AJ$9)/$AK$9</f>
        <v/>
      </c>
      <c r="O121" t="n">
        <v>0.262458086</v>
      </c>
      <c r="P121">
        <f>(O121-$AJ$11)/$AK$11</f>
        <v/>
      </c>
      <c r="Q121" t="n">
        <v>0.3912</v>
      </c>
      <c r="R121">
        <f>(Q121-$AJ$12)/$AK$12</f>
        <v/>
      </c>
      <c r="S121">
        <f>F121*(R121*0.5+P121*0.5)*(H121*0.35+J121*0.35+L121*0.3)</f>
        <v/>
      </c>
      <c r="T121" s="14">
        <f>(S121-$AJ$10)/$AK$10</f>
        <v/>
      </c>
      <c r="U121">
        <f>IF(T121&gt;0.7,"High",IF(T121&gt;0.3,"Moderate",IF(T121&gt;0.15,"Low","No Impact")))</f>
        <v/>
      </c>
      <c r="V121">
        <f>F121*(R121*1)*(H121*0.35+J121*0.35+L121*0.3)</f>
        <v/>
      </c>
      <c r="W121">
        <f>(V121-$AJ$13)/$AK$13</f>
        <v/>
      </c>
      <c r="X121">
        <f>IF(W121&gt;0.7,"High",IF(W121&gt;0.3,"Moderate",IF(W121&gt;0.15,"Low","No Impact")))</f>
        <v/>
      </c>
      <c r="Y121">
        <f>F121*(P121*1)*(H121*0.35+J121*0.35+L121*0.3)</f>
        <v/>
      </c>
      <c r="Z121">
        <f>(Y121-$AJ$14)/$AK$14</f>
        <v/>
      </c>
      <c r="AA121">
        <f>IF(Z121&gt;0.7,"High",IF(Z121&gt;0.3,"Moderate",IF(Z121&gt;0.15,"Low","No Impact")))</f>
        <v/>
      </c>
      <c r="AB121">
        <f>F121*(R121*0.35+P121*0.3+N121*0.35)*(H121*0.35+J121*0.35+L121*0.3)</f>
        <v/>
      </c>
      <c r="AC121">
        <f>(AB121-$AJ$15)/$AK$15</f>
        <v/>
      </c>
      <c r="AD121">
        <f>IF(AC121&gt;0.7,"High",IF(AC121&gt;0.3,"Moderate",IF(AC121&gt;0.15,"Low","No Impact")))</f>
        <v/>
      </c>
      <c r="AE121">
        <f>F121*(N121*1)*(H121*0.35+J121*0.35+L121*0.3)</f>
        <v/>
      </c>
      <c r="AF121">
        <f>(AE121-$AJ$16)/$AK$16</f>
        <v/>
      </c>
      <c r="AG121">
        <f>IF(AF121&gt;0.7,"High",IF(AF121&gt;0.3,"Moderate",IF(AF121&gt;0.15,"Low","No Impact")))</f>
        <v/>
      </c>
    </row>
    <row r="122">
      <c r="A122" t="n">
        <v>204649</v>
      </c>
      <c r="B122" t="inlineStr">
        <is>
          <t>BD204649</t>
        </is>
      </c>
      <c r="C122" t="inlineStr">
        <is>
          <t>Khagrachhari</t>
        </is>
      </c>
      <c r="D122" t="inlineStr">
        <is>
          <t>Khagrachhari Sadar</t>
        </is>
      </c>
      <c r="E122" s="3" t="n">
        <v>6.2</v>
      </c>
      <c r="F122" s="4">
        <f>(E122-$AJ$5)/$AK$5</f>
        <v/>
      </c>
      <c r="G122" t="n">
        <v>49.1929992</v>
      </c>
      <c r="H122">
        <f>(G122-$AJ$6)/$AK$6</f>
        <v/>
      </c>
      <c r="I122" t="n">
        <v>0</v>
      </c>
      <c r="J122" s="4">
        <f>(I122-$AJ$7)/$AK$7</f>
        <v/>
      </c>
      <c r="K122" t="n">
        <v>0</v>
      </c>
      <c r="L122" s="4">
        <f>(K122-$AJ$8)/$AK$8</f>
        <v/>
      </c>
      <c r="M122" t="n">
        <v>15837</v>
      </c>
      <c r="N122">
        <f>(M122-$AJ$9)/$AK$9</f>
        <v/>
      </c>
      <c r="O122" t="n">
        <v>0.487745382</v>
      </c>
      <c r="P122">
        <f>(O122-$AJ$11)/$AK$11</f>
        <v/>
      </c>
      <c r="Q122" t="n">
        <v>0.3412</v>
      </c>
      <c r="R122">
        <f>(Q122-$AJ$12)/$AK$12</f>
        <v/>
      </c>
      <c r="S122">
        <f>F122*(R122*0.5+P122*0.5)*(H122*0.35+J122*0.35+L122*0.3)</f>
        <v/>
      </c>
      <c r="T122" s="14">
        <f>(S122-$AJ$10)/$AK$10</f>
        <v/>
      </c>
      <c r="U122">
        <f>IF(T122&gt;0.7,"High",IF(T122&gt;0.3,"Moderate",IF(T122&gt;0.15,"Low","No Impact")))</f>
        <v/>
      </c>
      <c r="V122">
        <f>F122*(R122*1)*(H122*0.35+J122*0.35+L122*0.3)</f>
        <v/>
      </c>
      <c r="W122">
        <f>(V122-$AJ$13)/$AK$13</f>
        <v/>
      </c>
      <c r="X122">
        <f>IF(W122&gt;0.7,"High",IF(W122&gt;0.3,"Moderate",IF(W122&gt;0.15,"Low","No Impact")))</f>
        <v/>
      </c>
      <c r="Y122">
        <f>F122*(P122*1)*(H122*0.35+J122*0.35+L122*0.3)</f>
        <v/>
      </c>
      <c r="Z122">
        <f>(Y122-$AJ$14)/$AK$14</f>
        <v/>
      </c>
      <c r="AA122">
        <f>IF(Z122&gt;0.7,"High",IF(Z122&gt;0.3,"Moderate",IF(Z122&gt;0.15,"Low","No Impact")))</f>
        <v/>
      </c>
      <c r="AB122">
        <f>F122*(R122*0.35+P122*0.3+N122*0.35)*(H122*0.35+J122*0.35+L122*0.3)</f>
        <v/>
      </c>
      <c r="AC122">
        <f>(AB122-$AJ$15)/$AK$15</f>
        <v/>
      </c>
      <c r="AD122">
        <f>IF(AC122&gt;0.7,"High",IF(AC122&gt;0.3,"Moderate",IF(AC122&gt;0.15,"Low","No Impact")))</f>
        <v/>
      </c>
      <c r="AE122">
        <f>F122*(N122*1)*(H122*0.35+J122*0.35+L122*0.3)</f>
        <v/>
      </c>
      <c r="AF122">
        <f>(AE122-$AJ$16)/$AK$16</f>
        <v/>
      </c>
      <c r="AG122">
        <f>IF(AF122&gt;0.7,"High",IF(AF122&gt;0.3,"Moderate",IF(AF122&gt;0.15,"Low","No Impact")))</f>
        <v/>
      </c>
    </row>
    <row r="123">
      <c r="A123" t="n">
        <v>204661</v>
      </c>
      <c r="B123" t="inlineStr">
        <is>
          <t>BD204661</t>
        </is>
      </c>
      <c r="C123" t="inlineStr">
        <is>
          <t>Khagrachhari</t>
        </is>
      </c>
      <c r="D123" t="inlineStr">
        <is>
          <t>Lakshmichhari</t>
        </is>
      </c>
      <c r="E123" s="3" t="n">
        <v>5</v>
      </c>
      <c r="F123" s="4">
        <f>(E123-$AJ$5)/$AK$5</f>
        <v/>
      </c>
      <c r="G123" t="n">
        <v>57.94506</v>
      </c>
      <c r="H123">
        <f>(G123-$AJ$6)/$AK$6</f>
        <v/>
      </c>
      <c r="I123" t="n">
        <v>0.2999999999999999</v>
      </c>
      <c r="J123" s="4">
        <f>(I123-$AJ$7)/$AK$7</f>
        <v/>
      </c>
      <c r="K123" t="n">
        <v>0</v>
      </c>
      <c r="L123" s="4">
        <f>(K123-$AJ$8)/$AK$8</f>
        <v/>
      </c>
      <c r="M123" t="n">
        <v>2349</v>
      </c>
      <c r="N123">
        <f>(M123-$AJ$9)/$AK$9</f>
        <v/>
      </c>
      <c r="O123" t="n">
        <v>0.552642927</v>
      </c>
      <c r="P123">
        <f>(O123-$AJ$11)/$AK$11</f>
        <v/>
      </c>
      <c r="Q123" t="n">
        <v>0.384</v>
      </c>
      <c r="R123">
        <f>(Q123-$AJ$12)/$AK$12</f>
        <v/>
      </c>
      <c r="S123">
        <f>F123*(R123*0.5+P123*0.5)*(H123*0.35+J123*0.35+L123*0.3)</f>
        <v/>
      </c>
      <c r="T123" s="14">
        <f>(S123-$AJ$10)/$AK$10</f>
        <v/>
      </c>
      <c r="U123">
        <f>IF(T123&gt;0.7,"High",IF(T123&gt;0.3,"Moderate",IF(T123&gt;0.15,"Low","No Impact")))</f>
        <v/>
      </c>
      <c r="V123">
        <f>F123*(R123*1)*(H123*0.35+J123*0.35+L123*0.3)</f>
        <v/>
      </c>
      <c r="W123">
        <f>(V123-$AJ$13)/$AK$13</f>
        <v/>
      </c>
      <c r="X123">
        <f>IF(W123&gt;0.7,"High",IF(W123&gt;0.3,"Moderate",IF(W123&gt;0.15,"Low","No Impact")))</f>
        <v/>
      </c>
      <c r="Y123">
        <f>F123*(P123*1)*(H123*0.35+J123*0.35+L123*0.3)</f>
        <v/>
      </c>
      <c r="Z123">
        <f>(Y123-$AJ$14)/$AK$14</f>
        <v/>
      </c>
      <c r="AA123">
        <f>IF(Z123&gt;0.7,"High",IF(Z123&gt;0.3,"Moderate",IF(Z123&gt;0.15,"Low","No Impact")))</f>
        <v/>
      </c>
      <c r="AB123">
        <f>F123*(R123*0.35+P123*0.3+N123*0.35)*(H123*0.35+J123*0.35+L123*0.3)</f>
        <v/>
      </c>
      <c r="AC123">
        <f>(AB123-$AJ$15)/$AK$15</f>
        <v/>
      </c>
      <c r="AD123">
        <f>IF(AC123&gt;0.7,"High",IF(AC123&gt;0.3,"Moderate",IF(AC123&gt;0.15,"Low","No Impact")))</f>
        <v/>
      </c>
      <c r="AE123">
        <f>F123*(N123*1)*(H123*0.35+J123*0.35+L123*0.3)</f>
        <v/>
      </c>
      <c r="AF123">
        <f>(AE123-$AJ$16)/$AK$16</f>
        <v/>
      </c>
      <c r="AG123">
        <f>IF(AF123&gt;0.7,"High",IF(AF123&gt;0.3,"Moderate",IF(AF123&gt;0.15,"Low","No Impact")))</f>
        <v/>
      </c>
    </row>
    <row r="124">
      <c r="A124" t="n">
        <v>204665</v>
      </c>
      <c r="B124" t="inlineStr">
        <is>
          <t>BD204665</t>
        </is>
      </c>
      <c r="C124" t="inlineStr">
        <is>
          <t>Khagrachhari</t>
        </is>
      </c>
      <c r="D124" t="inlineStr">
        <is>
          <t>Mahalchhari</t>
        </is>
      </c>
      <c r="E124" s="3" t="n">
        <v>6</v>
      </c>
      <c r="F124" s="4">
        <f>(E124-$AJ$5)/$AK$5</f>
        <v/>
      </c>
      <c r="G124" t="n">
        <v>57.5215164</v>
      </c>
      <c r="H124">
        <f>(G124-$AJ$6)/$AK$6</f>
        <v/>
      </c>
      <c r="I124" t="n">
        <v>0.2000000000000005</v>
      </c>
      <c r="J124" s="4">
        <f>(I124-$AJ$7)/$AK$7</f>
        <v/>
      </c>
      <c r="K124" t="n">
        <v>0</v>
      </c>
      <c r="L124" s="4">
        <f>(K124-$AJ$8)/$AK$8</f>
        <v/>
      </c>
      <c r="M124" t="n">
        <v>8061</v>
      </c>
      <c r="N124">
        <f>(M124-$AJ$9)/$AK$9</f>
        <v/>
      </c>
      <c r="O124" t="n">
        <v>0.181729308</v>
      </c>
      <c r="P124">
        <f>(O124-$AJ$11)/$AK$11</f>
        <v/>
      </c>
      <c r="Q124" t="n">
        <v>0.3442</v>
      </c>
      <c r="R124">
        <f>(Q124-$AJ$12)/$AK$12</f>
        <v/>
      </c>
      <c r="S124">
        <f>F124*(R124*0.5+P124*0.5)*(H124*0.35+J124*0.35+L124*0.3)</f>
        <v/>
      </c>
      <c r="T124" s="14">
        <f>(S124-$AJ$10)/$AK$10</f>
        <v/>
      </c>
      <c r="U124">
        <f>IF(T124&gt;0.7,"High",IF(T124&gt;0.3,"Moderate",IF(T124&gt;0.15,"Low","No Impact")))</f>
        <v/>
      </c>
      <c r="V124">
        <f>F124*(R124*1)*(H124*0.35+J124*0.35+L124*0.3)</f>
        <v/>
      </c>
      <c r="W124">
        <f>(V124-$AJ$13)/$AK$13</f>
        <v/>
      </c>
      <c r="X124">
        <f>IF(W124&gt;0.7,"High",IF(W124&gt;0.3,"Moderate",IF(W124&gt;0.15,"Low","No Impact")))</f>
        <v/>
      </c>
      <c r="Y124">
        <f>F124*(P124*1)*(H124*0.35+J124*0.35+L124*0.3)</f>
        <v/>
      </c>
      <c r="Z124">
        <f>(Y124-$AJ$14)/$AK$14</f>
        <v/>
      </c>
      <c r="AA124">
        <f>IF(Z124&gt;0.7,"High",IF(Z124&gt;0.3,"Moderate",IF(Z124&gt;0.15,"Low","No Impact")))</f>
        <v/>
      </c>
      <c r="AB124">
        <f>F124*(R124*0.35+P124*0.3+N124*0.35)*(H124*0.35+J124*0.35+L124*0.3)</f>
        <v/>
      </c>
      <c r="AC124">
        <f>(AB124-$AJ$15)/$AK$15</f>
        <v/>
      </c>
      <c r="AD124">
        <f>IF(AC124&gt;0.7,"High",IF(AC124&gt;0.3,"Moderate",IF(AC124&gt;0.15,"Low","No Impact")))</f>
        <v/>
      </c>
      <c r="AE124">
        <f>F124*(N124*1)*(H124*0.35+J124*0.35+L124*0.3)</f>
        <v/>
      </c>
      <c r="AF124">
        <f>(AE124-$AJ$16)/$AK$16</f>
        <v/>
      </c>
      <c r="AG124">
        <f>IF(AF124&gt;0.7,"High",IF(AF124&gt;0.3,"Moderate",IF(AF124&gt;0.15,"Low","No Impact")))</f>
        <v/>
      </c>
    </row>
    <row r="125">
      <c r="A125" t="n">
        <v>204667</v>
      </c>
      <c r="B125" t="inlineStr">
        <is>
          <t>BD204667</t>
        </is>
      </c>
      <c r="C125" t="inlineStr">
        <is>
          <t>Khagrachhari</t>
        </is>
      </c>
      <c r="D125" t="inlineStr">
        <is>
          <t>Manikchhari</t>
        </is>
      </c>
      <c r="E125" s="3" t="n">
        <v>6.2</v>
      </c>
      <c r="F125" s="4">
        <f>(E125-$AJ$5)/$AK$5</f>
        <v/>
      </c>
      <c r="G125" t="n">
        <v>57.94506</v>
      </c>
      <c r="H125">
        <f>(G125-$AJ$6)/$AK$6</f>
        <v/>
      </c>
      <c r="I125" t="n">
        <v>0.3999999999999993</v>
      </c>
      <c r="J125" s="4">
        <f>(I125-$AJ$7)/$AK$7</f>
        <v/>
      </c>
      <c r="K125" t="n">
        <v>0</v>
      </c>
      <c r="L125" s="4">
        <f>(K125-$AJ$8)/$AK$8</f>
        <v/>
      </c>
      <c r="M125" t="n">
        <v>12067</v>
      </c>
      <c r="N125">
        <f>(M125-$AJ$9)/$AK$9</f>
        <v/>
      </c>
      <c r="O125" t="n">
        <v>0.24649091</v>
      </c>
      <c r="P125">
        <f>(O125-$AJ$11)/$AK$11</f>
        <v/>
      </c>
      <c r="Q125" t="n">
        <v>0.3447</v>
      </c>
      <c r="R125">
        <f>(Q125-$AJ$12)/$AK$12</f>
        <v/>
      </c>
      <c r="S125">
        <f>F125*(R125*0.5+P125*0.5)*(H125*0.35+J125*0.35+L125*0.3)</f>
        <v/>
      </c>
      <c r="T125" s="14">
        <f>(S125-$AJ$10)/$AK$10</f>
        <v/>
      </c>
      <c r="U125">
        <f>IF(T125&gt;0.7,"High",IF(T125&gt;0.3,"Moderate",IF(T125&gt;0.15,"Low","No Impact")))</f>
        <v/>
      </c>
      <c r="V125">
        <f>F125*(R125*1)*(H125*0.35+J125*0.35+L125*0.3)</f>
        <v/>
      </c>
      <c r="W125">
        <f>(V125-$AJ$13)/$AK$13</f>
        <v/>
      </c>
      <c r="X125">
        <f>IF(W125&gt;0.7,"High",IF(W125&gt;0.3,"Moderate",IF(W125&gt;0.15,"Low","No Impact")))</f>
        <v/>
      </c>
      <c r="Y125">
        <f>F125*(P125*1)*(H125*0.35+J125*0.35+L125*0.3)</f>
        <v/>
      </c>
      <c r="Z125">
        <f>(Y125-$AJ$14)/$AK$14</f>
        <v/>
      </c>
      <c r="AA125">
        <f>IF(Z125&gt;0.7,"High",IF(Z125&gt;0.3,"Moderate",IF(Z125&gt;0.15,"Low","No Impact")))</f>
        <v/>
      </c>
      <c r="AB125">
        <f>F125*(R125*0.35+P125*0.3+N125*0.35)*(H125*0.35+J125*0.35+L125*0.3)</f>
        <v/>
      </c>
      <c r="AC125">
        <f>(AB125-$AJ$15)/$AK$15</f>
        <v/>
      </c>
      <c r="AD125">
        <f>IF(AC125&gt;0.7,"High",IF(AC125&gt;0.3,"Moderate",IF(AC125&gt;0.15,"Low","No Impact")))</f>
        <v/>
      </c>
      <c r="AE125">
        <f>F125*(N125*1)*(H125*0.35+J125*0.35+L125*0.3)</f>
        <v/>
      </c>
      <c r="AF125">
        <f>(AE125-$AJ$16)/$AK$16</f>
        <v/>
      </c>
      <c r="AG125">
        <f>IF(AF125&gt;0.7,"High",IF(AF125&gt;0.3,"Moderate",IF(AF125&gt;0.15,"Low","No Impact")))</f>
        <v/>
      </c>
    </row>
    <row r="126">
      <c r="A126" t="n">
        <v>204670</v>
      </c>
      <c r="B126" t="inlineStr">
        <is>
          <t>BD204670</t>
        </is>
      </c>
      <c r="C126" t="inlineStr">
        <is>
          <t>Khagrachhari</t>
        </is>
      </c>
      <c r="D126" t="inlineStr">
        <is>
          <t>Matiranga</t>
        </is>
      </c>
      <c r="E126" s="3" t="n">
        <v>6.2</v>
      </c>
      <c r="F126" s="4">
        <f>(E126-$AJ$5)/$AK$5</f>
        <v/>
      </c>
      <c r="G126" t="n">
        <v>52.3570644</v>
      </c>
      <c r="H126">
        <f>(G126-$AJ$6)/$AK$6</f>
        <v/>
      </c>
      <c r="I126" t="n">
        <v>0.2999999999999999</v>
      </c>
      <c r="J126" s="4">
        <f>(I126-$AJ$7)/$AK$7</f>
        <v/>
      </c>
      <c r="K126" t="n">
        <v>0</v>
      </c>
      <c r="L126" s="4">
        <f>(K126-$AJ$8)/$AK$8</f>
        <v/>
      </c>
      <c r="M126" t="n">
        <v>9838</v>
      </c>
      <c r="N126">
        <f>(M126-$AJ$9)/$AK$9</f>
        <v/>
      </c>
      <c r="O126" t="n">
        <v>0.251130121</v>
      </c>
      <c r="P126">
        <f>(O126-$AJ$11)/$AK$11</f>
        <v/>
      </c>
      <c r="Q126" t="n">
        <v>0.3448</v>
      </c>
      <c r="R126">
        <f>(Q126-$AJ$12)/$AK$12</f>
        <v/>
      </c>
      <c r="S126">
        <f>F126*(R126*0.5+P126*0.5)*(H126*0.35+J126*0.35+L126*0.3)</f>
        <v/>
      </c>
      <c r="T126" s="14">
        <f>(S126-$AJ$10)/$AK$10</f>
        <v/>
      </c>
      <c r="U126">
        <f>IF(T126&gt;0.7,"High",IF(T126&gt;0.3,"Moderate",IF(T126&gt;0.15,"Low","No Impact")))</f>
        <v/>
      </c>
      <c r="V126">
        <f>F126*(R126*1)*(H126*0.35+J126*0.35+L126*0.3)</f>
        <v/>
      </c>
      <c r="W126">
        <f>(V126-$AJ$13)/$AK$13</f>
        <v/>
      </c>
      <c r="X126">
        <f>IF(W126&gt;0.7,"High",IF(W126&gt;0.3,"Moderate",IF(W126&gt;0.15,"Low","No Impact")))</f>
        <v/>
      </c>
      <c r="Y126">
        <f>F126*(P126*1)*(H126*0.35+J126*0.35+L126*0.3)</f>
        <v/>
      </c>
      <c r="Z126">
        <f>(Y126-$AJ$14)/$AK$14</f>
        <v/>
      </c>
      <c r="AA126">
        <f>IF(Z126&gt;0.7,"High",IF(Z126&gt;0.3,"Moderate",IF(Z126&gt;0.15,"Low","No Impact")))</f>
        <v/>
      </c>
      <c r="AB126">
        <f>F126*(R126*0.35+P126*0.3+N126*0.35)*(H126*0.35+J126*0.35+L126*0.3)</f>
        <v/>
      </c>
      <c r="AC126">
        <f>(AB126-$AJ$15)/$AK$15</f>
        <v/>
      </c>
      <c r="AD126">
        <f>IF(AC126&gt;0.7,"High",IF(AC126&gt;0.3,"Moderate",IF(AC126&gt;0.15,"Low","No Impact")))</f>
        <v/>
      </c>
      <c r="AE126">
        <f>F126*(N126*1)*(H126*0.35+J126*0.35+L126*0.3)</f>
        <v/>
      </c>
      <c r="AF126">
        <f>(AE126-$AJ$16)/$AK$16</f>
        <v/>
      </c>
      <c r="AG126">
        <f>IF(AF126&gt;0.7,"High",IF(AF126&gt;0.3,"Moderate",IF(AF126&gt;0.15,"Low","No Impact")))</f>
        <v/>
      </c>
    </row>
    <row r="127">
      <c r="A127" t="n">
        <v>204677</v>
      </c>
      <c r="B127" t="inlineStr">
        <is>
          <t>BD204677</t>
        </is>
      </c>
      <c r="C127" t="inlineStr">
        <is>
          <t>Khagrachhari</t>
        </is>
      </c>
      <c r="D127" t="inlineStr">
        <is>
          <t>Panchhari</t>
        </is>
      </c>
      <c r="E127" s="3" t="n">
        <v>6.2</v>
      </c>
      <c r="F127" s="4">
        <f>(E127-$AJ$5)/$AK$5</f>
        <v/>
      </c>
      <c r="G127" t="n">
        <v>45.6281568</v>
      </c>
      <c r="H127">
        <f>(G127-$AJ$6)/$AK$6</f>
        <v/>
      </c>
      <c r="I127" t="n">
        <v>0.2000000000000005</v>
      </c>
      <c r="J127" s="4">
        <f>(I127-$AJ$7)/$AK$7</f>
        <v/>
      </c>
      <c r="K127" t="n">
        <v>0</v>
      </c>
      <c r="L127" s="4">
        <f>(K127-$AJ$8)/$AK$8</f>
        <v/>
      </c>
      <c r="M127" t="n">
        <v>7474</v>
      </c>
      <c r="N127">
        <f>(M127-$AJ$9)/$AK$9</f>
        <v/>
      </c>
      <c r="O127" t="n">
        <v>0.40916495</v>
      </c>
      <c r="P127">
        <f>(O127-$AJ$11)/$AK$11</f>
        <v/>
      </c>
      <c r="Q127" t="n">
        <v>0.3528</v>
      </c>
      <c r="R127">
        <f>(Q127-$AJ$12)/$AK$12</f>
        <v/>
      </c>
      <c r="S127">
        <f>F127*(R127*0.5+P127*0.5)*(H127*0.35+J127*0.35+L127*0.3)</f>
        <v/>
      </c>
      <c r="T127" s="14">
        <f>(S127-$AJ$10)/$AK$10</f>
        <v/>
      </c>
      <c r="U127">
        <f>IF(T127&gt;0.7,"High",IF(T127&gt;0.3,"Moderate",IF(T127&gt;0.15,"Low","No Impact")))</f>
        <v/>
      </c>
      <c r="V127">
        <f>F127*(R127*1)*(H127*0.35+J127*0.35+L127*0.3)</f>
        <v/>
      </c>
      <c r="W127">
        <f>(V127-$AJ$13)/$AK$13</f>
        <v/>
      </c>
      <c r="X127">
        <f>IF(W127&gt;0.7,"High",IF(W127&gt;0.3,"Moderate",IF(W127&gt;0.15,"Low","No Impact")))</f>
        <v/>
      </c>
      <c r="Y127">
        <f>F127*(P127*1)*(H127*0.35+J127*0.35+L127*0.3)</f>
        <v/>
      </c>
      <c r="Z127">
        <f>(Y127-$AJ$14)/$AK$14</f>
        <v/>
      </c>
      <c r="AA127">
        <f>IF(Z127&gt;0.7,"High",IF(Z127&gt;0.3,"Moderate",IF(Z127&gt;0.15,"Low","No Impact")))</f>
        <v/>
      </c>
      <c r="AB127">
        <f>F127*(R127*0.35+P127*0.3+N127*0.35)*(H127*0.35+J127*0.35+L127*0.3)</f>
        <v/>
      </c>
      <c r="AC127">
        <f>(AB127-$AJ$15)/$AK$15</f>
        <v/>
      </c>
      <c r="AD127">
        <f>IF(AC127&gt;0.7,"High",IF(AC127&gt;0.3,"Moderate",IF(AC127&gt;0.15,"Low","No Impact")))</f>
        <v/>
      </c>
      <c r="AE127">
        <f>F127*(N127*1)*(H127*0.35+J127*0.35+L127*0.3)</f>
        <v/>
      </c>
      <c r="AF127">
        <f>(AE127-$AJ$16)/$AK$16</f>
        <v/>
      </c>
      <c r="AG127">
        <f>IF(AF127&gt;0.7,"High",IF(AF127&gt;0.3,"Moderate",IF(AF127&gt;0.15,"Low","No Impact")))</f>
        <v/>
      </c>
    </row>
    <row r="128">
      <c r="A128" t="n">
        <v>204680</v>
      </c>
      <c r="B128" t="inlineStr">
        <is>
          <t>BD204680</t>
        </is>
      </c>
      <c r="C128" t="inlineStr">
        <is>
          <t>Khagrachhari</t>
        </is>
      </c>
      <c r="D128" t="inlineStr">
        <is>
          <t>Ramgarh</t>
        </is>
      </c>
      <c r="E128" s="3" t="n">
        <v>6.2</v>
      </c>
      <c r="F128" s="4">
        <f>(E128-$AJ$5)/$AK$5</f>
        <v/>
      </c>
      <c r="G128" t="n">
        <v>57.94506</v>
      </c>
      <c r="H128">
        <f>(G128-$AJ$6)/$AK$6</f>
        <v/>
      </c>
      <c r="I128" t="n">
        <v>0.4000000000000002</v>
      </c>
      <c r="J128" s="4">
        <f>(I128-$AJ$7)/$AK$7</f>
        <v/>
      </c>
      <c r="K128" t="n">
        <v>0</v>
      </c>
      <c r="L128" s="4">
        <f>(K128-$AJ$8)/$AK$8</f>
        <v/>
      </c>
      <c r="M128" t="n">
        <v>11497</v>
      </c>
      <c r="N128">
        <f>(M128-$AJ$9)/$AK$9</f>
        <v/>
      </c>
      <c r="O128" t="n">
        <v>0.38124245</v>
      </c>
      <c r="P128">
        <f>(O128-$AJ$11)/$AK$11</f>
        <v/>
      </c>
      <c r="Q128" t="n">
        <v>0.3545</v>
      </c>
      <c r="R128">
        <f>(Q128-$AJ$12)/$AK$12</f>
        <v/>
      </c>
      <c r="S128">
        <f>F128*(R128*0.5+P128*0.5)*(H128*0.35+J128*0.35+L128*0.3)</f>
        <v/>
      </c>
      <c r="T128" s="14">
        <f>(S128-$AJ$10)/$AK$10</f>
        <v/>
      </c>
      <c r="U128">
        <f>IF(T128&gt;0.7,"High",IF(T128&gt;0.3,"Moderate",IF(T128&gt;0.15,"Low","No Impact")))</f>
        <v/>
      </c>
      <c r="V128">
        <f>F128*(R128*1)*(H128*0.35+J128*0.35+L128*0.3)</f>
        <v/>
      </c>
      <c r="W128">
        <f>(V128-$AJ$13)/$AK$13</f>
        <v/>
      </c>
      <c r="X128">
        <f>IF(W128&gt;0.7,"High",IF(W128&gt;0.3,"Moderate",IF(W128&gt;0.15,"Low","No Impact")))</f>
        <v/>
      </c>
      <c r="Y128">
        <f>F128*(P128*1)*(H128*0.35+J128*0.35+L128*0.3)</f>
        <v/>
      </c>
      <c r="Z128">
        <f>(Y128-$AJ$14)/$AK$14</f>
        <v/>
      </c>
      <c r="AA128">
        <f>IF(Z128&gt;0.7,"High",IF(Z128&gt;0.3,"Moderate",IF(Z128&gt;0.15,"Low","No Impact")))</f>
        <v/>
      </c>
      <c r="AB128">
        <f>F128*(R128*0.35+P128*0.3+N128*0.35)*(H128*0.35+J128*0.35+L128*0.3)</f>
        <v/>
      </c>
      <c r="AC128">
        <f>(AB128-$AJ$15)/$AK$15</f>
        <v/>
      </c>
      <c r="AD128">
        <f>IF(AC128&gt;0.7,"High",IF(AC128&gt;0.3,"Moderate",IF(AC128&gt;0.15,"Low","No Impact")))</f>
        <v/>
      </c>
      <c r="AE128">
        <f>F128*(N128*1)*(H128*0.35+J128*0.35+L128*0.3)</f>
        <v/>
      </c>
      <c r="AF128">
        <f>(AE128-$AJ$16)/$AK$16</f>
        <v/>
      </c>
      <c r="AG128">
        <f>IF(AF128&gt;0.7,"High",IF(AF128&gt;0.3,"Moderate",IF(AF128&gt;0.15,"Low","No Impact")))</f>
        <v/>
      </c>
    </row>
    <row r="129">
      <c r="A129" t="n">
        <v>205133</v>
      </c>
      <c r="B129" t="inlineStr">
        <is>
          <t>BD205133</t>
        </is>
      </c>
      <c r="C129" t="inlineStr">
        <is>
          <t>Lakshmipur</t>
        </is>
      </c>
      <c r="D129" t="inlineStr">
        <is>
          <t>Kamalnagar</t>
        </is>
      </c>
      <c r="E129" s="3" t="n">
        <v>6.5</v>
      </c>
      <c r="F129" s="4">
        <f>(E129-$AJ$5)/$AK$5</f>
        <v/>
      </c>
      <c r="G129" t="n">
        <v>88.86169439999999</v>
      </c>
      <c r="H129">
        <f>(G129-$AJ$6)/$AK$6</f>
        <v/>
      </c>
      <c r="I129" t="n">
        <v>14.4</v>
      </c>
      <c r="J129" s="4">
        <f>(I129-$AJ$7)/$AK$7</f>
        <v/>
      </c>
      <c r="K129" t="n">
        <v>0.9</v>
      </c>
      <c r="L129" s="4">
        <f>(K129-$AJ$8)/$AK$8</f>
        <v/>
      </c>
      <c r="M129" t="n">
        <v>17191</v>
      </c>
      <c r="N129">
        <f>(M129-$AJ$9)/$AK$9</f>
        <v/>
      </c>
      <c r="O129" t="n">
        <v>0.448282802</v>
      </c>
      <c r="P129">
        <f>(O129-$AJ$11)/$AK$11</f>
        <v/>
      </c>
      <c r="Q129" t="n">
        <v>0.2675</v>
      </c>
      <c r="R129">
        <f>(Q129-$AJ$12)/$AK$12</f>
        <v/>
      </c>
      <c r="S129">
        <f>F129*(R129*0.5+P129*0.5)*(H129*0.35+J129*0.35+L129*0.3)</f>
        <v/>
      </c>
      <c r="T129" s="14">
        <f>(S129-$AJ$10)/$AK$10</f>
        <v/>
      </c>
      <c r="U129">
        <f>IF(T129&gt;0.7,"High",IF(T129&gt;0.3,"Moderate",IF(T129&gt;0.15,"Low","No Impact")))</f>
        <v/>
      </c>
      <c r="V129">
        <f>F129*(R129*1)*(H129*0.35+J129*0.35+L129*0.3)</f>
        <v/>
      </c>
      <c r="W129">
        <f>(V129-$AJ$13)/$AK$13</f>
        <v/>
      </c>
      <c r="X129">
        <f>IF(W129&gt;0.7,"High",IF(W129&gt;0.3,"Moderate",IF(W129&gt;0.15,"Low","No Impact")))</f>
        <v/>
      </c>
      <c r="Y129">
        <f>F129*(P129*1)*(H129*0.35+J129*0.35+L129*0.3)</f>
        <v/>
      </c>
      <c r="Z129">
        <f>(Y129-$AJ$14)/$AK$14</f>
        <v/>
      </c>
      <c r="AA129">
        <f>IF(Z129&gt;0.7,"High",IF(Z129&gt;0.3,"Moderate",IF(Z129&gt;0.15,"Low","No Impact")))</f>
        <v/>
      </c>
      <c r="AB129">
        <f>F129*(R129*0.35+P129*0.3+N129*0.35)*(H129*0.35+J129*0.35+L129*0.3)</f>
        <v/>
      </c>
      <c r="AC129">
        <f>(AB129-$AJ$15)/$AK$15</f>
        <v/>
      </c>
      <c r="AD129">
        <f>IF(AC129&gt;0.7,"High",IF(AC129&gt;0.3,"Moderate",IF(AC129&gt;0.15,"Low","No Impact")))</f>
        <v/>
      </c>
      <c r="AE129">
        <f>F129*(N129*1)*(H129*0.35+J129*0.35+L129*0.3)</f>
        <v/>
      </c>
      <c r="AF129">
        <f>(AE129-$AJ$16)/$AK$16</f>
        <v/>
      </c>
      <c r="AG129">
        <f>IF(AF129&gt;0.7,"High",IF(AF129&gt;0.3,"Moderate",IF(AF129&gt;0.15,"Low","No Impact")))</f>
        <v/>
      </c>
    </row>
    <row r="130">
      <c r="A130" t="n">
        <v>205143</v>
      </c>
      <c r="B130" t="inlineStr">
        <is>
          <t>BD205143</t>
        </is>
      </c>
      <c r="C130" t="inlineStr">
        <is>
          <t>Lakshmipur</t>
        </is>
      </c>
      <c r="D130" t="inlineStr">
        <is>
          <t>Lakshmipur Sadar</t>
        </is>
      </c>
      <c r="E130" s="3" t="n">
        <v>6.5</v>
      </c>
      <c r="F130" s="4">
        <f>(E130-$AJ$5)/$AK$5</f>
        <v/>
      </c>
      <c r="G130" t="n">
        <v>88.86169439999999</v>
      </c>
      <c r="H130">
        <f>(G130-$AJ$6)/$AK$6</f>
        <v/>
      </c>
      <c r="I130" t="n">
        <v>12.6</v>
      </c>
      <c r="J130" s="4">
        <f>(I130-$AJ$7)/$AK$7</f>
        <v/>
      </c>
      <c r="K130" t="n">
        <v>0.9</v>
      </c>
      <c r="L130" s="4">
        <f>(K130-$AJ$8)/$AK$8</f>
        <v/>
      </c>
      <c r="M130" t="n">
        <v>40462</v>
      </c>
      <c r="N130">
        <f>(M130-$AJ$9)/$AK$9</f>
        <v/>
      </c>
      <c r="O130" t="n">
        <v>0.376349343</v>
      </c>
      <c r="P130">
        <f>(O130-$AJ$11)/$AK$11</f>
        <v/>
      </c>
      <c r="Q130" t="n">
        <v>0.3127</v>
      </c>
      <c r="R130">
        <f>(Q130-$AJ$12)/$AK$12</f>
        <v/>
      </c>
      <c r="S130">
        <f>F130*(R130*0.5+P130*0.5)*(H130*0.35+J130*0.35+L130*0.3)</f>
        <v/>
      </c>
      <c r="T130" s="14">
        <f>(S130-$AJ$10)/$AK$10</f>
        <v/>
      </c>
      <c r="U130">
        <f>IF(T130&gt;0.7,"High",IF(T130&gt;0.3,"Moderate",IF(T130&gt;0.15,"Low","No Impact")))</f>
        <v/>
      </c>
      <c r="V130">
        <f>F130*(R130*1)*(H130*0.35+J130*0.35+L130*0.3)</f>
        <v/>
      </c>
      <c r="W130">
        <f>(V130-$AJ$13)/$AK$13</f>
        <v/>
      </c>
      <c r="X130">
        <f>IF(W130&gt;0.7,"High",IF(W130&gt;0.3,"Moderate",IF(W130&gt;0.15,"Low","No Impact")))</f>
        <v/>
      </c>
      <c r="Y130">
        <f>F130*(P130*1)*(H130*0.35+J130*0.35+L130*0.3)</f>
        <v/>
      </c>
      <c r="Z130">
        <f>(Y130-$AJ$14)/$AK$14</f>
        <v/>
      </c>
      <c r="AA130">
        <f>IF(Z130&gt;0.7,"High",IF(Z130&gt;0.3,"Moderate",IF(Z130&gt;0.15,"Low","No Impact")))</f>
        <v/>
      </c>
      <c r="AB130">
        <f>F130*(R130*0.35+P130*0.3+N130*0.35)*(H130*0.35+J130*0.35+L130*0.3)</f>
        <v/>
      </c>
      <c r="AC130">
        <f>(AB130-$AJ$15)/$AK$15</f>
        <v/>
      </c>
      <c r="AD130">
        <f>IF(AC130&gt;0.7,"High",IF(AC130&gt;0.3,"Moderate",IF(AC130&gt;0.15,"Low","No Impact")))</f>
        <v/>
      </c>
      <c r="AE130">
        <f>F130*(N130*1)*(H130*0.35+J130*0.35+L130*0.3)</f>
        <v/>
      </c>
      <c r="AF130">
        <f>(AE130-$AJ$16)/$AK$16</f>
        <v/>
      </c>
      <c r="AG130">
        <f>IF(AF130&gt;0.7,"High",IF(AF130&gt;0.3,"Moderate",IF(AF130&gt;0.15,"Low","No Impact")))</f>
        <v/>
      </c>
    </row>
    <row r="131">
      <c r="A131" t="n">
        <v>205158</v>
      </c>
      <c r="B131" t="inlineStr">
        <is>
          <t>BD205158</t>
        </is>
      </c>
      <c r="C131" t="inlineStr">
        <is>
          <t>Lakshmipur</t>
        </is>
      </c>
      <c r="D131" t="inlineStr">
        <is>
          <t>Roypur</t>
        </is>
      </c>
      <c r="E131" s="3" t="n">
        <v>5</v>
      </c>
      <c r="F131" s="4">
        <f>(E131-$AJ$5)/$AK$5</f>
        <v/>
      </c>
      <c r="G131" t="n">
        <v>69.6312252</v>
      </c>
      <c r="H131">
        <f>(G131-$AJ$6)/$AK$6</f>
        <v/>
      </c>
      <c r="I131" t="n">
        <v>13.3</v>
      </c>
      <c r="J131" s="4">
        <f>(I131-$AJ$7)/$AK$7</f>
        <v/>
      </c>
      <c r="K131" t="n">
        <v>0.9</v>
      </c>
      <c r="L131" s="4">
        <f>(K131-$AJ$8)/$AK$8</f>
        <v/>
      </c>
      <c r="M131" t="n">
        <v>15111</v>
      </c>
      <c r="N131">
        <f>(M131-$AJ$9)/$AK$9</f>
        <v/>
      </c>
      <c r="O131" t="n">
        <v>0.124370266</v>
      </c>
      <c r="P131">
        <f>(O131-$AJ$11)/$AK$11</f>
        <v/>
      </c>
      <c r="Q131" t="n">
        <v>0.3465</v>
      </c>
      <c r="R131">
        <f>(Q131-$AJ$12)/$AK$12</f>
        <v/>
      </c>
      <c r="S131">
        <f>F131*(R131*0.5+P131*0.5)*(H131*0.35+J131*0.35+L131*0.3)</f>
        <v/>
      </c>
      <c r="T131" s="14">
        <f>(S131-$AJ$10)/$AK$10</f>
        <v/>
      </c>
      <c r="U131">
        <f>IF(T131&gt;0.7,"High",IF(T131&gt;0.3,"Moderate",IF(T131&gt;0.15,"Low","No Impact")))</f>
        <v/>
      </c>
      <c r="V131">
        <f>F131*(R131*1)*(H131*0.35+J131*0.35+L131*0.3)</f>
        <v/>
      </c>
      <c r="W131">
        <f>(V131-$AJ$13)/$AK$13</f>
        <v/>
      </c>
      <c r="X131">
        <f>IF(W131&gt;0.7,"High",IF(W131&gt;0.3,"Moderate",IF(W131&gt;0.15,"Low","No Impact")))</f>
        <v/>
      </c>
      <c r="Y131">
        <f>F131*(P131*1)*(H131*0.35+J131*0.35+L131*0.3)</f>
        <v/>
      </c>
      <c r="Z131">
        <f>(Y131-$AJ$14)/$AK$14</f>
        <v/>
      </c>
      <c r="AA131">
        <f>IF(Z131&gt;0.7,"High",IF(Z131&gt;0.3,"Moderate",IF(Z131&gt;0.15,"Low","No Impact")))</f>
        <v/>
      </c>
      <c r="AB131">
        <f>F131*(R131*0.35+P131*0.3+N131*0.35)*(H131*0.35+J131*0.35+L131*0.3)</f>
        <v/>
      </c>
      <c r="AC131">
        <f>(AB131-$AJ$15)/$AK$15</f>
        <v/>
      </c>
      <c r="AD131">
        <f>IF(AC131&gt;0.7,"High",IF(AC131&gt;0.3,"Moderate",IF(AC131&gt;0.15,"Low","No Impact")))</f>
        <v/>
      </c>
      <c r="AE131">
        <f>F131*(N131*1)*(H131*0.35+J131*0.35+L131*0.3)</f>
        <v/>
      </c>
      <c r="AF131">
        <f>(AE131-$AJ$16)/$AK$16</f>
        <v/>
      </c>
      <c r="AG131">
        <f>IF(AF131&gt;0.7,"High",IF(AF131&gt;0.3,"Moderate",IF(AF131&gt;0.15,"Low","No Impact")))</f>
        <v/>
      </c>
    </row>
    <row r="132">
      <c r="A132" t="n">
        <v>205165</v>
      </c>
      <c r="B132" t="inlineStr">
        <is>
          <t>BD205165</t>
        </is>
      </c>
      <c r="C132" t="inlineStr">
        <is>
          <t>Lakshmipur</t>
        </is>
      </c>
      <c r="D132" t="inlineStr">
        <is>
          <t>Ramganj</t>
        </is>
      </c>
      <c r="E132" s="3" t="n">
        <v>6.5</v>
      </c>
      <c r="F132" s="4">
        <f>(E132-$AJ$5)/$AK$5</f>
        <v/>
      </c>
      <c r="G132" t="n">
        <v>69.6312252</v>
      </c>
      <c r="H132">
        <f>(G132-$AJ$6)/$AK$6</f>
        <v/>
      </c>
      <c r="I132" t="n">
        <v>8.699999999999999</v>
      </c>
      <c r="J132" s="4">
        <f>(I132-$AJ$7)/$AK$7</f>
        <v/>
      </c>
      <c r="K132" t="n">
        <v>0</v>
      </c>
      <c r="L132" s="4">
        <f>(K132-$AJ$8)/$AK$8</f>
        <v/>
      </c>
      <c r="M132" t="n">
        <v>18858</v>
      </c>
      <c r="N132">
        <f>(M132-$AJ$9)/$AK$9</f>
        <v/>
      </c>
      <c r="O132" t="n">
        <v>0.267525344</v>
      </c>
      <c r="P132">
        <f>(O132-$AJ$11)/$AK$11</f>
        <v/>
      </c>
      <c r="Q132" t="n">
        <v>0.3146</v>
      </c>
      <c r="R132">
        <f>(Q132-$AJ$12)/$AK$12</f>
        <v/>
      </c>
      <c r="S132">
        <f>F132*(R132*0.5+P132*0.5)*(H132*0.35+J132*0.35+L132*0.3)</f>
        <v/>
      </c>
      <c r="T132" s="14">
        <f>(S132-$AJ$10)/$AK$10</f>
        <v/>
      </c>
      <c r="U132">
        <f>IF(T132&gt;0.7,"High",IF(T132&gt;0.3,"Moderate",IF(T132&gt;0.15,"Low","No Impact")))</f>
        <v/>
      </c>
      <c r="V132">
        <f>F132*(R132*1)*(H132*0.35+J132*0.35+L132*0.3)</f>
        <v/>
      </c>
      <c r="W132">
        <f>(V132-$AJ$13)/$AK$13</f>
        <v/>
      </c>
      <c r="X132">
        <f>IF(W132&gt;0.7,"High",IF(W132&gt;0.3,"Moderate",IF(W132&gt;0.15,"Low","No Impact")))</f>
        <v/>
      </c>
      <c r="Y132">
        <f>F132*(P132*1)*(H132*0.35+J132*0.35+L132*0.3)</f>
        <v/>
      </c>
      <c r="Z132">
        <f>(Y132-$AJ$14)/$AK$14</f>
        <v/>
      </c>
      <c r="AA132">
        <f>IF(Z132&gt;0.7,"High",IF(Z132&gt;0.3,"Moderate",IF(Z132&gt;0.15,"Low","No Impact")))</f>
        <v/>
      </c>
      <c r="AB132">
        <f>F132*(R132*0.35+P132*0.3+N132*0.35)*(H132*0.35+J132*0.35+L132*0.3)</f>
        <v/>
      </c>
      <c r="AC132">
        <f>(AB132-$AJ$15)/$AK$15</f>
        <v/>
      </c>
      <c r="AD132">
        <f>IF(AC132&gt;0.7,"High",IF(AC132&gt;0.3,"Moderate",IF(AC132&gt;0.15,"Low","No Impact")))</f>
        <v/>
      </c>
      <c r="AE132">
        <f>F132*(N132*1)*(H132*0.35+J132*0.35+L132*0.3)</f>
        <v/>
      </c>
      <c r="AF132">
        <f>(AE132-$AJ$16)/$AK$16</f>
        <v/>
      </c>
      <c r="AG132">
        <f>IF(AF132&gt;0.7,"High",IF(AF132&gt;0.3,"Moderate",IF(AF132&gt;0.15,"Low","No Impact")))</f>
        <v/>
      </c>
    </row>
    <row r="133">
      <c r="A133" t="n">
        <v>205173</v>
      </c>
      <c r="B133" t="inlineStr">
        <is>
          <t>BD205173</t>
        </is>
      </c>
      <c r="C133" t="inlineStr">
        <is>
          <t>Lakshmipur</t>
        </is>
      </c>
      <c r="D133" t="inlineStr">
        <is>
          <t>Ramgati</t>
        </is>
      </c>
      <c r="E133" s="3" t="n">
        <v>6.5</v>
      </c>
      <c r="F133" s="4">
        <f>(E133-$AJ$5)/$AK$5</f>
        <v/>
      </c>
      <c r="G133" t="n">
        <v>92.0538792</v>
      </c>
      <c r="H133">
        <f>(G133-$AJ$6)/$AK$6</f>
        <v/>
      </c>
      <c r="I133" t="n">
        <v>14</v>
      </c>
      <c r="J133" s="4">
        <f>(I133-$AJ$7)/$AK$7</f>
        <v/>
      </c>
      <c r="K133" t="n">
        <v>0.9</v>
      </c>
      <c r="L133" s="4">
        <f>(K133-$AJ$8)/$AK$8</f>
        <v/>
      </c>
      <c r="M133" t="n">
        <v>8289</v>
      </c>
      <c r="N133">
        <f>(M133-$AJ$9)/$AK$9</f>
        <v/>
      </c>
      <c r="O133" t="n">
        <v>0.33163388</v>
      </c>
      <c r="P133">
        <f>(O133-$AJ$11)/$AK$11</f>
        <v/>
      </c>
      <c r="Q133" t="n">
        <v>0.2706</v>
      </c>
      <c r="R133">
        <f>(Q133-$AJ$12)/$AK$12</f>
        <v/>
      </c>
      <c r="S133">
        <f>F133*(R133*0.5+P133*0.5)*(H133*0.35+J133*0.35+L133*0.3)</f>
        <v/>
      </c>
      <c r="T133" s="14">
        <f>(S133-$AJ$10)/$AK$10</f>
        <v/>
      </c>
      <c r="U133">
        <f>IF(T133&gt;0.7,"High",IF(T133&gt;0.3,"Moderate",IF(T133&gt;0.15,"Low","No Impact")))</f>
        <v/>
      </c>
      <c r="V133">
        <f>F133*(R133*1)*(H133*0.35+J133*0.35+L133*0.3)</f>
        <v/>
      </c>
      <c r="W133">
        <f>(V133-$AJ$13)/$AK$13</f>
        <v/>
      </c>
      <c r="X133">
        <f>IF(W133&gt;0.7,"High",IF(W133&gt;0.3,"Moderate",IF(W133&gt;0.15,"Low","No Impact")))</f>
        <v/>
      </c>
      <c r="Y133">
        <f>F133*(P133*1)*(H133*0.35+J133*0.35+L133*0.3)</f>
        <v/>
      </c>
      <c r="Z133">
        <f>(Y133-$AJ$14)/$AK$14</f>
        <v/>
      </c>
      <c r="AA133">
        <f>IF(Z133&gt;0.7,"High",IF(Z133&gt;0.3,"Moderate",IF(Z133&gt;0.15,"Low","No Impact")))</f>
        <v/>
      </c>
      <c r="AB133">
        <f>F133*(R133*0.35+P133*0.3+N133*0.35)*(H133*0.35+J133*0.35+L133*0.3)</f>
        <v/>
      </c>
      <c r="AC133">
        <f>(AB133-$AJ$15)/$AK$15</f>
        <v/>
      </c>
      <c r="AD133">
        <f>IF(AC133&gt;0.7,"High",IF(AC133&gt;0.3,"Moderate",IF(AC133&gt;0.15,"Low","No Impact")))</f>
        <v/>
      </c>
      <c r="AE133">
        <f>F133*(N133*1)*(H133*0.35+J133*0.35+L133*0.3)</f>
        <v/>
      </c>
      <c r="AF133">
        <f>(AE133-$AJ$16)/$AK$16</f>
        <v/>
      </c>
      <c r="AG133">
        <f>IF(AF133&gt;0.7,"High",IF(AF133&gt;0.3,"Moderate",IF(AF133&gt;0.15,"Low","No Impact")))</f>
        <v/>
      </c>
    </row>
    <row r="134">
      <c r="A134" t="n">
        <v>207507</v>
      </c>
      <c r="B134" t="inlineStr">
        <is>
          <t>BD207507</t>
        </is>
      </c>
      <c r="C134" t="inlineStr">
        <is>
          <t>Noakhali</t>
        </is>
      </c>
      <c r="D134" t="inlineStr">
        <is>
          <t>Begumganj</t>
        </is>
      </c>
      <c r="E134" s="3" t="n">
        <v>6.6</v>
      </c>
      <c r="F134" s="4">
        <f>(E134-$AJ$5)/$AK$5</f>
        <v/>
      </c>
      <c r="G134" t="n">
        <v>75.7835676</v>
      </c>
      <c r="H134">
        <f>(G134-$AJ$6)/$AK$6</f>
        <v/>
      </c>
      <c r="I134" t="n">
        <v>7.599999999999999</v>
      </c>
      <c r="J134" s="4">
        <f>(I134-$AJ$7)/$AK$7</f>
        <v/>
      </c>
      <c r="K134" t="n">
        <v>0</v>
      </c>
      <c r="L134" s="4">
        <f>(K134-$AJ$8)/$AK$8</f>
        <v/>
      </c>
      <c r="M134" t="n">
        <v>35521</v>
      </c>
      <c r="N134">
        <f>(M134-$AJ$9)/$AK$9</f>
        <v/>
      </c>
      <c r="O134" t="n">
        <v>0.2871101</v>
      </c>
      <c r="P134">
        <f>(O134-$AJ$11)/$AK$11</f>
        <v/>
      </c>
      <c r="Q134" t="n">
        <v>0.2717</v>
      </c>
      <c r="R134">
        <f>(Q134-$AJ$12)/$AK$12</f>
        <v/>
      </c>
      <c r="S134">
        <f>F134*(R134*0.5+P134*0.5)*(H134*0.35+J134*0.35+L134*0.3)</f>
        <v/>
      </c>
      <c r="T134" s="14">
        <f>(S134-$AJ$10)/$AK$10</f>
        <v/>
      </c>
      <c r="U134">
        <f>IF(T134&gt;0.7,"High",IF(T134&gt;0.3,"Moderate",IF(T134&gt;0.15,"Low","No Impact")))</f>
        <v/>
      </c>
      <c r="V134">
        <f>F134*(R134*1)*(H134*0.35+J134*0.35+L134*0.3)</f>
        <v/>
      </c>
      <c r="W134">
        <f>(V134-$AJ$13)/$AK$13</f>
        <v/>
      </c>
      <c r="X134">
        <f>IF(W134&gt;0.7,"High",IF(W134&gt;0.3,"Moderate",IF(W134&gt;0.15,"Low","No Impact")))</f>
        <v/>
      </c>
      <c r="Y134">
        <f>F134*(P134*1)*(H134*0.35+J134*0.35+L134*0.3)</f>
        <v/>
      </c>
      <c r="Z134">
        <f>(Y134-$AJ$14)/$AK$14</f>
        <v/>
      </c>
      <c r="AA134">
        <f>IF(Z134&gt;0.7,"High",IF(Z134&gt;0.3,"Moderate",IF(Z134&gt;0.15,"Low","No Impact")))</f>
        <v/>
      </c>
      <c r="AB134">
        <f>F134*(R134*0.35+P134*0.3+N134*0.35)*(H134*0.35+J134*0.35+L134*0.3)</f>
        <v/>
      </c>
      <c r="AC134">
        <f>(AB134-$AJ$15)/$AK$15</f>
        <v/>
      </c>
      <c r="AD134">
        <f>IF(AC134&gt;0.7,"High",IF(AC134&gt;0.3,"Moderate",IF(AC134&gt;0.15,"Low","No Impact")))</f>
        <v/>
      </c>
      <c r="AE134">
        <f>F134*(N134*1)*(H134*0.35+J134*0.35+L134*0.3)</f>
        <v/>
      </c>
      <c r="AF134">
        <f>(AE134-$AJ$16)/$AK$16</f>
        <v/>
      </c>
      <c r="AG134">
        <f>IF(AF134&gt;0.7,"High",IF(AF134&gt;0.3,"Moderate",IF(AF134&gt;0.15,"Low","No Impact")))</f>
        <v/>
      </c>
    </row>
    <row r="135">
      <c r="A135" t="n">
        <v>207510</v>
      </c>
      <c r="B135" t="inlineStr">
        <is>
          <t>BD207510</t>
        </is>
      </c>
      <c r="C135" t="inlineStr">
        <is>
          <t>Noakhali</t>
        </is>
      </c>
      <c r="D135" t="inlineStr">
        <is>
          <t>Chatkhil</t>
        </is>
      </c>
      <c r="E135" s="3" t="n">
        <v>6.5</v>
      </c>
      <c r="F135" s="4">
        <f>(E135-$AJ$5)/$AK$5</f>
        <v/>
      </c>
      <c r="G135" t="n">
        <v>67.04182800000001</v>
      </c>
      <c r="H135">
        <f>(G135-$AJ$6)/$AK$6</f>
        <v/>
      </c>
      <c r="I135" t="n">
        <v>6.999999999999999</v>
      </c>
      <c r="J135" s="4">
        <f>(I135-$AJ$7)/$AK$7</f>
        <v/>
      </c>
      <c r="K135" t="n">
        <v>0</v>
      </c>
      <c r="L135" s="4">
        <f>(K135-$AJ$8)/$AK$8</f>
        <v/>
      </c>
      <c r="M135" t="n">
        <v>14588</v>
      </c>
      <c r="N135">
        <f>(M135-$AJ$9)/$AK$9</f>
        <v/>
      </c>
      <c r="O135" t="n">
        <v>0.242151486</v>
      </c>
      <c r="P135">
        <f>(O135-$AJ$11)/$AK$11</f>
        <v/>
      </c>
      <c r="Q135" t="n">
        <v>0.3299</v>
      </c>
      <c r="R135">
        <f>(Q135-$AJ$12)/$AK$12</f>
        <v/>
      </c>
      <c r="S135">
        <f>F135*(R135*0.5+P135*0.5)*(H135*0.35+J135*0.35+L135*0.3)</f>
        <v/>
      </c>
      <c r="T135" s="14">
        <f>(S135-$AJ$10)/$AK$10</f>
        <v/>
      </c>
      <c r="U135">
        <f>IF(T135&gt;0.7,"High",IF(T135&gt;0.3,"Moderate",IF(T135&gt;0.15,"Low","No Impact")))</f>
        <v/>
      </c>
      <c r="V135">
        <f>F135*(R135*1)*(H135*0.35+J135*0.35+L135*0.3)</f>
        <v/>
      </c>
      <c r="W135">
        <f>(V135-$AJ$13)/$AK$13</f>
        <v/>
      </c>
      <c r="X135">
        <f>IF(W135&gt;0.7,"High",IF(W135&gt;0.3,"Moderate",IF(W135&gt;0.15,"Low","No Impact")))</f>
        <v/>
      </c>
      <c r="Y135">
        <f>F135*(P135*1)*(H135*0.35+J135*0.35+L135*0.3)</f>
        <v/>
      </c>
      <c r="Z135">
        <f>(Y135-$AJ$14)/$AK$14</f>
        <v/>
      </c>
      <c r="AA135">
        <f>IF(Z135&gt;0.7,"High",IF(Z135&gt;0.3,"Moderate",IF(Z135&gt;0.15,"Low","No Impact")))</f>
        <v/>
      </c>
      <c r="AB135">
        <f>F135*(R135*0.35+P135*0.3+N135*0.35)*(H135*0.35+J135*0.35+L135*0.3)</f>
        <v/>
      </c>
      <c r="AC135">
        <f>(AB135-$AJ$15)/$AK$15</f>
        <v/>
      </c>
      <c r="AD135">
        <f>IF(AC135&gt;0.7,"High",IF(AC135&gt;0.3,"Moderate",IF(AC135&gt;0.15,"Low","No Impact")))</f>
        <v/>
      </c>
      <c r="AE135">
        <f>F135*(N135*1)*(H135*0.35+J135*0.35+L135*0.3)</f>
        <v/>
      </c>
      <c r="AF135">
        <f>(AE135-$AJ$16)/$AK$16</f>
        <v/>
      </c>
      <c r="AG135">
        <f>IF(AF135&gt;0.7,"High",IF(AF135&gt;0.3,"Moderate",IF(AF135&gt;0.15,"Low","No Impact")))</f>
        <v/>
      </c>
    </row>
    <row r="136">
      <c r="A136" t="n">
        <v>207521</v>
      </c>
      <c r="B136" t="inlineStr">
        <is>
          <t>BD207521</t>
        </is>
      </c>
      <c r="C136" t="inlineStr">
        <is>
          <t>Noakhali</t>
        </is>
      </c>
      <c r="D136" t="inlineStr">
        <is>
          <t>Companiganj</t>
        </is>
      </c>
      <c r="E136" s="3" t="n">
        <v>6.4</v>
      </c>
      <c r="F136" s="4">
        <f>(E136-$AJ$5)/$AK$5</f>
        <v/>
      </c>
      <c r="G136" t="n">
        <v>71.68786559999999</v>
      </c>
      <c r="H136">
        <f>(G136-$AJ$6)/$AK$6</f>
        <v/>
      </c>
      <c r="I136" t="n">
        <v>3.399999999999999</v>
      </c>
      <c r="J136" s="4">
        <f>(I136-$AJ$7)/$AK$7</f>
        <v/>
      </c>
      <c r="K136" t="n">
        <v>0.8</v>
      </c>
      <c r="L136" s="4">
        <f>(K136-$AJ$8)/$AK$8</f>
        <v/>
      </c>
      <c r="M136" t="n">
        <v>38608</v>
      </c>
      <c r="N136">
        <f>(M136-$AJ$9)/$AK$9</f>
        <v/>
      </c>
      <c r="O136" t="n">
        <v>0.141023933</v>
      </c>
      <c r="P136">
        <f>(O136-$AJ$11)/$AK$11</f>
        <v/>
      </c>
      <c r="Q136" t="n">
        <v>0.2181</v>
      </c>
      <c r="R136">
        <f>(Q136-$AJ$12)/$AK$12</f>
        <v/>
      </c>
      <c r="S136">
        <f>F136*(R136*0.5+P136*0.5)*(H136*0.35+J136*0.35+L136*0.3)</f>
        <v/>
      </c>
      <c r="T136" s="14">
        <f>(S136-$AJ$10)/$AK$10</f>
        <v/>
      </c>
      <c r="U136">
        <f>IF(T136&gt;0.7,"High",IF(T136&gt;0.3,"Moderate",IF(T136&gt;0.15,"Low","No Impact")))</f>
        <v/>
      </c>
      <c r="V136">
        <f>F136*(R136*1)*(H136*0.35+J136*0.35+L136*0.3)</f>
        <v/>
      </c>
      <c r="W136">
        <f>(V136-$AJ$13)/$AK$13</f>
        <v/>
      </c>
      <c r="X136">
        <f>IF(W136&gt;0.7,"High",IF(W136&gt;0.3,"Moderate",IF(W136&gt;0.15,"Low","No Impact")))</f>
        <v/>
      </c>
      <c r="Y136">
        <f>F136*(P136*1)*(H136*0.35+J136*0.35+L136*0.3)</f>
        <v/>
      </c>
      <c r="Z136">
        <f>(Y136-$AJ$14)/$AK$14</f>
        <v/>
      </c>
      <c r="AA136">
        <f>IF(Z136&gt;0.7,"High",IF(Z136&gt;0.3,"Moderate",IF(Z136&gt;0.15,"Low","No Impact")))</f>
        <v/>
      </c>
      <c r="AB136">
        <f>F136*(R136*0.35+P136*0.3+N136*0.35)*(H136*0.35+J136*0.35+L136*0.3)</f>
        <v/>
      </c>
      <c r="AC136">
        <f>(AB136-$AJ$15)/$AK$15</f>
        <v/>
      </c>
      <c r="AD136">
        <f>IF(AC136&gt;0.7,"High",IF(AC136&gt;0.3,"Moderate",IF(AC136&gt;0.15,"Low","No Impact")))</f>
        <v/>
      </c>
      <c r="AE136">
        <f>F136*(N136*1)*(H136*0.35+J136*0.35+L136*0.3)</f>
        <v/>
      </c>
      <c r="AF136">
        <f>(AE136-$AJ$16)/$AK$16</f>
        <v/>
      </c>
      <c r="AG136">
        <f>IF(AF136&gt;0.7,"High",IF(AF136&gt;0.3,"Moderate",IF(AF136&gt;0.15,"Low","No Impact")))</f>
        <v/>
      </c>
    </row>
    <row r="137">
      <c r="A137" t="n">
        <v>207536</v>
      </c>
      <c r="B137" t="inlineStr">
        <is>
          <t>BD207536</t>
        </is>
      </c>
      <c r="C137" t="inlineStr">
        <is>
          <t>Noakhali</t>
        </is>
      </c>
      <c r="D137" t="inlineStr">
        <is>
          <t>Hatiya</t>
        </is>
      </c>
      <c r="E137" s="3" t="n">
        <v>6.5</v>
      </c>
      <c r="F137" s="4">
        <f>(E137-$AJ$5)/$AK$5</f>
        <v/>
      </c>
      <c r="G137" t="n">
        <v>101.8097388</v>
      </c>
      <c r="H137">
        <f>(G137-$AJ$6)/$AK$6</f>
        <v/>
      </c>
      <c r="I137" t="n">
        <v>10.8</v>
      </c>
      <c r="J137" s="4">
        <f>(I137-$AJ$7)/$AK$7</f>
        <v/>
      </c>
      <c r="K137" t="n">
        <v>0.8</v>
      </c>
      <c r="L137" s="4">
        <f>(K137-$AJ$8)/$AK$8</f>
        <v/>
      </c>
      <c r="M137" t="n">
        <v>64514</v>
      </c>
      <c r="N137">
        <f>(M137-$AJ$9)/$AK$9</f>
        <v/>
      </c>
      <c r="O137" t="n">
        <v>0.16654503</v>
      </c>
      <c r="P137">
        <f>(O137-$AJ$11)/$AK$11</f>
        <v/>
      </c>
      <c r="Q137" t="n">
        <v>0.23</v>
      </c>
      <c r="R137">
        <f>(Q137-$AJ$12)/$AK$12</f>
        <v/>
      </c>
      <c r="S137">
        <f>F137*(R137*0.5+P137*0.5)*(H137*0.35+J137*0.35+L137*0.3)</f>
        <v/>
      </c>
      <c r="T137" s="14">
        <f>(S137-$AJ$10)/$AK$10</f>
        <v/>
      </c>
      <c r="U137">
        <f>IF(T137&gt;0.7,"High",IF(T137&gt;0.3,"Moderate",IF(T137&gt;0.15,"Low","No Impact")))</f>
        <v/>
      </c>
      <c r="V137">
        <f>F137*(R137*1)*(H137*0.35+J137*0.35+L137*0.3)</f>
        <v/>
      </c>
      <c r="W137">
        <f>(V137-$AJ$13)/$AK$13</f>
        <v/>
      </c>
      <c r="X137">
        <f>IF(W137&gt;0.7,"High",IF(W137&gt;0.3,"Moderate",IF(W137&gt;0.15,"Low","No Impact")))</f>
        <v/>
      </c>
      <c r="Y137">
        <f>F137*(P137*1)*(H137*0.35+J137*0.35+L137*0.3)</f>
        <v/>
      </c>
      <c r="Z137">
        <f>(Y137-$AJ$14)/$AK$14</f>
        <v/>
      </c>
      <c r="AA137">
        <f>IF(Z137&gt;0.7,"High",IF(Z137&gt;0.3,"Moderate",IF(Z137&gt;0.15,"Low","No Impact")))</f>
        <v/>
      </c>
      <c r="AB137">
        <f>F137*(R137*0.35+P137*0.3+N137*0.35)*(H137*0.35+J137*0.35+L137*0.3)</f>
        <v/>
      </c>
      <c r="AC137">
        <f>(AB137-$AJ$15)/$AK$15</f>
        <v/>
      </c>
      <c r="AD137">
        <f>IF(AC137&gt;0.7,"High",IF(AC137&gt;0.3,"Moderate",IF(AC137&gt;0.15,"Low","No Impact")))</f>
        <v/>
      </c>
      <c r="AE137">
        <f>F137*(N137*1)*(H137*0.35+J137*0.35+L137*0.3)</f>
        <v/>
      </c>
      <c r="AF137">
        <f>(AE137-$AJ$16)/$AK$16</f>
        <v/>
      </c>
      <c r="AG137">
        <f>IF(AF137&gt;0.7,"High",IF(AF137&gt;0.3,"Moderate",IF(AF137&gt;0.15,"Low","No Impact")))</f>
        <v/>
      </c>
    </row>
    <row r="138">
      <c r="A138" t="n">
        <v>207547</v>
      </c>
      <c r="B138" t="inlineStr">
        <is>
          <t>BD207547</t>
        </is>
      </c>
      <c r="C138" t="inlineStr">
        <is>
          <t>Noakhali</t>
        </is>
      </c>
      <c r="D138" t="inlineStr">
        <is>
          <t>Kabirhat</t>
        </is>
      </c>
      <c r="E138" s="3" t="n">
        <v>6.5</v>
      </c>
      <c r="F138" s="4">
        <f>(E138-$AJ$5)/$AK$5</f>
        <v/>
      </c>
      <c r="G138" t="n">
        <v>71.68786559999999</v>
      </c>
      <c r="H138">
        <f>(G138-$AJ$6)/$AK$6</f>
        <v/>
      </c>
      <c r="I138" t="n">
        <v>4</v>
      </c>
      <c r="J138" s="4">
        <f>(I138-$AJ$7)/$AK$7</f>
        <v/>
      </c>
      <c r="K138" t="n">
        <v>0.8</v>
      </c>
      <c r="L138" s="4">
        <f>(K138-$AJ$8)/$AK$8</f>
        <v/>
      </c>
      <c r="M138" t="n">
        <v>22882</v>
      </c>
      <c r="N138">
        <f>(M138-$AJ$9)/$AK$9</f>
        <v/>
      </c>
      <c r="O138" t="n">
        <v>0.363097597</v>
      </c>
      <c r="P138">
        <f>(O138-$AJ$11)/$AK$11</f>
        <v/>
      </c>
      <c r="Q138" t="n">
        <v>0.2724</v>
      </c>
      <c r="R138">
        <f>(Q138-$AJ$12)/$AK$12</f>
        <v/>
      </c>
      <c r="S138">
        <f>F138*(R138*0.5+P138*0.5)*(H138*0.35+J138*0.35+L138*0.3)</f>
        <v/>
      </c>
      <c r="T138" s="14">
        <f>(S138-$AJ$10)/$AK$10</f>
        <v/>
      </c>
      <c r="U138">
        <f>IF(T138&gt;0.7,"High",IF(T138&gt;0.3,"Moderate",IF(T138&gt;0.15,"Low","No Impact")))</f>
        <v/>
      </c>
      <c r="V138">
        <f>F138*(R138*1)*(H138*0.35+J138*0.35+L138*0.3)</f>
        <v/>
      </c>
      <c r="W138">
        <f>(V138-$AJ$13)/$AK$13</f>
        <v/>
      </c>
      <c r="X138">
        <f>IF(W138&gt;0.7,"High",IF(W138&gt;0.3,"Moderate",IF(W138&gt;0.15,"Low","No Impact")))</f>
        <v/>
      </c>
      <c r="Y138">
        <f>F138*(P138*1)*(H138*0.35+J138*0.35+L138*0.3)</f>
        <v/>
      </c>
      <c r="Z138">
        <f>(Y138-$AJ$14)/$AK$14</f>
        <v/>
      </c>
      <c r="AA138">
        <f>IF(Z138&gt;0.7,"High",IF(Z138&gt;0.3,"Moderate",IF(Z138&gt;0.15,"Low","No Impact")))</f>
        <v/>
      </c>
      <c r="AB138">
        <f>F138*(R138*0.35+P138*0.3+N138*0.35)*(H138*0.35+J138*0.35+L138*0.3)</f>
        <v/>
      </c>
      <c r="AC138">
        <f>(AB138-$AJ$15)/$AK$15</f>
        <v/>
      </c>
      <c r="AD138">
        <f>IF(AC138&gt;0.7,"High",IF(AC138&gt;0.3,"Moderate",IF(AC138&gt;0.15,"Low","No Impact")))</f>
        <v/>
      </c>
      <c r="AE138">
        <f>F138*(N138*1)*(H138*0.35+J138*0.35+L138*0.3)</f>
        <v/>
      </c>
      <c r="AF138">
        <f>(AE138-$AJ$16)/$AK$16</f>
        <v/>
      </c>
      <c r="AG138">
        <f>IF(AF138&gt;0.7,"High",IF(AF138&gt;0.3,"Moderate",IF(AF138&gt;0.15,"Low","No Impact")))</f>
        <v/>
      </c>
    </row>
    <row r="139">
      <c r="A139" t="n">
        <v>207580</v>
      </c>
      <c r="B139" t="inlineStr">
        <is>
          <t>BD207580</t>
        </is>
      </c>
      <c r="C139" t="inlineStr">
        <is>
          <t>Noakhali</t>
        </is>
      </c>
      <c r="D139" t="inlineStr">
        <is>
          <t>Senbagh</t>
        </is>
      </c>
      <c r="E139" s="3" t="n">
        <v>6.6</v>
      </c>
      <c r="F139" s="4">
        <f>(E139-$AJ$5)/$AK$5</f>
        <v/>
      </c>
      <c r="G139" t="n">
        <v>71.68786559999999</v>
      </c>
      <c r="H139">
        <f>(G139-$AJ$6)/$AK$6</f>
        <v/>
      </c>
      <c r="I139" t="n">
        <v>5.499999999999998</v>
      </c>
      <c r="J139" s="4">
        <f>(I139-$AJ$7)/$AK$7</f>
        <v/>
      </c>
      <c r="K139" t="n">
        <v>0</v>
      </c>
      <c r="L139" s="4">
        <f>(K139-$AJ$8)/$AK$8</f>
        <v/>
      </c>
      <c r="M139" t="n">
        <v>19359</v>
      </c>
      <c r="N139">
        <f>(M139-$AJ$9)/$AK$9</f>
        <v/>
      </c>
      <c r="O139" t="n">
        <v>0.149807532</v>
      </c>
      <c r="P139">
        <f>(O139-$AJ$11)/$AK$11</f>
        <v/>
      </c>
      <c r="Q139" t="n">
        <v>0.2445</v>
      </c>
      <c r="R139">
        <f>(Q139-$AJ$12)/$AK$12</f>
        <v/>
      </c>
      <c r="S139">
        <f>F139*(R139*0.5+P139*0.5)*(H139*0.35+J139*0.35+L139*0.3)</f>
        <v/>
      </c>
      <c r="T139" s="14">
        <f>(S139-$AJ$10)/$AK$10</f>
        <v/>
      </c>
      <c r="U139">
        <f>IF(T139&gt;0.7,"High",IF(T139&gt;0.3,"Moderate",IF(T139&gt;0.15,"Low","No Impact")))</f>
        <v/>
      </c>
      <c r="V139">
        <f>F139*(R139*1)*(H139*0.35+J139*0.35+L139*0.3)</f>
        <v/>
      </c>
      <c r="W139">
        <f>(V139-$AJ$13)/$AK$13</f>
        <v/>
      </c>
      <c r="X139">
        <f>IF(W139&gt;0.7,"High",IF(W139&gt;0.3,"Moderate",IF(W139&gt;0.15,"Low","No Impact")))</f>
        <v/>
      </c>
      <c r="Y139">
        <f>F139*(P139*1)*(H139*0.35+J139*0.35+L139*0.3)</f>
        <v/>
      </c>
      <c r="Z139">
        <f>(Y139-$AJ$14)/$AK$14</f>
        <v/>
      </c>
      <c r="AA139">
        <f>IF(Z139&gt;0.7,"High",IF(Z139&gt;0.3,"Moderate",IF(Z139&gt;0.15,"Low","No Impact")))</f>
        <v/>
      </c>
      <c r="AB139">
        <f>F139*(R139*0.35+P139*0.3+N139*0.35)*(H139*0.35+J139*0.35+L139*0.3)</f>
        <v/>
      </c>
      <c r="AC139">
        <f>(AB139-$AJ$15)/$AK$15</f>
        <v/>
      </c>
      <c r="AD139">
        <f>IF(AC139&gt;0.7,"High",IF(AC139&gt;0.3,"Moderate",IF(AC139&gt;0.15,"Low","No Impact")))</f>
        <v/>
      </c>
      <c r="AE139">
        <f>F139*(N139*1)*(H139*0.35+J139*0.35+L139*0.3)</f>
        <v/>
      </c>
      <c r="AF139">
        <f>(AE139-$AJ$16)/$AK$16</f>
        <v/>
      </c>
      <c r="AG139">
        <f>IF(AF139&gt;0.7,"High",IF(AF139&gt;0.3,"Moderate",IF(AF139&gt;0.15,"Low","No Impact")))</f>
        <v/>
      </c>
    </row>
    <row r="140">
      <c r="A140" t="n">
        <v>207583</v>
      </c>
      <c r="B140" t="inlineStr">
        <is>
          <t>BD207583</t>
        </is>
      </c>
      <c r="C140" t="inlineStr">
        <is>
          <t>Noakhali</t>
        </is>
      </c>
      <c r="D140" t="inlineStr">
        <is>
          <t>Sonaimuri</t>
        </is>
      </c>
      <c r="E140" s="3" t="n">
        <v>6.5</v>
      </c>
      <c r="F140" s="4">
        <f>(E140-$AJ$5)/$AK$5</f>
        <v/>
      </c>
      <c r="G140" t="n">
        <v>67.04182800000001</v>
      </c>
      <c r="H140">
        <f>(G140-$AJ$6)/$AK$6</f>
        <v/>
      </c>
      <c r="I140" t="n">
        <v>5.999999999999998</v>
      </c>
      <c r="J140" s="4">
        <f>(I140-$AJ$7)/$AK$7</f>
        <v/>
      </c>
      <c r="K140" t="n">
        <v>0</v>
      </c>
      <c r="L140" s="4">
        <f>(K140-$AJ$8)/$AK$8</f>
        <v/>
      </c>
      <c r="M140" t="n">
        <v>20762</v>
      </c>
      <c r="N140">
        <f>(M140-$AJ$9)/$AK$9</f>
        <v/>
      </c>
      <c r="O140" t="n">
        <v>0.321533971</v>
      </c>
      <c r="P140">
        <f>(O140-$AJ$11)/$AK$11</f>
        <v/>
      </c>
      <c r="Q140" t="n">
        <v>0.2683</v>
      </c>
      <c r="R140">
        <f>(Q140-$AJ$12)/$AK$12</f>
        <v/>
      </c>
      <c r="S140">
        <f>F140*(R140*0.5+P140*0.5)*(H140*0.35+J140*0.35+L140*0.3)</f>
        <v/>
      </c>
      <c r="T140" s="14">
        <f>(S140-$AJ$10)/$AK$10</f>
        <v/>
      </c>
      <c r="U140">
        <f>IF(T140&gt;0.7,"High",IF(T140&gt;0.3,"Moderate",IF(T140&gt;0.15,"Low","No Impact")))</f>
        <v/>
      </c>
      <c r="V140">
        <f>F140*(R140*1)*(H140*0.35+J140*0.35+L140*0.3)</f>
        <v/>
      </c>
      <c r="W140">
        <f>(V140-$AJ$13)/$AK$13</f>
        <v/>
      </c>
      <c r="X140">
        <f>IF(W140&gt;0.7,"High",IF(W140&gt;0.3,"Moderate",IF(W140&gt;0.15,"Low","No Impact")))</f>
        <v/>
      </c>
      <c r="Y140">
        <f>F140*(P140*1)*(H140*0.35+J140*0.35+L140*0.3)</f>
        <v/>
      </c>
      <c r="Z140">
        <f>(Y140-$AJ$14)/$AK$14</f>
        <v/>
      </c>
      <c r="AA140">
        <f>IF(Z140&gt;0.7,"High",IF(Z140&gt;0.3,"Moderate",IF(Z140&gt;0.15,"Low","No Impact")))</f>
        <v/>
      </c>
      <c r="AB140">
        <f>F140*(R140*0.35+P140*0.3+N140*0.35)*(H140*0.35+J140*0.35+L140*0.3)</f>
        <v/>
      </c>
      <c r="AC140">
        <f>(AB140-$AJ$15)/$AK$15</f>
        <v/>
      </c>
      <c r="AD140">
        <f>IF(AC140&gt;0.7,"High",IF(AC140&gt;0.3,"Moderate",IF(AC140&gt;0.15,"Low","No Impact")))</f>
        <v/>
      </c>
      <c r="AE140">
        <f>F140*(N140*1)*(H140*0.35+J140*0.35+L140*0.3)</f>
        <v/>
      </c>
      <c r="AF140">
        <f>(AE140-$AJ$16)/$AK$16</f>
        <v/>
      </c>
      <c r="AG140">
        <f>IF(AF140&gt;0.7,"High",IF(AF140&gt;0.3,"Moderate",IF(AF140&gt;0.15,"Low","No Impact")))</f>
        <v/>
      </c>
    </row>
    <row r="141">
      <c r="A141" t="n">
        <v>207585</v>
      </c>
      <c r="B141" t="inlineStr">
        <is>
          <t>BD207585</t>
        </is>
      </c>
      <c r="C141" t="inlineStr">
        <is>
          <t>Noakhali</t>
        </is>
      </c>
      <c r="D141" t="inlineStr">
        <is>
          <t>Subarnachar</t>
        </is>
      </c>
      <c r="E141" s="3" t="n">
        <v>6.5</v>
      </c>
      <c r="F141" s="4">
        <f>(E141-$AJ$5)/$AK$5</f>
        <v/>
      </c>
      <c r="G141" t="n">
        <v>92.0538792</v>
      </c>
      <c r="H141">
        <f>(G141-$AJ$6)/$AK$6</f>
        <v/>
      </c>
      <c r="I141" t="n">
        <v>8.499999999999996</v>
      </c>
      <c r="J141" s="4">
        <f>(I141-$AJ$7)/$AK$7</f>
        <v/>
      </c>
      <c r="K141" t="n">
        <v>0.8</v>
      </c>
      <c r="L141" s="4">
        <f>(K141-$AJ$8)/$AK$8</f>
        <v/>
      </c>
      <c r="M141" t="n">
        <v>36232</v>
      </c>
      <c r="N141">
        <f>(M141-$AJ$9)/$AK$9</f>
        <v/>
      </c>
      <c r="O141" t="n">
        <v>0.230033434</v>
      </c>
      <c r="P141">
        <f>(O141-$AJ$11)/$AK$11</f>
        <v/>
      </c>
      <c r="Q141" t="n">
        <v>0.2452</v>
      </c>
      <c r="R141">
        <f>(Q141-$AJ$12)/$AK$12</f>
        <v/>
      </c>
      <c r="S141">
        <f>F141*(R141*0.5+P141*0.5)*(H141*0.35+J141*0.35+L141*0.3)</f>
        <v/>
      </c>
      <c r="T141" s="14">
        <f>(S141-$AJ$10)/$AK$10</f>
        <v/>
      </c>
      <c r="U141">
        <f>IF(T141&gt;0.7,"High",IF(T141&gt;0.3,"Moderate",IF(T141&gt;0.15,"Low","No Impact")))</f>
        <v/>
      </c>
      <c r="V141">
        <f>F141*(R141*1)*(H141*0.35+J141*0.35+L141*0.3)</f>
        <v/>
      </c>
      <c r="W141">
        <f>(V141-$AJ$13)/$AK$13</f>
        <v/>
      </c>
      <c r="X141">
        <f>IF(W141&gt;0.7,"High",IF(W141&gt;0.3,"Moderate",IF(W141&gt;0.15,"Low","No Impact")))</f>
        <v/>
      </c>
      <c r="Y141">
        <f>F141*(P141*1)*(H141*0.35+J141*0.35+L141*0.3)</f>
        <v/>
      </c>
      <c r="Z141">
        <f>(Y141-$AJ$14)/$AK$14</f>
        <v/>
      </c>
      <c r="AA141">
        <f>IF(Z141&gt;0.7,"High",IF(Z141&gt;0.3,"Moderate",IF(Z141&gt;0.15,"Low","No Impact")))</f>
        <v/>
      </c>
      <c r="AB141">
        <f>F141*(R141*0.35+P141*0.3+N141*0.35)*(H141*0.35+J141*0.35+L141*0.3)</f>
        <v/>
      </c>
      <c r="AC141">
        <f>(AB141-$AJ$15)/$AK$15</f>
        <v/>
      </c>
      <c r="AD141">
        <f>IF(AC141&gt;0.7,"High",IF(AC141&gt;0.3,"Moderate",IF(AC141&gt;0.15,"Low","No Impact")))</f>
        <v/>
      </c>
      <c r="AE141">
        <f>F141*(N141*1)*(H141*0.35+J141*0.35+L141*0.3)</f>
        <v/>
      </c>
      <c r="AF141">
        <f>(AE141-$AJ$16)/$AK$16</f>
        <v/>
      </c>
      <c r="AG141">
        <f>IF(AF141&gt;0.7,"High",IF(AF141&gt;0.3,"Moderate",IF(AF141&gt;0.15,"Low","No Impact")))</f>
        <v/>
      </c>
    </row>
    <row r="142">
      <c r="A142" t="n">
        <v>207587</v>
      </c>
      <c r="B142" t="inlineStr">
        <is>
          <t>BD207587</t>
        </is>
      </c>
      <c r="C142" t="inlineStr">
        <is>
          <t>Noakhali</t>
        </is>
      </c>
      <c r="D142" t="inlineStr">
        <is>
          <t>Noakhali Sadar (Sudharam)</t>
        </is>
      </c>
      <c r="E142" s="3" t="n">
        <v>6.6</v>
      </c>
      <c r="F142" s="4">
        <f>(E142-$AJ$5)/$AK$5</f>
        <v/>
      </c>
      <c r="G142" t="n">
        <v>75.7835676</v>
      </c>
      <c r="H142">
        <f>(G142-$AJ$6)/$AK$6</f>
        <v/>
      </c>
      <c r="I142" t="n">
        <v>6.899999999999999</v>
      </c>
      <c r="J142" s="4">
        <f>(I142-$AJ$7)/$AK$7</f>
        <v/>
      </c>
      <c r="K142" t="n">
        <v>0</v>
      </c>
      <c r="L142" s="4">
        <f>(K142-$AJ$8)/$AK$8</f>
        <v/>
      </c>
      <c r="M142" t="n">
        <v>46149</v>
      </c>
      <c r="N142">
        <f>(M142-$AJ$9)/$AK$9</f>
        <v/>
      </c>
      <c r="O142" t="n">
        <v>0.230300019</v>
      </c>
      <c r="P142">
        <f>(O142-$AJ$11)/$AK$11</f>
        <v/>
      </c>
      <c r="Q142" t="n">
        <v>0.2917</v>
      </c>
      <c r="R142">
        <f>(Q142-$AJ$12)/$AK$12</f>
        <v/>
      </c>
      <c r="S142">
        <f>F142*(R142*0.5+P142*0.5)*(H142*0.35+J142*0.35+L142*0.3)</f>
        <v/>
      </c>
      <c r="T142" s="14">
        <f>(S142-$AJ$10)/$AK$10</f>
        <v/>
      </c>
      <c r="U142">
        <f>IF(T142&gt;0.7,"High",IF(T142&gt;0.3,"Moderate",IF(T142&gt;0.15,"Low","No Impact")))</f>
        <v/>
      </c>
      <c r="V142">
        <f>F142*(R142*1)*(H142*0.35+J142*0.35+L142*0.3)</f>
        <v/>
      </c>
      <c r="W142">
        <f>(V142-$AJ$13)/$AK$13</f>
        <v/>
      </c>
      <c r="X142">
        <f>IF(W142&gt;0.7,"High",IF(W142&gt;0.3,"Moderate",IF(W142&gt;0.15,"Low","No Impact")))</f>
        <v/>
      </c>
      <c r="Y142">
        <f>F142*(P142*1)*(H142*0.35+J142*0.35+L142*0.3)</f>
        <v/>
      </c>
      <c r="Z142">
        <f>(Y142-$AJ$14)/$AK$14</f>
        <v/>
      </c>
      <c r="AA142">
        <f>IF(Z142&gt;0.7,"High",IF(Z142&gt;0.3,"Moderate",IF(Z142&gt;0.15,"Low","No Impact")))</f>
        <v/>
      </c>
      <c r="AB142">
        <f>F142*(R142*0.35+P142*0.3+N142*0.35)*(H142*0.35+J142*0.35+L142*0.3)</f>
        <v/>
      </c>
      <c r="AC142">
        <f>(AB142-$AJ$15)/$AK$15</f>
        <v/>
      </c>
      <c r="AD142">
        <f>IF(AC142&gt;0.7,"High",IF(AC142&gt;0.3,"Moderate",IF(AC142&gt;0.15,"Low","No Impact")))</f>
        <v/>
      </c>
      <c r="AE142">
        <f>F142*(N142*1)*(H142*0.35+J142*0.35+L142*0.3)</f>
        <v/>
      </c>
      <c r="AF142">
        <f>(AE142-$AJ$16)/$AK$16</f>
        <v/>
      </c>
      <c r="AG142">
        <f>IF(AF142&gt;0.7,"High",IF(AF142&gt;0.3,"Moderate",IF(AF142&gt;0.15,"Low","No Impact")))</f>
        <v/>
      </c>
    </row>
    <row r="143">
      <c r="A143" t="n">
        <v>208407</v>
      </c>
      <c r="B143" t="inlineStr">
        <is>
          <t>BD208407</t>
        </is>
      </c>
      <c r="C143" t="inlineStr">
        <is>
          <t>Rangamati</t>
        </is>
      </c>
      <c r="D143" t="inlineStr">
        <is>
          <t>Baghai Chhari</t>
        </is>
      </c>
      <c r="E143" s="3" t="n">
        <v>6.2</v>
      </c>
      <c r="F143" s="4">
        <f>(E143-$AJ$5)/$AK$5</f>
        <v/>
      </c>
      <c r="G143" t="n">
        <v>45.171126</v>
      </c>
      <c r="H143">
        <f>(G143-$AJ$6)/$AK$6</f>
        <v/>
      </c>
      <c r="I143" t="n">
        <v>0.09999999999999939</v>
      </c>
      <c r="J143" s="4">
        <f>(I143-$AJ$7)/$AK$7</f>
        <v/>
      </c>
      <c r="K143" t="n">
        <v>0</v>
      </c>
      <c r="L143" s="4">
        <f>(K143-$AJ$8)/$AK$8</f>
        <v/>
      </c>
      <c r="M143" t="n">
        <v>3903</v>
      </c>
      <c r="N143">
        <f>(M143-$AJ$9)/$AK$9</f>
        <v/>
      </c>
      <c r="O143" t="n">
        <v>0.326368137</v>
      </c>
      <c r="P143">
        <f>(O143-$AJ$11)/$AK$11</f>
        <v/>
      </c>
      <c r="Q143" t="n">
        <v>0.4004</v>
      </c>
      <c r="R143">
        <f>(Q143-$AJ$12)/$AK$12</f>
        <v/>
      </c>
      <c r="S143">
        <f>F143*(R143*0.5+P143*0.5)*(H143*0.35+J143*0.35+L143*0.3)</f>
        <v/>
      </c>
      <c r="T143" s="14">
        <f>(S143-$AJ$10)/$AK$10</f>
        <v/>
      </c>
      <c r="U143">
        <f>IF(T143&gt;0.7,"High",IF(T143&gt;0.3,"Moderate",IF(T143&gt;0.15,"Low","No Impact")))</f>
        <v/>
      </c>
      <c r="V143">
        <f>F143*(R143*1)*(H143*0.35+J143*0.35+L143*0.3)</f>
        <v/>
      </c>
      <c r="W143">
        <f>(V143-$AJ$13)/$AK$13</f>
        <v/>
      </c>
      <c r="X143">
        <f>IF(W143&gt;0.7,"High",IF(W143&gt;0.3,"Moderate",IF(W143&gt;0.15,"Low","No Impact")))</f>
        <v/>
      </c>
      <c r="Y143">
        <f>F143*(P143*1)*(H143*0.35+J143*0.35+L143*0.3)</f>
        <v/>
      </c>
      <c r="Z143">
        <f>(Y143-$AJ$14)/$AK$14</f>
        <v/>
      </c>
      <c r="AA143">
        <f>IF(Z143&gt;0.7,"High",IF(Z143&gt;0.3,"Moderate",IF(Z143&gt;0.15,"Low","No Impact")))</f>
        <v/>
      </c>
      <c r="AB143">
        <f>F143*(R143*0.35+P143*0.3+N143*0.35)*(H143*0.35+J143*0.35+L143*0.3)</f>
        <v/>
      </c>
      <c r="AC143">
        <f>(AB143-$AJ$15)/$AK$15</f>
        <v/>
      </c>
      <c r="AD143">
        <f>IF(AC143&gt;0.7,"High",IF(AC143&gt;0.3,"Moderate",IF(AC143&gt;0.15,"Low","No Impact")))</f>
        <v/>
      </c>
      <c r="AE143">
        <f>F143*(N143*1)*(H143*0.35+J143*0.35+L143*0.3)</f>
        <v/>
      </c>
      <c r="AF143">
        <f>(AE143-$AJ$16)/$AK$16</f>
        <v/>
      </c>
      <c r="AG143">
        <f>IF(AF143&gt;0.7,"High",IF(AF143&gt;0.3,"Moderate",IF(AF143&gt;0.15,"Low","No Impact")))</f>
        <v/>
      </c>
    </row>
    <row r="144">
      <c r="A144" t="n">
        <v>208421</v>
      </c>
      <c r="B144" t="inlineStr">
        <is>
          <t>BD208421</t>
        </is>
      </c>
      <c r="C144" t="inlineStr">
        <is>
          <t>Rangamati</t>
        </is>
      </c>
      <c r="D144" t="inlineStr">
        <is>
          <t>Barkal</t>
        </is>
      </c>
      <c r="E144" s="3" t="n">
        <v>6.2</v>
      </c>
      <c r="F144" s="4">
        <f>(E144-$AJ$5)/$AK$5</f>
        <v/>
      </c>
      <c r="G144" t="n">
        <v>52.6594068</v>
      </c>
      <c r="H144">
        <f>(G144-$AJ$6)/$AK$6</f>
        <v/>
      </c>
      <c r="I144" t="n">
        <v>0</v>
      </c>
      <c r="J144" s="4">
        <f>(I144-$AJ$7)/$AK$7</f>
        <v/>
      </c>
      <c r="K144" t="n">
        <v>0</v>
      </c>
      <c r="L144" s="4">
        <f>(K144-$AJ$8)/$AK$8</f>
        <v/>
      </c>
      <c r="M144" t="n">
        <v>239</v>
      </c>
      <c r="N144">
        <f>(M144-$AJ$9)/$AK$9</f>
        <v/>
      </c>
      <c r="O144" t="n">
        <v>0.367495655</v>
      </c>
      <c r="P144">
        <f>(O144-$AJ$11)/$AK$11</f>
        <v/>
      </c>
      <c r="Q144" t="n">
        <v>0.3798</v>
      </c>
      <c r="R144">
        <f>(Q144-$AJ$12)/$AK$12</f>
        <v/>
      </c>
      <c r="S144">
        <f>F144*(R144*0.5+P144*0.5)*(H144*0.35+J144*0.35+L144*0.3)</f>
        <v/>
      </c>
      <c r="T144" s="14">
        <f>(S144-$AJ$10)/$AK$10</f>
        <v/>
      </c>
      <c r="U144">
        <f>IF(T144&gt;0.7,"High",IF(T144&gt;0.3,"Moderate",IF(T144&gt;0.15,"Low","No Impact")))</f>
        <v/>
      </c>
      <c r="V144">
        <f>F144*(R144*1)*(H144*0.35+J144*0.35+L144*0.3)</f>
        <v/>
      </c>
      <c r="W144">
        <f>(V144-$AJ$13)/$AK$13</f>
        <v/>
      </c>
      <c r="X144">
        <f>IF(W144&gt;0.7,"High",IF(W144&gt;0.3,"Moderate",IF(W144&gt;0.15,"Low","No Impact")))</f>
        <v/>
      </c>
      <c r="Y144">
        <f>F144*(P144*1)*(H144*0.35+J144*0.35+L144*0.3)</f>
        <v/>
      </c>
      <c r="Z144">
        <f>(Y144-$AJ$14)/$AK$14</f>
        <v/>
      </c>
      <c r="AA144">
        <f>IF(Z144&gt;0.7,"High",IF(Z144&gt;0.3,"Moderate",IF(Z144&gt;0.15,"Low","No Impact")))</f>
        <v/>
      </c>
      <c r="AB144">
        <f>F144*(R144*0.35+P144*0.3+N144*0.35)*(H144*0.35+J144*0.35+L144*0.3)</f>
        <v/>
      </c>
      <c r="AC144">
        <f>(AB144-$AJ$15)/$AK$15</f>
        <v/>
      </c>
      <c r="AD144">
        <f>IF(AC144&gt;0.7,"High",IF(AC144&gt;0.3,"Moderate",IF(AC144&gt;0.15,"Low","No Impact")))</f>
        <v/>
      </c>
      <c r="AE144">
        <f>F144*(N144*1)*(H144*0.35+J144*0.35+L144*0.3)</f>
        <v/>
      </c>
      <c r="AF144">
        <f>(AE144-$AJ$16)/$AK$16</f>
        <v/>
      </c>
      <c r="AG144">
        <f>IF(AF144&gt;0.7,"High",IF(AF144&gt;0.3,"Moderate",IF(AF144&gt;0.15,"Low","No Impact")))</f>
        <v/>
      </c>
    </row>
    <row r="145">
      <c r="A145" t="n">
        <v>208425</v>
      </c>
      <c r="B145" t="inlineStr">
        <is>
          <t>BD208425</t>
        </is>
      </c>
      <c r="C145" t="inlineStr">
        <is>
          <t>Rangamati</t>
        </is>
      </c>
      <c r="D145" t="inlineStr">
        <is>
          <t>Kawkhali (Betbunia)</t>
        </is>
      </c>
      <c r="E145" s="3" t="n">
        <v>6.3</v>
      </c>
      <c r="F145" s="4">
        <f>(E145-$AJ$5)/$AK$5</f>
        <v/>
      </c>
      <c r="G145" t="n">
        <v>57.6040428</v>
      </c>
      <c r="H145">
        <f>(G145-$AJ$6)/$AK$6</f>
        <v/>
      </c>
      <c r="I145" t="n">
        <v>0.2999999999999999</v>
      </c>
      <c r="J145" s="4">
        <f>(I145-$AJ$7)/$AK$7</f>
        <v/>
      </c>
      <c r="K145" t="n">
        <v>0</v>
      </c>
      <c r="L145" s="4">
        <f>(K145-$AJ$8)/$AK$8</f>
        <v/>
      </c>
      <c r="M145" t="n">
        <v>5340</v>
      </c>
      <c r="N145">
        <f>(M145-$AJ$9)/$AK$9</f>
        <v/>
      </c>
      <c r="O145" t="n">
        <v>0.651338714</v>
      </c>
      <c r="P145">
        <f>(O145-$AJ$11)/$AK$11</f>
        <v/>
      </c>
      <c r="Q145" t="n">
        <v>0.3577</v>
      </c>
      <c r="R145">
        <f>(Q145-$AJ$12)/$AK$12</f>
        <v/>
      </c>
      <c r="S145">
        <f>F145*(R145*0.5+P145*0.5)*(H145*0.35+J145*0.35+L145*0.3)</f>
        <v/>
      </c>
      <c r="T145" s="14">
        <f>(S145-$AJ$10)/$AK$10</f>
        <v/>
      </c>
      <c r="U145">
        <f>IF(T145&gt;0.7,"High",IF(T145&gt;0.3,"Moderate",IF(T145&gt;0.15,"Low","No Impact")))</f>
        <v/>
      </c>
      <c r="V145">
        <f>F145*(R145*1)*(H145*0.35+J145*0.35+L145*0.3)</f>
        <v/>
      </c>
      <c r="W145">
        <f>(V145-$AJ$13)/$AK$13</f>
        <v/>
      </c>
      <c r="X145">
        <f>IF(W145&gt;0.7,"High",IF(W145&gt;0.3,"Moderate",IF(W145&gt;0.15,"Low","No Impact")))</f>
        <v/>
      </c>
      <c r="Y145">
        <f>F145*(P145*1)*(H145*0.35+J145*0.35+L145*0.3)</f>
        <v/>
      </c>
      <c r="Z145">
        <f>(Y145-$AJ$14)/$AK$14</f>
        <v/>
      </c>
      <c r="AA145">
        <f>IF(Z145&gt;0.7,"High",IF(Z145&gt;0.3,"Moderate",IF(Z145&gt;0.15,"Low","No Impact")))</f>
        <v/>
      </c>
      <c r="AB145">
        <f>F145*(R145*0.35+P145*0.3+N145*0.35)*(H145*0.35+J145*0.35+L145*0.3)</f>
        <v/>
      </c>
      <c r="AC145">
        <f>(AB145-$AJ$15)/$AK$15</f>
        <v/>
      </c>
      <c r="AD145">
        <f>IF(AC145&gt;0.7,"High",IF(AC145&gt;0.3,"Moderate",IF(AC145&gt;0.15,"Low","No Impact")))</f>
        <v/>
      </c>
      <c r="AE145">
        <f>F145*(N145*1)*(H145*0.35+J145*0.35+L145*0.3)</f>
        <v/>
      </c>
      <c r="AF145">
        <f>(AE145-$AJ$16)/$AK$16</f>
        <v/>
      </c>
      <c r="AG145">
        <f>IF(AF145&gt;0.7,"High",IF(AF145&gt;0.3,"Moderate",IF(AF145&gt;0.15,"Low","No Impact")))</f>
        <v/>
      </c>
    </row>
    <row r="146">
      <c r="A146" t="n">
        <v>208429</v>
      </c>
      <c r="B146" t="inlineStr">
        <is>
          <t>BD208429</t>
        </is>
      </c>
      <c r="C146" t="inlineStr">
        <is>
          <t>Rangamati</t>
        </is>
      </c>
      <c r="D146" t="inlineStr">
        <is>
          <t>Belai Chhari</t>
        </is>
      </c>
      <c r="E146" s="3" t="n">
        <v>6.2</v>
      </c>
      <c r="F146" s="4">
        <f>(E146-$AJ$5)/$AK$5</f>
        <v/>
      </c>
      <c r="G146" t="n">
        <v>78.901704</v>
      </c>
      <c r="H146">
        <f>(G146-$AJ$6)/$AK$6</f>
        <v/>
      </c>
      <c r="I146" t="n">
        <v>0.1000000000000003</v>
      </c>
      <c r="J146" s="4">
        <f>(I146-$AJ$7)/$AK$7</f>
        <v/>
      </c>
      <c r="K146" t="n">
        <v>0</v>
      </c>
      <c r="L146" s="4">
        <f>(K146-$AJ$8)/$AK$8</f>
        <v/>
      </c>
      <c r="M146" t="n">
        <v>952</v>
      </c>
      <c r="N146">
        <f>(M146-$AJ$9)/$AK$9</f>
        <v/>
      </c>
      <c r="O146" t="n">
        <v>0.379602159</v>
      </c>
      <c r="P146">
        <f>(O146-$AJ$11)/$AK$11</f>
        <v/>
      </c>
      <c r="Q146" t="n">
        <v>0.3659</v>
      </c>
      <c r="R146">
        <f>(Q146-$AJ$12)/$AK$12</f>
        <v/>
      </c>
      <c r="S146">
        <f>F146*(R146*0.5+P146*0.5)*(H146*0.35+J146*0.35+L146*0.3)</f>
        <v/>
      </c>
      <c r="T146" s="14">
        <f>(S146-$AJ$10)/$AK$10</f>
        <v/>
      </c>
      <c r="U146">
        <f>IF(T146&gt;0.7,"High",IF(T146&gt;0.3,"Moderate",IF(T146&gt;0.15,"Low","No Impact")))</f>
        <v/>
      </c>
      <c r="V146">
        <f>F146*(R146*1)*(H146*0.35+J146*0.35+L146*0.3)</f>
        <v/>
      </c>
      <c r="W146">
        <f>(V146-$AJ$13)/$AK$13</f>
        <v/>
      </c>
      <c r="X146">
        <f>IF(W146&gt;0.7,"High",IF(W146&gt;0.3,"Moderate",IF(W146&gt;0.15,"Low","No Impact")))</f>
        <v/>
      </c>
      <c r="Y146">
        <f>F146*(P146*1)*(H146*0.35+J146*0.35+L146*0.3)</f>
        <v/>
      </c>
      <c r="Z146">
        <f>(Y146-$AJ$14)/$AK$14</f>
        <v/>
      </c>
      <c r="AA146">
        <f>IF(Z146&gt;0.7,"High",IF(Z146&gt;0.3,"Moderate",IF(Z146&gt;0.15,"Low","No Impact")))</f>
        <v/>
      </c>
      <c r="AB146">
        <f>F146*(R146*0.35+P146*0.3+N146*0.35)*(H146*0.35+J146*0.35+L146*0.3)</f>
        <v/>
      </c>
      <c r="AC146">
        <f>(AB146-$AJ$15)/$AK$15</f>
        <v/>
      </c>
      <c r="AD146">
        <f>IF(AC146&gt;0.7,"High",IF(AC146&gt;0.3,"Moderate",IF(AC146&gt;0.15,"Low","No Impact")))</f>
        <v/>
      </c>
      <c r="AE146">
        <f>F146*(N146*1)*(H146*0.35+J146*0.35+L146*0.3)</f>
        <v/>
      </c>
      <c r="AF146">
        <f>(AE146-$AJ$16)/$AK$16</f>
        <v/>
      </c>
      <c r="AG146">
        <f>IF(AF146&gt;0.7,"High",IF(AF146&gt;0.3,"Moderate",IF(AF146&gt;0.15,"Low","No Impact")))</f>
        <v/>
      </c>
    </row>
    <row r="147">
      <c r="A147" t="n">
        <v>208436</v>
      </c>
      <c r="B147" t="inlineStr">
        <is>
          <t>BD208436</t>
        </is>
      </c>
      <c r="C147" t="inlineStr">
        <is>
          <t>Rangamati</t>
        </is>
      </c>
      <c r="D147" t="inlineStr">
        <is>
          <t>Kaptai</t>
        </is>
      </c>
      <c r="E147" s="3" t="n">
        <v>6.2</v>
      </c>
      <c r="F147" s="4">
        <f>(E147-$AJ$5)/$AK$5</f>
        <v/>
      </c>
      <c r="G147" t="n">
        <v>60.3340164</v>
      </c>
      <c r="H147">
        <f>(G147-$AJ$6)/$AK$6</f>
        <v/>
      </c>
      <c r="I147" t="n">
        <v>0.1999999999999997</v>
      </c>
      <c r="J147" s="4">
        <f>(I147-$AJ$7)/$AK$7</f>
        <v/>
      </c>
      <c r="K147" t="n">
        <v>0</v>
      </c>
      <c r="L147" s="4">
        <f>(K147-$AJ$8)/$AK$8</f>
        <v/>
      </c>
      <c r="M147" t="n">
        <v>8318</v>
      </c>
      <c r="N147">
        <f>(M147-$AJ$9)/$AK$9</f>
        <v/>
      </c>
      <c r="O147" t="n">
        <v>0.182054048</v>
      </c>
      <c r="P147">
        <f>(O147-$AJ$11)/$AK$11</f>
        <v/>
      </c>
      <c r="Q147" t="n">
        <v>0.3535</v>
      </c>
      <c r="R147">
        <f>(Q147-$AJ$12)/$AK$12</f>
        <v/>
      </c>
      <c r="S147">
        <f>F147*(R147*0.5+P147*0.5)*(H147*0.35+J147*0.35+L147*0.3)</f>
        <v/>
      </c>
      <c r="T147" s="14">
        <f>(S147-$AJ$10)/$AK$10</f>
        <v/>
      </c>
      <c r="U147">
        <f>IF(T147&gt;0.7,"High",IF(T147&gt;0.3,"Moderate",IF(T147&gt;0.15,"Low","No Impact")))</f>
        <v/>
      </c>
      <c r="V147">
        <f>F147*(R147*1)*(H147*0.35+J147*0.35+L147*0.3)</f>
        <v/>
      </c>
      <c r="W147">
        <f>(V147-$AJ$13)/$AK$13</f>
        <v/>
      </c>
      <c r="X147">
        <f>IF(W147&gt;0.7,"High",IF(W147&gt;0.3,"Moderate",IF(W147&gt;0.15,"Low","No Impact")))</f>
        <v/>
      </c>
      <c r="Y147">
        <f>F147*(P147*1)*(H147*0.35+J147*0.35+L147*0.3)</f>
        <v/>
      </c>
      <c r="Z147">
        <f>(Y147-$AJ$14)/$AK$14</f>
        <v/>
      </c>
      <c r="AA147">
        <f>IF(Z147&gt;0.7,"High",IF(Z147&gt;0.3,"Moderate",IF(Z147&gt;0.15,"Low","No Impact")))</f>
        <v/>
      </c>
      <c r="AB147">
        <f>F147*(R147*0.35+P147*0.3+N147*0.35)*(H147*0.35+J147*0.35+L147*0.3)</f>
        <v/>
      </c>
      <c r="AC147">
        <f>(AB147-$AJ$15)/$AK$15</f>
        <v/>
      </c>
      <c r="AD147">
        <f>IF(AC147&gt;0.7,"High",IF(AC147&gt;0.3,"Moderate",IF(AC147&gt;0.15,"Low","No Impact")))</f>
        <v/>
      </c>
      <c r="AE147">
        <f>F147*(N147*1)*(H147*0.35+J147*0.35+L147*0.3)</f>
        <v/>
      </c>
      <c r="AF147">
        <f>(AE147-$AJ$16)/$AK$16</f>
        <v/>
      </c>
      <c r="AG147">
        <f>IF(AF147&gt;0.7,"High",IF(AF147&gt;0.3,"Moderate",IF(AF147&gt;0.15,"Low","No Impact")))</f>
        <v/>
      </c>
    </row>
    <row r="148">
      <c r="A148" t="n">
        <v>208447</v>
      </c>
      <c r="B148" t="inlineStr">
        <is>
          <t>BD208447</t>
        </is>
      </c>
      <c r="C148" t="inlineStr">
        <is>
          <t>Rangamati</t>
        </is>
      </c>
      <c r="D148" t="inlineStr">
        <is>
          <t>Jurai Chhari</t>
        </is>
      </c>
      <c r="E148" s="3" t="n">
        <v>5</v>
      </c>
      <c r="F148" s="4">
        <f>(E148-$AJ$5)/$AK$5</f>
        <v/>
      </c>
      <c r="G148" t="n">
        <v>59.7152664</v>
      </c>
      <c r="H148">
        <f>(G148-$AJ$6)/$AK$6</f>
        <v/>
      </c>
      <c r="I148" t="n">
        <v>0.09999999999999983</v>
      </c>
      <c r="J148" s="4">
        <f>(I148-$AJ$7)/$AK$7</f>
        <v/>
      </c>
      <c r="K148" t="n">
        <v>0</v>
      </c>
      <c r="L148" s="4">
        <f>(K148-$AJ$8)/$AK$8</f>
        <v/>
      </c>
      <c r="M148" t="n">
        <v>1297</v>
      </c>
      <c r="N148">
        <f>(M148-$AJ$9)/$AK$9</f>
        <v/>
      </c>
      <c r="O148" t="n">
        <v>0.176642807</v>
      </c>
      <c r="P148">
        <f>(O148-$AJ$11)/$AK$11</f>
        <v/>
      </c>
      <c r="Q148" t="n">
        <v>0.3638</v>
      </c>
      <c r="R148">
        <f>(Q148-$AJ$12)/$AK$12</f>
        <v/>
      </c>
      <c r="S148">
        <f>F148*(R148*0.5+P148*0.5)*(H148*0.35+J148*0.35+L148*0.3)</f>
        <v/>
      </c>
      <c r="T148" s="14">
        <f>(S148-$AJ$10)/$AK$10</f>
        <v/>
      </c>
      <c r="U148">
        <f>IF(T148&gt;0.7,"High",IF(T148&gt;0.3,"Moderate",IF(T148&gt;0.15,"Low","No Impact")))</f>
        <v/>
      </c>
      <c r="V148">
        <f>F148*(R148*1)*(H148*0.35+J148*0.35+L148*0.3)</f>
        <v/>
      </c>
      <c r="W148">
        <f>(V148-$AJ$13)/$AK$13</f>
        <v/>
      </c>
      <c r="X148">
        <f>IF(W148&gt;0.7,"High",IF(W148&gt;0.3,"Moderate",IF(W148&gt;0.15,"Low","No Impact")))</f>
        <v/>
      </c>
      <c r="Y148">
        <f>F148*(P148*1)*(H148*0.35+J148*0.35+L148*0.3)</f>
        <v/>
      </c>
      <c r="Z148">
        <f>(Y148-$AJ$14)/$AK$14</f>
        <v/>
      </c>
      <c r="AA148">
        <f>IF(Z148&gt;0.7,"High",IF(Z148&gt;0.3,"Moderate",IF(Z148&gt;0.15,"Low","No Impact")))</f>
        <v/>
      </c>
      <c r="AB148">
        <f>F148*(R148*0.35+P148*0.3+N148*0.35)*(H148*0.35+J148*0.35+L148*0.3)</f>
        <v/>
      </c>
      <c r="AC148">
        <f>(AB148-$AJ$15)/$AK$15</f>
        <v/>
      </c>
      <c r="AD148">
        <f>IF(AC148&gt;0.7,"High",IF(AC148&gt;0.3,"Moderate",IF(AC148&gt;0.15,"Low","No Impact")))</f>
        <v/>
      </c>
      <c r="AE148">
        <f>F148*(N148*1)*(H148*0.35+J148*0.35+L148*0.3)</f>
        <v/>
      </c>
      <c r="AF148">
        <f>(AE148-$AJ$16)/$AK$16</f>
        <v/>
      </c>
      <c r="AG148">
        <f>IF(AF148&gt;0.7,"High",IF(AF148&gt;0.3,"Moderate",IF(AF148&gt;0.15,"Low","No Impact")))</f>
        <v/>
      </c>
    </row>
    <row r="149">
      <c r="A149" t="n">
        <v>208458</v>
      </c>
      <c r="B149" t="inlineStr">
        <is>
          <t>BD208458</t>
        </is>
      </c>
      <c r="C149" t="inlineStr">
        <is>
          <t>Rangamati</t>
        </is>
      </c>
      <c r="D149" t="inlineStr">
        <is>
          <t>Langadu</t>
        </is>
      </c>
      <c r="E149" s="3" t="n">
        <v>6.3</v>
      </c>
      <c r="F149" s="4">
        <f>(E149-$AJ$5)/$AK$5</f>
        <v/>
      </c>
      <c r="G149" t="n">
        <v>52.6594068</v>
      </c>
      <c r="H149">
        <f>(G149-$AJ$6)/$AK$6</f>
        <v/>
      </c>
      <c r="I149" t="n">
        <v>0</v>
      </c>
      <c r="J149" s="4">
        <f>(I149-$AJ$7)/$AK$7</f>
        <v/>
      </c>
      <c r="K149" t="n">
        <v>0</v>
      </c>
      <c r="L149" s="4">
        <f>(K149-$AJ$8)/$AK$8</f>
        <v/>
      </c>
      <c r="M149" t="n">
        <v>5825</v>
      </c>
      <c r="N149">
        <f>(M149-$AJ$9)/$AK$9</f>
        <v/>
      </c>
      <c r="O149" t="n">
        <v>0.142101802</v>
      </c>
      <c r="P149">
        <f>(O149-$AJ$11)/$AK$11</f>
        <v/>
      </c>
      <c r="Q149" t="n">
        <v>0.3568</v>
      </c>
      <c r="R149">
        <f>(Q149-$AJ$12)/$AK$12</f>
        <v/>
      </c>
      <c r="S149">
        <f>F149*(R149*0.5+P149*0.5)*(H149*0.35+J149*0.35+L149*0.3)</f>
        <v/>
      </c>
      <c r="T149" s="14">
        <f>(S149-$AJ$10)/$AK$10</f>
        <v/>
      </c>
      <c r="U149">
        <f>IF(T149&gt;0.7,"High",IF(T149&gt;0.3,"Moderate",IF(T149&gt;0.15,"Low","No Impact")))</f>
        <v/>
      </c>
      <c r="V149">
        <f>F149*(R149*1)*(H149*0.35+J149*0.35+L149*0.3)</f>
        <v/>
      </c>
      <c r="W149">
        <f>(V149-$AJ$13)/$AK$13</f>
        <v/>
      </c>
      <c r="X149">
        <f>IF(W149&gt;0.7,"High",IF(W149&gt;0.3,"Moderate",IF(W149&gt;0.15,"Low","No Impact")))</f>
        <v/>
      </c>
      <c r="Y149">
        <f>F149*(P149*1)*(H149*0.35+J149*0.35+L149*0.3)</f>
        <v/>
      </c>
      <c r="Z149">
        <f>(Y149-$AJ$14)/$AK$14</f>
        <v/>
      </c>
      <c r="AA149">
        <f>IF(Z149&gt;0.7,"High",IF(Z149&gt;0.3,"Moderate",IF(Z149&gt;0.15,"Low","No Impact")))</f>
        <v/>
      </c>
      <c r="AB149">
        <f>F149*(R149*0.35+P149*0.3+N149*0.35)*(H149*0.35+J149*0.35+L149*0.3)</f>
        <v/>
      </c>
      <c r="AC149">
        <f>(AB149-$AJ$15)/$AK$15</f>
        <v/>
      </c>
      <c r="AD149">
        <f>IF(AC149&gt;0.7,"High",IF(AC149&gt;0.3,"Moderate",IF(AC149&gt;0.15,"Low","No Impact")))</f>
        <v/>
      </c>
      <c r="AE149">
        <f>F149*(N149*1)*(H149*0.35+J149*0.35+L149*0.3)</f>
        <v/>
      </c>
      <c r="AF149">
        <f>(AE149-$AJ$16)/$AK$16</f>
        <v/>
      </c>
      <c r="AG149">
        <f>IF(AF149&gt;0.7,"High",IF(AF149&gt;0.3,"Moderate",IF(AF149&gt;0.15,"Low","No Impact")))</f>
        <v/>
      </c>
    </row>
    <row r="150">
      <c r="A150" t="n">
        <v>208475</v>
      </c>
      <c r="B150" t="inlineStr">
        <is>
          <t>BD208475</t>
        </is>
      </c>
      <c r="C150" t="inlineStr">
        <is>
          <t>Rangamati</t>
        </is>
      </c>
      <c r="D150" t="inlineStr">
        <is>
          <t>Naniarchar</t>
        </is>
      </c>
      <c r="E150" s="3" t="n">
        <v>6.2</v>
      </c>
      <c r="F150" s="4">
        <f>(E150-$AJ$5)/$AK$5</f>
        <v/>
      </c>
      <c r="G150" t="n">
        <v>57.5215164</v>
      </c>
      <c r="H150">
        <f>(G150-$AJ$6)/$AK$6</f>
        <v/>
      </c>
      <c r="I150" t="n">
        <v>0</v>
      </c>
      <c r="J150" s="4">
        <f>(I150-$AJ$7)/$AK$7</f>
        <v/>
      </c>
      <c r="K150" t="n">
        <v>0</v>
      </c>
      <c r="L150" s="4">
        <f>(K150-$AJ$8)/$AK$8</f>
        <v/>
      </c>
      <c r="M150" t="n">
        <v>3524</v>
      </c>
      <c r="N150">
        <f>(M150-$AJ$9)/$AK$9</f>
        <v/>
      </c>
      <c r="O150" t="n">
        <v>0.175694649</v>
      </c>
      <c r="P150">
        <f>(O150-$AJ$11)/$AK$11</f>
        <v/>
      </c>
      <c r="Q150" t="n">
        <v>0.3686</v>
      </c>
      <c r="R150">
        <f>(Q150-$AJ$12)/$AK$12</f>
        <v/>
      </c>
      <c r="S150">
        <f>F150*(R150*0.5+P150*0.5)*(H150*0.35+J150*0.35+L150*0.3)</f>
        <v/>
      </c>
      <c r="T150" s="14">
        <f>(S150-$AJ$10)/$AK$10</f>
        <v/>
      </c>
      <c r="U150">
        <f>IF(T150&gt;0.7,"High",IF(T150&gt;0.3,"Moderate",IF(T150&gt;0.15,"Low","No Impact")))</f>
        <v/>
      </c>
      <c r="V150">
        <f>F150*(R150*1)*(H150*0.35+J150*0.35+L150*0.3)</f>
        <v/>
      </c>
      <c r="W150">
        <f>(V150-$AJ$13)/$AK$13</f>
        <v/>
      </c>
      <c r="X150">
        <f>IF(W150&gt;0.7,"High",IF(W150&gt;0.3,"Moderate",IF(W150&gt;0.15,"Low","No Impact")))</f>
        <v/>
      </c>
      <c r="Y150">
        <f>F150*(P150*1)*(H150*0.35+J150*0.35+L150*0.3)</f>
        <v/>
      </c>
      <c r="Z150">
        <f>(Y150-$AJ$14)/$AK$14</f>
        <v/>
      </c>
      <c r="AA150">
        <f>IF(Z150&gt;0.7,"High",IF(Z150&gt;0.3,"Moderate",IF(Z150&gt;0.15,"Low","No Impact")))</f>
        <v/>
      </c>
      <c r="AB150">
        <f>F150*(R150*0.35+P150*0.3+N150*0.35)*(H150*0.35+J150*0.35+L150*0.3)</f>
        <v/>
      </c>
      <c r="AC150">
        <f>(AB150-$AJ$15)/$AK$15</f>
        <v/>
      </c>
      <c r="AD150">
        <f>IF(AC150&gt;0.7,"High",IF(AC150&gt;0.3,"Moderate",IF(AC150&gt;0.15,"Low","No Impact")))</f>
        <v/>
      </c>
      <c r="AE150">
        <f>F150*(N150*1)*(H150*0.35+J150*0.35+L150*0.3)</f>
        <v/>
      </c>
      <c r="AF150">
        <f>(AE150-$AJ$16)/$AK$16</f>
        <v/>
      </c>
      <c r="AG150">
        <f>IF(AF150&gt;0.7,"High",IF(AF150&gt;0.3,"Moderate",IF(AF150&gt;0.15,"Low","No Impact")))</f>
        <v/>
      </c>
    </row>
    <row r="151">
      <c r="A151" t="n">
        <v>208478</v>
      </c>
      <c r="B151" t="inlineStr">
        <is>
          <t>BD208478</t>
        </is>
      </c>
      <c r="C151" t="inlineStr">
        <is>
          <t>Rangamati</t>
        </is>
      </c>
      <c r="D151" t="inlineStr">
        <is>
          <t>Rajasthali</t>
        </is>
      </c>
      <c r="E151" s="3" t="n">
        <v>6.3</v>
      </c>
      <c r="F151" s="4">
        <f>(E151-$AJ$5)/$AK$5</f>
        <v/>
      </c>
      <c r="G151" t="n">
        <v>63.615762</v>
      </c>
      <c r="H151">
        <f>(G151-$AJ$6)/$AK$6</f>
        <v/>
      </c>
      <c r="I151" t="n">
        <v>0.4000000000000002</v>
      </c>
      <c r="J151" s="4">
        <f>(I151-$AJ$7)/$AK$7</f>
        <v/>
      </c>
      <c r="K151" t="n">
        <v>0</v>
      </c>
      <c r="L151" s="4">
        <f>(K151-$AJ$8)/$AK$8</f>
        <v/>
      </c>
      <c r="M151" t="n">
        <v>5481</v>
      </c>
      <c r="N151">
        <f>(M151-$AJ$9)/$AK$9</f>
        <v/>
      </c>
      <c r="O151" t="n">
        <v>0.563424369</v>
      </c>
      <c r="P151">
        <f>(O151-$AJ$11)/$AK$11</f>
        <v/>
      </c>
      <c r="Q151" t="n">
        <v>0.3397</v>
      </c>
      <c r="R151">
        <f>(Q151-$AJ$12)/$AK$12</f>
        <v/>
      </c>
      <c r="S151">
        <f>F151*(R151*0.5+P151*0.5)*(H151*0.35+J151*0.35+L151*0.3)</f>
        <v/>
      </c>
      <c r="T151" s="14">
        <f>(S151-$AJ$10)/$AK$10</f>
        <v/>
      </c>
      <c r="U151">
        <f>IF(T151&gt;0.7,"High",IF(T151&gt;0.3,"Moderate",IF(T151&gt;0.15,"Low","No Impact")))</f>
        <v/>
      </c>
      <c r="V151">
        <f>F151*(R151*1)*(H151*0.35+J151*0.35+L151*0.3)</f>
        <v/>
      </c>
      <c r="W151">
        <f>(V151-$AJ$13)/$AK$13</f>
        <v/>
      </c>
      <c r="X151">
        <f>IF(W151&gt;0.7,"High",IF(W151&gt;0.3,"Moderate",IF(W151&gt;0.15,"Low","No Impact")))</f>
        <v/>
      </c>
      <c r="Y151">
        <f>F151*(P151*1)*(H151*0.35+J151*0.35+L151*0.3)</f>
        <v/>
      </c>
      <c r="Z151">
        <f>(Y151-$AJ$14)/$AK$14</f>
        <v/>
      </c>
      <c r="AA151">
        <f>IF(Z151&gt;0.7,"High",IF(Z151&gt;0.3,"Moderate",IF(Z151&gt;0.15,"Low","No Impact")))</f>
        <v/>
      </c>
      <c r="AB151">
        <f>F151*(R151*0.35+P151*0.3+N151*0.35)*(H151*0.35+J151*0.35+L151*0.3)</f>
        <v/>
      </c>
      <c r="AC151">
        <f>(AB151-$AJ$15)/$AK$15</f>
        <v/>
      </c>
      <c r="AD151">
        <f>IF(AC151&gt;0.7,"High",IF(AC151&gt;0.3,"Moderate",IF(AC151&gt;0.15,"Low","No Impact")))</f>
        <v/>
      </c>
      <c r="AE151">
        <f>F151*(N151*1)*(H151*0.35+J151*0.35+L151*0.3)</f>
        <v/>
      </c>
      <c r="AF151">
        <f>(AE151-$AJ$16)/$AK$16</f>
        <v/>
      </c>
      <c r="AG151">
        <f>IF(AF151&gt;0.7,"High",IF(AF151&gt;0.3,"Moderate",IF(AF151&gt;0.15,"Low","No Impact")))</f>
        <v/>
      </c>
    </row>
    <row r="152">
      <c r="A152" t="n">
        <v>208487</v>
      </c>
      <c r="B152" t="inlineStr">
        <is>
          <t>BD208487</t>
        </is>
      </c>
      <c r="C152" t="inlineStr">
        <is>
          <t>Rangamati</t>
        </is>
      </c>
      <c r="D152" t="inlineStr">
        <is>
          <t>Rangamati Sadar</t>
        </is>
      </c>
      <c r="E152" s="3" t="n">
        <v>6.2</v>
      </c>
      <c r="F152" s="4">
        <f>(E152-$AJ$5)/$AK$5</f>
        <v/>
      </c>
      <c r="G152" t="n">
        <v>59.7152664</v>
      </c>
      <c r="H152">
        <f>(G152-$AJ$6)/$AK$6</f>
        <v/>
      </c>
      <c r="I152" t="n">
        <v>0.1999999999999997</v>
      </c>
      <c r="J152" s="4">
        <f>(I152-$AJ$7)/$AK$7</f>
        <v/>
      </c>
      <c r="K152" t="n">
        <v>0</v>
      </c>
      <c r="L152" s="4">
        <f>(K152-$AJ$8)/$AK$8</f>
        <v/>
      </c>
      <c r="M152" t="n">
        <v>13916</v>
      </c>
      <c r="N152">
        <f>(M152-$AJ$9)/$AK$9</f>
        <v/>
      </c>
      <c r="O152" t="n">
        <v>0.387586175</v>
      </c>
      <c r="P152">
        <f>(O152-$AJ$11)/$AK$11</f>
        <v/>
      </c>
      <c r="Q152" t="n">
        <v>0.3622</v>
      </c>
      <c r="R152">
        <f>(Q152-$AJ$12)/$AK$12</f>
        <v/>
      </c>
      <c r="S152">
        <f>F152*(R152*0.5+P152*0.5)*(H152*0.35+J152*0.35+L152*0.3)</f>
        <v/>
      </c>
      <c r="T152" s="14">
        <f>(S152-$AJ$10)/$AK$10</f>
        <v/>
      </c>
      <c r="U152">
        <f>IF(T152&gt;0.7,"High",IF(T152&gt;0.3,"Moderate",IF(T152&gt;0.15,"Low","No Impact")))</f>
        <v/>
      </c>
      <c r="V152">
        <f>F152*(R152*1)*(H152*0.35+J152*0.35+L152*0.3)</f>
        <v/>
      </c>
      <c r="W152">
        <f>(V152-$AJ$13)/$AK$13</f>
        <v/>
      </c>
      <c r="X152">
        <f>IF(W152&gt;0.7,"High",IF(W152&gt;0.3,"Moderate",IF(W152&gt;0.15,"Low","No Impact")))</f>
        <v/>
      </c>
      <c r="Y152">
        <f>F152*(P152*1)*(H152*0.35+J152*0.35+L152*0.3)</f>
        <v/>
      </c>
      <c r="Z152">
        <f>(Y152-$AJ$14)/$AK$14</f>
        <v/>
      </c>
      <c r="AA152">
        <f>IF(Z152&gt;0.7,"High",IF(Z152&gt;0.3,"Moderate",IF(Z152&gt;0.15,"Low","No Impact")))</f>
        <v/>
      </c>
      <c r="AB152">
        <f>F152*(R152*0.35+P152*0.3+N152*0.35)*(H152*0.35+J152*0.35+L152*0.3)</f>
        <v/>
      </c>
      <c r="AC152">
        <f>(AB152-$AJ$15)/$AK$15</f>
        <v/>
      </c>
      <c r="AD152">
        <f>IF(AC152&gt;0.7,"High",IF(AC152&gt;0.3,"Moderate",IF(AC152&gt;0.15,"Low","No Impact")))</f>
        <v/>
      </c>
      <c r="AE152">
        <f>F152*(N152*1)*(H152*0.35+J152*0.35+L152*0.3)</f>
        <v/>
      </c>
      <c r="AF152">
        <f>(AE152-$AJ$16)/$AK$16</f>
        <v/>
      </c>
      <c r="AG152">
        <f>IF(AF152&gt;0.7,"High",IF(AF152&gt;0.3,"Moderate",IF(AF152&gt;0.15,"Low","No Impact")))</f>
        <v/>
      </c>
    </row>
    <row r="153">
      <c r="A153" t="n">
        <v>302602</v>
      </c>
      <c r="B153" t="inlineStr">
        <is>
          <t>BD302602</t>
        </is>
      </c>
      <c r="C153" t="inlineStr">
        <is>
          <t>Dhaka</t>
        </is>
      </c>
      <c r="D153" t="inlineStr">
        <is>
          <t>Adabor</t>
        </is>
      </c>
      <c r="E153" s="3" t="n">
        <v>5.8</v>
      </c>
      <c r="F153" s="4">
        <f>(E153-$AJ$5)/$AK$5</f>
        <v/>
      </c>
      <c r="G153" t="n">
        <v>67.08239639999999</v>
      </c>
      <c r="H153">
        <f>(G153-$AJ$6)/$AK$6</f>
        <v/>
      </c>
      <c r="I153" t="n">
        <v>7.800000000000002</v>
      </c>
      <c r="J153" s="4">
        <f>(I153-$AJ$7)/$AK$7</f>
        <v/>
      </c>
      <c r="K153" t="n">
        <v>0</v>
      </c>
      <c r="L153" s="4">
        <f>(K153-$AJ$8)/$AK$8</f>
        <v/>
      </c>
      <c r="M153" t="n">
        <v>1837</v>
      </c>
      <c r="N153">
        <f>(M153-$AJ$9)/$AK$9</f>
        <v/>
      </c>
      <c r="O153" t="n">
        <v>0.13183542</v>
      </c>
      <c r="P153">
        <f>(O153-$AJ$11)/$AK$11</f>
        <v/>
      </c>
      <c r="Q153" t="n">
        <v>0.06</v>
      </c>
      <c r="R153">
        <f>(Q153-$AJ$12)/$AK$12</f>
        <v/>
      </c>
      <c r="S153">
        <f>F153*(R153*0.5+P153*0.5)*(H153*0.35+J153*0.35+L153*0.3)</f>
        <v/>
      </c>
      <c r="T153" s="14">
        <f>(S153-$AJ$10)/$AK$10</f>
        <v/>
      </c>
      <c r="U153">
        <f>IF(T153&gt;0.7,"High",IF(T153&gt;0.3,"Moderate",IF(T153&gt;0.15,"Low","No Impact")))</f>
        <v/>
      </c>
      <c r="V153">
        <f>F153*(R153*1)*(H153*0.35+J153*0.35+L153*0.3)</f>
        <v/>
      </c>
      <c r="W153">
        <f>(V153-$AJ$13)/$AK$13</f>
        <v/>
      </c>
      <c r="X153">
        <f>IF(W153&gt;0.7,"High",IF(W153&gt;0.3,"Moderate",IF(W153&gt;0.15,"Low","No Impact")))</f>
        <v/>
      </c>
      <c r="Y153">
        <f>F153*(P153*1)*(H153*0.35+J153*0.35+L153*0.3)</f>
        <v/>
      </c>
      <c r="Z153">
        <f>(Y153-$AJ$14)/$AK$14</f>
        <v/>
      </c>
      <c r="AA153">
        <f>IF(Z153&gt;0.7,"High",IF(Z153&gt;0.3,"Moderate",IF(Z153&gt;0.15,"Low","No Impact")))</f>
        <v/>
      </c>
      <c r="AB153">
        <f>F153*(R153*0.35+P153*0.3+N153*0.35)*(H153*0.35+J153*0.35+L153*0.3)</f>
        <v/>
      </c>
      <c r="AC153">
        <f>(AB153-$AJ$15)/$AK$15</f>
        <v/>
      </c>
      <c r="AD153">
        <f>IF(AC153&gt;0.7,"High",IF(AC153&gt;0.3,"Moderate",IF(AC153&gt;0.15,"Low","No Impact")))</f>
        <v/>
      </c>
      <c r="AE153">
        <f>F153*(N153*1)*(H153*0.35+J153*0.35+L153*0.3)</f>
        <v/>
      </c>
      <c r="AF153">
        <f>(AE153-$AJ$16)/$AK$16</f>
        <v/>
      </c>
      <c r="AG153">
        <f>IF(AF153&gt;0.7,"High",IF(AF153&gt;0.3,"Moderate",IF(AF153&gt;0.15,"Low","No Impact")))</f>
        <v/>
      </c>
    </row>
    <row r="154">
      <c r="A154" t="n">
        <v>302604</v>
      </c>
      <c r="B154" t="inlineStr">
        <is>
          <t>BD302604</t>
        </is>
      </c>
      <c r="C154" t="inlineStr">
        <is>
          <t>Dhaka</t>
        </is>
      </c>
      <c r="D154" t="inlineStr">
        <is>
          <t>Badda</t>
        </is>
      </c>
      <c r="E154" s="3" t="n">
        <v>5.8</v>
      </c>
      <c r="F154" s="4">
        <f>(E154-$AJ$5)/$AK$5</f>
        <v/>
      </c>
      <c r="G154" t="n">
        <v>62.5226292</v>
      </c>
      <c r="H154">
        <f>(G154-$AJ$6)/$AK$6</f>
        <v/>
      </c>
      <c r="I154" t="n">
        <v>5.5</v>
      </c>
      <c r="J154" s="4">
        <f>(I154-$AJ$7)/$AK$7</f>
        <v/>
      </c>
      <c r="K154" t="n">
        <v>0</v>
      </c>
      <c r="L154" s="4">
        <f>(K154-$AJ$8)/$AK$8</f>
        <v/>
      </c>
      <c r="M154" t="n">
        <v>22100</v>
      </c>
      <c r="N154">
        <f>(M154-$AJ$9)/$AK$9</f>
        <v/>
      </c>
      <c r="O154" t="n">
        <v>0.423107736</v>
      </c>
      <c r="P154">
        <f>(O154-$AJ$11)/$AK$11</f>
        <v/>
      </c>
      <c r="Q154" t="n">
        <v>0.1543</v>
      </c>
      <c r="R154">
        <f>(Q154-$AJ$12)/$AK$12</f>
        <v/>
      </c>
      <c r="S154">
        <f>F154*(R154*0.5+P154*0.5)*(H154*0.35+J154*0.35+L154*0.3)</f>
        <v/>
      </c>
      <c r="T154" s="14">
        <f>(S154-$AJ$10)/$AK$10</f>
        <v/>
      </c>
      <c r="U154">
        <f>IF(T154&gt;0.7,"High",IF(T154&gt;0.3,"Moderate",IF(T154&gt;0.15,"Low","No Impact")))</f>
        <v/>
      </c>
      <c r="V154">
        <f>F154*(R154*1)*(H154*0.35+J154*0.35+L154*0.3)</f>
        <v/>
      </c>
      <c r="W154">
        <f>(V154-$AJ$13)/$AK$13</f>
        <v/>
      </c>
      <c r="X154">
        <f>IF(W154&gt;0.7,"High",IF(W154&gt;0.3,"Moderate",IF(W154&gt;0.15,"Low","No Impact")))</f>
        <v/>
      </c>
      <c r="Y154">
        <f>F154*(P154*1)*(H154*0.35+J154*0.35+L154*0.3)</f>
        <v/>
      </c>
      <c r="Z154">
        <f>(Y154-$AJ$14)/$AK$14</f>
        <v/>
      </c>
      <c r="AA154">
        <f>IF(Z154&gt;0.7,"High",IF(Z154&gt;0.3,"Moderate",IF(Z154&gt;0.15,"Low","No Impact")))</f>
        <v/>
      </c>
      <c r="AB154">
        <f>F154*(R154*0.35+P154*0.3+N154*0.35)*(H154*0.35+J154*0.35+L154*0.3)</f>
        <v/>
      </c>
      <c r="AC154">
        <f>(AB154-$AJ$15)/$AK$15</f>
        <v/>
      </c>
      <c r="AD154">
        <f>IF(AC154&gt;0.7,"High",IF(AC154&gt;0.3,"Moderate",IF(AC154&gt;0.15,"Low","No Impact")))</f>
        <v/>
      </c>
      <c r="AE154">
        <f>F154*(N154*1)*(H154*0.35+J154*0.35+L154*0.3)</f>
        <v/>
      </c>
      <c r="AF154">
        <f>(AE154-$AJ$16)/$AK$16</f>
        <v/>
      </c>
      <c r="AG154">
        <f>IF(AF154&gt;0.7,"High",IF(AF154&gt;0.3,"Moderate",IF(AF154&gt;0.15,"Low","No Impact")))</f>
        <v/>
      </c>
    </row>
    <row r="155">
      <c r="A155" t="n">
        <v>302605</v>
      </c>
      <c r="B155" t="inlineStr">
        <is>
          <t>BD302605</t>
        </is>
      </c>
      <c r="C155" t="inlineStr">
        <is>
          <t>Dhaka</t>
        </is>
      </c>
      <c r="D155" t="inlineStr">
        <is>
          <t>Bangshal</t>
        </is>
      </c>
      <c r="E155" s="3" t="n">
        <v>5.8</v>
      </c>
      <c r="F155" s="4">
        <f>(E155-$AJ$5)/$AK$5</f>
        <v/>
      </c>
      <c r="G155" t="n">
        <v>62.5226292</v>
      </c>
      <c r="H155">
        <f>(G155-$AJ$6)/$AK$6</f>
        <v/>
      </c>
      <c r="I155" t="n">
        <v>5.5</v>
      </c>
      <c r="J155" s="4">
        <f>(I155-$AJ$7)/$AK$7</f>
        <v/>
      </c>
      <c r="K155" t="n">
        <v>0</v>
      </c>
      <c r="L155" s="4">
        <f>(K155-$AJ$8)/$AK$8</f>
        <v/>
      </c>
      <c r="M155" t="n">
        <v>763</v>
      </c>
      <c r="N155">
        <f>(M155-$AJ$9)/$AK$9</f>
        <v/>
      </c>
      <c r="O155" t="n">
        <v>0.7094556359999999</v>
      </c>
      <c r="P155">
        <f>(O155-$AJ$11)/$AK$11</f>
        <v/>
      </c>
      <c r="Q155" t="n">
        <v>0.06</v>
      </c>
      <c r="R155">
        <f>(Q155-$AJ$12)/$AK$12</f>
        <v/>
      </c>
      <c r="S155">
        <f>F155*(R155*0.5+P155*0.5)*(H155*0.35+J155*0.35+L155*0.3)</f>
        <v/>
      </c>
      <c r="T155" s="14">
        <f>(S155-$AJ$10)/$AK$10</f>
        <v/>
      </c>
      <c r="U155">
        <f>IF(T155&gt;0.7,"High",IF(T155&gt;0.3,"Moderate",IF(T155&gt;0.15,"Low","No Impact")))</f>
        <v/>
      </c>
      <c r="V155">
        <f>F155*(R155*1)*(H155*0.35+J155*0.35+L155*0.3)</f>
        <v/>
      </c>
      <c r="W155">
        <f>(V155-$AJ$13)/$AK$13</f>
        <v/>
      </c>
      <c r="X155">
        <f>IF(W155&gt;0.7,"High",IF(W155&gt;0.3,"Moderate",IF(W155&gt;0.15,"Low","No Impact")))</f>
        <v/>
      </c>
      <c r="Y155">
        <f>F155*(P155*1)*(H155*0.35+J155*0.35+L155*0.3)</f>
        <v/>
      </c>
      <c r="Z155">
        <f>(Y155-$AJ$14)/$AK$14</f>
        <v/>
      </c>
      <c r="AA155">
        <f>IF(Z155&gt;0.7,"High",IF(Z155&gt;0.3,"Moderate",IF(Z155&gt;0.15,"Low","No Impact")))</f>
        <v/>
      </c>
      <c r="AB155">
        <f>F155*(R155*0.35+P155*0.3+N155*0.35)*(H155*0.35+J155*0.35+L155*0.3)</f>
        <v/>
      </c>
      <c r="AC155">
        <f>(AB155-$AJ$15)/$AK$15</f>
        <v/>
      </c>
      <c r="AD155">
        <f>IF(AC155&gt;0.7,"High",IF(AC155&gt;0.3,"Moderate",IF(AC155&gt;0.15,"Low","No Impact")))</f>
        <v/>
      </c>
      <c r="AE155">
        <f>F155*(N155*1)*(H155*0.35+J155*0.35+L155*0.3)</f>
        <v/>
      </c>
      <c r="AF155">
        <f>(AE155-$AJ$16)/$AK$16</f>
        <v/>
      </c>
      <c r="AG155">
        <f>IF(AF155&gt;0.7,"High",IF(AF155&gt;0.3,"Moderate",IF(AF155&gt;0.15,"Low","No Impact")))</f>
        <v/>
      </c>
    </row>
    <row r="156">
      <c r="A156" t="n">
        <v>302606</v>
      </c>
      <c r="B156" t="inlineStr">
        <is>
          <t>BD302606</t>
        </is>
      </c>
      <c r="C156" t="inlineStr">
        <is>
          <t>Dhaka</t>
        </is>
      </c>
      <c r="D156" t="inlineStr">
        <is>
          <t>Biman Bandar</t>
        </is>
      </c>
      <c r="E156" s="3" t="n">
        <v>5.8</v>
      </c>
      <c r="F156" s="4">
        <f>(E156-$AJ$5)/$AK$5</f>
        <v/>
      </c>
      <c r="G156" t="n">
        <v>62.5226292</v>
      </c>
      <c r="H156">
        <f>(G156-$AJ$6)/$AK$6</f>
        <v/>
      </c>
      <c r="I156" t="n">
        <v>5.5</v>
      </c>
      <c r="J156" s="4">
        <f>(I156-$AJ$7)/$AK$7</f>
        <v/>
      </c>
      <c r="K156" t="n">
        <v>0</v>
      </c>
      <c r="L156" s="4">
        <f>(K156-$AJ$8)/$AK$8</f>
        <v/>
      </c>
      <c r="M156" t="n">
        <v>2282</v>
      </c>
      <c r="N156">
        <f>(M156-$AJ$9)/$AK$9</f>
        <v/>
      </c>
      <c r="O156" t="n">
        <v>0.549415064</v>
      </c>
      <c r="P156">
        <f>(O156-$AJ$11)/$AK$11</f>
        <v/>
      </c>
      <c r="Q156" t="n">
        <v>0.1777</v>
      </c>
      <c r="R156">
        <f>(Q156-$AJ$12)/$AK$12</f>
        <v/>
      </c>
      <c r="S156">
        <f>F156*(R156*0.5+P156*0.5)*(H156*0.35+J156*0.35+L156*0.3)</f>
        <v/>
      </c>
      <c r="T156" s="14">
        <f>(S156-$AJ$10)/$AK$10</f>
        <v/>
      </c>
      <c r="U156">
        <f>IF(T156&gt;0.7,"High",IF(T156&gt;0.3,"Moderate",IF(T156&gt;0.15,"Low","No Impact")))</f>
        <v/>
      </c>
      <c r="V156">
        <f>F156*(R156*1)*(H156*0.35+J156*0.35+L156*0.3)</f>
        <v/>
      </c>
      <c r="W156">
        <f>(V156-$AJ$13)/$AK$13</f>
        <v/>
      </c>
      <c r="X156">
        <f>IF(W156&gt;0.7,"High",IF(W156&gt;0.3,"Moderate",IF(W156&gt;0.15,"Low","No Impact")))</f>
        <v/>
      </c>
      <c r="Y156">
        <f>F156*(P156*1)*(H156*0.35+J156*0.35+L156*0.3)</f>
        <v/>
      </c>
      <c r="Z156">
        <f>(Y156-$AJ$14)/$AK$14</f>
        <v/>
      </c>
      <c r="AA156">
        <f>IF(Z156&gt;0.7,"High",IF(Z156&gt;0.3,"Moderate",IF(Z156&gt;0.15,"Low","No Impact")))</f>
        <v/>
      </c>
      <c r="AB156">
        <f>F156*(R156*0.35+P156*0.3+N156*0.35)*(H156*0.35+J156*0.35+L156*0.3)</f>
        <v/>
      </c>
      <c r="AC156">
        <f>(AB156-$AJ$15)/$AK$15</f>
        <v/>
      </c>
      <c r="AD156">
        <f>IF(AC156&gt;0.7,"High",IF(AC156&gt;0.3,"Moderate",IF(AC156&gt;0.15,"Low","No Impact")))</f>
        <v/>
      </c>
      <c r="AE156">
        <f>F156*(N156*1)*(H156*0.35+J156*0.35+L156*0.3)</f>
        <v/>
      </c>
      <c r="AF156">
        <f>(AE156-$AJ$16)/$AK$16</f>
        <v/>
      </c>
      <c r="AG156">
        <f>IF(AF156&gt;0.7,"High",IF(AF156&gt;0.3,"Moderate",IF(AF156&gt;0.15,"Low","No Impact")))</f>
        <v/>
      </c>
    </row>
    <row r="157">
      <c r="A157" t="n">
        <v>302608</v>
      </c>
      <c r="B157" t="inlineStr">
        <is>
          <t>BD302608</t>
        </is>
      </c>
      <c r="C157" t="inlineStr">
        <is>
          <t>Dhaka</t>
        </is>
      </c>
      <c r="D157" t="inlineStr">
        <is>
          <t>Cantonment</t>
        </is>
      </c>
      <c r="E157" s="3" t="n">
        <v>5.8</v>
      </c>
      <c r="F157" s="4">
        <f>(E157-$AJ$5)/$AK$5</f>
        <v/>
      </c>
      <c r="G157" t="n">
        <v>62.5226292</v>
      </c>
      <c r="H157">
        <f>(G157-$AJ$6)/$AK$6</f>
        <v/>
      </c>
      <c r="I157" t="n">
        <v>5.5</v>
      </c>
      <c r="J157" s="4">
        <f>(I157-$AJ$7)/$AK$7</f>
        <v/>
      </c>
      <c r="K157" t="n">
        <v>0</v>
      </c>
      <c r="L157" s="4">
        <f>(K157-$AJ$8)/$AK$8</f>
        <v/>
      </c>
      <c r="M157" t="n">
        <v>5168</v>
      </c>
      <c r="N157">
        <f>(M157-$AJ$9)/$AK$9</f>
        <v/>
      </c>
      <c r="O157" t="n">
        <v>0.550440984</v>
      </c>
      <c r="P157">
        <f>(O157-$AJ$11)/$AK$11</f>
        <v/>
      </c>
      <c r="Q157" t="n">
        <v>0.1859</v>
      </c>
      <c r="R157">
        <f>(Q157-$AJ$12)/$AK$12</f>
        <v/>
      </c>
      <c r="S157">
        <f>F157*(R157*0.5+P157*0.5)*(H157*0.35+J157*0.35+L157*0.3)</f>
        <v/>
      </c>
      <c r="T157" s="14">
        <f>(S157-$AJ$10)/$AK$10</f>
        <v/>
      </c>
      <c r="U157">
        <f>IF(T157&gt;0.7,"High",IF(T157&gt;0.3,"Moderate",IF(T157&gt;0.15,"Low","No Impact")))</f>
        <v/>
      </c>
      <c r="V157">
        <f>F157*(R157*1)*(H157*0.35+J157*0.35+L157*0.3)</f>
        <v/>
      </c>
      <c r="W157">
        <f>(V157-$AJ$13)/$AK$13</f>
        <v/>
      </c>
      <c r="X157">
        <f>IF(W157&gt;0.7,"High",IF(W157&gt;0.3,"Moderate",IF(W157&gt;0.15,"Low","No Impact")))</f>
        <v/>
      </c>
      <c r="Y157">
        <f>F157*(P157*1)*(H157*0.35+J157*0.35+L157*0.3)</f>
        <v/>
      </c>
      <c r="Z157">
        <f>(Y157-$AJ$14)/$AK$14</f>
        <v/>
      </c>
      <c r="AA157">
        <f>IF(Z157&gt;0.7,"High",IF(Z157&gt;0.3,"Moderate",IF(Z157&gt;0.15,"Low","No Impact")))</f>
        <v/>
      </c>
      <c r="AB157">
        <f>F157*(R157*0.35+P157*0.3+N157*0.35)*(H157*0.35+J157*0.35+L157*0.3)</f>
        <v/>
      </c>
      <c r="AC157">
        <f>(AB157-$AJ$15)/$AK$15</f>
        <v/>
      </c>
      <c r="AD157">
        <f>IF(AC157&gt;0.7,"High",IF(AC157&gt;0.3,"Moderate",IF(AC157&gt;0.15,"Low","No Impact")))</f>
        <v/>
      </c>
      <c r="AE157">
        <f>F157*(N157*1)*(H157*0.35+J157*0.35+L157*0.3)</f>
        <v/>
      </c>
      <c r="AF157">
        <f>(AE157-$AJ$16)/$AK$16</f>
        <v/>
      </c>
      <c r="AG157">
        <f>IF(AF157&gt;0.7,"High",IF(AF157&gt;0.3,"Moderate",IF(AF157&gt;0.15,"Low","No Impact")))</f>
        <v/>
      </c>
    </row>
    <row r="158">
      <c r="A158" t="n">
        <v>302609</v>
      </c>
      <c r="B158" t="inlineStr">
        <is>
          <t>BD302609</t>
        </is>
      </c>
      <c r="C158" t="inlineStr">
        <is>
          <t>Dhaka</t>
        </is>
      </c>
      <c r="D158" t="inlineStr">
        <is>
          <t>Chak Bazar</t>
        </is>
      </c>
      <c r="E158" s="3" t="n">
        <v>5.8</v>
      </c>
      <c r="F158" s="4">
        <f>(E158-$AJ$5)/$AK$5</f>
        <v/>
      </c>
      <c r="G158" t="n">
        <v>62.5226292</v>
      </c>
      <c r="H158">
        <f>(G158-$AJ$6)/$AK$6</f>
        <v/>
      </c>
      <c r="I158" t="n">
        <v>5.5</v>
      </c>
      <c r="J158" s="4">
        <f>(I158-$AJ$7)/$AK$7</f>
        <v/>
      </c>
      <c r="K158" t="n">
        <v>0</v>
      </c>
      <c r="L158" s="4">
        <f>(K158-$AJ$8)/$AK$8</f>
        <v/>
      </c>
      <c r="M158" t="n">
        <v>943</v>
      </c>
      <c r="N158">
        <f>(M158-$AJ$9)/$AK$9</f>
        <v/>
      </c>
      <c r="O158" t="n">
        <v>0.39968981</v>
      </c>
      <c r="P158">
        <f>(O158-$AJ$11)/$AK$11</f>
        <v/>
      </c>
      <c r="Q158" t="n">
        <v>0.06</v>
      </c>
      <c r="R158">
        <f>(Q158-$AJ$12)/$AK$12</f>
        <v/>
      </c>
      <c r="S158">
        <f>F158*(R158*0.5+P158*0.5)*(H158*0.35+J158*0.35+L158*0.3)</f>
        <v/>
      </c>
      <c r="T158" s="14">
        <f>(S158-$AJ$10)/$AK$10</f>
        <v/>
      </c>
      <c r="U158">
        <f>IF(T158&gt;0.7,"High",IF(T158&gt;0.3,"Moderate",IF(T158&gt;0.15,"Low","No Impact")))</f>
        <v/>
      </c>
      <c r="V158">
        <f>F158*(R158*1)*(H158*0.35+J158*0.35+L158*0.3)</f>
        <v/>
      </c>
      <c r="W158">
        <f>(V158-$AJ$13)/$AK$13</f>
        <v/>
      </c>
      <c r="X158">
        <f>IF(W158&gt;0.7,"High",IF(W158&gt;0.3,"Moderate",IF(W158&gt;0.15,"Low","No Impact")))</f>
        <v/>
      </c>
      <c r="Y158">
        <f>F158*(P158*1)*(H158*0.35+J158*0.35+L158*0.3)</f>
        <v/>
      </c>
      <c r="Z158">
        <f>(Y158-$AJ$14)/$AK$14</f>
        <v/>
      </c>
      <c r="AA158">
        <f>IF(Z158&gt;0.7,"High",IF(Z158&gt;0.3,"Moderate",IF(Z158&gt;0.15,"Low","No Impact")))</f>
        <v/>
      </c>
      <c r="AB158">
        <f>F158*(R158*0.35+P158*0.3+N158*0.35)*(H158*0.35+J158*0.35+L158*0.3)</f>
        <v/>
      </c>
      <c r="AC158">
        <f>(AB158-$AJ$15)/$AK$15</f>
        <v/>
      </c>
      <c r="AD158">
        <f>IF(AC158&gt;0.7,"High",IF(AC158&gt;0.3,"Moderate",IF(AC158&gt;0.15,"Low","No Impact")))</f>
        <v/>
      </c>
      <c r="AE158">
        <f>F158*(N158*1)*(H158*0.35+J158*0.35+L158*0.3)</f>
        <v/>
      </c>
      <c r="AF158">
        <f>(AE158-$AJ$16)/$AK$16</f>
        <v/>
      </c>
      <c r="AG158">
        <f>IF(AF158&gt;0.7,"High",IF(AF158&gt;0.3,"Moderate",IF(AF158&gt;0.15,"Low","No Impact")))</f>
        <v/>
      </c>
    </row>
    <row r="159">
      <c r="A159" t="n">
        <v>302610</v>
      </c>
      <c r="B159" t="inlineStr">
        <is>
          <t>BD302610</t>
        </is>
      </c>
      <c r="C159" t="inlineStr">
        <is>
          <t>Dhaka</t>
        </is>
      </c>
      <c r="D159" t="inlineStr">
        <is>
          <t>Dakshinkhan</t>
        </is>
      </c>
      <c r="E159" s="3" t="n">
        <v>5.8</v>
      </c>
      <c r="F159" s="4">
        <f>(E159-$AJ$5)/$AK$5</f>
        <v/>
      </c>
      <c r="G159" t="n">
        <v>62.5226292</v>
      </c>
      <c r="H159">
        <f>(G159-$AJ$6)/$AK$6</f>
        <v/>
      </c>
      <c r="I159" t="n">
        <v>3.1</v>
      </c>
      <c r="J159" s="4">
        <f>(I159-$AJ$7)/$AK$7</f>
        <v/>
      </c>
      <c r="K159" t="n">
        <v>0</v>
      </c>
      <c r="L159" s="4">
        <f>(K159-$AJ$8)/$AK$8</f>
        <v/>
      </c>
      <c r="M159" t="n">
        <v>9039</v>
      </c>
      <c r="N159">
        <f>(M159-$AJ$9)/$AK$9</f>
        <v/>
      </c>
      <c r="O159" t="n">
        <v>0.404221148</v>
      </c>
      <c r="P159">
        <f>(O159-$AJ$11)/$AK$11</f>
        <v/>
      </c>
      <c r="Q159" t="n">
        <v>0.195</v>
      </c>
      <c r="R159">
        <f>(Q159-$AJ$12)/$AK$12</f>
        <v/>
      </c>
      <c r="S159">
        <f>F159*(R159*0.5+P159*0.5)*(H159*0.35+J159*0.35+L159*0.3)</f>
        <v/>
      </c>
      <c r="T159" s="14">
        <f>(S159-$AJ$10)/$AK$10</f>
        <v/>
      </c>
      <c r="U159">
        <f>IF(T159&gt;0.7,"High",IF(T159&gt;0.3,"Moderate",IF(T159&gt;0.15,"Low","No Impact")))</f>
        <v/>
      </c>
      <c r="V159">
        <f>F159*(R159*1)*(H159*0.35+J159*0.35+L159*0.3)</f>
        <v/>
      </c>
      <c r="W159">
        <f>(V159-$AJ$13)/$AK$13</f>
        <v/>
      </c>
      <c r="X159">
        <f>IF(W159&gt;0.7,"High",IF(W159&gt;0.3,"Moderate",IF(W159&gt;0.15,"Low","No Impact")))</f>
        <v/>
      </c>
      <c r="Y159">
        <f>F159*(P159*1)*(H159*0.35+J159*0.35+L159*0.3)</f>
        <v/>
      </c>
      <c r="Z159">
        <f>(Y159-$AJ$14)/$AK$14</f>
        <v/>
      </c>
      <c r="AA159">
        <f>IF(Z159&gt;0.7,"High",IF(Z159&gt;0.3,"Moderate",IF(Z159&gt;0.15,"Low","No Impact")))</f>
        <v/>
      </c>
      <c r="AB159">
        <f>F159*(R159*0.35+P159*0.3+N159*0.35)*(H159*0.35+J159*0.35+L159*0.3)</f>
        <v/>
      </c>
      <c r="AC159">
        <f>(AB159-$AJ$15)/$AK$15</f>
        <v/>
      </c>
      <c r="AD159">
        <f>IF(AC159&gt;0.7,"High",IF(AC159&gt;0.3,"Moderate",IF(AC159&gt;0.15,"Low","No Impact")))</f>
        <v/>
      </c>
      <c r="AE159">
        <f>F159*(N159*1)*(H159*0.35+J159*0.35+L159*0.3)</f>
        <v/>
      </c>
      <c r="AF159">
        <f>(AE159-$AJ$16)/$AK$16</f>
        <v/>
      </c>
      <c r="AG159">
        <f>IF(AF159&gt;0.7,"High",IF(AF159&gt;0.3,"Moderate",IF(AF159&gt;0.15,"Low","No Impact")))</f>
        <v/>
      </c>
    </row>
    <row r="160">
      <c r="A160" t="n">
        <v>302611</v>
      </c>
      <c r="B160" t="inlineStr">
        <is>
          <t>BD302611</t>
        </is>
      </c>
      <c r="C160" t="inlineStr">
        <is>
          <t>Dhaka</t>
        </is>
      </c>
      <c r="D160" t="inlineStr">
        <is>
          <t>Darus Salam</t>
        </is>
      </c>
      <c r="E160" s="3" t="n">
        <v>5.8</v>
      </c>
      <c r="F160" s="4">
        <f>(E160-$AJ$5)/$AK$5</f>
        <v/>
      </c>
      <c r="G160" t="n">
        <v>67.08239639999999</v>
      </c>
      <c r="H160">
        <f>(G160-$AJ$6)/$AK$6</f>
        <v/>
      </c>
      <c r="I160" t="n">
        <v>7.800000000000002</v>
      </c>
      <c r="J160" s="4">
        <f>(I160-$AJ$7)/$AK$7</f>
        <v/>
      </c>
      <c r="K160" t="n">
        <v>0</v>
      </c>
      <c r="L160" s="4">
        <f>(K160-$AJ$8)/$AK$8</f>
        <v/>
      </c>
      <c r="M160" t="n">
        <v>3309</v>
      </c>
      <c r="N160">
        <f>(M160-$AJ$9)/$AK$9</f>
        <v/>
      </c>
      <c r="O160" t="n">
        <v>0.601115837</v>
      </c>
      <c r="P160">
        <f>(O160-$AJ$11)/$AK$11</f>
        <v/>
      </c>
      <c r="Q160" t="n">
        <v>0.0767</v>
      </c>
      <c r="R160">
        <f>(Q160-$AJ$12)/$AK$12</f>
        <v/>
      </c>
      <c r="S160">
        <f>F160*(R160*0.5+P160*0.5)*(H160*0.35+J160*0.35+L160*0.3)</f>
        <v/>
      </c>
      <c r="T160" s="14">
        <f>(S160-$AJ$10)/$AK$10</f>
        <v/>
      </c>
      <c r="U160">
        <f>IF(T160&gt;0.7,"High",IF(T160&gt;0.3,"Moderate",IF(T160&gt;0.15,"Low","No Impact")))</f>
        <v/>
      </c>
      <c r="V160">
        <f>F160*(R160*1)*(H160*0.35+J160*0.35+L160*0.3)</f>
        <v/>
      </c>
      <c r="W160">
        <f>(V160-$AJ$13)/$AK$13</f>
        <v/>
      </c>
      <c r="X160">
        <f>IF(W160&gt;0.7,"High",IF(W160&gt;0.3,"Moderate",IF(W160&gt;0.15,"Low","No Impact")))</f>
        <v/>
      </c>
      <c r="Y160">
        <f>F160*(P160*1)*(H160*0.35+J160*0.35+L160*0.3)</f>
        <v/>
      </c>
      <c r="Z160">
        <f>(Y160-$AJ$14)/$AK$14</f>
        <v/>
      </c>
      <c r="AA160">
        <f>IF(Z160&gt;0.7,"High",IF(Z160&gt;0.3,"Moderate",IF(Z160&gt;0.15,"Low","No Impact")))</f>
        <v/>
      </c>
      <c r="AB160">
        <f>F160*(R160*0.35+P160*0.3+N160*0.35)*(H160*0.35+J160*0.35+L160*0.3)</f>
        <v/>
      </c>
      <c r="AC160">
        <f>(AB160-$AJ$15)/$AK$15</f>
        <v/>
      </c>
      <c r="AD160">
        <f>IF(AC160&gt;0.7,"High",IF(AC160&gt;0.3,"Moderate",IF(AC160&gt;0.15,"Low","No Impact")))</f>
        <v/>
      </c>
      <c r="AE160">
        <f>F160*(N160*1)*(H160*0.35+J160*0.35+L160*0.3)</f>
        <v/>
      </c>
      <c r="AF160">
        <f>(AE160-$AJ$16)/$AK$16</f>
        <v/>
      </c>
      <c r="AG160">
        <f>IF(AF160&gt;0.7,"High",IF(AF160&gt;0.3,"Moderate",IF(AF160&gt;0.15,"Low","No Impact")))</f>
        <v/>
      </c>
    </row>
    <row r="161">
      <c r="A161" t="n">
        <v>302612</v>
      </c>
      <c r="B161" t="inlineStr">
        <is>
          <t>BD302612</t>
        </is>
      </c>
      <c r="C161" t="inlineStr">
        <is>
          <t>Dhaka</t>
        </is>
      </c>
      <c r="D161" t="inlineStr">
        <is>
          <t>Demra</t>
        </is>
      </c>
      <c r="E161" s="3" t="n">
        <v>5.8</v>
      </c>
      <c r="F161" s="4">
        <f>(E161-$AJ$5)/$AK$5</f>
        <v/>
      </c>
      <c r="G161" t="n">
        <v>62.5226292</v>
      </c>
      <c r="H161">
        <f>(G161-$AJ$6)/$AK$6</f>
        <v/>
      </c>
      <c r="I161" t="n">
        <v>5.5</v>
      </c>
      <c r="J161" s="4">
        <f>(I161-$AJ$7)/$AK$7</f>
        <v/>
      </c>
      <c r="K161" t="n">
        <v>0</v>
      </c>
      <c r="L161" s="4">
        <f>(K161-$AJ$8)/$AK$8</f>
        <v/>
      </c>
      <c r="M161" t="n">
        <v>15140</v>
      </c>
      <c r="N161">
        <f>(M161-$AJ$9)/$AK$9</f>
        <v/>
      </c>
      <c r="O161" t="n">
        <v>0.507570583</v>
      </c>
      <c r="P161">
        <f>(O161-$AJ$11)/$AK$11</f>
        <v/>
      </c>
      <c r="Q161" t="n">
        <v>0.1612</v>
      </c>
      <c r="R161">
        <f>(Q161-$AJ$12)/$AK$12</f>
        <v/>
      </c>
      <c r="S161">
        <f>F161*(R161*0.5+P161*0.5)*(H161*0.35+J161*0.35+L161*0.3)</f>
        <v/>
      </c>
      <c r="T161" s="14">
        <f>(S161-$AJ$10)/$AK$10</f>
        <v/>
      </c>
      <c r="U161">
        <f>IF(T161&gt;0.7,"High",IF(T161&gt;0.3,"Moderate",IF(T161&gt;0.15,"Low","No Impact")))</f>
        <v/>
      </c>
      <c r="V161">
        <f>F161*(R161*1)*(H161*0.35+J161*0.35+L161*0.3)</f>
        <v/>
      </c>
      <c r="W161">
        <f>(V161-$AJ$13)/$AK$13</f>
        <v/>
      </c>
      <c r="X161">
        <f>IF(W161&gt;0.7,"High",IF(W161&gt;0.3,"Moderate",IF(W161&gt;0.15,"Low","No Impact")))</f>
        <v/>
      </c>
      <c r="Y161">
        <f>F161*(P161*1)*(H161*0.35+J161*0.35+L161*0.3)</f>
        <v/>
      </c>
      <c r="Z161">
        <f>(Y161-$AJ$14)/$AK$14</f>
        <v/>
      </c>
      <c r="AA161">
        <f>IF(Z161&gt;0.7,"High",IF(Z161&gt;0.3,"Moderate",IF(Z161&gt;0.15,"Low","No Impact")))</f>
        <v/>
      </c>
      <c r="AB161">
        <f>F161*(R161*0.35+P161*0.3+N161*0.35)*(H161*0.35+J161*0.35+L161*0.3)</f>
        <v/>
      </c>
      <c r="AC161">
        <f>(AB161-$AJ$15)/$AK$15</f>
        <v/>
      </c>
      <c r="AD161">
        <f>IF(AC161&gt;0.7,"High",IF(AC161&gt;0.3,"Moderate",IF(AC161&gt;0.15,"Low","No Impact")))</f>
        <v/>
      </c>
      <c r="AE161">
        <f>F161*(N161*1)*(H161*0.35+J161*0.35+L161*0.3)</f>
        <v/>
      </c>
      <c r="AF161">
        <f>(AE161-$AJ$16)/$AK$16</f>
        <v/>
      </c>
      <c r="AG161">
        <f>IF(AF161&gt;0.7,"High",IF(AF161&gt;0.3,"Moderate",IF(AF161&gt;0.15,"Low","No Impact")))</f>
        <v/>
      </c>
    </row>
    <row r="162">
      <c r="A162" t="n">
        <v>302614</v>
      </c>
      <c r="B162" t="inlineStr">
        <is>
          <t>BD302614</t>
        </is>
      </c>
      <c r="C162" t="inlineStr">
        <is>
          <t>Dhaka</t>
        </is>
      </c>
      <c r="D162" t="inlineStr">
        <is>
          <t>Dhamrai</t>
        </is>
      </c>
      <c r="E162" s="3" t="n">
        <v>5.6</v>
      </c>
      <c r="F162" s="4">
        <f>(E162-$AJ$5)/$AK$5</f>
        <v/>
      </c>
      <c r="G162" t="n">
        <v>73.5019272</v>
      </c>
      <c r="H162">
        <f>(G162-$AJ$6)/$AK$6</f>
        <v/>
      </c>
      <c r="I162" t="n">
        <v>6.3</v>
      </c>
      <c r="J162" s="4">
        <f>(I162-$AJ$7)/$AK$7</f>
        <v/>
      </c>
      <c r="K162" t="n">
        <v>0</v>
      </c>
      <c r="L162" s="4">
        <f>(K162-$AJ$8)/$AK$8</f>
        <v/>
      </c>
      <c r="M162" t="n">
        <v>70768</v>
      </c>
      <c r="N162">
        <f>(M162-$AJ$9)/$AK$9</f>
        <v/>
      </c>
      <c r="O162" t="n">
        <v>0.61146083</v>
      </c>
      <c r="P162">
        <f>(O162-$AJ$11)/$AK$11</f>
        <v/>
      </c>
      <c r="Q162" t="n">
        <v>0.2503</v>
      </c>
      <c r="R162">
        <f>(Q162-$AJ$12)/$AK$12</f>
        <v/>
      </c>
      <c r="S162">
        <f>F162*(R162*0.5+P162*0.5)*(H162*0.35+J162*0.35+L162*0.3)</f>
        <v/>
      </c>
      <c r="T162" s="14">
        <f>(S162-$AJ$10)/$AK$10</f>
        <v/>
      </c>
      <c r="U162">
        <f>IF(T162&gt;0.7,"High",IF(T162&gt;0.3,"Moderate",IF(T162&gt;0.15,"Low","No Impact")))</f>
        <v/>
      </c>
      <c r="V162">
        <f>F162*(R162*1)*(H162*0.35+J162*0.35+L162*0.3)</f>
        <v/>
      </c>
      <c r="W162">
        <f>(V162-$AJ$13)/$AK$13</f>
        <v/>
      </c>
      <c r="X162">
        <f>IF(W162&gt;0.7,"High",IF(W162&gt;0.3,"Moderate",IF(W162&gt;0.15,"Low","No Impact")))</f>
        <v/>
      </c>
      <c r="Y162">
        <f>F162*(P162*1)*(H162*0.35+J162*0.35+L162*0.3)</f>
        <v/>
      </c>
      <c r="Z162">
        <f>(Y162-$AJ$14)/$AK$14</f>
        <v/>
      </c>
      <c r="AA162">
        <f>IF(Z162&gt;0.7,"High",IF(Z162&gt;0.3,"Moderate",IF(Z162&gt;0.15,"Low","No Impact")))</f>
        <v/>
      </c>
      <c r="AB162">
        <f>F162*(R162*0.35+P162*0.3+N162*0.35)*(H162*0.35+J162*0.35+L162*0.3)</f>
        <v/>
      </c>
      <c r="AC162">
        <f>(AB162-$AJ$15)/$AK$15</f>
        <v/>
      </c>
      <c r="AD162">
        <f>IF(AC162&gt;0.7,"High",IF(AC162&gt;0.3,"Moderate",IF(AC162&gt;0.15,"Low","No Impact")))</f>
        <v/>
      </c>
      <c r="AE162">
        <f>F162*(N162*1)*(H162*0.35+J162*0.35+L162*0.3)</f>
        <v/>
      </c>
      <c r="AF162">
        <f>(AE162-$AJ$16)/$AK$16</f>
        <v/>
      </c>
      <c r="AG162">
        <f>IF(AF162&gt;0.7,"High",IF(AF162&gt;0.3,"Moderate",IF(AF162&gt;0.15,"Low","No Impact")))</f>
        <v/>
      </c>
    </row>
    <row r="163">
      <c r="A163" t="n">
        <v>302616</v>
      </c>
      <c r="B163" t="inlineStr">
        <is>
          <t>BD302616</t>
        </is>
      </c>
      <c r="C163" t="inlineStr">
        <is>
          <t>Dhaka</t>
        </is>
      </c>
      <c r="D163" t="inlineStr">
        <is>
          <t>Dhanmondi</t>
        </is>
      </c>
      <c r="E163" s="3" t="n">
        <v>5.8</v>
      </c>
      <c r="F163" s="4">
        <f>(E163-$AJ$5)/$AK$5</f>
        <v/>
      </c>
      <c r="G163" t="n">
        <v>67.08239639999999</v>
      </c>
      <c r="H163">
        <f>(G163-$AJ$6)/$AK$6</f>
        <v/>
      </c>
      <c r="I163" t="n">
        <v>6.699999999999999</v>
      </c>
      <c r="J163" s="4">
        <f>(I163-$AJ$7)/$AK$7</f>
        <v/>
      </c>
      <c r="K163" t="n">
        <v>0</v>
      </c>
      <c r="L163" s="4">
        <f>(K163-$AJ$8)/$AK$8</f>
        <v/>
      </c>
      <c r="M163" t="n">
        <v>1742</v>
      </c>
      <c r="N163">
        <f>(M163-$AJ$9)/$AK$9</f>
        <v/>
      </c>
      <c r="O163" t="n">
        <v>0.631479664</v>
      </c>
      <c r="P163">
        <f>(O163-$AJ$11)/$AK$11</f>
        <v/>
      </c>
      <c r="Q163" t="n">
        <v>0.06</v>
      </c>
      <c r="R163">
        <f>(Q163-$AJ$12)/$AK$12</f>
        <v/>
      </c>
      <c r="S163">
        <f>F163*(R163*0.5+P163*0.5)*(H163*0.35+J163*0.35+L163*0.3)</f>
        <v/>
      </c>
      <c r="T163" s="14">
        <f>(S163-$AJ$10)/$AK$10</f>
        <v/>
      </c>
      <c r="U163">
        <f>IF(T163&gt;0.7,"High",IF(T163&gt;0.3,"Moderate",IF(T163&gt;0.15,"Low","No Impact")))</f>
        <v/>
      </c>
      <c r="V163">
        <f>F163*(R163*1)*(H163*0.35+J163*0.35+L163*0.3)</f>
        <v/>
      </c>
      <c r="W163">
        <f>(V163-$AJ$13)/$AK$13</f>
        <v/>
      </c>
      <c r="X163">
        <f>IF(W163&gt;0.7,"High",IF(W163&gt;0.3,"Moderate",IF(W163&gt;0.15,"Low","No Impact")))</f>
        <v/>
      </c>
      <c r="Y163">
        <f>F163*(P163*1)*(H163*0.35+J163*0.35+L163*0.3)</f>
        <v/>
      </c>
      <c r="Z163">
        <f>(Y163-$AJ$14)/$AK$14</f>
        <v/>
      </c>
      <c r="AA163">
        <f>IF(Z163&gt;0.7,"High",IF(Z163&gt;0.3,"Moderate",IF(Z163&gt;0.15,"Low","No Impact")))</f>
        <v/>
      </c>
      <c r="AB163">
        <f>F163*(R163*0.35+P163*0.3+N163*0.35)*(H163*0.35+J163*0.35+L163*0.3)</f>
        <v/>
      </c>
      <c r="AC163">
        <f>(AB163-$AJ$15)/$AK$15</f>
        <v/>
      </c>
      <c r="AD163">
        <f>IF(AC163&gt;0.7,"High",IF(AC163&gt;0.3,"Moderate",IF(AC163&gt;0.15,"Low","No Impact")))</f>
        <v/>
      </c>
      <c r="AE163">
        <f>F163*(N163*1)*(H163*0.35+J163*0.35+L163*0.3)</f>
        <v/>
      </c>
      <c r="AF163">
        <f>(AE163-$AJ$16)/$AK$16</f>
        <v/>
      </c>
      <c r="AG163">
        <f>IF(AF163&gt;0.7,"High",IF(AF163&gt;0.3,"Moderate",IF(AF163&gt;0.15,"Low","No Impact")))</f>
        <v/>
      </c>
    </row>
    <row r="164">
      <c r="A164" t="n">
        <v>302618</v>
      </c>
      <c r="B164" t="inlineStr">
        <is>
          <t>BD302618</t>
        </is>
      </c>
      <c r="C164" t="inlineStr">
        <is>
          <t>Dhaka</t>
        </is>
      </c>
      <c r="D164" t="inlineStr">
        <is>
          <t>Dohar</t>
        </is>
      </c>
      <c r="E164" s="3" t="n">
        <v>5.8</v>
      </c>
      <c r="F164" s="4">
        <f>(E164-$AJ$5)/$AK$5</f>
        <v/>
      </c>
      <c r="G164" t="n">
        <v>82.99762920000001</v>
      </c>
      <c r="H164">
        <f>(G164-$AJ$6)/$AK$6</f>
        <v/>
      </c>
      <c r="I164" t="n">
        <v>11.9</v>
      </c>
      <c r="J164" s="4">
        <f>(I164-$AJ$7)/$AK$7</f>
        <v/>
      </c>
      <c r="K164" t="n">
        <v>0</v>
      </c>
      <c r="L164" s="4">
        <f>(K164-$AJ$8)/$AK$8</f>
        <v/>
      </c>
      <c r="M164" t="n">
        <v>27219</v>
      </c>
      <c r="N164">
        <f>(M164-$AJ$9)/$AK$9</f>
        <v/>
      </c>
      <c r="O164" t="n">
        <v>0.633138879</v>
      </c>
      <c r="P164">
        <f>(O164-$AJ$11)/$AK$11</f>
        <v/>
      </c>
      <c r="Q164" t="n">
        <v>0.2623</v>
      </c>
      <c r="R164">
        <f>(Q164-$AJ$12)/$AK$12</f>
        <v/>
      </c>
      <c r="S164">
        <f>F164*(R164*0.5+P164*0.5)*(H164*0.35+J164*0.35+L164*0.3)</f>
        <v/>
      </c>
      <c r="T164" s="14">
        <f>(S164-$AJ$10)/$AK$10</f>
        <v/>
      </c>
      <c r="U164">
        <f>IF(T164&gt;0.7,"High",IF(T164&gt;0.3,"Moderate",IF(T164&gt;0.15,"Low","No Impact")))</f>
        <v/>
      </c>
      <c r="V164">
        <f>F164*(R164*1)*(H164*0.35+J164*0.35+L164*0.3)</f>
        <v/>
      </c>
      <c r="W164">
        <f>(V164-$AJ$13)/$AK$13</f>
        <v/>
      </c>
      <c r="X164">
        <f>IF(W164&gt;0.7,"High",IF(W164&gt;0.3,"Moderate",IF(W164&gt;0.15,"Low","No Impact")))</f>
        <v/>
      </c>
      <c r="Y164">
        <f>F164*(P164*1)*(H164*0.35+J164*0.35+L164*0.3)</f>
        <v/>
      </c>
      <c r="Z164">
        <f>(Y164-$AJ$14)/$AK$14</f>
        <v/>
      </c>
      <c r="AA164">
        <f>IF(Z164&gt;0.7,"High",IF(Z164&gt;0.3,"Moderate",IF(Z164&gt;0.15,"Low","No Impact")))</f>
        <v/>
      </c>
      <c r="AB164">
        <f>F164*(R164*0.35+P164*0.3+N164*0.35)*(H164*0.35+J164*0.35+L164*0.3)</f>
        <v/>
      </c>
      <c r="AC164">
        <f>(AB164-$AJ$15)/$AK$15</f>
        <v/>
      </c>
      <c r="AD164">
        <f>IF(AC164&gt;0.7,"High",IF(AC164&gt;0.3,"Moderate",IF(AC164&gt;0.15,"Low","No Impact")))</f>
        <v/>
      </c>
      <c r="AE164">
        <f>F164*(N164*1)*(H164*0.35+J164*0.35+L164*0.3)</f>
        <v/>
      </c>
      <c r="AF164">
        <f>(AE164-$AJ$16)/$AK$16</f>
        <v/>
      </c>
      <c r="AG164">
        <f>IF(AF164&gt;0.7,"High",IF(AF164&gt;0.3,"Moderate",IF(AF164&gt;0.15,"Low","No Impact")))</f>
        <v/>
      </c>
    </row>
    <row r="165">
      <c r="A165" t="n">
        <v>302624</v>
      </c>
      <c r="B165" t="inlineStr">
        <is>
          <t>BD302624</t>
        </is>
      </c>
      <c r="C165" t="inlineStr">
        <is>
          <t>Dhaka</t>
        </is>
      </c>
      <c r="D165" t="inlineStr">
        <is>
          <t>Gendaria</t>
        </is>
      </c>
      <c r="E165" s="3" t="n">
        <v>5.7</v>
      </c>
      <c r="F165" s="4">
        <f>(E165-$AJ$5)/$AK$5</f>
        <v/>
      </c>
      <c r="G165" t="n">
        <v>62.5226292</v>
      </c>
      <c r="H165">
        <f>(G165-$AJ$6)/$AK$6</f>
        <v/>
      </c>
      <c r="I165" t="n">
        <v>5.5</v>
      </c>
      <c r="J165" s="4">
        <f>(I165-$AJ$7)/$AK$7</f>
        <v/>
      </c>
      <c r="K165" t="n">
        <v>0</v>
      </c>
      <c r="L165" s="4">
        <f>(K165-$AJ$8)/$AK$8</f>
        <v/>
      </c>
      <c r="M165" t="n">
        <v>1598</v>
      </c>
      <c r="N165">
        <f>(M165-$AJ$9)/$AK$9</f>
        <v/>
      </c>
      <c r="O165" t="n">
        <v>0.731944213</v>
      </c>
      <c r="P165">
        <f>(O165-$AJ$11)/$AK$11</f>
        <v/>
      </c>
      <c r="Q165" t="n">
        <v>0.06</v>
      </c>
      <c r="R165">
        <f>(Q165-$AJ$12)/$AK$12</f>
        <v/>
      </c>
      <c r="S165">
        <f>F165*(R165*0.5+P165*0.5)*(H165*0.35+J165*0.35+L165*0.3)</f>
        <v/>
      </c>
      <c r="T165" s="14">
        <f>(S165-$AJ$10)/$AK$10</f>
        <v/>
      </c>
      <c r="U165">
        <f>IF(T165&gt;0.7,"High",IF(T165&gt;0.3,"Moderate",IF(T165&gt;0.15,"Low","No Impact")))</f>
        <v/>
      </c>
      <c r="V165">
        <f>F165*(R165*1)*(H165*0.35+J165*0.35+L165*0.3)</f>
        <v/>
      </c>
      <c r="W165">
        <f>(V165-$AJ$13)/$AK$13</f>
        <v/>
      </c>
      <c r="X165">
        <f>IF(W165&gt;0.7,"High",IF(W165&gt;0.3,"Moderate",IF(W165&gt;0.15,"Low","No Impact")))</f>
        <v/>
      </c>
      <c r="Y165">
        <f>F165*(P165*1)*(H165*0.35+J165*0.35+L165*0.3)</f>
        <v/>
      </c>
      <c r="Z165">
        <f>(Y165-$AJ$14)/$AK$14</f>
        <v/>
      </c>
      <c r="AA165">
        <f>IF(Z165&gt;0.7,"High",IF(Z165&gt;0.3,"Moderate",IF(Z165&gt;0.15,"Low","No Impact")))</f>
        <v/>
      </c>
      <c r="AB165">
        <f>F165*(R165*0.35+P165*0.3+N165*0.35)*(H165*0.35+J165*0.35+L165*0.3)</f>
        <v/>
      </c>
      <c r="AC165">
        <f>(AB165-$AJ$15)/$AK$15</f>
        <v/>
      </c>
      <c r="AD165">
        <f>IF(AC165&gt;0.7,"High",IF(AC165&gt;0.3,"Moderate",IF(AC165&gt;0.15,"Low","No Impact")))</f>
        <v/>
      </c>
      <c r="AE165">
        <f>F165*(N165*1)*(H165*0.35+J165*0.35+L165*0.3)</f>
        <v/>
      </c>
      <c r="AF165">
        <f>(AE165-$AJ$16)/$AK$16</f>
        <v/>
      </c>
      <c r="AG165">
        <f>IF(AF165&gt;0.7,"High",IF(AF165&gt;0.3,"Moderate",IF(AF165&gt;0.15,"Low","No Impact")))</f>
        <v/>
      </c>
    </row>
    <row r="166">
      <c r="A166" t="n">
        <v>302626</v>
      </c>
      <c r="B166" t="inlineStr">
        <is>
          <t>BD302626</t>
        </is>
      </c>
      <c r="C166" t="inlineStr">
        <is>
          <t>Dhaka</t>
        </is>
      </c>
      <c r="D166" t="inlineStr">
        <is>
          <t>Gulshan</t>
        </is>
      </c>
      <c r="E166" s="3" t="n">
        <v>5.7</v>
      </c>
      <c r="F166" s="4">
        <f>(E166-$AJ$5)/$AK$5</f>
        <v/>
      </c>
      <c r="G166" t="n">
        <v>62.5226292</v>
      </c>
      <c r="H166">
        <f>(G166-$AJ$6)/$AK$6</f>
        <v/>
      </c>
      <c r="I166" t="n">
        <v>5.5</v>
      </c>
      <c r="J166" s="4">
        <f>(I166-$AJ$7)/$AK$7</f>
        <v/>
      </c>
      <c r="K166" t="n">
        <v>0</v>
      </c>
      <c r="L166" s="4">
        <f>(K166-$AJ$8)/$AK$8</f>
        <v/>
      </c>
      <c r="M166" t="n">
        <v>6565</v>
      </c>
      <c r="N166">
        <f>(M166-$AJ$9)/$AK$9</f>
        <v/>
      </c>
      <c r="O166" t="n">
        <v>0.507517642</v>
      </c>
      <c r="P166">
        <f>(O166-$AJ$11)/$AK$11</f>
        <v/>
      </c>
      <c r="Q166" t="n">
        <v>0.06</v>
      </c>
      <c r="R166">
        <f>(Q166-$AJ$12)/$AK$12</f>
        <v/>
      </c>
      <c r="S166">
        <f>F166*(R166*0.5+P166*0.5)*(H166*0.35+J166*0.35+L166*0.3)</f>
        <v/>
      </c>
      <c r="T166" s="14">
        <f>(S166-$AJ$10)/$AK$10</f>
        <v/>
      </c>
      <c r="U166">
        <f>IF(T166&gt;0.7,"High",IF(T166&gt;0.3,"Moderate",IF(T166&gt;0.15,"Low","No Impact")))</f>
        <v/>
      </c>
      <c r="V166">
        <f>F166*(R166*1)*(H166*0.35+J166*0.35+L166*0.3)</f>
        <v/>
      </c>
      <c r="W166">
        <f>(V166-$AJ$13)/$AK$13</f>
        <v/>
      </c>
      <c r="X166">
        <f>IF(W166&gt;0.7,"High",IF(W166&gt;0.3,"Moderate",IF(W166&gt;0.15,"Low","No Impact")))</f>
        <v/>
      </c>
      <c r="Y166">
        <f>F166*(P166*1)*(H166*0.35+J166*0.35+L166*0.3)</f>
        <v/>
      </c>
      <c r="Z166">
        <f>(Y166-$AJ$14)/$AK$14</f>
        <v/>
      </c>
      <c r="AA166">
        <f>IF(Z166&gt;0.7,"High",IF(Z166&gt;0.3,"Moderate",IF(Z166&gt;0.15,"Low","No Impact")))</f>
        <v/>
      </c>
      <c r="AB166">
        <f>F166*(R166*0.35+P166*0.3+N166*0.35)*(H166*0.35+J166*0.35+L166*0.3)</f>
        <v/>
      </c>
      <c r="AC166">
        <f>(AB166-$AJ$15)/$AK$15</f>
        <v/>
      </c>
      <c r="AD166">
        <f>IF(AC166&gt;0.7,"High",IF(AC166&gt;0.3,"Moderate",IF(AC166&gt;0.15,"Low","No Impact")))</f>
        <v/>
      </c>
      <c r="AE166">
        <f>F166*(N166*1)*(H166*0.35+J166*0.35+L166*0.3)</f>
        <v/>
      </c>
      <c r="AF166">
        <f>(AE166-$AJ$16)/$AK$16</f>
        <v/>
      </c>
      <c r="AG166">
        <f>IF(AF166&gt;0.7,"High",IF(AF166&gt;0.3,"Moderate",IF(AF166&gt;0.15,"Low","No Impact")))</f>
        <v/>
      </c>
    </row>
    <row r="167">
      <c r="A167" t="n">
        <v>302628</v>
      </c>
      <c r="B167" t="inlineStr">
        <is>
          <t>BD302628</t>
        </is>
      </c>
      <c r="C167" t="inlineStr">
        <is>
          <t>Dhaka</t>
        </is>
      </c>
      <c r="D167" t="inlineStr">
        <is>
          <t>Hazaribagh</t>
        </is>
      </c>
      <c r="E167" s="3" t="n">
        <v>5.9</v>
      </c>
      <c r="F167" s="4">
        <f>(E167-$AJ$5)/$AK$5</f>
        <v/>
      </c>
      <c r="G167" t="n">
        <v>67.08239639999999</v>
      </c>
      <c r="H167">
        <f>(G167-$AJ$6)/$AK$6</f>
        <v/>
      </c>
      <c r="I167" t="n">
        <v>6.699999999999999</v>
      </c>
      <c r="J167" s="4">
        <f>(I167-$AJ$7)/$AK$7</f>
        <v/>
      </c>
      <c r="K167" t="n">
        <v>0</v>
      </c>
      <c r="L167" s="4">
        <f>(K167-$AJ$8)/$AK$8</f>
        <v/>
      </c>
      <c r="M167" t="n">
        <v>4547</v>
      </c>
      <c r="N167">
        <f>(M167-$AJ$9)/$AK$9</f>
        <v/>
      </c>
      <c r="O167" t="n">
        <v>0.596070953</v>
      </c>
      <c r="P167">
        <f>(O167-$AJ$11)/$AK$11</f>
        <v/>
      </c>
      <c r="Q167" t="n">
        <v>0.0864</v>
      </c>
      <c r="R167">
        <f>(Q167-$AJ$12)/$AK$12</f>
        <v/>
      </c>
      <c r="S167">
        <f>F167*(R167*0.5+P167*0.5)*(H167*0.35+J167*0.35+L167*0.3)</f>
        <v/>
      </c>
      <c r="T167" s="14">
        <f>(S167-$AJ$10)/$AK$10</f>
        <v/>
      </c>
      <c r="U167">
        <f>IF(T167&gt;0.7,"High",IF(T167&gt;0.3,"Moderate",IF(T167&gt;0.15,"Low","No Impact")))</f>
        <v/>
      </c>
      <c r="V167">
        <f>F167*(R167*1)*(H167*0.35+J167*0.35+L167*0.3)</f>
        <v/>
      </c>
      <c r="W167">
        <f>(V167-$AJ$13)/$AK$13</f>
        <v/>
      </c>
      <c r="X167">
        <f>IF(W167&gt;0.7,"High",IF(W167&gt;0.3,"Moderate",IF(W167&gt;0.15,"Low","No Impact")))</f>
        <v/>
      </c>
      <c r="Y167">
        <f>F167*(P167*1)*(H167*0.35+J167*0.35+L167*0.3)</f>
        <v/>
      </c>
      <c r="Z167">
        <f>(Y167-$AJ$14)/$AK$14</f>
        <v/>
      </c>
      <c r="AA167">
        <f>IF(Z167&gt;0.7,"High",IF(Z167&gt;0.3,"Moderate",IF(Z167&gt;0.15,"Low","No Impact")))</f>
        <v/>
      </c>
      <c r="AB167">
        <f>F167*(R167*0.35+P167*0.3+N167*0.35)*(H167*0.35+J167*0.35+L167*0.3)</f>
        <v/>
      </c>
      <c r="AC167">
        <f>(AB167-$AJ$15)/$AK$15</f>
        <v/>
      </c>
      <c r="AD167">
        <f>IF(AC167&gt;0.7,"High",IF(AC167&gt;0.3,"Moderate",IF(AC167&gt;0.15,"Low","No Impact")))</f>
        <v/>
      </c>
      <c r="AE167">
        <f>F167*(N167*1)*(H167*0.35+J167*0.35+L167*0.3)</f>
        <v/>
      </c>
      <c r="AF167">
        <f>(AE167-$AJ$16)/$AK$16</f>
        <v/>
      </c>
      <c r="AG167">
        <f>IF(AF167&gt;0.7,"High",IF(AF167&gt;0.3,"Moderate",IF(AF167&gt;0.15,"Low","No Impact")))</f>
        <v/>
      </c>
    </row>
    <row r="168">
      <c r="A168" t="n">
        <v>302629</v>
      </c>
      <c r="B168" t="inlineStr">
        <is>
          <t>BD302629</t>
        </is>
      </c>
      <c r="C168" t="inlineStr">
        <is>
          <t>Dhaka</t>
        </is>
      </c>
      <c r="D168" t="inlineStr">
        <is>
          <t>Jatrabari</t>
        </is>
      </c>
      <c r="E168" s="3" t="n">
        <v>5.8</v>
      </c>
      <c r="F168" s="4">
        <f>(E168-$AJ$5)/$AK$5</f>
        <v/>
      </c>
      <c r="G168" t="n">
        <v>62.5226292</v>
      </c>
      <c r="H168">
        <f>(G168-$AJ$6)/$AK$6</f>
        <v/>
      </c>
      <c r="I168" t="n">
        <v>5.5</v>
      </c>
      <c r="J168" s="4">
        <f>(I168-$AJ$7)/$AK$7</f>
        <v/>
      </c>
      <c r="K168" t="n">
        <v>0</v>
      </c>
      <c r="L168" s="4">
        <f>(K168-$AJ$8)/$AK$8</f>
        <v/>
      </c>
      <c r="M168" t="n">
        <v>7826</v>
      </c>
      <c r="N168">
        <f>(M168-$AJ$9)/$AK$9</f>
        <v/>
      </c>
      <c r="O168" t="n">
        <v>0.362700543</v>
      </c>
      <c r="P168">
        <f>(O168-$AJ$11)/$AK$11</f>
        <v/>
      </c>
      <c r="Q168" t="n">
        <v>0.1296</v>
      </c>
      <c r="R168">
        <f>(Q168-$AJ$12)/$AK$12</f>
        <v/>
      </c>
      <c r="S168">
        <f>F168*(R168*0.5+P168*0.5)*(H168*0.35+J168*0.35+L168*0.3)</f>
        <v/>
      </c>
      <c r="T168" s="14">
        <f>(S168-$AJ$10)/$AK$10</f>
        <v/>
      </c>
      <c r="U168">
        <f>IF(T168&gt;0.7,"High",IF(T168&gt;0.3,"Moderate",IF(T168&gt;0.15,"Low","No Impact")))</f>
        <v/>
      </c>
      <c r="V168">
        <f>F168*(R168*1)*(H168*0.35+J168*0.35+L168*0.3)</f>
        <v/>
      </c>
      <c r="W168">
        <f>(V168-$AJ$13)/$AK$13</f>
        <v/>
      </c>
      <c r="X168">
        <f>IF(W168&gt;0.7,"High",IF(W168&gt;0.3,"Moderate",IF(W168&gt;0.15,"Low","No Impact")))</f>
        <v/>
      </c>
      <c r="Y168">
        <f>F168*(P168*1)*(H168*0.35+J168*0.35+L168*0.3)</f>
        <v/>
      </c>
      <c r="Z168">
        <f>(Y168-$AJ$14)/$AK$14</f>
        <v/>
      </c>
      <c r="AA168">
        <f>IF(Z168&gt;0.7,"High",IF(Z168&gt;0.3,"Moderate",IF(Z168&gt;0.15,"Low","No Impact")))</f>
        <v/>
      </c>
      <c r="AB168">
        <f>F168*(R168*0.35+P168*0.3+N168*0.35)*(H168*0.35+J168*0.35+L168*0.3)</f>
        <v/>
      </c>
      <c r="AC168">
        <f>(AB168-$AJ$15)/$AK$15</f>
        <v/>
      </c>
      <c r="AD168">
        <f>IF(AC168&gt;0.7,"High",IF(AC168&gt;0.3,"Moderate",IF(AC168&gt;0.15,"Low","No Impact")))</f>
        <v/>
      </c>
      <c r="AE168">
        <f>F168*(N168*1)*(H168*0.35+J168*0.35+L168*0.3)</f>
        <v/>
      </c>
      <c r="AF168">
        <f>(AE168-$AJ$16)/$AK$16</f>
        <v/>
      </c>
      <c r="AG168">
        <f>IF(AF168&gt;0.7,"High",IF(AF168&gt;0.3,"Moderate",IF(AF168&gt;0.15,"Low","No Impact")))</f>
        <v/>
      </c>
    </row>
    <row r="169">
      <c r="A169" t="n">
        <v>302630</v>
      </c>
      <c r="B169" t="inlineStr">
        <is>
          <t>BD302630</t>
        </is>
      </c>
      <c r="C169" t="inlineStr">
        <is>
          <t>Dhaka</t>
        </is>
      </c>
      <c r="D169" t="inlineStr">
        <is>
          <t>Kafrul</t>
        </is>
      </c>
      <c r="E169" s="3" t="n">
        <v>5.8</v>
      </c>
      <c r="F169" s="4">
        <f>(E169-$AJ$5)/$AK$5</f>
        <v/>
      </c>
      <c r="G169" t="n">
        <v>67.08239639999999</v>
      </c>
      <c r="H169">
        <f>(G169-$AJ$6)/$AK$6</f>
        <v/>
      </c>
      <c r="I169" t="n">
        <v>6.699999999999999</v>
      </c>
      <c r="J169" s="4">
        <f>(I169-$AJ$7)/$AK$7</f>
        <v/>
      </c>
      <c r="K169" t="n">
        <v>0</v>
      </c>
      <c r="L169" s="4">
        <f>(K169-$AJ$8)/$AK$8</f>
        <v/>
      </c>
      <c r="M169" t="n">
        <v>6991</v>
      </c>
      <c r="N169">
        <f>(M169-$AJ$9)/$AK$9</f>
        <v/>
      </c>
      <c r="O169" t="n">
        <v>0.666942768</v>
      </c>
      <c r="P169">
        <f>(O169-$AJ$11)/$AK$11</f>
        <v/>
      </c>
      <c r="Q169" t="n">
        <v>0.105</v>
      </c>
      <c r="R169">
        <f>(Q169-$AJ$12)/$AK$12</f>
        <v/>
      </c>
      <c r="S169">
        <f>F169*(R169*0.5+P169*0.5)*(H169*0.35+J169*0.35+L169*0.3)</f>
        <v/>
      </c>
      <c r="T169" s="14">
        <f>(S169-$AJ$10)/$AK$10</f>
        <v/>
      </c>
      <c r="U169">
        <f>IF(T169&gt;0.7,"High",IF(T169&gt;0.3,"Moderate",IF(T169&gt;0.15,"Low","No Impact")))</f>
        <v/>
      </c>
      <c r="V169">
        <f>F169*(R169*1)*(H169*0.35+J169*0.35+L169*0.3)</f>
        <v/>
      </c>
      <c r="W169">
        <f>(V169-$AJ$13)/$AK$13</f>
        <v/>
      </c>
      <c r="X169">
        <f>IF(W169&gt;0.7,"High",IF(W169&gt;0.3,"Moderate",IF(W169&gt;0.15,"Low","No Impact")))</f>
        <v/>
      </c>
      <c r="Y169">
        <f>F169*(P169*1)*(H169*0.35+J169*0.35+L169*0.3)</f>
        <v/>
      </c>
      <c r="Z169">
        <f>(Y169-$AJ$14)/$AK$14</f>
        <v/>
      </c>
      <c r="AA169">
        <f>IF(Z169&gt;0.7,"High",IF(Z169&gt;0.3,"Moderate",IF(Z169&gt;0.15,"Low","No Impact")))</f>
        <v/>
      </c>
      <c r="AB169">
        <f>F169*(R169*0.35+P169*0.3+N169*0.35)*(H169*0.35+J169*0.35+L169*0.3)</f>
        <v/>
      </c>
      <c r="AC169">
        <f>(AB169-$AJ$15)/$AK$15</f>
        <v/>
      </c>
      <c r="AD169">
        <f>IF(AC169&gt;0.7,"High",IF(AC169&gt;0.3,"Moderate",IF(AC169&gt;0.15,"Low","No Impact")))</f>
        <v/>
      </c>
      <c r="AE169">
        <f>F169*(N169*1)*(H169*0.35+J169*0.35+L169*0.3)</f>
        <v/>
      </c>
      <c r="AF169">
        <f>(AE169-$AJ$16)/$AK$16</f>
        <v/>
      </c>
      <c r="AG169">
        <f>IF(AF169&gt;0.7,"High",IF(AF169&gt;0.3,"Moderate",IF(AF169&gt;0.15,"Low","No Impact")))</f>
        <v/>
      </c>
    </row>
    <row r="170">
      <c r="A170" t="n">
        <v>302632</v>
      </c>
      <c r="B170" t="inlineStr">
        <is>
          <t>BD302632</t>
        </is>
      </c>
      <c r="C170" t="inlineStr">
        <is>
          <t>Dhaka</t>
        </is>
      </c>
      <c r="D170" t="inlineStr">
        <is>
          <t>Kadamtali</t>
        </is>
      </c>
      <c r="E170" s="3" t="n">
        <v>5.8</v>
      </c>
      <c r="F170" s="4">
        <f>(E170-$AJ$5)/$AK$5</f>
        <v/>
      </c>
      <c r="G170" t="n">
        <v>62.5226292</v>
      </c>
      <c r="H170">
        <f>(G170-$AJ$6)/$AK$6</f>
        <v/>
      </c>
      <c r="I170" t="n">
        <v>5.5</v>
      </c>
      <c r="J170" s="4">
        <f>(I170-$AJ$7)/$AK$7</f>
        <v/>
      </c>
      <c r="K170" t="n">
        <v>0</v>
      </c>
      <c r="L170" s="4">
        <f>(K170-$AJ$8)/$AK$8</f>
        <v/>
      </c>
      <c r="M170" t="n">
        <v>4323</v>
      </c>
      <c r="N170">
        <f>(M170-$AJ$9)/$AK$9</f>
        <v/>
      </c>
      <c r="O170" t="n">
        <v>0.717736627</v>
      </c>
      <c r="P170">
        <f>(O170-$AJ$11)/$AK$11</f>
        <v/>
      </c>
      <c r="Q170" t="n">
        <v>0.07729999999999999</v>
      </c>
      <c r="R170">
        <f>(Q170-$AJ$12)/$AK$12</f>
        <v/>
      </c>
      <c r="S170">
        <f>F170*(R170*0.5+P170*0.5)*(H170*0.35+J170*0.35+L170*0.3)</f>
        <v/>
      </c>
      <c r="T170" s="14">
        <f>(S170-$AJ$10)/$AK$10</f>
        <v/>
      </c>
      <c r="U170">
        <f>IF(T170&gt;0.7,"High",IF(T170&gt;0.3,"Moderate",IF(T170&gt;0.15,"Low","No Impact")))</f>
        <v/>
      </c>
      <c r="V170">
        <f>F170*(R170*1)*(H170*0.35+J170*0.35+L170*0.3)</f>
        <v/>
      </c>
      <c r="W170">
        <f>(V170-$AJ$13)/$AK$13</f>
        <v/>
      </c>
      <c r="X170">
        <f>IF(W170&gt;0.7,"High",IF(W170&gt;0.3,"Moderate",IF(W170&gt;0.15,"Low","No Impact")))</f>
        <v/>
      </c>
      <c r="Y170">
        <f>F170*(P170*1)*(H170*0.35+J170*0.35+L170*0.3)</f>
        <v/>
      </c>
      <c r="Z170">
        <f>(Y170-$AJ$14)/$AK$14</f>
        <v/>
      </c>
      <c r="AA170">
        <f>IF(Z170&gt;0.7,"High",IF(Z170&gt;0.3,"Moderate",IF(Z170&gt;0.15,"Low","No Impact")))</f>
        <v/>
      </c>
      <c r="AB170">
        <f>F170*(R170*0.35+P170*0.3+N170*0.35)*(H170*0.35+J170*0.35+L170*0.3)</f>
        <v/>
      </c>
      <c r="AC170">
        <f>(AB170-$AJ$15)/$AK$15</f>
        <v/>
      </c>
      <c r="AD170">
        <f>IF(AC170&gt;0.7,"High",IF(AC170&gt;0.3,"Moderate",IF(AC170&gt;0.15,"Low","No Impact")))</f>
        <v/>
      </c>
      <c r="AE170">
        <f>F170*(N170*1)*(H170*0.35+J170*0.35+L170*0.3)</f>
        <v/>
      </c>
      <c r="AF170">
        <f>(AE170-$AJ$16)/$AK$16</f>
        <v/>
      </c>
      <c r="AG170">
        <f>IF(AF170&gt;0.7,"High",IF(AF170&gt;0.3,"Moderate",IF(AF170&gt;0.15,"Low","No Impact")))</f>
        <v/>
      </c>
    </row>
    <row r="171">
      <c r="A171" t="n">
        <v>302633</v>
      </c>
      <c r="B171" t="inlineStr">
        <is>
          <t>BD302633</t>
        </is>
      </c>
      <c r="C171" t="inlineStr">
        <is>
          <t>Dhaka</t>
        </is>
      </c>
      <c r="D171" t="inlineStr">
        <is>
          <t>Kalabagan</t>
        </is>
      </c>
      <c r="E171" s="3" t="n">
        <v>5.7</v>
      </c>
      <c r="F171" s="4">
        <f>(E171-$AJ$5)/$AK$5</f>
        <v/>
      </c>
      <c r="G171" t="n">
        <v>62.5226292</v>
      </c>
      <c r="H171">
        <f>(G171-$AJ$6)/$AK$6</f>
        <v/>
      </c>
      <c r="I171" t="n">
        <v>5.5</v>
      </c>
      <c r="J171" s="4">
        <f>(I171-$AJ$7)/$AK$7</f>
        <v/>
      </c>
      <c r="K171" t="n">
        <v>0</v>
      </c>
      <c r="L171" s="4">
        <f>(K171-$AJ$8)/$AK$8</f>
        <v/>
      </c>
      <c r="M171" t="n">
        <v>731</v>
      </c>
      <c r="N171">
        <f>(M171-$AJ$9)/$AK$9</f>
        <v/>
      </c>
      <c r="O171" t="n">
        <v>0.32664743</v>
      </c>
      <c r="P171">
        <f>(O171-$AJ$11)/$AK$11</f>
        <v/>
      </c>
      <c r="Q171" t="n">
        <v>0.06</v>
      </c>
      <c r="R171">
        <f>(Q171-$AJ$12)/$AK$12</f>
        <v/>
      </c>
      <c r="S171">
        <f>F171*(R171*0.5+P171*0.5)*(H171*0.35+J171*0.35+L171*0.3)</f>
        <v/>
      </c>
      <c r="T171" s="14">
        <f>(S171-$AJ$10)/$AK$10</f>
        <v/>
      </c>
      <c r="U171">
        <f>IF(T171&gt;0.7,"High",IF(T171&gt;0.3,"Moderate",IF(T171&gt;0.15,"Low","No Impact")))</f>
        <v/>
      </c>
      <c r="V171">
        <f>F171*(R171*1)*(H171*0.35+J171*0.35+L171*0.3)</f>
        <v/>
      </c>
      <c r="W171">
        <f>(V171-$AJ$13)/$AK$13</f>
        <v/>
      </c>
      <c r="X171">
        <f>IF(W171&gt;0.7,"High",IF(W171&gt;0.3,"Moderate",IF(W171&gt;0.15,"Low","No Impact")))</f>
        <v/>
      </c>
      <c r="Y171">
        <f>F171*(P171*1)*(H171*0.35+J171*0.35+L171*0.3)</f>
        <v/>
      </c>
      <c r="Z171">
        <f>(Y171-$AJ$14)/$AK$14</f>
        <v/>
      </c>
      <c r="AA171">
        <f>IF(Z171&gt;0.7,"High",IF(Z171&gt;0.3,"Moderate",IF(Z171&gt;0.15,"Low","No Impact")))</f>
        <v/>
      </c>
      <c r="AB171">
        <f>F171*(R171*0.35+P171*0.3+N171*0.35)*(H171*0.35+J171*0.35+L171*0.3)</f>
        <v/>
      </c>
      <c r="AC171">
        <f>(AB171-$AJ$15)/$AK$15</f>
        <v/>
      </c>
      <c r="AD171">
        <f>IF(AC171&gt;0.7,"High",IF(AC171&gt;0.3,"Moderate",IF(AC171&gt;0.15,"Low","No Impact")))</f>
        <v/>
      </c>
      <c r="AE171">
        <f>F171*(N171*1)*(H171*0.35+J171*0.35+L171*0.3)</f>
        <v/>
      </c>
      <c r="AF171">
        <f>(AE171-$AJ$16)/$AK$16</f>
        <v/>
      </c>
      <c r="AG171">
        <f>IF(AF171&gt;0.7,"High",IF(AF171&gt;0.3,"Moderate",IF(AF171&gt;0.15,"Low","No Impact")))</f>
        <v/>
      </c>
    </row>
    <row r="172">
      <c r="A172" t="n">
        <v>302634</v>
      </c>
      <c r="B172" t="inlineStr">
        <is>
          <t>BD302634</t>
        </is>
      </c>
      <c r="C172" t="inlineStr">
        <is>
          <t>Dhaka</t>
        </is>
      </c>
      <c r="D172" t="inlineStr">
        <is>
          <t>Kamrangir Char</t>
        </is>
      </c>
      <c r="E172" s="3" t="n">
        <v>3.7</v>
      </c>
      <c r="F172" s="4">
        <f>(E172-$AJ$5)/$AK$5</f>
        <v/>
      </c>
      <c r="G172" t="n">
        <v>67.08239639999999</v>
      </c>
      <c r="H172">
        <f>(G172-$AJ$6)/$AK$6</f>
        <v/>
      </c>
      <c r="I172" t="n">
        <v>6.699999999999999</v>
      </c>
      <c r="J172" s="4">
        <f>(I172-$AJ$7)/$AK$7</f>
        <v/>
      </c>
      <c r="K172" t="n">
        <v>0</v>
      </c>
      <c r="L172" s="4">
        <f>(K172-$AJ$8)/$AK$8</f>
        <v/>
      </c>
      <c r="M172" t="n">
        <v>2173</v>
      </c>
      <c r="N172">
        <f>(M172-$AJ$9)/$AK$9</f>
        <v/>
      </c>
      <c r="O172" t="n">
        <v>0.591259604</v>
      </c>
      <c r="P172">
        <f>(O172-$AJ$11)/$AK$11</f>
        <v/>
      </c>
      <c r="Q172" t="n">
        <v>0.06370000000000001</v>
      </c>
      <c r="R172">
        <f>(Q172-$AJ$12)/$AK$12</f>
        <v/>
      </c>
      <c r="S172">
        <f>F172*(R172*0.5+P172*0.5)*(H172*0.35+J172*0.35+L172*0.3)</f>
        <v/>
      </c>
      <c r="T172" s="14">
        <f>(S172-$AJ$10)/$AK$10</f>
        <v/>
      </c>
      <c r="U172">
        <f>IF(T172&gt;0.7,"High",IF(T172&gt;0.3,"Moderate",IF(T172&gt;0.15,"Low","No Impact")))</f>
        <v/>
      </c>
      <c r="V172">
        <f>F172*(R172*1)*(H172*0.35+J172*0.35+L172*0.3)</f>
        <v/>
      </c>
      <c r="W172">
        <f>(V172-$AJ$13)/$AK$13</f>
        <v/>
      </c>
      <c r="X172">
        <f>IF(W172&gt;0.7,"High",IF(W172&gt;0.3,"Moderate",IF(W172&gt;0.15,"Low","No Impact")))</f>
        <v/>
      </c>
      <c r="Y172">
        <f>F172*(P172*1)*(H172*0.35+J172*0.35+L172*0.3)</f>
        <v/>
      </c>
      <c r="Z172">
        <f>(Y172-$AJ$14)/$AK$14</f>
        <v/>
      </c>
      <c r="AA172">
        <f>IF(Z172&gt;0.7,"High",IF(Z172&gt;0.3,"Moderate",IF(Z172&gt;0.15,"Low","No Impact")))</f>
        <v/>
      </c>
      <c r="AB172">
        <f>F172*(R172*0.35+P172*0.3+N172*0.35)*(H172*0.35+J172*0.35+L172*0.3)</f>
        <v/>
      </c>
      <c r="AC172">
        <f>(AB172-$AJ$15)/$AK$15</f>
        <v/>
      </c>
      <c r="AD172">
        <f>IF(AC172&gt;0.7,"High",IF(AC172&gt;0.3,"Moderate",IF(AC172&gt;0.15,"Low","No Impact")))</f>
        <v/>
      </c>
      <c r="AE172">
        <f>F172*(N172*1)*(H172*0.35+J172*0.35+L172*0.3)</f>
        <v/>
      </c>
      <c r="AF172">
        <f>(AE172-$AJ$16)/$AK$16</f>
        <v/>
      </c>
      <c r="AG172">
        <f>IF(AF172&gt;0.7,"High",IF(AF172&gt;0.3,"Moderate",IF(AF172&gt;0.15,"Low","No Impact")))</f>
        <v/>
      </c>
    </row>
    <row r="173">
      <c r="A173" t="n">
        <v>302636</v>
      </c>
      <c r="B173" t="inlineStr">
        <is>
          <t>BD302636</t>
        </is>
      </c>
      <c r="C173" t="inlineStr">
        <is>
          <t>Dhaka</t>
        </is>
      </c>
      <c r="D173" t="inlineStr">
        <is>
          <t>Khilgaon</t>
        </is>
      </c>
      <c r="E173" s="3" t="n">
        <v>5.9</v>
      </c>
      <c r="F173" s="4">
        <f>(E173-$AJ$5)/$AK$5</f>
        <v/>
      </c>
      <c r="G173" t="n">
        <v>62.5226292</v>
      </c>
      <c r="H173">
        <f>(G173-$AJ$6)/$AK$6</f>
        <v/>
      </c>
      <c r="I173" t="n">
        <v>5.5</v>
      </c>
      <c r="J173" s="4">
        <f>(I173-$AJ$7)/$AK$7</f>
        <v/>
      </c>
      <c r="K173" t="n">
        <v>0</v>
      </c>
      <c r="L173" s="4">
        <f>(K173-$AJ$8)/$AK$8</f>
        <v/>
      </c>
      <c r="M173" t="n">
        <v>13317</v>
      </c>
      <c r="N173">
        <f>(M173-$AJ$9)/$AK$9</f>
        <v/>
      </c>
      <c r="O173" t="n">
        <v>0.640715303</v>
      </c>
      <c r="P173">
        <f>(O173-$AJ$11)/$AK$11</f>
        <v/>
      </c>
      <c r="Q173" t="n">
        <v>0.1772</v>
      </c>
      <c r="R173">
        <f>(Q173-$AJ$12)/$AK$12</f>
        <v/>
      </c>
      <c r="S173">
        <f>F173*(R173*0.5+P173*0.5)*(H173*0.35+J173*0.35+L173*0.3)</f>
        <v/>
      </c>
      <c r="T173" s="14">
        <f>(S173-$AJ$10)/$AK$10</f>
        <v/>
      </c>
      <c r="U173">
        <f>IF(T173&gt;0.7,"High",IF(T173&gt;0.3,"Moderate",IF(T173&gt;0.15,"Low","No Impact")))</f>
        <v/>
      </c>
      <c r="V173">
        <f>F173*(R173*1)*(H173*0.35+J173*0.35+L173*0.3)</f>
        <v/>
      </c>
      <c r="W173">
        <f>(V173-$AJ$13)/$AK$13</f>
        <v/>
      </c>
      <c r="X173">
        <f>IF(W173&gt;0.7,"High",IF(W173&gt;0.3,"Moderate",IF(W173&gt;0.15,"Low","No Impact")))</f>
        <v/>
      </c>
      <c r="Y173">
        <f>F173*(P173*1)*(H173*0.35+J173*0.35+L173*0.3)</f>
        <v/>
      </c>
      <c r="Z173">
        <f>(Y173-$AJ$14)/$AK$14</f>
        <v/>
      </c>
      <c r="AA173">
        <f>IF(Z173&gt;0.7,"High",IF(Z173&gt;0.3,"Moderate",IF(Z173&gt;0.15,"Low","No Impact")))</f>
        <v/>
      </c>
      <c r="AB173">
        <f>F173*(R173*0.35+P173*0.3+N173*0.35)*(H173*0.35+J173*0.35+L173*0.3)</f>
        <v/>
      </c>
      <c r="AC173">
        <f>(AB173-$AJ$15)/$AK$15</f>
        <v/>
      </c>
      <c r="AD173">
        <f>IF(AC173&gt;0.7,"High",IF(AC173&gt;0.3,"Moderate",IF(AC173&gt;0.15,"Low","No Impact")))</f>
        <v/>
      </c>
      <c r="AE173">
        <f>F173*(N173*1)*(H173*0.35+J173*0.35+L173*0.3)</f>
        <v/>
      </c>
      <c r="AF173">
        <f>(AE173-$AJ$16)/$AK$16</f>
        <v/>
      </c>
      <c r="AG173">
        <f>IF(AF173&gt;0.7,"High",IF(AF173&gt;0.3,"Moderate",IF(AF173&gt;0.15,"Low","No Impact")))</f>
        <v/>
      </c>
    </row>
    <row r="174">
      <c r="A174" t="n">
        <v>302637</v>
      </c>
      <c r="B174" t="inlineStr">
        <is>
          <t>BD302637</t>
        </is>
      </c>
      <c r="C174" t="inlineStr">
        <is>
          <t>Dhaka</t>
        </is>
      </c>
      <c r="D174" t="inlineStr">
        <is>
          <t>Khilkhet</t>
        </is>
      </c>
      <c r="E174" s="3" t="n">
        <v>5.8</v>
      </c>
      <c r="F174" s="4">
        <f>(E174-$AJ$5)/$AK$5</f>
        <v/>
      </c>
      <c r="G174" t="n">
        <v>62.5226292</v>
      </c>
      <c r="H174">
        <f>(G174-$AJ$6)/$AK$6</f>
        <v/>
      </c>
      <c r="I174" t="n">
        <v>5.5</v>
      </c>
      <c r="J174" s="4">
        <f>(I174-$AJ$7)/$AK$7</f>
        <v/>
      </c>
      <c r="K174" t="n">
        <v>0</v>
      </c>
      <c r="L174" s="4">
        <f>(K174-$AJ$8)/$AK$8</f>
        <v/>
      </c>
      <c r="M174" t="n">
        <v>9630</v>
      </c>
      <c r="N174">
        <f>(M174-$AJ$9)/$AK$9</f>
        <v/>
      </c>
      <c r="O174" t="n">
        <v>0.387584001</v>
      </c>
      <c r="P174">
        <f>(O174-$AJ$11)/$AK$11</f>
        <v/>
      </c>
      <c r="Q174" t="n">
        <v>0.1852</v>
      </c>
      <c r="R174">
        <f>(Q174-$AJ$12)/$AK$12</f>
        <v/>
      </c>
      <c r="S174">
        <f>F174*(R174*0.5+P174*0.5)*(H174*0.35+J174*0.35+L174*0.3)</f>
        <v/>
      </c>
      <c r="T174" s="14">
        <f>(S174-$AJ$10)/$AK$10</f>
        <v/>
      </c>
      <c r="U174">
        <f>IF(T174&gt;0.7,"High",IF(T174&gt;0.3,"Moderate",IF(T174&gt;0.15,"Low","No Impact")))</f>
        <v/>
      </c>
      <c r="V174">
        <f>F174*(R174*1)*(H174*0.35+J174*0.35+L174*0.3)</f>
        <v/>
      </c>
      <c r="W174">
        <f>(V174-$AJ$13)/$AK$13</f>
        <v/>
      </c>
      <c r="X174">
        <f>IF(W174&gt;0.7,"High",IF(W174&gt;0.3,"Moderate",IF(W174&gt;0.15,"Low","No Impact")))</f>
        <v/>
      </c>
      <c r="Y174">
        <f>F174*(P174*1)*(H174*0.35+J174*0.35+L174*0.3)</f>
        <v/>
      </c>
      <c r="Z174">
        <f>(Y174-$AJ$14)/$AK$14</f>
        <v/>
      </c>
      <c r="AA174">
        <f>IF(Z174&gt;0.7,"High",IF(Z174&gt;0.3,"Moderate",IF(Z174&gt;0.15,"Low","No Impact")))</f>
        <v/>
      </c>
      <c r="AB174">
        <f>F174*(R174*0.35+P174*0.3+N174*0.35)*(H174*0.35+J174*0.35+L174*0.3)</f>
        <v/>
      </c>
      <c r="AC174">
        <f>(AB174-$AJ$15)/$AK$15</f>
        <v/>
      </c>
      <c r="AD174">
        <f>IF(AC174&gt;0.7,"High",IF(AC174&gt;0.3,"Moderate",IF(AC174&gt;0.15,"Low","No Impact")))</f>
        <v/>
      </c>
      <c r="AE174">
        <f>F174*(N174*1)*(H174*0.35+J174*0.35+L174*0.3)</f>
        <v/>
      </c>
      <c r="AF174">
        <f>(AE174-$AJ$16)/$AK$16</f>
        <v/>
      </c>
      <c r="AG174">
        <f>IF(AF174&gt;0.7,"High",IF(AF174&gt;0.3,"Moderate",IF(AF174&gt;0.15,"Low","No Impact")))</f>
        <v/>
      </c>
    </row>
    <row r="175">
      <c r="A175" t="n">
        <v>302638</v>
      </c>
      <c r="B175" t="inlineStr">
        <is>
          <t>BD302638</t>
        </is>
      </c>
      <c r="C175" t="inlineStr">
        <is>
          <t>Dhaka</t>
        </is>
      </c>
      <c r="D175" t="inlineStr">
        <is>
          <t>Keraniganj</t>
        </is>
      </c>
      <c r="E175" s="3" t="n">
        <v>5.6</v>
      </c>
      <c r="F175" s="4">
        <f>(E175-$AJ$5)/$AK$5</f>
        <v/>
      </c>
      <c r="G175" t="n">
        <v>67.08239639999999</v>
      </c>
      <c r="H175">
        <f>(G175-$AJ$6)/$AK$6</f>
        <v/>
      </c>
      <c r="I175" t="n">
        <v>7.9</v>
      </c>
      <c r="J175" s="4">
        <f>(I175-$AJ$7)/$AK$7</f>
        <v/>
      </c>
      <c r="K175" t="n">
        <v>0</v>
      </c>
      <c r="L175" s="4">
        <f>(K175-$AJ$8)/$AK$8</f>
        <v/>
      </c>
      <c r="M175" t="n">
        <v>88374</v>
      </c>
      <c r="N175">
        <f>(M175-$AJ$9)/$AK$9</f>
        <v/>
      </c>
      <c r="O175" t="n">
        <v>0.7414264189999999</v>
      </c>
      <c r="P175">
        <f>(O175-$AJ$11)/$AK$11</f>
        <v/>
      </c>
      <c r="Q175" t="n">
        <v>0.219</v>
      </c>
      <c r="R175">
        <f>(Q175-$AJ$12)/$AK$12</f>
        <v/>
      </c>
      <c r="S175">
        <f>F175*(R175*0.5+P175*0.5)*(H175*0.35+J175*0.35+L175*0.3)</f>
        <v/>
      </c>
      <c r="T175" s="14">
        <f>(S175-$AJ$10)/$AK$10</f>
        <v/>
      </c>
      <c r="U175">
        <f>IF(T175&gt;0.7,"High",IF(T175&gt;0.3,"Moderate",IF(T175&gt;0.15,"Low","No Impact")))</f>
        <v/>
      </c>
      <c r="V175">
        <f>F175*(R175*1)*(H175*0.35+J175*0.35+L175*0.3)</f>
        <v/>
      </c>
      <c r="W175">
        <f>(V175-$AJ$13)/$AK$13</f>
        <v/>
      </c>
      <c r="X175">
        <f>IF(W175&gt;0.7,"High",IF(W175&gt;0.3,"Moderate",IF(W175&gt;0.15,"Low","No Impact")))</f>
        <v/>
      </c>
      <c r="Y175">
        <f>F175*(P175*1)*(H175*0.35+J175*0.35+L175*0.3)</f>
        <v/>
      </c>
      <c r="Z175">
        <f>(Y175-$AJ$14)/$AK$14</f>
        <v/>
      </c>
      <c r="AA175">
        <f>IF(Z175&gt;0.7,"High",IF(Z175&gt;0.3,"Moderate",IF(Z175&gt;0.15,"Low","No Impact")))</f>
        <v/>
      </c>
      <c r="AB175">
        <f>F175*(R175*0.35+P175*0.3+N175*0.35)*(H175*0.35+J175*0.35+L175*0.3)</f>
        <v/>
      </c>
      <c r="AC175">
        <f>(AB175-$AJ$15)/$AK$15</f>
        <v/>
      </c>
      <c r="AD175">
        <f>IF(AC175&gt;0.7,"High",IF(AC175&gt;0.3,"Moderate",IF(AC175&gt;0.15,"Low","No Impact")))</f>
        <v/>
      </c>
      <c r="AE175">
        <f>F175*(N175*1)*(H175*0.35+J175*0.35+L175*0.3)</f>
        <v/>
      </c>
      <c r="AF175">
        <f>(AE175-$AJ$16)/$AK$16</f>
        <v/>
      </c>
      <c r="AG175">
        <f>IF(AF175&gt;0.7,"High",IF(AF175&gt;0.3,"Moderate",IF(AF175&gt;0.15,"Low","No Impact")))</f>
        <v/>
      </c>
    </row>
    <row r="176">
      <c r="A176" t="n">
        <v>302640</v>
      </c>
      <c r="B176" t="inlineStr">
        <is>
          <t>BD302640</t>
        </is>
      </c>
      <c r="C176" t="inlineStr">
        <is>
          <t>Dhaka</t>
        </is>
      </c>
      <c r="D176" t="inlineStr">
        <is>
          <t>Kotwali</t>
        </is>
      </c>
      <c r="E176" s="3" t="n">
        <v>5.7</v>
      </c>
      <c r="F176" s="4">
        <f>(E176-$AJ$5)/$AK$5</f>
        <v/>
      </c>
      <c r="G176" t="n">
        <v>62.5226292</v>
      </c>
      <c r="H176">
        <f>(G176-$AJ$6)/$AK$6</f>
        <v/>
      </c>
      <c r="I176" t="n">
        <v>5.5</v>
      </c>
      <c r="J176" s="4">
        <f>(I176-$AJ$7)/$AK$7</f>
        <v/>
      </c>
      <c r="K176" t="n">
        <v>0</v>
      </c>
      <c r="L176" s="4">
        <f>(K176-$AJ$8)/$AK$8</f>
        <v/>
      </c>
      <c r="M176" t="n">
        <v>383</v>
      </c>
      <c r="N176">
        <f>(M176-$AJ$9)/$AK$9</f>
        <v/>
      </c>
      <c r="O176" t="n">
        <v>0.438367219</v>
      </c>
      <c r="P176">
        <f>(O176-$AJ$11)/$AK$11</f>
        <v/>
      </c>
      <c r="Q176" t="n">
        <v>0.2596</v>
      </c>
      <c r="R176">
        <f>(Q176-$AJ$12)/$AK$12</f>
        <v/>
      </c>
      <c r="S176">
        <f>F176*(R176*0.5+P176*0.5)*(H176*0.35+J176*0.35+L176*0.3)</f>
        <v/>
      </c>
      <c r="T176" s="14">
        <f>(S176-$AJ$10)/$AK$10</f>
        <v/>
      </c>
      <c r="U176">
        <f>IF(T176&gt;0.7,"High",IF(T176&gt;0.3,"Moderate",IF(T176&gt;0.15,"Low","No Impact")))</f>
        <v/>
      </c>
      <c r="V176">
        <f>F176*(R176*1)*(H176*0.35+J176*0.35+L176*0.3)</f>
        <v/>
      </c>
      <c r="W176">
        <f>(V176-$AJ$13)/$AK$13</f>
        <v/>
      </c>
      <c r="X176">
        <f>IF(W176&gt;0.7,"High",IF(W176&gt;0.3,"Moderate",IF(W176&gt;0.15,"Low","No Impact")))</f>
        <v/>
      </c>
      <c r="Y176">
        <f>F176*(P176*1)*(H176*0.35+J176*0.35+L176*0.3)</f>
        <v/>
      </c>
      <c r="Z176">
        <f>(Y176-$AJ$14)/$AK$14</f>
        <v/>
      </c>
      <c r="AA176">
        <f>IF(Z176&gt;0.7,"High",IF(Z176&gt;0.3,"Moderate",IF(Z176&gt;0.15,"Low","No Impact")))</f>
        <v/>
      </c>
      <c r="AB176">
        <f>F176*(R176*0.35+P176*0.3+N176*0.35)*(H176*0.35+J176*0.35+L176*0.3)</f>
        <v/>
      </c>
      <c r="AC176">
        <f>(AB176-$AJ$15)/$AK$15</f>
        <v/>
      </c>
      <c r="AD176">
        <f>IF(AC176&gt;0.7,"High",IF(AC176&gt;0.3,"Moderate",IF(AC176&gt;0.15,"Low","No Impact")))</f>
        <v/>
      </c>
      <c r="AE176">
        <f>F176*(N176*1)*(H176*0.35+J176*0.35+L176*0.3)</f>
        <v/>
      </c>
      <c r="AF176">
        <f>(AE176-$AJ$16)/$AK$16</f>
        <v/>
      </c>
      <c r="AG176">
        <f>IF(AF176&gt;0.7,"High",IF(AF176&gt;0.3,"Moderate",IF(AF176&gt;0.15,"Low","No Impact")))</f>
        <v/>
      </c>
    </row>
    <row r="177">
      <c r="A177" t="n">
        <v>302642</v>
      </c>
      <c r="B177" t="inlineStr">
        <is>
          <t>BD302642</t>
        </is>
      </c>
      <c r="C177" t="inlineStr">
        <is>
          <t>Dhaka</t>
        </is>
      </c>
      <c r="D177" t="inlineStr">
        <is>
          <t>Lalbagh</t>
        </is>
      </c>
      <c r="E177" s="3" t="n">
        <v>5.8</v>
      </c>
      <c r="F177" s="4">
        <f>(E177-$AJ$5)/$AK$5</f>
        <v/>
      </c>
      <c r="G177" t="n">
        <v>67.08239639999999</v>
      </c>
      <c r="H177">
        <f>(G177-$AJ$6)/$AK$6</f>
        <v/>
      </c>
      <c r="I177" t="n">
        <v>6.699999999999999</v>
      </c>
      <c r="J177" s="4">
        <f>(I177-$AJ$7)/$AK$7</f>
        <v/>
      </c>
      <c r="K177" t="n">
        <v>0</v>
      </c>
      <c r="L177" s="4">
        <f>(K177-$AJ$8)/$AK$8</f>
        <v/>
      </c>
      <c r="M177" t="n">
        <v>3930</v>
      </c>
      <c r="N177">
        <f>(M177-$AJ$9)/$AK$9</f>
        <v/>
      </c>
      <c r="O177" t="n">
        <v>0.396377356</v>
      </c>
      <c r="P177">
        <f>(O177-$AJ$11)/$AK$11</f>
        <v/>
      </c>
      <c r="Q177" t="n">
        <v>0.0575</v>
      </c>
      <c r="R177">
        <f>(Q177-$AJ$12)/$AK$12</f>
        <v/>
      </c>
      <c r="S177">
        <f>F177*(R177*0.5+P177*0.5)*(H177*0.35+J177*0.35+L177*0.3)</f>
        <v/>
      </c>
      <c r="T177" s="14">
        <f>(S177-$AJ$10)/$AK$10</f>
        <v/>
      </c>
      <c r="U177">
        <f>IF(T177&gt;0.7,"High",IF(T177&gt;0.3,"Moderate",IF(T177&gt;0.15,"Low","No Impact")))</f>
        <v/>
      </c>
      <c r="V177">
        <f>F177*(R177*1)*(H177*0.35+J177*0.35+L177*0.3)</f>
        <v/>
      </c>
      <c r="W177">
        <f>(V177-$AJ$13)/$AK$13</f>
        <v/>
      </c>
      <c r="X177">
        <f>IF(W177&gt;0.7,"High",IF(W177&gt;0.3,"Moderate",IF(W177&gt;0.15,"Low","No Impact")))</f>
        <v/>
      </c>
      <c r="Y177">
        <f>F177*(P177*1)*(H177*0.35+J177*0.35+L177*0.3)</f>
        <v/>
      </c>
      <c r="Z177">
        <f>(Y177-$AJ$14)/$AK$14</f>
        <v/>
      </c>
      <c r="AA177">
        <f>IF(Z177&gt;0.7,"High",IF(Z177&gt;0.3,"Moderate",IF(Z177&gt;0.15,"Low","No Impact")))</f>
        <v/>
      </c>
      <c r="AB177">
        <f>F177*(R177*0.35+P177*0.3+N177*0.35)*(H177*0.35+J177*0.35+L177*0.3)</f>
        <v/>
      </c>
      <c r="AC177">
        <f>(AB177-$AJ$15)/$AK$15</f>
        <v/>
      </c>
      <c r="AD177">
        <f>IF(AC177&gt;0.7,"High",IF(AC177&gt;0.3,"Moderate",IF(AC177&gt;0.15,"Low","No Impact")))</f>
        <v/>
      </c>
      <c r="AE177">
        <f>F177*(N177*1)*(H177*0.35+J177*0.35+L177*0.3)</f>
        <v/>
      </c>
      <c r="AF177">
        <f>(AE177-$AJ$16)/$AK$16</f>
        <v/>
      </c>
      <c r="AG177">
        <f>IF(AF177&gt;0.7,"High",IF(AF177&gt;0.3,"Moderate",IF(AF177&gt;0.15,"Low","No Impact")))</f>
        <v/>
      </c>
    </row>
    <row r="178">
      <c r="A178" t="n">
        <v>302648</v>
      </c>
      <c r="B178" t="inlineStr">
        <is>
          <t>BD302648</t>
        </is>
      </c>
      <c r="C178" t="inlineStr">
        <is>
          <t>Dhaka</t>
        </is>
      </c>
      <c r="D178" t="inlineStr">
        <is>
          <t>Mirpur</t>
        </is>
      </c>
      <c r="E178" s="3" t="n">
        <v>5.7</v>
      </c>
      <c r="F178" s="4">
        <f>(E178-$AJ$5)/$AK$5</f>
        <v/>
      </c>
      <c r="G178" t="n">
        <v>67.08239639999999</v>
      </c>
      <c r="H178">
        <f>(G178-$AJ$6)/$AK$6</f>
        <v/>
      </c>
      <c r="I178" t="n">
        <v>6.699999999999999</v>
      </c>
      <c r="J178" s="4">
        <f>(I178-$AJ$7)/$AK$7</f>
        <v/>
      </c>
      <c r="K178" t="n">
        <v>0</v>
      </c>
      <c r="L178" s="4">
        <f>(K178-$AJ$8)/$AK$8</f>
        <v/>
      </c>
      <c r="M178" t="n">
        <v>5661</v>
      </c>
      <c r="N178">
        <f>(M178-$AJ$9)/$AK$9</f>
        <v/>
      </c>
      <c r="O178" t="n">
        <v>0.932704048</v>
      </c>
      <c r="P178">
        <f>(O178-$AJ$11)/$AK$11</f>
        <v/>
      </c>
      <c r="Q178" t="n">
        <v>0.2125</v>
      </c>
      <c r="R178">
        <f>(Q178-$AJ$12)/$AK$12</f>
        <v/>
      </c>
      <c r="S178">
        <f>F178*(R178*0.5+P178*0.5)*(H178*0.35+J178*0.35+L178*0.3)</f>
        <v/>
      </c>
      <c r="T178" s="14">
        <f>(S178-$AJ$10)/$AK$10</f>
        <v/>
      </c>
      <c r="U178">
        <f>IF(T178&gt;0.7,"High",IF(T178&gt;0.3,"Moderate",IF(T178&gt;0.15,"Low","No Impact")))</f>
        <v/>
      </c>
      <c r="V178">
        <f>F178*(R178*1)*(H178*0.35+J178*0.35+L178*0.3)</f>
        <v/>
      </c>
      <c r="W178">
        <f>(V178-$AJ$13)/$AK$13</f>
        <v/>
      </c>
      <c r="X178">
        <f>IF(W178&gt;0.7,"High",IF(W178&gt;0.3,"Moderate",IF(W178&gt;0.15,"Low","No Impact")))</f>
        <v/>
      </c>
      <c r="Y178">
        <f>F178*(P178*1)*(H178*0.35+J178*0.35+L178*0.3)</f>
        <v/>
      </c>
      <c r="Z178">
        <f>(Y178-$AJ$14)/$AK$14</f>
        <v/>
      </c>
      <c r="AA178">
        <f>IF(Z178&gt;0.7,"High",IF(Z178&gt;0.3,"Moderate",IF(Z178&gt;0.15,"Low","No Impact")))</f>
        <v/>
      </c>
      <c r="AB178">
        <f>F178*(R178*0.35+P178*0.3+N178*0.35)*(H178*0.35+J178*0.35+L178*0.3)</f>
        <v/>
      </c>
      <c r="AC178">
        <f>(AB178-$AJ$15)/$AK$15</f>
        <v/>
      </c>
      <c r="AD178">
        <f>IF(AC178&gt;0.7,"High",IF(AC178&gt;0.3,"Moderate",IF(AC178&gt;0.15,"Low","No Impact")))</f>
        <v/>
      </c>
      <c r="AE178">
        <f>F178*(N178*1)*(H178*0.35+J178*0.35+L178*0.3)</f>
        <v/>
      </c>
      <c r="AF178">
        <f>(AE178-$AJ$16)/$AK$16</f>
        <v/>
      </c>
      <c r="AG178">
        <f>IF(AF178&gt;0.7,"High",IF(AF178&gt;0.3,"Moderate",IF(AF178&gt;0.15,"Low","No Impact")))</f>
        <v/>
      </c>
    </row>
    <row r="179">
      <c r="A179" t="n">
        <v>302650</v>
      </c>
      <c r="B179" t="inlineStr">
        <is>
          <t>BD302650</t>
        </is>
      </c>
      <c r="C179" t="inlineStr">
        <is>
          <t>Dhaka</t>
        </is>
      </c>
      <c r="D179" t="inlineStr">
        <is>
          <t>Mohammadpur</t>
        </is>
      </c>
      <c r="E179" s="3" t="n">
        <v>5.8</v>
      </c>
      <c r="F179" s="4">
        <f>(E179-$AJ$5)/$AK$5</f>
        <v/>
      </c>
      <c r="G179" t="n">
        <v>67.08239639999999</v>
      </c>
      <c r="H179">
        <f>(G179-$AJ$6)/$AK$6</f>
        <v/>
      </c>
      <c r="I179" t="n">
        <v>6.699999999999999</v>
      </c>
      <c r="J179" s="4">
        <f>(I179-$AJ$7)/$AK$7</f>
        <v/>
      </c>
      <c r="K179" t="n">
        <v>0</v>
      </c>
      <c r="L179" s="4">
        <f>(K179-$AJ$8)/$AK$8</f>
        <v/>
      </c>
      <c r="M179" t="n">
        <v>4452</v>
      </c>
      <c r="N179">
        <f>(M179-$AJ$9)/$AK$9</f>
        <v/>
      </c>
      <c r="O179" t="n">
        <v>0.647590648</v>
      </c>
      <c r="P179">
        <f>(O179-$AJ$11)/$AK$11</f>
        <v/>
      </c>
      <c r="Q179" t="n">
        <v>0.09229999999999999</v>
      </c>
      <c r="R179">
        <f>(Q179-$AJ$12)/$AK$12</f>
        <v/>
      </c>
      <c r="S179">
        <f>F179*(R179*0.5+P179*0.5)*(H179*0.35+J179*0.35+L179*0.3)</f>
        <v/>
      </c>
      <c r="T179" s="14">
        <f>(S179-$AJ$10)/$AK$10</f>
        <v/>
      </c>
      <c r="U179">
        <f>IF(T179&gt;0.7,"High",IF(T179&gt;0.3,"Moderate",IF(T179&gt;0.15,"Low","No Impact")))</f>
        <v/>
      </c>
      <c r="V179">
        <f>F179*(R179*1)*(H179*0.35+J179*0.35+L179*0.3)</f>
        <v/>
      </c>
      <c r="W179">
        <f>(V179-$AJ$13)/$AK$13</f>
        <v/>
      </c>
      <c r="X179">
        <f>IF(W179&gt;0.7,"High",IF(W179&gt;0.3,"Moderate",IF(W179&gt;0.15,"Low","No Impact")))</f>
        <v/>
      </c>
      <c r="Y179">
        <f>F179*(P179*1)*(H179*0.35+J179*0.35+L179*0.3)</f>
        <v/>
      </c>
      <c r="Z179">
        <f>(Y179-$AJ$14)/$AK$14</f>
        <v/>
      </c>
      <c r="AA179">
        <f>IF(Z179&gt;0.7,"High",IF(Z179&gt;0.3,"Moderate",IF(Z179&gt;0.15,"Low","No Impact")))</f>
        <v/>
      </c>
      <c r="AB179">
        <f>F179*(R179*0.35+P179*0.3+N179*0.35)*(H179*0.35+J179*0.35+L179*0.3)</f>
        <v/>
      </c>
      <c r="AC179">
        <f>(AB179-$AJ$15)/$AK$15</f>
        <v/>
      </c>
      <c r="AD179">
        <f>IF(AC179&gt;0.7,"High",IF(AC179&gt;0.3,"Moderate",IF(AC179&gt;0.15,"Low","No Impact")))</f>
        <v/>
      </c>
      <c r="AE179">
        <f>F179*(N179*1)*(H179*0.35+J179*0.35+L179*0.3)</f>
        <v/>
      </c>
      <c r="AF179">
        <f>(AE179-$AJ$16)/$AK$16</f>
        <v/>
      </c>
      <c r="AG179">
        <f>IF(AF179&gt;0.7,"High",IF(AF179&gt;0.3,"Moderate",IF(AF179&gt;0.15,"Low","No Impact")))</f>
        <v/>
      </c>
    </row>
    <row r="180">
      <c r="A180" t="n">
        <v>302654</v>
      </c>
      <c r="B180" t="inlineStr">
        <is>
          <t>BD302654</t>
        </is>
      </c>
      <c r="C180" t="inlineStr">
        <is>
          <t>Dhaka</t>
        </is>
      </c>
      <c r="D180" t="inlineStr">
        <is>
          <t>Motijheel</t>
        </is>
      </c>
      <c r="E180" s="3" t="n">
        <v>5.8</v>
      </c>
      <c r="F180" s="4">
        <f>(E180-$AJ$5)/$AK$5</f>
        <v/>
      </c>
      <c r="G180" t="n">
        <v>62.5226292</v>
      </c>
      <c r="H180">
        <f>(G180-$AJ$6)/$AK$6</f>
        <v/>
      </c>
      <c r="I180" t="n">
        <v>5.5</v>
      </c>
      <c r="J180" s="4">
        <f>(I180-$AJ$7)/$AK$7</f>
        <v/>
      </c>
      <c r="K180" t="n">
        <v>0</v>
      </c>
      <c r="L180" s="4">
        <f>(K180-$AJ$8)/$AK$8</f>
        <v/>
      </c>
      <c r="M180" t="n">
        <v>2689</v>
      </c>
      <c r="N180">
        <f>(M180-$AJ$9)/$AK$9</f>
        <v/>
      </c>
      <c r="O180" t="n">
        <v>0.910859165</v>
      </c>
      <c r="P180">
        <f>(O180-$AJ$11)/$AK$11</f>
        <v/>
      </c>
      <c r="Q180" t="n">
        <v>0.06</v>
      </c>
      <c r="R180">
        <f>(Q180-$AJ$12)/$AK$12</f>
        <v/>
      </c>
      <c r="S180">
        <f>F180*(R180*0.5+P180*0.5)*(H180*0.35+J180*0.35+L180*0.3)</f>
        <v/>
      </c>
      <c r="T180" s="14">
        <f>(S180-$AJ$10)/$AK$10</f>
        <v/>
      </c>
      <c r="U180">
        <f>IF(T180&gt;0.7,"High",IF(T180&gt;0.3,"Moderate",IF(T180&gt;0.15,"Low","No Impact")))</f>
        <v/>
      </c>
      <c r="V180">
        <f>F180*(R180*1)*(H180*0.35+J180*0.35+L180*0.3)</f>
        <v/>
      </c>
      <c r="W180">
        <f>(V180-$AJ$13)/$AK$13</f>
        <v/>
      </c>
      <c r="X180">
        <f>IF(W180&gt;0.7,"High",IF(W180&gt;0.3,"Moderate",IF(W180&gt;0.15,"Low","No Impact")))</f>
        <v/>
      </c>
      <c r="Y180">
        <f>F180*(P180*1)*(H180*0.35+J180*0.35+L180*0.3)</f>
        <v/>
      </c>
      <c r="Z180">
        <f>(Y180-$AJ$14)/$AK$14</f>
        <v/>
      </c>
      <c r="AA180">
        <f>IF(Z180&gt;0.7,"High",IF(Z180&gt;0.3,"Moderate",IF(Z180&gt;0.15,"Low","No Impact")))</f>
        <v/>
      </c>
      <c r="AB180">
        <f>F180*(R180*0.35+P180*0.3+N180*0.35)*(H180*0.35+J180*0.35+L180*0.3)</f>
        <v/>
      </c>
      <c r="AC180">
        <f>(AB180-$AJ$15)/$AK$15</f>
        <v/>
      </c>
      <c r="AD180">
        <f>IF(AC180&gt;0.7,"High",IF(AC180&gt;0.3,"Moderate",IF(AC180&gt;0.15,"Low","No Impact")))</f>
        <v/>
      </c>
      <c r="AE180">
        <f>F180*(N180*1)*(H180*0.35+J180*0.35+L180*0.3)</f>
        <v/>
      </c>
      <c r="AF180">
        <f>(AE180-$AJ$16)/$AK$16</f>
        <v/>
      </c>
      <c r="AG180">
        <f>IF(AF180&gt;0.7,"High",IF(AF180&gt;0.3,"Moderate",IF(AF180&gt;0.15,"Low","No Impact")))</f>
        <v/>
      </c>
    </row>
    <row r="181">
      <c r="A181" t="n">
        <v>302662</v>
      </c>
      <c r="B181" t="inlineStr">
        <is>
          <t>BD302662</t>
        </is>
      </c>
      <c r="C181" t="inlineStr">
        <is>
          <t>Dhaka</t>
        </is>
      </c>
      <c r="D181" t="inlineStr">
        <is>
          <t>Nawabganj</t>
        </is>
      </c>
      <c r="E181" s="3" t="n">
        <v>5.6</v>
      </c>
      <c r="F181" s="4">
        <f>(E181-$AJ$5)/$AK$5</f>
        <v/>
      </c>
      <c r="G181" t="n">
        <v>77.13356760000001</v>
      </c>
      <c r="H181">
        <f>(G181-$AJ$6)/$AK$6</f>
        <v/>
      </c>
      <c r="I181" t="n">
        <v>11.1</v>
      </c>
      <c r="J181" s="4">
        <f>(I181-$AJ$7)/$AK$7</f>
        <v/>
      </c>
      <c r="K181" t="n">
        <v>0</v>
      </c>
      <c r="L181" s="4">
        <f>(K181-$AJ$8)/$AK$8</f>
        <v/>
      </c>
      <c r="M181" t="n">
        <v>31650</v>
      </c>
      <c r="N181">
        <f>(M181-$AJ$9)/$AK$9</f>
        <v/>
      </c>
      <c r="O181" t="n">
        <v>0.733575028</v>
      </c>
      <c r="P181">
        <f>(O181-$AJ$11)/$AK$11</f>
        <v/>
      </c>
      <c r="Q181" t="n">
        <v>0.248</v>
      </c>
      <c r="R181">
        <f>(Q181-$AJ$12)/$AK$12</f>
        <v/>
      </c>
      <c r="S181">
        <f>F181*(R181*0.5+P181*0.5)*(H181*0.35+J181*0.35+L181*0.3)</f>
        <v/>
      </c>
      <c r="T181" s="14">
        <f>(S181-$AJ$10)/$AK$10</f>
        <v/>
      </c>
      <c r="U181">
        <f>IF(T181&gt;0.7,"High",IF(T181&gt;0.3,"Moderate",IF(T181&gt;0.15,"Low","No Impact")))</f>
        <v/>
      </c>
      <c r="V181">
        <f>F181*(R181*1)*(H181*0.35+J181*0.35+L181*0.3)</f>
        <v/>
      </c>
      <c r="W181">
        <f>(V181-$AJ$13)/$AK$13</f>
        <v/>
      </c>
      <c r="X181">
        <f>IF(W181&gt;0.7,"High",IF(W181&gt;0.3,"Moderate",IF(W181&gt;0.15,"Low","No Impact")))</f>
        <v/>
      </c>
      <c r="Y181">
        <f>F181*(P181*1)*(H181*0.35+J181*0.35+L181*0.3)</f>
        <v/>
      </c>
      <c r="Z181">
        <f>(Y181-$AJ$14)/$AK$14</f>
        <v/>
      </c>
      <c r="AA181">
        <f>IF(Z181&gt;0.7,"High",IF(Z181&gt;0.3,"Moderate",IF(Z181&gt;0.15,"Low","No Impact")))</f>
        <v/>
      </c>
      <c r="AB181">
        <f>F181*(R181*0.35+P181*0.3+N181*0.35)*(H181*0.35+J181*0.35+L181*0.3)</f>
        <v/>
      </c>
      <c r="AC181">
        <f>(AB181-$AJ$15)/$AK$15</f>
        <v/>
      </c>
      <c r="AD181">
        <f>IF(AC181&gt;0.7,"High",IF(AC181&gt;0.3,"Moderate",IF(AC181&gt;0.15,"Low","No Impact")))</f>
        <v/>
      </c>
      <c r="AE181">
        <f>F181*(N181*1)*(H181*0.35+J181*0.35+L181*0.3)</f>
        <v/>
      </c>
      <c r="AF181">
        <f>(AE181-$AJ$16)/$AK$16</f>
        <v/>
      </c>
      <c r="AG181">
        <f>IF(AF181&gt;0.7,"High",IF(AF181&gt;0.3,"Moderate",IF(AF181&gt;0.15,"Low","No Impact")))</f>
        <v/>
      </c>
    </row>
    <row r="182">
      <c r="A182" t="n">
        <v>302663</v>
      </c>
      <c r="B182" t="inlineStr">
        <is>
          <t>BD302663</t>
        </is>
      </c>
      <c r="C182" t="inlineStr">
        <is>
          <t>Dhaka</t>
        </is>
      </c>
      <c r="D182" t="inlineStr">
        <is>
          <t>New Market</t>
        </is>
      </c>
      <c r="E182" s="3" t="n">
        <v>5.8</v>
      </c>
      <c r="F182" s="4">
        <f>(E182-$AJ$5)/$AK$5</f>
        <v/>
      </c>
      <c r="G182" t="n">
        <v>67.08239639999999</v>
      </c>
      <c r="H182">
        <f>(G182-$AJ$6)/$AK$6</f>
        <v/>
      </c>
      <c r="I182" t="n">
        <v>6.699999999999999</v>
      </c>
      <c r="J182" s="4">
        <f>(I182-$AJ$7)/$AK$7</f>
        <v/>
      </c>
      <c r="K182" t="n">
        <v>0</v>
      </c>
      <c r="L182" s="4">
        <f>(K182-$AJ$8)/$AK$8</f>
        <v/>
      </c>
      <c r="M182" t="n">
        <v>580</v>
      </c>
      <c r="N182">
        <f>(M182-$AJ$9)/$AK$9</f>
        <v/>
      </c>
      <c r="O182" t="n">
        <v>0.6786009200000001</v>
      </c>
      <c r="P182">
        <f>(O182-$AJ$11)/$AK$11</f>
        <v/>
      </c>
      <c r="Q182" t="n">
        <v>0.06</v>
      </c>
      <c r="R182">
        <f>(Q182-$AJ$12)/$AK$12</f>
        <v/>
      </c>
      <c r="S182">
        <f>F182*(R182*0.5+P182*0.5)*(H182*0.35+J182*0.35+L182*0.3)</f>
        <v/>
      </c>
      <c r="T182" s="14">
        <f>(S182-$AJ$10)/$AK$10</f>
        <v/>
      </c>
      <c r="U182">
        <f>IF(T182&gt;0.7,"High",IF(T182&gt;0.3,"Moderate",IF(T182&gt;0.15,"Low","No Impact")))</f>
        <v/>
      </c>
      <c r="V182">
        <f>F182*(R182*1)*(H182*0.35+J182*0.35+L182*0.3)</f>
        <v/>
      </c>
      <c r="W182">
        <f>(V182-$AJ$13)/$AK$13</f>
        <v/>
      </c>
      <c r="X182">
        <f>IF(W182&gt;0.7,"High",IF(W182&gt;0.3,"Moderate",IF(W182&gt;0.15,"Low","No Impact")))</f>
        <v/>
      </c>
      <c r="Y182">
        <f>F182*(P182*1)*(H182*0.35+J182*0.35+L182*0.3)</f>
        <v/>
      </c>
      <c r="Z182">
        <f>(Y182-$AJ$14)/$AK$14</f>
        <v/>
      </c>
      <c r="AA182">
        <f>IF(Z182&gt;0.7,"High",IF(Z182&gt;0.3,"Moderate",IF(Z182&gt;0.15,"Low","No Impact")))</f>
        <v/>
      </c>
      <c r="AB182">
        <f>F182*(R182*0.35+P182*0.3+N182*0.35)*(H182*0.35+J182*0.35+L182*0.3)</f>
        <v/>
      </c>
      <c r="AC182">
        <f>(AB182-$AJ$15)/$AK$15</f>
        <v/>
      </c>
      <c r="AD182">
        <f>IF(AC182&gt;0.7,"High",IF(AC182&gt;0.3,"Moderate",IF(AC182&gt;0.15,"Low","No Impact")))</f>
        <v/>
      </c>
      <c r="AE182">
        <f>F182*(N182*1)*(H182*0.35+J182*0.35+L182*0.3)</f>
        <v/>
      </c>
      <c r="AF182">
        <f>(AE182-$AJ$16)/$AK$16</f>
        <v/>
      </c>
      <c r="AG182">
        <f>IF(AF182&gt;0.7,"High",IF(AF182&gt;0.3,"Moderate",IF(AF182&gt;0.15,"Low","No Impact")))</f>
        <v/>
      </c>
    </row>
    <row r="183">
      <c r="A183" t="n">
        <v>302664</v>
      </c>
      <c r="B183" t="inlineStr">
        <is>
          <t>BD302664</t>
        </is>
      </c>
      <c r="C183" t="inlineStr">
        <is>
          <t>Dhaka</t>
        </is>
      </c>
      <c r="D183" t="inlineStr">
        <is>
          <t>Pallabi</t>
        </is>
      </c>
      <c r="E183" s="3" t="n">
        <v>5.4</v>
      </c>
      <c r="F183" s="4">
        <f>(E183-$AJ$5)/$AK$5</f>
        <v/>
      </c>
      <c r="G183" t="n">
        <v>67.08239639999999</v>
      </c>
      <c r="H183">
        <f>(G183-$AJ$6)/$AK$6</f>
        <v/>
      </c>
      <c r="I183" t="n">
        <v>6.699999999999999</v>
      </c>
      <c r="J183" s="4">
        <f>(I183-$AJ$7)/$AK$7</f>
        <v/>
      </c>
      <c r="K183" t="n">
        <v>0</v>
      </c>
      <c r="L183" s="4">
        <f>(K183-$AJ$8)/$AK$8</f>
        <v/>
      </c>
      <c r="M183" t="n">
        <v>9521</v>
      </c>
      <c r="N183">
        <f>(M183-$AJ$9)/$AK$9</f>
        <v/>
      </c>
      <c r="O183" t="n">
        <v>0.508639185</v>
      </c>
      <c r="P183">
        <f>(O183-$AJ$11)/$AK$11</f>
        <v/>
      </c>
      <c r="Q183" t="n">
        <v>0.1464</v>
      </c>
      <c r="R183">
        <f>(Q183-$AJ$12)/$AK$12</f>
        <v/>
      </c>
      <c r="S183">
        <f>F183*(R183*0.5+P183*0.5)*(H183*0.35+J183*0.35+L183*0.3)</f>
        <v/>
      </c>
      <c r="T183" s="14">
        <f>(S183-$AJ$10)/$AK$10</f>
        <v/>
      </c>
      <c r="U183">
        <f>IF(T183&gt;0.7,"High",IF(T183&gt;0.3,"Moderate",IF(T183&gt;0.15,"Low","No Impact")))</f>
        <v/>
      </c>
      <c r="V183">
        <f>F183*(R183*1)*(H183*0.35+J183*0.35+L183*0.3)</f>
        <v/>
      </c>
      <c r="W183">
        <f>(V183-$AJ$13)/$AK$13</f>
        <v/>
      </c>
      <c r="X183">
        <f>IF(W183&gt;0.7,"High",IF(W183&gt;0.3,"Moderate",IF(W183&gt;0.15,"Low","No Impact")))</f>
        <v/>
      </c>
      <c r="Y183">
        <f>F183*(P183*1)*(H183*0.35+J183*0.35+L183*0.3)</f>
        <v/>
      </c>
      <c r="Z183">
        <f>(Y183-$AJ$14)/$AK$14</f>
        <v/>
      </c>
      <c r="AA183">
        <f>IF(Z183&gt;0.7,"High",IF(Z183&gt;0.3,"Moderate",IF(Z183&gt;0.15,"Low","No Impact")))</f>
        <v/>
      </c>
      <c r="AB183">
        <f>F183*(R183*0.35+P183*0.3+N183*0.35)*(H183*0.35+J183*0.35+L183*0.3)</f>
        <v/>
      </c>
      <c r="AC183">
        <f>(AB183-$AJ$15)/$AK$15</f>
        <v/>
      </c>
      <c r="AD183">
        <f>IF(AC183&gt;0.7,"High",IF(AC183&gt;0.3,"Moderate",IF(AC183&gt;0.15,"Low","No Impact")))</f>
        <v/>
      </c>
      <c r="AE183">
        <f>F183*(N183*1)*(H183*0.35+J183*0.35+L183*0.3)</f>
        <v/>
      </c>
      <c r="AF183">
        <f>(AE183-$AJ$16)/$AK$16</f>
        <v/>
      </c>
      <c r="AG183">
        <f>IF(AF183&gt;0.7,"High",IF(AF183&gt;0.3,"Moderate",IF(AF183&gt;0.15,"Low","No Impact")))</f>
        <v/>
      </c>
    </row>
    <row r="184">
      <c r="A184" t="n">
        <v>302665</v>
      </c>
      <c r="B184" t="inlineStr">
        <is>
          <t>BD302665</t>
        </is>
      </c>
      <c r="C184" t="inlineStr">
        <is>
          <t>Dhaka</t>
        </is>
      </c>
      <c r="D184" t="inlineStr">
        <is>
          <t>Paltan</t>
        </is>
      </c>
      <c r="E184" s="3" t="n">
        <v>5.7</v>
      </c>
      <c r="F184" s="4">
        <f>(E184-$AJ$5)/$AK$5</f>
        <v/>
      </c>
      <c r="G184" t="n">
        <v>62.5226292</v>
      </c>
      <c r="H184">
        <f>(G184-$AJ$6)/$AK$6</f>
        <v/>
      </c>
      <c r="I184" t="n">
        <v>5.5</v>
      </c>
      <c r="J184" s="4">
        <f>(I184-$AJ$7)/$AK$7</f>
        <v/>
      </c>
      <c r="K184" t="n">
        <v>0</v>
      </c>
      <c r="L184" s="4">
        <f>(K184-$AJ$8)/$AK$8</f>
        <v/>
      </c>
      <c r="M184" t="n">
        <v>723</v>
      </c>
      <c r="N184">
        <f>(M184-$AJ$9)/$AK$9</f>
        <v/>
      </c>
      <c r="O184" t="n">
        <v>0.36898089</v>
      </c>
      <c r="P184">
        <f>(O184-$AJ$11)/$AK$11</f>
        <v/>
      </c>
      <c r="Q184" t="n">
        <v>0.06</v>
      </c>
      <c r="R184">
        <f>(Q184-$AJ$12)/$AK$12</f>
        <v/>
      </c>
      <c r="S184">
        <f>F184*(R184*0.5+P184*0.5)*(H184*0.35+J184*0.35+L184*0.3)</f>
        <v/>
      </c>
      <c r="T184" s="14">
        <f>(S184-$AJ$10)/$AK$10</f>
        <v/>
      </c>
      <c r="U184">
        <f>IF(T184&gt;0.7,"High",IF(T184&gt;0.3,"Moderate",IF(T184&gt;0.15,"Low","No Impact")))</f>
        <v/>
      </c>
      <c r="V184">
        <f>F184*(R184*1)*(H184*0.35+J184*0.35+L184*0.3)</f>
        <v/>
      </c>
      <c r="W184">
        <f>(V184-$AJ$13)/$AK$13</f>
        <v/>
      </c>
      <c r="X184">
        <f>IF(W184&gt;0.7,"High",IF(W184&gt;0.3,"Moderate",IF(W184&gt;0.15,"Low","No Impact")))</f>
        <v/>
      </c>
      <c r="Y184">
        <f>F184*(P184*1)*(H184*0.35+J184*0.35+L184*0.3)</f>
        <v/>
      </c>
      <c r="Z184">
        <f>(Y184-$AJ$14)/$AK$14</f>
        <v/>
      </c>
      <c r="AA184">
        <f>IF(Z184&gt;0.7,"High",IF(Z184&gt;0.3,"Moderate",IF(Z184&gt;0.15,"Low","No Impact")))</f>
        <v/>
      </c>
      <c r="AB184">
        <f>F184*(R184*0.35+P184*0.3+N184*0.35)*(H184*0.35+J184*0.35+L184*0.3)</f>
        <v/>
      </c>
      <c r="AC184">
        <f>(AB184-$AJ$15)/$AK$15</f>
        <v/>
      </c>
      <c r="AD184">
        <f>IF(AC184&gt;0.7,"High",IF(AC184&gt;0.3,"Moderate",IF(AC184&gt;0.15,"Low","No Impact")))</f>
        <v/>
      </c>
      <c r="AE184">
        <f>F184*(N184*1)*(H184*0.35+J184*0.35+L184*0.3)</f>
        <v/>
      </c>
      <c r="AF184">
        <f>(AE184-$AJ$16)/$AK$16</f>
        <v/>
      </c>
      <c r="AG184">
        <f>IF(AF184&gt;0.7,"High",IF(AF184&gt;0.3,"Moderate",IF(AF184&gt;0.15,"Low","No Impact")))</f>
        <v/>
      </c>
    </row>
    <row r="185">
      <c r="A185" t="n">
        <v>302666</v>
      </c>
      <c r="B185" t="inlineStr">
        <is>
          <t>BD302666</t>
        </is>
      </c>
      <c r="C185" t="inlineStr">
        <is>
          <t>Dhaka</t>
        </is>
      </c>
      <c r="D185" t="inlineStr">
        <is>
          <t>Ramna</t>
        </is>
      </c>
      <c r="E185" s="3" t="n">
        <v>5.7</v>
      </c>
      <c r="F185" s="4">
        <f>(E185-$AJ$5)/$AK$5</f>
        <v/>
      </c>
      <c r="G185" t="n">
        <v>62.5226292</v>
      </c>
      <c r="H185">
        <f>(G185-$AJ$6)/$AK$6</f>
        <v/>
      </c>
      <c r="I185" t="n">
        <v>5.5</v>
      </c>
      <c r="J185" s="4">
        <f>(I185-$AJ$7)/$AK$7</f>
        <v/>
      </c>
      <c r="K185" t="n">
        <v>0</v>
      </c>
      <c r="L185" s="4">
        <f>(K185-$AJ$8)/$AK$8</f>
        <v/>
      </c>
      <c r="M185" t="n">
        <v>2576</v>
      </c>
      <c r="N185">
        <f>(M185-$AJ$9)/$AK$9</f>
        <v/>
      </c>
      <c r="O185" t="n">
        <v>0.657875537</v>
      </c>
      <c r="P185">
        <f>(O185-$AJ$11)/$AK$11</f>
        <v/>
      </c>
      <c r="Q185" t="n">
        <v>0.06</v>
      </c>
      <c r="R185">
        <f>(Q185-$AJ$12)/$AK$12</f>
        <v/>
      </c>
      <c r="S185">
        <f>F185*(R185*0.5+P185*0.5)*(H185*0.35+J185*0.35+L185*0.3)</f>
        <v/>
      </c>
      <c r="T185" s="14">
        <f>(S185-$AJ$10)/$AK$10</f>
        <v/>
      </c>
      <c r="U185">
        <f>IF(T185&gt;0.7,"High",IF(T185&gt;0.3,"Moderate",IF(T185&gt;0.15,"Low","No Impact")))</f>
        <v/>
      </c>
      <c r="V185">
        <f>F185*(R185*1)*(H185*0.35+J185*0.35+L185*0.3)</f>
        <v/>
      </c>
      <c r="W185">
        <f>(V185-$AJ$13)/$AK$13</f>
        <v/>
      </c>
      <c r="X185">
        <f>IF(W185&gt;0.7,"High",IF(W185&gt;0.3,"Moderate",IF(W185&gt;0.15,"Low","No Impact")))</f>
        <v/>
      </c>
      <c r="Y185">
        <f>F185*(P185*1)*(H185*0.35+J185*0.35+L185*0.3)</f>
        <v/>
      </c>
      <c r="Z185">
        <f>(Y185-$AJ$14)/$AK$14</f>
        <v/>
      </c>
      <c r="AA185">
        <f>IF(Z185&gt;0.7,"High",IF(Z185&gt;0.3,"Moderate",IF(Z185&gt;0.15,"Low","No Impact")))</f>
        <v/>
      </c>
      <c r="AB185">
        <f>F185*(R185*0.35+P185*0.3+N185*0.35)*(H185*0.35+J185*0.35+L185*0.3)</f>
        <v/>
      </c>
      <c r="AC185">
        <f>(AB185-$AJ$15)/$AK$15</f>
        <v/>
      </c>
      <c r="AD185">
        <f>IF(AC185&gt;0.7,"High",IF(AC185&gt;0.3,"Moderate",IF(AC185&gt;0.15,"Low","No Impact")))</f>
        <v/>
      </c>
      <c r="AE185">
        <f>F185*(N185*1)*(H185*0.35+J185*0.35+L185*0.3)</f>
        <v/>
      </c>
      <c r="AF185">
        <f>(AE185-$AJ$16)/$AK$16</f>
        <v/>
      </c>
      <c r="AG185">
        <f>IF(AF185&gt;0.7,"High",IF(AF185&gt;0.3,"Moderate",IF(AF185&gt;0.15,"Low","No Impact")))</f>
        <v/>
      </c>
    </row>
    <row r="186">
      <c r="A186" t="n">
        <v>302667</v>
      </c>
      <c r="B186" t="inlineStr">
        <is>
          <t>BD302667</t>
        </is>
      </c>
      <c r="C186" t="inlineStr">
        <is>
          <t>Dhaka</t>
        </is>
      </c>
      <c r="D186" t="inlineStr">
        <is>
          <t>Rampura</t>
        </is>
      </c>
      <c r="E186" s="3" t="n">
        <v>5.8</v>
      </c>
      <c r="F186" s="4">
        <f>(E186-$AJ$5)/$AK$5</f>
        <v/>
      </c>
      <c r="G186" t="n">
        <v>62.5226292</v>
      </c>
      <c r="H186">
        <f>(G186-$AJ$6)/$AK$6</f>
        <v/>
      </c>
      <c r="I186" t="n">
        <v>5.5</v>
      </c>
      <c r="J186" s="4">
        <f>(I186-$AJ$7)/$AK$7</f>
        <v/>
      </c>
      <c r="K186" t="n">
        <v>0</v>
      </c>
      <c r="L186" s="4">
        <f>(K186-$AJ$8)/$AK$8</f>
        <v/>
      </c>
      <c r="M186" t="n">
        <v>3584</v>
      </c>
      <c r="N186">
        <f>(M186-$AJ$9)/$AK$9</f>
        <v/>
      </c>
      <c r="O186" t="n">
        <v>0.569527652</v>
      </c>
      <c r="P186">
        <f>(O186-$AJ$11)/$AK$11</f>
        <v/>
      </c>
      <c r="Q186" t="n">
        <v>0.06</v>
      </c>
      <c r="R186">
        <f>(Q186-$AJ$12)/$AK$12</f>
        <v/>
      </c>
      <c r="S186">
        <f>F186*(R186*0.5+P186*0.5)*(H186*0.35+J186*0.35+L186*0.3)</f>
        <v/>
      </c>
      <c r="T186" s="14">
        <f>(S186-$AJ$10)/$AK$10</f>
        <v/>
      </c>
      <c r="U186">
        <f>IF(T186&gt;0.7,"High",IF(T186&gt;0.3,"Moderate",IF(T186&gt;0.15,"Low","No Impact")))</f>
        <v/>
      </c>
      <c r="V186">
        <f>F186*(R186*1)*(H186*0.35+J186*0.35+L186*0.3)</f>
        <v/>
      </c>
      <c r="W186">
        <f>(V186-$AJ$13)/$AK$13</f>
        <v/>
      </c>
      <c r="X186">
        <f>IF(W186&gt;0.7,"High",IF(W186&gt;0.3,"Moderate",IF(W186&gt;0.15,"Low","No Impact")))</f>
        <v/>
      </c>
      <c r="Y186">
        <f>F186*(P186*1)*(H186*0.35+J186*0.35+L186*0.3)</f>
        <v/>
      </c>
      <c r="Z186">
        <f>(Y186-$AJ$14)/$AK$14</f>
        <v/>
      </c>
      <c r="AA186">
        <f>IF(Z186&gt;0.7,"High",IF(Z186&gt;0.3,"Moderate",IF(Z186&gt;0.15,"Low","No Impact")))</f>
        <v/>
      </c>
      <c r="AB186">
        <f>F186*(R186*0.35+P186*0.3+N186*0.35)*(H186*0.35+J186*0.35+L186*0.3)</f>
        <v/>
      </c>
      <c r="AC186">
        <f>(AB186-$AJ$15)/$AK$15</f>
        <v/>
      </c>
      <c r="AD186">
        <f>IF(AC186&gt;0.7,"High",IF(AC186&gt;0.3,"Moderate",IF(AC186&gt;0.15,"Low","No Impact")))</f>
        <v/>
      </c>
      <c r="AE186">
        <f>F186*(N186*1)*(H186*0.35+J186*0.35+L186*0.3)</f>
        <v/>
      </c>
      <c r="AF186">
        <f>(AE186-$AJ$16)/$AK$16</f>
        <v/>
      </c>
      <c r="AG186">
        <f>IF(AF186&gt;0.7,"High",IF(AF186&gt;0.3,"Moderate",IF(AF186&gt;0.15,"Low","No Impact")))</f>
        <v/>
      </c>
    </row>
    <row r="187">
      <c r="A187" t="n">
        <v>302668</v>
      </c>
      <c r="B187" t="inlineStr">
        <is>
          <t>BD302668</t>
        </is>
      </c>
      <c r="C187" t="inlineStr">
        <is>
          <t>Dhaka</t>
        </is>
      </c>
      <c r="D187" t="inlineStr">
        <is>
          <t>Sabujbagh</t>
        </is>
      </c>
      <c r="E187" s="3" t="n">
        <v>5.8</v>
      </c>
      <c r="F187" s="4">
        <f>(E187-$AJ$5)/$AK$5</f>
        <v/>
      </c>
      <c r="G187" t="n">
        <v>62.5226292</v>
      </c>
      <c r="H187">
        <f>(G187-$AJ$6)/$AK$6</f>
        <v/>
      </c>
      <c r="I187" t="n">
        <v>5.5</v>
      </c>
      <c r="J187" s="4">
        <f>(I187-$AJ$7)/$AK$7</f>
        <v/>
      </c>
      <c r="K187" t="n">
        <v>0</v>
      </c>
      <c r="L187" s="4">
        <f>(K187-$AJ$8)/$AK$8</f>
        <v/>
      </c>
      <c r="M187" t="n">
        <v>8555</v>
      </c>
      <c r="N187">
        <f>(M187-$AJ$9)/$AK$9</f>
        <v/>
      </c>
      <c r="O187" t="n">
        <v>0.831197129</v>
      </c>
      <c r="P187">
        <f>(O187-$AJ$11)/$AK$11</f>
        <v/>
      </c>
      <c r="Q187" t="n">
        <v>0.1615</v>
      </c>
      <c r="R187">
        <f>(Q187-$AJ$12)/$AK$12</f>
        <v/>
      </c>
      <c r="S187">
        <f>F187*(R187*0.5+P187*0.5)*(H187*0.35+J187*0.35+L187*0.3)</f>
        <v/>
      </c>
      <c r="T187" s="14">
        <f>(S187-$AJ$10)/$AK$10</f>
        <v/>
      </c>
      <c r="U187">
        <f>IF(T187&gt;0.7,"High",IF(T187&gt;0.3,"Moderate",IF(T187&gt;0.15,"Low","No Impact")))</f>
        <v/>
      </c>
      <c r="V187">
        <f>F187*(R187*1)*(H187*0.35+J187*0.35+L187*0.3)</f>
        <v/>
      </c>
      <c r="W187">
        <f>(V187-$AJ$13)/$AK$13</f>
        <v/>
      </c>
      <c r="X187">
        <f>IF(W187&gt;0.7,"High",IF(W187&gt;0.3,"Moderate",IF(W187&gt;0.15,"Low","No Impact")))</f>
        <v/>
      </c>
      <c r="Y187">
        <f>F187*(P187*1)*(H187*0.35+J187*0.35+L187*0.3)</f>
        <v/>
      </c>
      <c r="Z187">
        <f>(Y187-$AJ$14)/$AK$14</f>
        <v/>
      </c>
      <c r="AA187">
        <f>IF(Z187&gt;0.7,"High",IF(Z187&gt;0.3,"Moderate",IF(Z187&gt;0.15,"Low","No Impact")))</f>
        <v/>
      </c>
      <c r="AB187">
        <f>F187*(R187*0.35+P187*0.3+N187*0.35)*(H187*0.35+J187*0.35+L187*0.3)</f>
        <v/>
      </c>
      <c r="AC187">
        <f>(AB187-$AJ$15)/$AK$15</f>
        <v/>
      </c>
      <c r="AD187">
        <f>IF(AC187&gt;0.7,"High",IF(AC187&gt;0.3,"Moderate",IF(AC187&gt;0.15,"Low","No Impact")))</f>
        <v/>
      </c>
      <c r="AE187">
        <f>F187*(N187*1)*(H187*0.35+J187*0.35+L187*0.3)</f>
        <v/>
      </c>
      <c r="AF187">
        <f>(AE187-$AJ$16)/$AK$16</f>
        <v/>
      </c>
      <c r="AG187">
        <f>IF(AF187&gt;0.7,"High",IF(AF187&gt;0.3,"Moderate",IF(AF187&gt;0.15,"Low","No Impact")))</f>
        <v/>
      </c>
    </row>
    <row r="188">
      <c r="A188" t="n">
        <v>302672</v>
      </c>
      <c r="B188" t="inlineStr">
        <is>
          <t>BD302672</t>
        </is>
      </c>
      <c r="C188" t="inlineStr">
        <is>
          <t>Dhaka</t>
        </is>
      </c>
      <c r="D188" t="inlineStr">
        <is>
          <t>Savar</t>
        </is>
      </c>
      <c r="E188" s="3" t="n">
        <v>5.7</v>
      </c>
      <c r="F188" s="4">
        <f>(E188-$AJ$5)/$AK$5</f>
        <v/>
      </c>
      <c r="G188" t="n">
        <v>67.08239639999999</v>
      </c>
      <c r="H188">
        <f>(G188-$AJ$6)/$AK$6</f>
        <v/>
      </c>
      <c r="I188" t="n">
        <v>4.800000000000001</v>
      </c>
      <c r="J188" s="4">
        <f>(I188-$AJ$7)/$AK$7</f>
        <v/>
      </c>
      <c r="K188" t="n">
        <v>0</v>
      </c>
      <c r="L188" s="4">
        <f>(K188-$AJ$8)/$AK$8</f>
        <v/>
      </c>
      <c r="M188" t="n">
        <v>146872</v>
      </c>
      <c r="N188">
        <f>(M188-$AJ$9)/$AK$9</f>
        <v/>
      </c>
      <c r="O188" t="n">
        <v>0.6789354949999999</v>
      </c>
      <c r="P188">
        <f>(O188-$AJ$11)/$AK$11</f>
        <v/>
      </c>
      <c r="Q188" t="n">
        <v>0.2125</v>
      </c>
      <c r="R188">
        <f>(Q188-$AJ$12)/$AK$12</f>
        <v/>
      </c>
      <c r="S188">
        <f>F188*(R188*0.5+P188*0.5)*(H188*0.35+J188*0.35+L188*0.3)</f>
        <v/>
      </c>
      <c r="T188" s="14">
        <f>(S188-$AJ$10)/$AK$10</f>
        <v/>
      </c>
      <c r="U188">
        <f>IF(T188&gt;0.7,"High",IF(T188&gt;0.3,"Moderate",IF(T188&gt;0.15,"Low","No Impact")))</f>
        <v/>
      </c>
      <c r="V188">
        <f>F188*(R188*1)*(H188*0.35+J188*0.35+L188*0.3)</f>
        <v/>
      </c>
      <c r="W188">
        <f>(V188-$AJ$13)/$AK$13</f>
        <v/>
      </c>
      <c r="X188">
        <f>IF(W188&gt;0.7,"High",IF(W188&gt;0.3,"Moderate",IF(W188&gt;0.15,"Low","No Impact")))</f>
        <v/>
      </c>
      <c r="Y188">
        <f>F188*(P188*1)*(H188*0.35+J188*0.35+L188*0.3)</f>
        <v/>
      </c>
      <c r="Z188">
        <f>(Y188-$AJ$14)/$AK$14</f>
        <v/>
      </c>
      <c r="AA188">
        <f>IF(Z188&gt;0.7,"High",IF(Z188&gt;0.3,"Moderate",IF(Z188&gt;0.15,"Low","No Impact")))</f>
        <v/>
      </c>
      <c r="AB188">
        <f>F188*(R188*0.35+P188*0.3+N188*0.35)*(H188*0.35+J188*0.35+L188*0.3)</f>
        <v/>
      </c>
      <c r="AC188">
        <f>(AB188-$AJ$15)/$AK$15</f>
        <v/>
      </c>
      <c r="AD188">
        <f>IF(AC188&gt;0.7,"High",IF(AC188&gt;0.3,"Moderate",IF(AC188&gt;0.15,"Low","No Impact")))</f>
        <v/>
      </c>
      <c r="AE188">
        <f>F188*(N188*1)*(H188*0.35+J188*0.35+L188*0.3)</f>
        <v/>
      </c>
      <c r="AF188">
        <f>(AE188-$AJ$16)/$AK$16</f>
        <v/>
      </c>
      <c r="AG188">
        <f>IF(AF188&gt;0.7,"High",IF(AF188&gt;0.3,"Moderate",IF(AF188&gt;0.15,"Low","No Impact")))</f>
        <v/>
      </c>
    </row>
    <row r="189">
      <c r="A189" t="n">
        <v>302674</v>
      </c>
      <c r="B189" t="inlineStr">
        <is>
          <t>BD302674</t>
        </is>
      </c>
      <c r="C189" t="inlineStr">
        <is>
          <t>Dhaka</t>
        </is>
      </c>
      <c r="D189" t="inlineStr">
        <is>
          <t>Shah Ali</t>
        </is>
      </c>
      <c r="E189" s="3" t="n">
        <v>5.8</v>
      </c>
      <c r="F189" s="4">
        <f>(E189-$AJ$5)/$AK$5</f>
        <v/>
      </c>
      <c r="G189" t="n">
        <v>67.08239639999999</v>
      </c>
      <c r="H189">
        <f>(G189-$AJ$6)/$AK$6</f>
        <v/>
      </c>
      <c r="I189" t="n">
        <v>7.800000000000002</v>
      </c>
      <c r="J189" s="4">
        <f>(I189-$AJ$7)/$AK$7</f>
        <v/>
      </c>
      <c r="K189" t="n">
        <v>0</v>
      </c>
      <c r="L189" s="4">
        <f>(K189-$AJ$8)/$AK$8</f>
        <v/>
      </c>
      <c r="M189" t="n">
        <v>2058</v>
      </c>
      <c r="N189">
        <f>(M189-$AJ$9)/$AK$9</f>
        <v/>
      </c>
      <c r="O189" t="n">
        <v>0.740240211</v>
      </c>
      <c r="P189">
        <f>(O189-$AJ$11)/$AK$11</f>
        <v/>
      </c>
      <c r="Q189" t="n">
        <v>0.233</v>
      </c>
      <c r="R189">
        <f>(Q189-$AJ$12)/$AK$12</f>
        <v/>
      </c>
      <c r="S189">
        <f>F189*(R189*0.5+P189*0.5)*(H189*0.35+J189*0.35+L189*0.3)</f>
        <v/>
      </c>
      <c r="T189" s="14">
        <f>(S189-$AJ$10)/$AK$10</f>
        <v/>
      </c>
      <c r="U189">
        <f>IF(T189&gt;0.7,"High",IF(T189&gt;0.3,"Moderate",IF(T189&gt;0.15,"Low","No Impact")))</f>
        <v/>
      </c>
      <c r="V189">
        <f>F189*(R189*1)*(H189*0.35+J189*0.35+L189*0.3)</f>
        <v/>
      </c>
      <c r="W189">
        <f>(V189-$AJ$13)/$AK$13</f>
        <v/>
      </c>
      <c r="X189">
        <f>IF(W189&gt;0.7,"High",IF(W189&gt;0.3,"Moderate",IF(W189&gt;0.15,"Low","No Impact")))</f>
        <v/>
      </c>
      <c r="Y189">
        <f>F189*(P189*1)*(H189*0.35+J189*0.35+L189*0.3)</f>
        <v/>
      </c>
      <c r="Z189">
        <f>(Y189-$AJ$14)/$AK$14</f>
        <v/>
      </c>
      <c r="AA189">
        <f>IF(Z189&gt;0.7,"High",IF(Z189&gt;0.3,"Moderate",IF(Z189&gt;0.15,"Low","No Impact")))</f>
        <v/>
      </c>
      <c r="AB189">
        <f>F189*(R189*0.35+P189*0.3+N189*0.35)*(H189*0.35+J189*0.35+L189*0.3)</f>
        <v/>
      </c>
      <c r="AC189">
        <f>(AB189-$AJ$15)/$AK$15</f>
        <v/>
      </c>
      <c r="AD189">
        <f>IF(AC189&gt;0.7,"High",IF(AC189&gt;0.3,"Moderate",IF(AC189&gt;0.15,"Low","No Impact")))</f>
        <v/>
      </c>
      <c r="AE189">
        <f>F189*(N189*1)*(H189*0.35+J189*0.35+L189*0.3)</f>
        <v/>
      </c>
      <c r="AF189">
        <f>(AE189-$AJ$16)/$AK$16</f>
        <v/>
      </c>
      <c r="AG189">
        <f>IF(AF189&gt;0.7,"High",IF(AF189&gt;0.3,"Moderate",IF(AF189&gt;0.15,"Low","No Impact")))</f>
        <v/>
      </c>
    </row>
    <row r="190">
      <c r="A190" t="n">
        <v>302675</v>
      </c>
      <c r="B190" t="inlineStr">
        <is>
          <t>BD302675</t>
        </is>
      </c>
      <c r="C190" t="inlineStr">
        <is>
          <t>Dhaka</t>
        </is>
      </c>
      <c r="D190" t="inlineStr">
        <is>
          <t>Shahbagh</t>
        </is>
      </c>
      <c r="E190" s="3" t="n">
        <v>5.8</v>
      </c>
      <c r="F190" s="4">
        <f>(E190-$AJ$5)/$AK$5</f>
        <v/>
      </c>
      <c r="G190" t="n">
        <v>62.5226292</v>
      </c>
      <c r="H190">
        <f>(G190-$AJ$6)/$AK$6</f>
        <v/>
      </c>
      <c r="I190" t="n">
        <v>5.5</v>
      </c>
      <c r="J190" s="4">
        <f>(I190-$AJ$7)/$AK$7</f>
        <v/>
      </c>
      <c r="K190" t="n">
        <v>0</v>
      </c>
      <c r="L190" s="4">
        <f>(K190-$AJ$8)/$AK$8</f>
        <v/>
      </c>
      <c r="M190" t="n">
        <v>1343</v>
      </c>
      <c r="N190">
        <f>(M190-$AJ$9)/$AK$9</f>
        <v/>
      </c>
      <c r="O190" t="n">
        <v>0.491256357</v>
      </c>
      <c r="P190">
        <f>(O190-$AJ$11)/$AK$11</f>
        <v/>
      </c>
      <c r="Q190" t="n">
        <v>0.06</v>
      </c>
      <c r="R190">
        <f>(Q190-$AJ$12)/$AK$12</f>
        <v/>
      </c>
      <c r="S190">
        <f>F190*(R190*0.5+P190*0.5)*(H190*0.35+J190*0.35+L190*0.3)</f>
        <v/>
      </c>
      <c r="T190" s="14">
        <f>(S190-$AJ$10)/$AK$10</f>
        <v/>
      </c>
      <c r="U190">
        <f>IF(T190&gt;0.7,"High",IF(T190&gt;0.3,"Moderate",IF(T190&gt;0.15,"Low","No Impact")))</f>
        <v/>
      </c>
      <c r="V190">
        <f>F190*(R190*1)*(H190*0.35+J190*0.35+L190*0.3)</f>
        <v/>
      </c>
      <c r="W190">
        <f>(V190-$AJ$13)/$AK$13</f>
        <v/>
      </c>
      <c r="X190">
        <f>IF(W190&gt;0.7,"High",IF(W190&gt;0.3,"Moderate",IF(W190&gt;0.15,"Low","No Impact")))</f>
        <v/>
      </c>
      <c r="Y190">
        <f>F190*(P190*1)*(H190*0.35+J190*0.35+L190*0.3)</f>
        <v/>
      </c>
      <c r="Z190">
        <f>(Y190-$AJ$14)/$AK$14</f>
        <v/>
      </c>
      <c r="AA190">
        <f>IF(Z190&gt;0.7,"High",IF(Z190&gt;0.3,"Moderate",IF(Z190&gt;0.15,"Low","No Impact")))</f>
        <v/>
      </c>
      <c r="AB190">
        <f>F190*(R190*0.35+P190*0.3+N190*0.35)*(H190*0.35+J190*0.35+L190*0.3)</f>
        <v/>
      </c>
      <c r="AC190">
        <f>(AB190-$AJ$15)/$AK$15</f>
        <v/>
      </c>
      <c r="AD190">
        <f>IF(AC190&gt;0.7,"High",IF(AC190&gt;0.3,"Moderate",IF(AC190&gt;0.15,"Low","No Impact")))</f>
        <v/>
      </c>
      <c r="AE190">
        <f>F190*(N190*1)*(H190*0.35+J190*0.35+L190*0.3)</f>
        <v/>
      </c>
      <c r="AF190">
        <f>(AE190-$AJ$16)/$AK$16</f>
        <v/>
      </c>
      <c r="AG190">
        <f>IF(AF190&gt;0.7,"High",IF(AF190&gt;0.3,"Moderate",IF(AF190&gt;0.15,"Low","No Impact")))</f>
        <v/>
      </c>
    </row>
    <row r="191">
      <c r="A191" t="n">
        <v>302676</v>
      </c>
      <c r="B191" t="inlineStr">
        <is>
          <t>BD302676</t>
        </is>
      </c>
      <c r="C191" t="inlineStr">
        <is>
          <t>Dhaka</t>
        </is>
      </c>
      <c r="D191" t="inlineStr">
        <is>
          <t>Shyampur</t>
        </is>
      </c>
      <c r="E191" s="3" t="n">
        <v>5.8</v>
      </c>
      <c r="F191" s="4">
        <f>(E191-$AJ$5)/$AK$5</f>
        <v/>
      </c>
      <c r="G191" t="n">
        <v>62.5226292</v>
      </c>
      <c r="H191">
        <f>(G191-$AJ$6)/$AK$6</f>
        <v/>
      </c>
      <c r="I191" t="n">
        <v>5.5</v>
      </c>
      <c r="J191" s="4">
        <f>(I191-$AJ$7)/$AK$7</f>
        <v/>
      </c>
      <c r="K191" t="n">
        <v>0</v>
      </c>
      <c r="L191" s="4">
        <f>(K191-$AJ$8)/$AK$8</f>
        <v/>
      </c>
      <c r="M191" t="n">
        <v>2470</v>
      </c>
      <c r="N191">
        <f>(M191-$AJ$9)/$AK$9</f>
        <v/>
      </c>
      <c r="O191" t="n">
        <v>0.620114219</v>
      </c>
      <c r="P191">
        <f>(O191-$AJ$11)/$AK$11</f>
        <v/>
      </c>
      <c r="Q191" t="n">
        <v>0.06</v>
      </c>
      <c r="R191">
        <f>(Q191-$AJ$12)/$AK$12</f>
        <v/>
      </c>
      <c r="S191">
        <f>F191*(R191*0.5+P191*0.5)*(H191*0.35+J191*0.35+L191*0.3)</f>
        <v/>
      </c>
      <c r="T191" s="14">
        <f>(S191-$AJ$10)/$AK$10</f>
        <v/>
      </c>
      <c r="U191">
        <f>IF(T191&gt;0.7,"High",IF(T191&gt;0.3,"Moderate",IF(T191&gt;0.15,"Low","No Impact")))</f>
        <v/>
      </c>
      <c r="V191">
        <f>F191*(R191*1)*(H191*0.35+J191*0.35+L191*0.3)</f>
        <v/>
      </c>
      <c r="W191">
        <f>(V191-$AJ$13)/$AK$13</f>
        <v/>
      </c>
      <c r="X191">
        <f>IF(W191&gt;0.7,"High",IF(W191&gt;0.3,"Moderate",IF(W191&gt;0.15,"Low","No Impact")))</f>
        <v/>
      </c>
      <c r="Y191">
        <f>F191*(P191*1)*(H191*0.35+J191*0.35+L191*0.3)</f>
        <v/>
      </c>
      <c r="Z191">
        <f>(Y191-$AJ$14)/$AK$14</f>
        <v/>
      </c>
      <c r="AA191">
        <f>IF(Z191&gt;0.7,"High",IF(Z191&gt;0.3,"Moderate",IF(Z191&gt;0.15,"Low","No Impact")))</f>
        <v/>
      </c>
      <c r="AB191">
        <f>F191*(R191*0.35+P191*0.3+N191*0.35)*(H191*0.35+J191*0.35+L191*0.3)</f>
        <v/>
      </c>
      <c r="AC191">
        <f>(AB191-$AJ$15)/$AK$15</f>
        <v/>
      </c>
      <c r="AD191">
        <f>IF(AC191&gt;0.7,"High",IF(AC191&gt;0.3,"Moderate",IF(AC191&gt;0.15,"Low","No Impact")))</f>
        <v/>
      </c>
      <c r="AE191">
        <f>F191*(N191*1)*(H191*0.35+J191*0.35+L191*0.3)</f>
        <v/>
      </c>
      <c r="AF191">
        <f>(AE191-$AJ$16)/$AK$16</f>
        <v/>
      </c>
      <c r="AG191">
        <f>IF(AF191&gt;0.7,"High",IF(AF191&gt;0.3,"Moderate",IF(AF191&gt;0.15,"Low","No Impact")))</f>
        <v/>
      </c>
    </row>
    <row r="192">
      <c r="A192" t="n">
        <v>302680</v>
      </c>
      <c r="B192" t="inlineStr">
        <is>
          <t>BD302680</t>
        </is>
      </c>
      <c r="C192" t="inlineStr">
        <is>
          <t>Dhaka</t>
        </is>
      </c>
      <c r="D192" t="inlineStr">
        <is>
          <t>Sher-e-bangla Nagar</t>
        </is>
      </c>
      <c r="E192" s="3" t="n">
        <v>5.8</v>
      </c>
      <c r="F192" s="4">
        <f>(E192-$AJ$5)/$AK$5</f>
        <v/>
      </c>
      <c r="G192" t="n">
        <v>67.08239639999999</v>
      </c>
      <c r="H192">
        <f>(G192-$AJ$6)/$AK$6</f>
        <v/>
      </c>
      <c r="I192" t="n">
        <v>6.699999999999999</v>
      </c>
      <c r="J192" s="4">
        <f>(I192-$AJ$7)/$AK$7</f>
        <v/>
      </c>
      <c r="K192" t="n">
        <v>0</v>
      </c>
      <c r="L192" s="4">
        <f>(K192-$AJ$8)/$AK$8</f>
        <v/>
      </c>
      <c r="M192" t="n">
        <v>2247</v>
      </c>
      <c r="N192">
        <f>(M192-$AJ$9)/$AK$9</f>
        <v/>
      </c>
      <c r="O192" t="n">
        <v>0.491881697</v>
      </c>
      <c r="P192">
        <f>(O192-$AJ$11)/$AK$11</f>
        <v/>
      </c>
      <c r="Q192" t="n">
        <v>0.06</v>
      </c>
      <c r="R192">
        <f>(Q192-$AJ$12)/$AK$12</f>
        <v/>
      </c>
      <c r="S192">
        <f>F192*(R192*0.5+P192*0.5)*(H192*0.35+J192*0.35+L192*0.3)</f>
        <v/>
      </c>
      <c r="T192" s="14">
        <f>(S192-$AJ$10)/$AK$10</f>
        <v/>
      </c>
      <c r="U192">
        <f>IF(T192&gt;0.7,"High",IF(T192&gt;0.3,"Moderate",IF(T192&gt;0.15,"Low","No Impact")))</f>
        <v/>
      </c>
      <c r="V192">
        <f>F192*(R192*1)*(H192*0.35+J192*0.35+L192*0.3)</f>
        <v/>
      </c>
      <c r="W192">
        <f>(V192-$AJ$13)/$AK$13</f>
        <v/>
      </c>
      <c r="X192">
        <f>IF(W192&gt;0.7,"High",IF(W192&gt;0.3,"Moderate",IF(W192&gt;0.15,"Low","No Impact")))</f>
        <v/>
      </c>
      <c r="Y192">
        <f>F192*(P192*1)*(H192*0.35+J192*0.35+L192*0.3)</f>
        <v/>
      </c>
      <c r="Z192">
        <f>(Y192-$AJ$14)/$AK$14</f>
        <v/>
      </c>
      <c r="AA192">
        <f>IF(Z192&gt;0.7,"High",IF(Z192&gt;0.3,"Moderate",IF(Z192&gt;0.15,"Low","No Impact")))</f>
        <v/>
      </c>
      <c r="AB192">
        <f>F192*(R192*0.35+P192*0.3+N192*0.35)*(H192*0.35+J192*0.35+L192*0.3)</f>
        <v/>
      </c>
      <c r="AC192">
        <f>(AB192-$AJ$15)/$AK$15</f>
        <v/>
      </c>
      <c r="AD192">
        <f>IF(AC192&gt;0.7,"High",IF(AC192&gt;0.3,"Moderate",IF(AC192&gt;0.15,"Low","No Impact")))</f>
        <v/>
      </c>
      <c r="AE192">
        <f>F192*(N192*1)*(H192*0.35+J192*0.35+L192*0.3)</f>
        <v/>
      </c>
      <c r="AF192">
        <f>(AE192-$AJ$16)/$AK$16</f>
        <v/>
      </c>
      <c r="AG192">
        <f>IF(AF192&gt;0.7,"High",IF(AF192&gt;0.3,"Moderate",IF(AF192&gt;0.15,"Low","No Impact")))</f>
        <v/>
      </c>
    </row>
    <row r="193">
      <c r="A193" t="n">
        <v>302688</v>
      </c>
      <c r="B193" t="inlineStr">
        <is>
          <t>BD302688</t>
        </is>
      </c>
      <c r="C193" t="inlineStr">
        <is>
          <t>Dhaka</t>
        </is>
      </c>
      <c r="D193" t="inlineStr">
        <is>
          <t>Sutrapur</t>
        </is>
      </c>
      <c r="E193" s="3" t="n">
        <v>5.7</v>
      </c>
      <c r="F193" s="4">
        <f>(E193-$AJ$5)/$AK$5</f>
        <v/>
      </c>
      <c r="G193" t="n">
        <v>62.5226292</v>
      </c>
      <c r="H193">
        <f>(G193-$AJ$6)/$AK$6</f>
        <v/>
      </c>
      <c r="I193" t="n">
        <v>5.5</v>
      </c>
      <c r="J193" s="4">
        <f>(I193-$AJ$7)/$AK$7</f>
        <v/>
      </c>
      <c r="K193" t="n">
        <v>0</v>
      </c>
      <c r="L193" s="4">
        <f>(K193-$AJ$8)/$AK$8</f>
        <v/>
      </c>
      <c r="M193" t="n">
        <v>1739</v>
      </c>
      <c r="N193">
        <f>(M193-$AJ$9)/$AK$9</f>
        <v/>
      </c>
      <c r="O193" t="n">
        <v>0.8054889240000001</v>
      </c>
      <c r="P193">
        <f>(O193-$AJ$11)/$AK$11</f>
        <v/>
      </c>
      <c r="Q193" t="n">
        <v>0.055</v>
      </c>
      <c r="R193">
        <f>(Q193-$AJ$12)/$AK$12</f>
        <v/>
      </c>
      <c r="S193">
        <f>F193*(R193*0.5+P193*0.5)*(H193*0.35+J193*0.35+L193*0.3)</f>
        <v/>
      </c>
      <c r="T193" s="14">
        <f>(S193-$AJ$10)/$AK$10</f>
        <v/>
      </c>
      <c r="U193">
        <f>IF(T193&gt;0.7,"High",IF(T193&gt;0.3,"Moderate",IF(T193&gt;0.15,"Low","No Impact")))</f>
        <v/>
      </c>
      <c r="V193">
        <f>F193*(R193*1)*(H193*0.35+J193*0.35+L193*0.3)</f>
        <v/>
      </c>
      <c r="W193">
        <f>(V193-$AJ$13)/$AK$13</f>
        <v/>
      </c>
      <c r="X193">
        <f>IF(W193&gt;0.7,"High",IF(W193&gt;0.3,"Moderate",IF(W193&gt;0.15,"Low","No Impact")))</f>
        <v/>
      </c>
      <c r="Y193">
        <f>F193*(P193*1)*(H193*0.35+J193*0.35+L193*0.3)</f>
        <v/>
      </c>
      <c r="Z193">
        <f>(Y193-$AJ$14)/$AK$14</f>
        <v/>
      </c>
      <c r="AA193">
        <f>IF(Z193&gt;0.7,"High",IF(Z193&gt;0.3,"Moderate",IF(Z193&gt;0.15,"Low","No Impact")))</f>
        <v/>
      </c>
      <c r="AB193">
        <f>F193*(R193*0.35+P193*0.3+N193*0.35)*(H193*0.35+J193*0.35+L193*0.3)</f>
        <v/>
      </c>
      <c r="AC193">
        <f>(AB193-$AJ$15)/$AK$15</f>
        <v/>
      </c>
      <c r="AD193">
        <f>IF(AC193&gt;0.7,"High",IF(AC193&gt;0.3,"Moderate",IF(AC193&gt;0.15,"Low","No Impact")))</f>
        <v/>
      </c>
      <c r="AE193">
        <f>F193*(N193*1)*(H193*0.35+J193*0.35+L193*0.3)</f>
        <v/>
      </c>
      <c r="AF193">
        <f>(AE193-$AJ$16)/$AK$16</f>
        <v/>
      </c>
      <c r="AG193">
        <f>IF(AF193&gt;0.7,"High",IF(AF193&gt;0.3,"Moderate",IF(AF193&gt;0.15,"Low","No Impact")))</f>
        <v/>
      </c>
    </row>
    <row r="194">
      <c r="A194" t="n">
        <v>302690</v>
      </c>
      <c r="B194" t="inlineStr">
        <is>
          <t>BD302690</t>
        </is>
      </c>
      <c r="C194" t="inlineStr">
        <is>
          <t>Dhaka</t>
        </is>
      </c>
      <c r="D194" t="inlineStr">
        <is>
          <t>Tejgaon</t>
        </is>
      </c>
      <c r="E194" s="3" t="n">
        <v>5.8</v>
      </c>
      <c r="F194" s="4">
        <f>(E194-$AJ$5)/$AK$5</f>
        <v/>
      </c>
      <c r="G194" t="n">
        <v>62.5226292</v>
      </c>
      <c r="H194">
        <f>(G194-$AJ$6)/$AK$6</f>
        <v/>
      </c>
      <c r="I194" t="n">
        <v>5.5</v>
      </c>
      <c r="J194" s="4">
        <f>(I194-$AJ$7)/$AK$7</f>
        <v/>
      </c>
      <c r="K194" t="n">
        <v>0</v>
      </c>
      <c r="L194" s="4">
        <f>(K194-$AJ$8)/$AK$8</f>
        <v/>
      </c>
      <c r="M194" t="n">
        <v>1906</v>
      </c>
      <c r="N194">
        <f>(M194-$AJ$9)/$AK$9</f>
        <v/>
      </c>
      <c r="O194" t="n">
        <v>0.650104846</v>
      </c>
      <c r="P194">
        <f>(O194-$AJ$11)/$AK$11</f>
        <v/>
      </c>
      <c r="Q194" t="n">
        <v>0.06</v>
      </c>
      <c r="R194">
        <f>(Q194-$AJ$12)/$AK$12</f>
        <v/>
      </c>
      <c r="S194">
        <f>F194*(R194*0.5+P194*0.5)*(H194*0.35+J194*0.35+L194*0.3)</f>
        <v/>
      </c>
      <c r="T194" s="14">
        <f>(S194-$AJ$10)/$AK$10</f>
        <v/>
      </c>
      <c r="U194">
        <f>IF(T194&gt;0.7,"High",IF(T194&gt;0.3,"Moderate",IF(T194&gt;0.15,"Low","No Impact")))</f>
        <v/>
      </c>
      <c r="V194">
        <f>F194*(R194*1)*(H194*0.35+J194*0.35+L194*0.3)</f>
        <v/>
      </c>
      <c r="W194">
        <f>(V194-$AJ$13)/$AK$13</f>
        <v/>
      </c>
      <c r="X194">
        <f>IF(W194&gt;0.7,"High",IF(W194&gt;0.3,"Moderate",IF(W194&gt;0.15,"Low","No Impact")))</f>
        <v/>
      </c>
      <c r="Y194">
        <f>F194*(P194*1)*(H194*0.35+J194*0.35+L194*0.3)</f>
        <v/>
      </c>
      <c r="Z194">
        <f>(Y194-$AJ$14)/$AK$14</f>
        <v/>
      </c>
      <c r="AA194">
        <f>IF(Z194&gt;0.7,"High",IF(Z194&gt;0.3,"Moderate",IF(Z194&gt;0.15,"Low","No Impact")))</f>
        <v/>
      </c>
      <c r="AB194">
        <f>F194*(R194*0.35+P194*0.3+N194*0.35)*(H194*0.35+J194*0.35+L194*0.3)</f>
        <v/>
      </c>
      <c r="AC194">
        <f>(AB194-$AJ$15)/$AK$15</f>
        <v/>
      </c>
      <c r="AD194">
        <f>IF(AC194&gt;0.7,"High",IF(AC194&gt;0.3,"Moderate",IF(AC194&gt;0.15,"Low","No Impact")))</f>
        <v/>
      </c>
      <c r="AE194">
        <f>F194*(N194*1)*(H194*0.35+J194*0.35+L194*0.3)</f>
        <v/>
      </c>
      <c r="AF194">
        <f>(AE194-$AJ$16)/$AK$16</f>
        <v/>
      </c>
      <c r="AG194">
        <f>IF(AF194&gt;0.7,"High",IF(AF194&gt;0.3,"Moderate",IF(AF194&gt;0.15,"Low","No Impact")))</f>
        <v/>
      </c>
    </row>
    <row r="195">
      <c r="A195" t="n">
        <v>302692</v>
      </c>
      <c r="B195" t="inlineStr">
        <is>
          <t>BD302692</t>
        </is>
      </c>
      <c r="C195" t="inlineStr">
        <is>
          <t>Dhaka</t>
        </is>
      </c>
      <c r="D195" t="inlineStr">
        <is>
          <t>Tejgaon Ind. Area</t>
        </is>
      </c>
      <c r="E195" s="3" t="n">
        <v>5.7</v>
      </c>
      <c r="F195" s="4">
        <f>(E195-$AJ$5)/$AK$5</f>
        <v/>
      </c>
      <c r="G195" t="n">
        <v>62.5226292</v>
      </c>
      <c r="H195">
        <f>(G195-$AJ$6)/$AK$6</f>
        <v/>
      </c>
      <c r="I195" t="n">
        <v>5.5</v>
      </c>
      <c r="J195" s="4">
        <f>(I195-$AJ$7)/$AK$7</f>
        <v/>
      </c>
      <c r="K195" t="n">
        <v>0</v>
      </c>
      <c r="L195" s="4">
        <f>(K195-$AJ$8)/$AK$8</f>
        <v/>
      </c>
      <c r="M195" t="n">
        <v>1942</v>
      </c>
      <c r="N195">
        <f>(M195-$AJ$9)/$AK$9</f>
        <v/>
      </c>
      <c r="O195" t="n">
        <v>0.860462069</v>
      </c>
      <c r="P195">
        <f>(O195-$AJ$11)/$AK$11</f>
        <v/>
      </c>
      <c r="Q195" t="n">
        <v>0.06</v>
      </c>
      <c r="R195">
        <f>(Q195-$AJ$12)/$AK$12</f>
        <v/>
      </c>
      <c r="S195">
        <f>F195*(R195*0.5+P195*0.5)*(H195*0.35+J195*0.35+L195*0.3)</f>
        <v/>
      </c>
      <c r="T195" s="14">
        <f>(S195-$AJ$10)/$AK$10</f>
        <v/>
      </c>
      <c r="U195">
        <f>IF(T195&gt;0.7,"High",IF(T195&gt;0.3,"Moderate",IF(T195&gt;0.15,"Low","No Impact")))</f>
        <v/>
      </c>
      <c r="V195">
        <f>F195*(R195*1)*(H195*0.35+J195*0.35+L195*0.3)</f>
        <v/>
      </c>
      <c r="W195">
        <f>(V195-$AJ$13)/$AK$13</f>
        <v/>
      </c>
      <c r="X195">
        <f>IF(W195&gt;0.7,"High",IF(W195&gt;0.3,"Moderate",IF(W195&gt;0.15,"Low","No Impact")))</f>
        <v/>
      </c>
      <c r="Y195">
        <f>F195*(P195*1)*(H195*0.35+J195*0.35+L195*0.3)</f>
        <v/>
      </c>
      <c r="Z195">
        <f>(Y195-$AJ$14)/$AK$14</f>
        <v/>
      </c>
      <c r="AA195">
        <f>IF(Z195&gt;0.7,"High",IF(Z195&gt;0.3,"Moderate",IF(Z195&gt;0.15,"Low","No Impact")))</f>
        <v/>
      </c>
      <c r="AB195">
        <f>F195*(R195*0.35+P195*0.3+N195*0.35)*(H195*0.35+J195*0.35+L195*0.3)</f>
        <v/>
      </c>
      <c r="AC195">
        <f>(AB195-$AJ$15)/$AK$15</f>
        <v/>
      </c>
      <c r="AD195">
        <f>IF(AC195&gt;0.7,"High",IF(AC195&gt;0.3,"Moderate",IF(AC195&gt;0.15,"Low","No Impact")))</f>
        <v/>
      </c>
      <c r="AE195">
        <f>F195*(N195*1)*(H195*0.35+J195*0.35+L195*0.3)</f>
        <v/>
      </c>
      <c r="AF195">
        <f>(AE195-$AJ$16)/$AK$16</f>
        <v/>
      </c>
      <c r="AG195">
        <f>IF(AF195&gt;0.7,"High",IF(AF195&gt;0.3,"Moderate",IF(AF195&gt;0.15,"Low","No Impact")))</f>
        <v/>
      </c>
    </row>
    <row r="196">
      <c r="A196" t="n">
        <v>302693</v>
      </c>
      <c r="B196" t="inlineStr">
        <is>
          <t>BD302693</t>
        </is>
      </c>
      <c r="C196" t="inlineStr">
        <is>
          <t>Dhaka</t>
        </is>
      </c>
      <c r="D196" t="inlineStr">
        <is>
          <t>Turag</t>
        </is>
      </c>
      <c r="E196" s="3" t="n">
        <v>5.8</v>
      </c>
      <c r="F196" s="4">
        <f>(E196-$AJ$5)/$AK$5</f>
        <v/>
      </c>
      <c r="G196" t="n">
        <v>67.08239639999999</v>
      </c>
      <c r="H196">
        <f>(G196-$AJ$6)/$AK$6</f>
        <v/>
      </c>
      <c r="I196" t="n">
        <v>3.9</v>
      </c>
      <c r="J196" s="4">
        <f>(I196-$AJ$7)/$AK$7</f>
        <v/>
      </c>
      <c r="K196" t="n">
        <v>0</v>
      </c>
      <c r="L196" s="4">
        <f>(K196-$AJ$8)/$AK$8</f>
        <v/>
      </c>
      <c r="M196" t="n">
        <v>15432</v>
      </c>
      <c r="N196">
        <f>(M196-$AJ$9)/$AK$9</f>
        <v/>
      </c>
      <c r="O196" t="n">
        <v>0.625641298</v>
      </c>
      <c r="P196">
        <f>(O196-$AJ$11)/$AK$11</f>
        <v/>
      </c>
      <c r="Q196" t="n">
        <v>0.1734</v>
      </c>
      <c r="R196">
        <f>(Q196-$AJ$12)/$AK$12</f>
        <v/>
      </c>
      <c r="S196">
        <f>F196*(R196*0.5+P196*0.5)*(H196*0.35+J196*0.35+L196*0.3)</f>
        <v/>
      </c>
      <c r="T196" s="14">
        <f>(S196-$AJ$10)/$AK$10</f>
        <v/>
      </c>
      <c r="U196">
        <f>IF(T196&gt;0.7,"High",IF(T196&gt;0.3,"Moderate",IF(T196&gt;0.15,"Low","No Impact")))</f>
        <v/>
      </c>
      <c r="V196">
        <f>F196*(R196*1)*(H196*0.35+J196*0.35+L196*0.3)</f>
        <v/>
      </c>
      <c r="W196">
        <f>(V196-$AJ$13)/$AK$13</f>
        <v/>
      </c>
      <c r="X196">
        <f>IF(W196&gt;0.7,"High",IF(W196&gt;0.3,"Moderate",IF(W196&gt;0.15,"Low","No Impact")))</f>
        <v/>
      </c>
      <c r="Y196">
        <f>F196*(P196*1)*(H196*0.35+J196*0.35+L196*0.3)</f>
        <v/>
      </c>
      <c r="Z196">
        <f>(Y196-$AJ$14)/$AK$14</f>
        <v/>
      </c>
      <c r="AA196">
        <f>IF(Z196&gt;0.7,"High",IF(Z196&gt;0.3,"Moderate",IF(Z196&gt;0.15,"Low","No Impact")))</f>
        <v/>
      </c>
      <c r="AB196">
        <f>F196*(R196*0.35+P196*0.3+N196*0.35)*(H196*0.35+J196*0.35+L196*0.3)</f>
        <v/>
      </c>
      <c r="AC196">
        <f>(AB196-$AJ$15)/$AK$15</f>
        <v/>
      </c>
      <c r="AD196">
        <f>IF(AC196&gt;0.7,"High",IF(AC196&gt;0.3,"Moderate",IF(AC196&gt;0.15,"Low","No Impact")))</f>
        <v/>
      </c>
      <c r="AE196">
        <f>F196*(N196*1)*(H196*0.35+J196*0.35+L196*0.3)</f>
        <v/>
      </c>
      <c r="AF196">
        <f>(AE196-$AJ$16)/$AK$16</f>
        <v/>
      </c>
      <c r="AG196">
        <f>IF(AF196&gt;0.7,"High",IF(AF196&gt;0.3,"Moderate",IF(AF196&gt;0.15,"Low","No Impact")))</f>
        <v/>
      </c>
    </row>
    <row r="197">
      <c r="A197" t="n">
        <v>302695</v>
      </c>
      <c r="B197" t="inlineStr">
        <is>
          <t>BD302695</t>
        </is>
      </c>
      <c r="C197" t="inlineStr">
        <is>
          <t>Dhaka</t>
        </is>
      </c>
      <c r="D197" t="inlineStr">
        <is>
          <t>Uttara</t>
        </is>
      </c>
      <c r="E197" s="3" t="n">
        <v>5.7</v>
      </c>
      <c r="F197" s="4">
        <f>(E197-$AJ$5)/$AK$5</f>
        <v/>
      </c>
      <c r="G197" t="n">
        <v>62.5226292</v>
      </c>
      <c r="H197">
        <f>(G197-$AJ$6)/$AK$6</f>
        <v/>
      </c>
      <c r="I197" t="n">
        <v>3.1</v>
      </c>
      <c r="J197" s="4">
        <f>(I197-$AJ$7)/$AK$7</f>
        <v/>
      </c>
      <c r="K197" t="n">
        <v>0</v>
      </c>
      <c r="L197" s="4">
        <f>(K197-$AJ$8)/$AK$8</f>
        <v/>
      </c>
      <c r="M197" t="n">
        <v>7916</v>
      </c>
      <c r="N197">
        <f>(M197-$AJ$9)/$AK$9</f>
        <v/>
      </c>
      <c r="O197" t="n">
        <v>0.683006353</v>
      </c>
      <c r="P197">
        <f>(O197-$AJ$11)/$AK$11</f>
        <v/>
      </c>
      <c r="Q197" t="n">
        <v>0.1125</v>
      </c>
      <c r="R197">
        <f>(Q197-$AJ$12)/$AK$12</f>
        <v/>
      </c>
      <c r="S197">
        <f>F197*(R197*0.5+P197*0.5)*(H197*0.35+J197*0.35+L197*0.3)</f>
        <v/>
      </c>
      <c r="T197" s="14">
        <f>(S197-$AJ$10)/$AK$10</f>
        <v/>
      </c>
      <c r="U197">
        <f>IF(T197&gt;0.7,"High",IF(T197&gt;0.3,"Moderate",IF(T197&gt;0.15,"Low","No Impact")))</f>
        <v/>
      </c>
      <c r="V197">
        <f>F197*(R197*1)*(H197*0.35+J197*0.35+L197*0.3)</f>
        <v/>
      </c>
      <c r="W197">
        <f>(V197-$AJ$13)/$AK$13</f>
        <v/>
      </c>
      <c r="X197">
        <f>IF(W197&gt;0.7,"High",IF(W197&gt;0.3,"Moderate",IF(W197&gt;0.15,"Low","No Impact")))</f>
        <v/>
      </c>
      <c r="Y197">
        <f>F197*(P197*1)*(H197*0.35+J197*0.35+L197*0.3)</f>
        <v/>
      </c>
      <c r="Z197">
        <f>(Y197-$AJ$14)/$AK$14</f>
        <v/>
      </c>
      <c r="AA197">
        <f>IF(Z197&gt;0.7,"High",IF(Z197&gt;0.3,"Moderate",IF(Z197&gt;0.15,"Low","No Impact")))</f>
        <v/>
      </c>
      <c r="AB197">
        <f>F197*(R197*0.35+P197*0.3+N197*0.35)*(H197*0.35+J197*0.35+L197*0.3)</f>
        <v/>
      </c>
      <c r="AC197">
        <f>(AB197-$AJ$15)/$AK$15</f>
        <v/>
      </c>
      <c r="AD197">
        <f>IF(AC197&gt;0.7,"High",IF(AC197&gt;0.3,"Moderate",IF(AC197&gt;0.15,"Low","No Impact")))</f>
        <v/>
      </c>
      <c r="AE197">
        <f>F197*(N197*1)*(H197*0.35+J197*0.35+L197*0.3)</f>
        <v/>
      </c>
      <c r="AF197">
        <f>(AE197-$AJ$16)/$AK$16</f>
        <v/>
      </c>
      <c r="AG197">
        <f>IF(AF197&gt;0.7,"High",IF(AF197&gt;0.3,"Moderate",IF(AF197&gt;0.15,"Low","No Impact")))</f>
        <v/>
      </c>
    </row>
    <row r="198">
      <c r="A198" t="n">
        <v>302696</v>
      </c>
      <c r="B198" t="inlineStr">
        <is>
          <t>BD302696</t>
        </is>
      </c>
      <c r="C198" t="inlineStr">
        <is>
          <t>Dhaka</t>
        </is>
      </c>
      <c r="D198" t="inlineStr">
        <is>
          <t>Uttar Khan</t>
        </is>
      </c>
      <c r="E198" s="3" t="n">
        <v>5.8</v>
      </c>
      <c r="F198" s="4">
        <f>(E198-$AJ$5)/$AK$5</f>
        <v/>
      </c>
      <c r="G198" t="n">
        <v>62.5226292</v>
      </c>
      <c r="H198">
        <f>(G198-$AJ$6)/$AK$6</f>
        <v/>
      </c>
      <c r="I198" t="n">
        <v>3.1</v>
      </c>
      <c r="J198" s="4">
        <f>(I198-$AJ$7)/$AK$7</f>
        <v/>
      </c>
      <c r="K198" t="n">
        <v>0</v>
      </c>
      <c r="L198" s="4">
        <f>(K198-$AJ$8)/$AK$8</f>
        <v/>
      </c>
      <c r="M198" t="n">
        <v>14687</v>
      </c>
      <c r="N198">
        <f>(M198-$AJ$9)/$AK$9</f>
        <v/>
      </c>
      <c r="O198" t="n">
        <v>0.377841352</v>
      </c>
      <c r="P198">
        <f>(O198-$AJ$11)/$AK$11</f>
        <v/>
      </c>
      <c r="Q198" t="n">
        <v>0.246</v>
      </c>
      <c r="R198">
        <f>(Q198-$AJ$12)/$AK$12</f>
        <v/>
      </c>
      <c r="S198">
        <f>F198*(R198*0.5+P198*0.5)*(H198*0.35+J198*0.35+L198*0.3)</f>
        <v/>
      </c>
      <c r="T198" s="14">
        <f>(S198-$AJ$10)/$AK$10</f>
        <v/>
      </c>
      <c r="U198">
        <f>IF(T198&gt;0.7,"High",IF(T198&gt;0.3,"Moderate",IF(T198&gt;0.15,"Low","No Impact")))</f>
        <v/>
      </c>
      <c r="V198">
        <f>F198*(R198*1)*(H198*0.35+J198*0.35+L198*0.3)</f>
        <v/>
      </c>
      <c r="W198">
        <f>(V198-$AJ$13)/$AK$13</f>
        <v/>
      </c>
      <c r="X198">
        <f>IF(W198&gt;0.7,"High",IF(W198&gt;0.3,"Moderate",IF(W198&gt;0.15,"Low","No Impact")))</f>
        <v/>
      </c>
      <c r="Y198">
        <f>F198*(P198*1)*(H198*0.35+J198*0.35+L198*0.3)</f>
        <v/>
      </c>
      <c r="Z198">
        <f>(Y198-$AJ$14)/$AK$14</f>
        <v/>
      </c>
      <c r="AA198">
        <f>IF(Z198&gt;0.7,"High",IF(Z198&gt;0.3,"Moderate",IF(Z198&gt;0.15,"Low","No Impact")))</f>
        <v/>
      </c>
      <c r="AB198">
        <f>F198*(R198*0.35+P198*0.3+N198*0.35)*(H198*0.35+J198*0.35+L198*0.3)</f>
        <v/>
      </c>
      <c r="AC198">
        <f>(AB198-$AJ$15)/$AK$15</f>
        <v/>
      </c>
      <c r="AD198">
        <f>IF(AC198&gt;0.7,"High",IF(AC198&gt;0.3,"Moderate",IF(AC198&gt;0.15,"Low","No Impact")))</f>
        <v/>
      </c>
      <c r="AE198">
        <f>F198*(N198*1)*(H198*0.35+J198*0.35+L198*0.3)</f>
        <v/>
      </c>
      <c r="AF198">
        <f>(AE198-$AJ$16)/$AK$16</f>
        <v/>
      </c>
      <c r="AG198">
        <f>IF(AF198&gt;0.7,"High",IF(AF198&gt;0.3,"Moderate",IF(AF198&gt;0.15,"Low","No Impact")))</f>
        <v/>
      </c>
    </row>
    <row r="199">
      <c r="A199" t="n">
        <v>302903</v>
      </c>
      <c r="B199" t="inlineStr">
        <is>
          <t>BD302903</t>
        </is>
      </c>
      <c r="C199" t="inlineStr">
        <is>
          <t>Faridpur</t>
        </is>
      </c>
      <c r="D199" t="inlineStr">
        <is>
          <t>Alfadanga</t>
        </is>
      </c>
      <c r="E199" s="3" t="n">
        <v>5.4</v>
      </c>
      <c r="F199" s="4">
        <f>(E199-$AJ$5)/$AK$5</f>
        <v/>
      </c>
      <c r="G199" t="n">
        <v>118.484352</v>
      </c>
      <c r="H199">
        <f>(G199-$AJ$6)/$AK$6</f>
        <v/>
      </c>
      <c r="I199" t="n">
        <v>29.4</v>
      </c>
      <c r="J199" s="4">
        <f>(I199-$AJ$7)/$AK$7</f>
        <v/>
      </c>
      <c r="K199" t="n">
        <v>0</v>
      </c>
      <c r="L199" s="4">
        <f>(K199-$AJ$8)/$AK$8</f>
        <v/>
      </c>
      <c r="M199" t="n">
        <v>9951</v>
      </c>
      <c r="N199">
        <f>(M199-$AJ$9)/$AK$9</f>
        <v/>
      </c>
      <c r="O199" t="n">
        <v>0.591387352</v>
      </c>
      <c r="P199">
        <f>(O199-$AJ$11)/$AK$11</f>
        <v/>
      </c>
      <c r="Q199" t="n">
        <v>0.2928</v>
      </c>
      <c r="R199">
        <f>(Q199-$AJ$12)/$AK$12</f>
        <v/>
      </c>
      <c r="S199">
        <f>F199*(R199*0.5+P199*0.5)*(H199*0.35+J199*0.35+L199*0.3)</f>
        <v/>
      </c>
      <c r="T199" s="14">
        <f>(S199-$AJ$10)/$AK$10</f>
        <v/>
      </c>
      <c r="U199">
        <f>IF(T199&gt;0.7,"High",IF(T199&gt;0.3,"Moderate",IF(T199&gt;0.15,"Low","No Impact")))</f>
        <v/>
      </c>
      <c r="V199">
        <f>F199*(R199*1)*(H199*0.35+J199*0.35+L199*0.3)</f>
        <v/>
      </c>
      <c r="W199">
        <f>(V199-$AJ$13)/$AK$13</f>
        <v/>
      </c>
      <c r="X199">
        <f>IF(W199&gt;0.7,"High",IF(W199&gt;0.3,"Moderate",IF(W199&gt;0.15,"Low","No Impact")))</f>
        <v/>
      </c>
      <c r="Y199">
        <f>F199*(P199*1)*(H199*0.35+J199*0.35+L199*0.3)</f>
        <v/>
      </c>
      <c r="Z199">
        <f>(Y199-$AJ$14)/$AK$14</f>
        <v/>
      </c>
      <c r="AA199">
        <f>IF(Z199&gt;0.7,"High",IF(Z199&gt;0.3,"Moderate",IF(Z199&gt;0.15,"Low","No Impact")))</f>
        <v/>
      </c>
      <c r="AB199">
        <f>F199*(R199*0.35+P199*0.3+N199*0.35)*(H199*0.35+J199*0.35+L199*0.3)</f>
        <v/>
      </c>
      <c r="AC199">
        <f>(AB199-$AJ$15)/$AK$15</f>
        <v/>
      </c>
      <c r="AD199">
        <f>IF(AC199&gt;0.7,"High",IF(AC199&gt;0.3,"Moderate",IF(AC199&gt;0.15,"Low","No Impact")))</f>
        <v/>
      </c>
      <c r="AE199">
        <f>F199*(N199*1)*(H199*0.35+J199*0.35+L199*0.3)</f>
        <v/>
      </c>
      <c r="AF199">
        <f>(AE199-$AJ$16)/$AK$16</f>
        <v/>
      </c>
      <c r="AG199">
        <f>IF(AF199&gt;0.7,"High",IF(AF199&gt;0.3,"Moderate",IF(AF199&gt;0.15,"Low","No Impact")))</f>
        <v/>
      </c>
    </row>
    <row r="200">
      <c r="A200" t="n">
        <v>302910</v>
      </c>
      <c r="B200" t="inlineStr">
        <is>
          <t>BD302910</t>
        </is>
      </c>
      <c r="C200" t="inlineStr">
        <is>
          <t>Faridpur</t>
        </is>
      </c>
      <c r="D200" t="inlineStr">
        <is>
          <t>Bhanga</t>
        </is>
      </c>
      <c r="E200" s="3" t="n">
        <v>5.4</v>
      </c>
      <c r="F200" s="4">
        <f>(E200-$AJ$5)/$AK$5</f>
        <v/>
      </c>
      <c r="G200" t="n">
        <v>94.8030984</v>
      </c>
      <c r="H200">
        <f>(G200-$AJ$6)/$AK$6</f>
        <v/>
      </c>
      <c r="I200" t="n">
        <v>21.2</v>
      </c>
      <c r="J200" s="4">
        <f>(I200-$AJ$7)/$AK$7</f>
        <v/>
      </c>
      <c r="K200" t="n">
        <v>0</v>
      </c>
      <c r="L200" s="4">
        <f>(K200-$AJ$8)/$AK$8</f>
        <v/>
      </c>
      <c r="M200" t="n">
        <v>18588</v>
      </c>
      <c r="N200">
        <f>(M200-$AJ$9)/$AK$9</f>
        <v/>
      </c>
      <c r="O200" t="n">
        <v>0.314918421</v>
      </c>
      <c r="P200">
        <f>(O200-$AJ$11)/$AK$11</f>
        <v/>
      </c>
      <c r="Q200" t="n">
        <v>0.3219</v>
      </c>
      <c r="R200">
        <f>(Q200-$AJ$12)/$AK$12</f>
        <v/>
      </c>
      <c r="S200">
        <f>F200*(R200*0.5+P200*0.5)*(H200*0.35+J200*0.35+L200*0.3)</f>
        <v/>
      </c>
      <c r="T200" s="14">
        <f>(S200-$AJ$10)/$AK$10</f>
        <v/>
      </c>
      <c r="U200">
        <f>IF(T200&gt;0.7,"High",IF(T200&gt;0.3,"Moderate",IF(T200&gt;0.15,"Low","No Impact")))</f>
        <v/>
      </c>
      <c r="V200">
        <f>F200*(R200*1)*(H200*0.35+J200*0.35+L200*0.3)</f>
        <v/>
      </c>
      <c r="W200">
        <f>(V200-$AJ$13)/$AK$13</f>
        <v/>
      </c>
      <c r="X200">
        <f>IF(W200&gt;0.7,"High",IF(W200&gt;0.3,"Moderate",IF(W200&gt;0.15,"Low","No Impact")))</f>
        <v/>
      </c>
      <c r="Y200">
        <f>F200*(P200*1)*(H200*0.35+J200*0.35+L200*0.3)</f>
        <v/>
      </c>
      <c r="Z200">
        <f>(Y200-$AJ$14)/$AK$14</f>
        <v/>
      </c>
      <c r="AA200">
        <f>IF(Z200&gt;0.7,"High",IF(Z200&gt;0.3,"Moderate",IF(Z200&gt;0.15,"Low","No Impact")))</f>
        <v/>
      </c>
      <c r="AB200">
        <f>F200*(R200*0.35+P200*0.3+N200*0.35)*(H200*0.35+J200*0.35+L200*0.3)</f>
        <v/>
      </c>
      <c r="AC200">
        <f>(AB200-$AJ$15)/$AK$15</f>
        <v/>
      </c>
      <c r="AD200">
        <f>IF(AC200&gt;0.7,"High",IF(AC200&gt;0.3,"Moderate",IF(AC200&gt;0.15,"Low","No Impact")))</f>
        <v/>
      </c>
      <c r="AE200">
        <f>F200*(N200*1)*(H200*0.35+J200*0.35+L200*0.3)</f>
        <v/>
      </c>
      <c r="AF200">
        <f>(AE200-$AJ$16)/$AK$16</f>
        <v/>
      </c>
      <c r="AG200">
        <f>IF(AF200&gt;0.7,"High",IF(AF200&gt;0.3,"Moderate",IF(AF200&gt;0.15,"Low","No Impact")))</f>
        <v/>
      </c>
    </row>
    <row r="201">
      <c r="A201" t="n">
        <v>302918</v>
      </c>
      <c r="B201" t="inlineStr">
        <is>
          <t>BD302918</t>
        </is>
      </c>
      <c r="C201" t="inlineStr">
        <is>
          <t>Faridpur</t>
        </is>
      </c>
      <c r="D201" t="inlineStr">
        <is>
          <t>Boalmari</t>
        </is>
      </c>
      <c r="E201" s="3" t="n">
        <v>5.5</v>
      </c>
      <c r="F201" s="4">
        <f>(E201-$AJ$5)/$AK$5</f>
        <v/>
      </c>
      <c r="G201" t="n">
        <v>103.8312252</v>
      </c>
      <c r="H201">
        <f>(G201-$AJ$6)/$AK$6</f>
        <v/>
      </c>
      <c r="I201" t="n">
        <v>26.3</v>
      </c>
      <c r="J201" s="4">
        <f>(I201-$AJ$7)/$AK$7</f>
        <v/>
      </c>
      <c r="K201" t="n">
        <v>0</v>
      </c>
      <c r="L201" s="4">
        <f>(K201-$AJ$8)/$AK$8</f>
        <v/>
      </c>
      <c r="M201" t="n">
        <v>27398</v>
      </c>
      <c r="N201">
        <f>(M201-$AJ$9)/$AK$9</f>
        <v/>
      </c>
      <c r="O201" t="n">
        <v>0.210512849</v>
      </c>
      <c r="P201">
        <f>(O201-$AJ$11)/$AK$11</f>
        <v/>
      </c>
      <c r="Q201" t="n">
        <v>0.3292</v>
      </c>
      <c r="R201">
        <f>(Q201-$AJ$12)/$AK$12</f>
        <v/>
      </c>
      <c r="S201">
        <f>F201*(R201*0.5+P201*0.5)*(H201*0.35+J201*0.35+L201*0.3)</f>
        <v/>
      </c>
      <c r="T201" s="14">
        <f>(S201-$AJ$10)/$AK$10</f>
        <v/>
      </c>
      <c r="U201">
        <f>IF(T201&gt;0.7,"High",IF(T201&gt;0.3,"Moderate",IF(T201&gt;0.15,"Low","No Impact")))</f>
        <v/>
      </c>
      <c r="V201">
        <f>F201*(R201*1)*(H201*0.35+J201*0.35+L201*0.3)</f>
        <v/>
      </c>
      <c r="W201">
        <f>(V201-$AJ$13)/$AK$13</f>
        <v/>
      </c>
      <c r="X201">
        <f>IF(W201&gt;0.7,"High",IF(W201&gt;0.3,"Moderate",IF(W201&gt;0.15,"Low","No Impact")))</f>
        <v/>
      </c>
      <c r="Y201">
        <f>F201*(P201*1)*(H201*0.35+J201*0.35+L201*0.3)</f>
        <v/>
      </c>
      <c r="Z201">
        <f>(Y201-$AJ$14)/$AK$14</f>
        <v/>
      </c>
      <c r="AA201">
        <f>IF(Z201&gt;0.7,"High",IF(Z201&gt;0.3,"Moderate",IF(Z201&gt;0.15,"Low","No Impact")))</f>
        <v/>
      </c>
      <c r="AB201">
        <f>F201*(R201*0.35+P201*0.3+N201*0.35)*(H201*0.35+J201*0.35+L201*0.3)</f>
        <v/>
      </c>
      <c r="AC201">
        <f>(AB201-$AJ$15)/$AK$15</f>
        <v/>
      </c>
      <c r="AD201">
        <f>IF(AC201&gt;0.7,"High",IF(AC201&gt;0.3,"Moderate",IF(AC201&gt;0.15,"Low","No Impact")))</f>
        <v/>
      </c>
      <c r="AE201">
        <f>F201*(N201*1)*(H201*0.35+J201*0.35+L201*0.3)</f>
        <v/>
      </c>
      <c r="AF201">
        <f>(AE201-$AJ$16)/$AK$16</f>
        <v/>
      </c>
      <c r="AG201">
        <f>IF(AF201&gt;0.7,"High",IF(AF201&gt;0.3,"Moderate",IF(AF201&gt;0.15,"Low","No Impact")))</f>
        <v/>
      </c>
    </row>
    <row r="202">
      <c r="A202" t="n">
        <v>302921</v>
      </c>
      <c r="B202" t="inlineStr">
        <is>
          <t>BD302921</t>
        </is>
      </c>
      <c r="C202" t="inlineStr">
        <is>
          <t>Faridpur</t>
        </is>
      </c>
      <c r="D202" t="inlineStr">
        <is>
          <t>Char Bhadrasan</t>
        </is>
      </c>
      <c r="E202" s="3" t="n">
        <v>5.4</v>
      </c>
      <c r="F202" s="4">
        <f>(E202-$AJ$5)/$AK$5</f>
        <v/>
      </c>
      <c r="G202" t="n">
        <v>82.99762920000001</v>
      </c>
      <c r="H202">
        <f>(G202-$AJ$6)/$AK$6</f>
        <v/>
      </c>
      <c r="I202" t="n">
        <v>12.6</v>
      </c>
      <c r="J202" s="4">
        <f>(I202-$AJ$7)/$AK$7</f>
        <v/>
      </c>
      <c r="K202" t="n">
        <v>0</v>
      </c>
      <c r="L202" s="4">
        <f>(K202-$AJ$8)/$AK$8</f>
        <v/>
      </c>
      <c r="M202" t="n">
        <v>8877</v>
      </c>
      <c r="N202">
        <f>(M202-$AJ$9)/$AK$9</f>
        <v/>
      </c>
      <c r="O202" t="n">
        <v>0.345180756</v>
      </c>
      <c r="P202">
        <f>(O202-$AJ$11)/$AK$11</f>
        <v/>
      </c>
      <c r="Q202" t="n">
        <v>0.2262</v>
      </c>
      <c r="R202">
        <f>(Q202-$AJ$12)/$AK$12</f>
        <v/>
      </c>
      <c r="S202">
        <f>F202*(R202*0.5+P202*0.5)*(H202*0.35+J202*0.35+L202*0.3)</f>
        <v/>
      </c>
      <c r="T202" s="14">
        <f>(S202-$AJ$10)/$AK$10</f>
        <v/>
      </c>
      <c r="U202">
        <f>IF(T202&gt;0.7,"High",IF(T202&gt;0.3,"Moderate",IF(T202&gt;0.15,"Low","No Impact")))</f>
        <v/>
      </c>
      <c r="V202">
        <f>F202*(R202*1)*(H202*0.35+J202*0.35+L202*0.3)</f>
        <v/>
      </c>
      <c r="W202">
        <f>(V202-$AJ$13)/$AK$13</f>
        <v/>
      </c>
      <c r="X202">
        <f>IF(W202&gt;0.7,"High",IF(W202&gt;0.3,"Moderate",IF(W202&gt;0.15,"Low","No Impact")))</f>
        <v/>
      </c>
      <c r="Y202">
        <f>F202*(P202*1)*(H202*0.35+J202*0.35+L202*0.3)</f>
        <v/>
      </c>
      <c r="Z202">
        <f>(Y202-$AJ$14)/$AK$14</f>
        <v/>
      </c>
      <c r="AA202">
        <f>IF(Z202&gt;0.7,"High",IF(Z202&gt;0.3,"Moderate",IF(Z202&gt;0.15,"Low","No Impact")))</f>
        <v/>
      </c>
      <c r="AB202">
        <f>F202*(R202*0.35+P202*0.3+N202*0.35)*(H202*0.35+J202*0.35+L202*0.3)</f>
        <v/>
      </c>
      <c r="AC202">
        <f>(AB202-$AJ$15)/$AK$15</f>
        <v/>
      </c>
      <c r="AD202">
        <f>IF(AC202&gt;0.7,"High",IF(AC202&gt;0.3,"Moderate",IF(AC202&gt;0.15,"Low","No Impact")))</f>
        <v/>
      </c>
      <c r="AE202">
        <f>F202*(N202*1)*(H202*0.35+J202*0.35+L202*0.3)</f>
        <v/>
      </c>
      <c r="AF202">
        <f>(AE202-$AJ$16)/$AK$16</f>
        <v/>
      </c>
      <c r="AG202">
        <f>IF(AF202&gt;0.7,"High",IF(AF202&gt;0.3,"Moderate",IF(AF202&gt;0.15,"Low","No Impact")))</f>
        <v/>
      </c>
    </row>
    <row r="203">
      <c r="A203" t="n">
        <v>302947</v>
      </c>
      <c r="B203" t="inlineStr">
        <is>
          <t>BD302947</t>
        </is>
      </c>
      <c r="C203" t="inlineStr">
        <is>
          <t>Faridpur</t>
        </is>
      </c>
      <c r="D203" t="inlineStr">
        <is>
          <t>Faridpur Sadar</t>
        </is>
      </c>
      <c r="E203" s="3" t="n">
        <v>5.5</v>
      </c>
      <c r="F203" s="4">
        <f>(E203-$AJ$5)/$AK$5</f>
        <v/>
      </c>
      <c r="G203" t="n">
        <v>88.5769272</v>
      </c>
      <c r="H203">
        <f>(G203-$AJ$6)/$AK$6</f>
        <v/>
      </c>
      <c r="I203" t="n">
        <v>14.5</v>
      </c>
      <c r="J203" s="4">
        <f>(I203-$AJ$7)/$AK$7</f>
        <v/>
      </c>
      <c r="K203" t="n">
        <v>0</v>
      </c>
      <c r="L203" s="4">
        <f>(K203-$AJ$8)/$AK$8</f>
        <v/>
      </c>
      <c r="M203" t="n">
        <v>53061</v>
      </c>
      <c r="N203">
        <f>(M203-$AJ$9)/$AK$9</f>
        <v/>
      </c>
      <c r="O203" t="n">
        <v>0.177556001</v>
      </c>
      <c r="P203">
        <f>(O203-$AJ$11)/$AK$11</f>
        <v/>
      </c>
      <c r="Q203" t="n">
        <v>0.2889</v>
      </c>
      <c r="R203">
        <f>(Q203-$AJ$12)/$AK$12</f>
        <v/>
      </c>
      <c r="S203">
        <f>F203*(R203*0.5+P203*0.5)*(H203*0.35+J203*0.35+L203*0.3)</f>
        <v/>
      </c>
      <c r="T203" s="14">
        <f>(S203-$AJ$10)/$AK$10</f>
        <v/>
      </c>
      <c r="U203">
        <f>IF(T203&gt;0.7,"High",IF(T203&gt;0.3,"Moderate",IF(T203&gt;0.15,"Low","No Impact")))</f>
        <v/>
      </c>
      <c r="V203">
        <f>F203*(R203*1)*(H203*0.35+J203*0.35+L203*0.3)</f>
        <v/>
      </c>
      <c r="W203">
        <f>(V203-$AJ$13)/$AK$13</f>
        <v/>
      </c>
      <c r="X203">
        <f>IF(W203&gt;0.7,"High",IF(W203&gt;0.3,"Moderate",IF(W203&gt;0.15,"Low","No Impact")))</f>
        <v/>
      </c>
      <c r="Y203">
        <f>F203*(P203*1)*(H203*0.35+J203*0.35+L203*0.3)</f>
        <v/>
      </c>
      <c r="Z203">
        <f>(Y203-$AJ$14)/$AK$14</f>
        <v/>
      </c>
      <c r="AA203">
        <f>IF(Z203&gt;0.7,"High",IF(Z203&gt;0.3,"Moderate",IF(Z203&gt;0.15,"Low","No Impact")))</f>
        <v/>
      </c>
      <c r="AB203">
        <f>F203*(R203*0.35+P203*0.3+N203*0.35)*(H203*0.35+J203*0.35+L203*0.3)</f>
        <v/>
      </c>
      <c r="AC203">
        <f>(AB203-$AJ$15)/$AK$15</f>
        <v/>
      </c>
      <c r="AD203">
        <f>IF(AC203&gt;0.7,"High",IF(AC203&gt;0.3,"Moderate",IF(AC203&gt;0.15,"Low","No Impact")))</f>
        <v/>
      </c>
      <c r="AE203">
        <f>F203*(N203*1)*(H203*0.35+J203*0.35+L203*0.3)</f>
        <v/>
      </c>
      <c r="AF203">
        <f>(AE203-$AJ$16)/$AK$16</f>
        <v/>
      </c>
      <c r="AG203">
        <f>IF(AF203&gt;0.7,"High",IF(AF203&gt;0.3,"Moderate",IF(AF203&gt;0.15,"Low","No Impact")))</f>
        <v/>
      </c>
    </row>
    <row r="204">
      <c r="A204" t="n">
        <v>302956</v>
      </c>
      <c r="B204" t="inlineStr">
        <is>
          <t>BD302956</t>
        </is>
      </c>
      <c r="C204" t="inlineStr">
        <is>
          <t>Faridpur</t>
        </is>
      </c>
      <c r="D204" t="inlineStr">
        <is>
          <t>Madhukhali</t>
        </is>
      </c>
      <c r="E204" s="3" t="n">
        <v>5.5</v>
      </c>
      <c r="F204" s="4">
        <f>(E204-$AJ$5)/$AK$5</f>
        <v/>
      </c>
      <c r="G204" t="n">
        <v>101.2155984</v>
      </c>
      <c r="H204">
        <f>(G204-$AJ$6)/$AK$6</f>
        <v/>
      </c>
      <c r="I204" t="n">
        <v>22.8</v>
      </c>
      <c r="J204" s="4">
        <f>(I204-$AJ$7)/$AK$7</f>
        <v/>
      </c>
      <c r="K204" t="n">
        <v>0</v>
      </c>
      <c r="L204" s="4">
        <f>(K204-$AJ$8)/$AK$8</f>
        <v/>
      </c>
      <c r="M204" t="n">
        <v>19899</v>
      </c>
      <c r="N204">
        <f>(M204-$AJ$9)/$AK$9</f>
        <v/>
      </c>
      <c r="O204" t="n">
        <v>0.41403199</v>
      </c>
      <c r="P204">
        <f>(O204-$AJ$11)/$AK$11</f>
        <v/>
      </c>
      <c r="Q204" t="n">
        <v>0.2973</v>
      </c>
      <c r="R204">
        <f>(Q204-$AJ$12)/$AK$12</f>
        <v/>
      </c>
      <c r="S204">
        <f>F204*(R204*0.5+P204*0.5)*(H204*0.35+J204*0.35+L204*0.3)</f>
        <v/>
      </c>
      <c r="T204" s="14">
        <f>(S204-$AJ$10)/$AK$10</f>
        <v/>
      </c>
      <c r="U204">
        <f>IF(T204&gt;0.7,"High",IF(T204&gt;0.3,"Moderate",IF(T204&gt;0.15,"Low","No Impact")))</f>
        <v/>
      </c>
      <c r="V204">
        <f>F204*(R204*1)*(H204*0.35+J204*0.35+L204*0.3)</f>
        <v/>
      </c>
      <c r="W204">
        <f>(V204-$AJ$13)/$AK$13</f>
        <v/>
      </c>
      <c r="X204">
        <f>IF(W204&gt;0.7,"High",IF(W204&gt;0.3,"Moderate",IF(W204&gt;0.15,"Low","No Impact")))</f>
        <v/>
      </c>
      <c r="Y204">
        <f>F204*(P204*1)*(H204*0.35+J204*0.35+L204*0.3)</f>
        <v/>
      </c>
      <c r="Z204">
        <f>(Y204-$AJ$14)/$AK$14</f>
        <v/>
      </c>
      <c r="AA204">
        <f>IF(Z204&gt;0.7,"High",IF(Z204&gt;0.3,"Moderate",IF(Z204&gt;0.15,"Low","No Impact")))</f>
        <v/>
      </c>
      <c r="AB204">
        <f>F204*(R204*0.35+P204*0.3+N204*0.35)*(H204*0.35+J204*0.35+L204*0.3)</f>
        <v/>
      </c>
      <c r="AC204">
        <f>(AB204-$AJ$15)/$AK$15</f>
        <v/>
      </c>
      <c r="AD204">
        <f>IF(AC204&gt;0.7,"High",IF(AC204&gt;0.3,"Moderate",IF(AC204&gt;0.15,"Low","No Impact")))</f>
        <v/>
      </c>
      <c r="AE204">
        <f>F204*(N204*1)*(H204*0.35+J204*0.35+L204*0.3)</f>
        <v/>
      </c>
      <c r="AF204">
        <f>(AE204-$AJ$16)/$AK$16</f>
        <v/>
      </c>
      <c r="AG204">
        <f>IF(AF204&gt;0.7,"High",IF(AF204&gt;0.3,"Moderate",IF(AF204&gt;0.15,"Low","No Impact")))</f>
        <v/>
      </c>
    </row>
    <row r="205">
      <c r="A205" t="n">
        <v>302962</v>
      </c>
      <c r="B205" t="inlineStr">
        <is>
          <t>BD302962</t>
        </is>
      </c>
      <c r="C205" t="inlineStr">
        <is>
          <t>Faridpur</t>
        </is>
      </c>
      <c r="D205" t="inlineStr">
        <is>
          <t>Nagarkanda</t>
        </is>
      </c>
      <c r="E205" s="3" t="n">
        <v>5.4</v>
      </c>
      <c r="F205" s="4">
        <f>(E205-$AJ$5)/$AK$5</f>
        <v/>
      </c>
      <c r="G205" t="n">
        <v>103.8312252</v>
      </c>
      <c r="H205">
        <f>(G205-$AJ$6)/$AK$6</f>
        <v/>
      </c>
      <c r="I205" t="n">
        <v>23.90000000000001</v>
      </c>
      <c r="J205" s="4">
        <f>(I205-$AJ$7)/$AK$7</f>
        <v/>
      </c>
      <c r="K205" t="n">
        <v>0</v>
      </c>
      <c r="L205" s="4">
        <f>(K205-$AJ$8)/$AK$8</f>
        <v/>
      </c>
      <c r="M205" t="n">
        <v>16580</v>
      </c>
      <c r="N205">
        <f>(M205-$AJ$9)/$AK$9</f>
        <v/>
      </c>
      <c r="O205" t="n">
        <v>0.296478751</v>
      </c>
      <c r="P205">
        <f>(O205-$AJ$11)/$AK$11</f>
        <v/>
      </c>
      <c r="Q205" t="n">
        <v>0.338</v>
      </c>
      <c r="R205">
        <f>(Q205-$AJ$12)/$AK$12</f>
        <v/>
      </c>
      <c r="S205">
        <f>F205*(R205*0.5+P205*0.5)*(H205*0.35+J205*0.35+L205*0.3)</f>
        <v/>
      </c>
      <c r="T205" s="14">
        <f>(S205-$AJ$10)/$AK$10</f>
        <v/>
      </c>
      <c r="U205">
        <f>IF(T205&gt;0.7,"High",IF(T205&gt;0.3,"Moderate",IF(T205&gt;0.15,"Low","No Impact")))</f>
        <v/>
      </c>
      <c r="V205">
        <f>F205*(R205*1)*(H205*0.35+J205*0.35+L205*0.3)</f>
        <v/>
      </c>
      <c r="W205">
        <f>(V205-$AJ$13)/$AK$13</f>
        <v/>
      </c>
      <c r="X205">
        <f>IF(W205&gt;0.7,"High",IF(W205&gt;0.3,"Moderate",IF(W205&gt;0.15,"Low","No Impact")))</f>
        <v/>
      </c>
      <c r="Y205">
        <f>F205*(P205*1)*(H205*0.35+J205*0.35+L205*0.3)</f>
        <v/>
      </c>
      <c r="Z205">
        <f>(Y205-$AJ$14)/$AK$14</f>
        <v/>
      </c>
      <c r="AA205">
        <f>IF(Z205&gt;0.7,"High",IF(Z205&gt;0.3,"Moderate",IF(Z205&gt;0.15,"Low","No Impact")))</f>
        <v/>
      </c>
      <c r="AB205">
        <f>F205*(R205*0.35+P205*0.3+N205*0.35)*(H205*0.35+J205*0.35+L205*0.3)</f>
        <v/>
      </c>
      <c r="AC205">
        <f>(AB205-$AJ$15)/$AK$15</f>
        <v/>
      </c>
      <c r="AD205">
        <f>IF(AC205&gt;0.7,"High",IF(AC205&gt;0.3,"Moderate",IF(AC205&gt;0.15,"Low","No Impact")))</f>
        <v/>
      </c>
      <c r="AE205">
        <f>F205*(N205*1)*(H205*0.35+J205*0.35+L205*0.3)</f>
        <v/>
      </c>
      <c r="AF205">
        <f>(AE205-$AJ$16)/$AK$16</f>
        <v/>
      </c>
      <c r="AG205">
        <f>IF(AF205&gt;0.7,"High",IF(AF205&gt;0.3,"Moderate",IF(AF205&gt;0.15,"Low","No Impact")))</f>
        <v/>
      </c>
    </row>
    <row r="206">
      <c r="A206" t="n">
        <v>302984</v>
      </c>
      <c r="B206" t="inlineStr">
        <is>
          <t>BD302984</t>
        </is>
      </c>
      <c r="C206" t="inlineStr">
        <is>
          <t>Faridpur</t>
        </is>
      </c>
      <c r="D206" t="inlineStr">
        <is>
          <t>Sadarpur</t>
        </is>
      </c>
      <c r="E206" s="3" t="n">
        <v>5.4</v>
      </c>
      <c r="F206" s="4">
        <f>(E206-$AJ$5)/$AK$5</f>
        <v/>
      </c>
      <c r="G206" t="n">
        <v>94.8030984</v>
      </c>
      <c r="H206">
        <f>(G206-$AJ$6)/$AK$6</f>
        <v/>
      </c>
      <c r="I206" t="n">
        <v>18.9</v>
      </c>
      <c r="J206" s="4">
        <f>(I206-$AJ$7)/$AK$7</f>
        <v/>
      </c>
      <c r="K206" t="n">
        <v>0</v>
      </c>
      <c r="L206" s="4">
        <f>(K206-$AJ$8)/$AK$8</f>
        <v/>
      </c>
      <c r="M206" t="n">
        <v>32677</v>
      </c>
      <c r="N206">
        <f>(M206-$AJ$9)/$AK$9</f>
        <v/>
      </c>
      <c r="O206" t="n">
        <v>0.165898594</v>
      </c>
      <c r="P206">
        <f>(O206-$AJ$11)/$AK$11</f>
        <v/>
      </c>
      <c r="Q206" t="n">
        <v>0.2896</v>
      </c>
      <c r="R206">
        <f>(Q206-$AJ$12)/$AK$12</f>
        <v/>
      </c>
      <c r="S206">
        <f>F206*(R206*0.5+P206*0.5)*(H206*0.35+J206*0.35+L206*0.3)</f>
        <v/>
      </c>
      <c r="T206" s="14">
        <f>(S206-$AJ$10)/$AK$10</f>
        <v/>
      </c>
      <c r="U206">
        <f>IF(T206&gt;0.7,"High",IF(T206&gt;0.3,"Moderate",IF(T206&gt;0.15,"Low","No Impact")))</f>
        <v/>
      </c>
      <c r="V206">
        <f>F206*(R206*1)*(H206*0.35+J206*0.35+L206*0.3)</f>
        <v/>
      </c>
      <c r="W206">
        <f>(V206-$AJ$13)/$AK$13</f>
        <v/>
      </c>
      <c r="X206">
        <f>IF(W206&gt;0.7,"High",IF(W206&gt;0.3,"Moderate",IF(W206&gt;0.15,"Low","No Impact")))</f>
        <v/>
      </c>
      <c r="Y206">
        <f>F206*(P206*1)*(H206*0.35+J206*0.35+L206*0.3)</f>
        <v/>
      </c>
      <c r="Z206">
        <f>(Y206-$AJ$14)/$AK$14</f>
        <v/>
      </c>
      <c r="AA206">
        <f>IF(Z206&gt;0.7,"High",IF(Z206&gt;0.3,"Moderate",IF(Z206&gt;0.15,"Low","No Impact")))</f>
        <v/>
      </c>
      <c r="AB206">
        <f>F206*(R206*0.35+P206*0.3+N206*0.35)*(H206*0.35+J206*0.35+L206*0.3)</f>
        <v/>
      </c>
      <c r="AC206">
        <f>(AB206-$AJ$15)/$AK$15</f>
        <v/>
      </c>
      <c r="AD206">
        <f>IF(AC206&gt;0.7,"High",IF(AC206&gt;0.3,"Moderate",IF(AC206&gt;0.15,"Low","No Impact")))</f>
        <v/>
      </c>
      <c r="AE206">
        <f>F206*(N206*1)*(H206*0.35+J206*0.35+L206*0.3)</f>
        <v/>
      </c>
      <c r="AF206">
        <f>(AE206-$AJ$16)/$AK$16</f>
        <v/>
      </c>
      <c r="AG206">
        <f>IF(AF206&gt;0.7,"High",IF(AF206&gt;0.3,"Moderate",IF(AF206&gt;0.15,"Low","No Impact")))</f>
        <v/>
      </c>
    </row>
    <row r="207">
      <c r="A207" t="n">
        <v>302990</v>
      </c>
      <c r="B207" t="inlineStr">
        <is>
          <t>BD302990</t>
        </is>
      </c>
      <c r="C207" t="inlineStr">
        <is>
          <t>Faridpur</t>
        </is>
      </c>
      <c r="D207" t="inlineStr">
        <is>
          <t>Saltha</t>
        </is>
      </c>
      <c r="E207" s="3" t="n">
        <v>5.4</v>
      </c>
      <c r="F207" s="4">
        <f>(E207-$AJ$5)/$AK$5</f>
        <v/>
      </c>
      <c r="G207" t="n">
        <v>103.8312252</v>
      </c>
      <c r="H207">
        <f>(G207-$AJ$6)/$AK$6</f>
        <v/>
      </c>
      <c r="I207" t="n">
        <v>27.1</v>
      </c>
      <c r="J207" s="4">
        <f>(I207-$AJ$7)/$AK$7</f>
        <v/>
      </c>
      <c r="K207" t="n">
        <v>0</v>
      </c>
      <c r="L207" s="4">
        <f>(K207-$AJ$8)/$AK$8</f>
        <v/>
      </c>
      <c r="M207" t="n">
        <v>15640</v>
      </c>
      <c r="N207">
        <f>(M207-$AJ$9)/$AK$9</f>
        <v/>
      </c>
      <c r="O207" t="n">
        <v>0.377436093</v>
      </c>
      <c r="P207">
        <f>(O207-$AJ$11)/$AK$11</f>
        <v/>
      </c>
      <c r="Q207" t="n">
        <v>0.3602</v>
      </c>
      <c r="R207">
        <f>(Q207-$AJ$12)/$AK$12</f>
        <v/>
      </c>
      <c r="S207">
        <f>F207*(R207*0.5+P207*0.5)*(H207*0.35+J207*0.35+L207*0.3)</f>
        <v/>
      </c>
      <c r="T207" s="14">
        <f>(S207-$AJ$10)/$AK$10</f>
        <v/>
      </c>
      <c r="U207">
        <f>IF(T207&gt;0.7,"High",IF(T207&gt;0.3,"Moderate",IF(T207&gt;0.15,"Low","No Impact")))</f>
        <v/>
      </c>
      <c r="V207">
        <f>F207*(R207*1)*(H207*0.35+J207*0.35+L207*0.3)</f>
        <v/>
      </c>
      <c r="W207">
        <f>(V207-$AJ$13)/$AK$13</f>
        <v/>
      </c>
      <c r="X207">
        <f>IF(W207&gt;0.7,"High",IF(W207&gt;0.3,"Moderate",IF(W207&gt;0.15,"Low","No Impact")))</f>
        <v/>
      </c>
      <c r="Y207">
        <f>F207*(P207*1)*(H207*0.35+J207*0.35+L207*0.3)</f>
        <v/>
      </c>
      <c r="Z207">
        <f>(Y207-$AJ$14)/$AK$14</f>
        <v/>
      </c>
      <c r="AA207">
        <f>IF(Z207&gt;0.7,"High",IF(Z207&gt;0.3,"Moderate",IF(Z207&gt;0.15,"Low","No Impact")))</f>
        <v/>
      </c>
      <c r="AB207">
        <f>F207*(R207*0.35+P207*0.3+N207*0.35)*(H207*0.35+J207*0.35+L207*0.3)</f>
        <v/>
      </c>
      <c r="AC207">
        <f>(AB207-$AJ$15)/$AK$15</f>
        <v/>
      </c>
      <c r="AD207">
        <f>IF(AC207&gt;0.7,"High",IF(AC207&gt;0.3,"Moderate",IF(AC207&gt;0.15,"Low","No Impact")))</f>
        <v/>
      </c>
      <c r="AE207">
        <f>F207*(N207*1)*(H207*0.35+J207*0.35+L207*0.3)</f>
        <v/>
      </c>
      <c r="AF207">
        <f>(AE207-$AJ$16)/$AK$16</f>
        <v/>
      </c>
      <c r="AG207">
        <f>IF(AF207&gt;0.7,"High",IF(AF207&gt;0.3,"Moderate",IF(AF207&gt;0.15,"Low","No Impact")))</f>
        <v/>
      </c>
    </row>
    <row r="208">
      <c r="A208" t="n">
        <v>303330</v>
      </c>
      <c r="B208" t="inlineStr">
        <is>
          <t>BD303330</t>
        </is>
      </c>
      <c r="C208" t="inlineStr">
        <is>
          <t>Gazipur</t>
        </is>
      </c>
      <c r="D208" t="inlineStr">
        <is>
          <t>Gazipur Sadar</t>
        </is>
      </c>
      <c r="E208" s="3" t="n">
        <v>4.8</v>
      </c>
      <c r="F208" s="4">
        <f>(E208-$AJ$5)/$AK$5</f>
        <v/>
      </c>
      <c r="G208" t="n">
        <v>54.5034852</v>
      </c>
      <c r="H208">
        <f>(G208-$AJ$6)/$AK$6</f>
        <v/>
      </c>
      <c r="I208" t="n">
        <v>0.5999999999999999</v>
      </c>
      <c r="J208" s="4">
        <f>(I208-$AJ$7)/$AK$7</f>
        <v/>
      </c>
      <c r="K208" t="n">
        <v>0</v>
      </c>
      <c r="L208" s="4">
        <f>(K208-$AJ$8)/$AK$8</f>
        <v/>
      </c>
      <c r="M208" t="n">
        <v>211592</v>
      </c>
      <c r="N208">
        <f>(M208-$AJ$9)/$AK$9</f>
        <v/>
      </c>
      <c r="O208" t="n">
        <v>0.423930683</v>
      </c>
      <c r="P208">
        <f>(O208-$AJ$11)/$AK$11</f>
        <v/>
      </c>
      <c r="Q208" t="n">
        <v>0.2471</v>
      </c>
      <c r="R208">
        <f>(Q208-$AJ$12)/$AK$12</f>
        <v/>
      </c>
      <c r="S208">
        <f>F208*(R208*0.5+P208*0.5)*(H208*0.35+J208*0.35+L208*0.3)</f>
        <v/>
      </c>
      <c r="T208" s="14">
        <f>(S208-$AJ$10)/$AK$10</f>
        <v/>
      </c>
      <c r="U208">
        <f>IF(T208&gt;0.7,"High",IF(T208&gt;0.3,"Moderate",IF(T208&gt;0.15,"Low","No Impact")))</f>
        <v/>
      </c>
      <c r="V208">
        <f>F208*(R208*1)*(H208*0.35+J208*0.35+L208*0.3)</f>
        <v/>
      </c>
      <c r="W208">
        <f>(V208-$AJ$13)/$AK$13</f>
        <v/>
      </c>
      <c r="X208">
        <f>IF(W208&gt;0.7,"High",IF(W208&gt;0.3,"Moderate",IF(W208&gt;0.15,"Low","No Impact")))</f>
        <v/>
      </c>
      <c r="Y208">
        <f>F208*(P208*1)*(H208*0.35+J208*0.35+L208*0.3)</f>
        <v/>
      </c>
      <c r="Z208">
        <f>(Y208-$AJ$14)/$AK$14</f>
        <v/>
      </c>
      <c r="AA208">
        <f>IF(Z208&gt;0.7,"High",IF(Z208&gt;0.3,"Moderate",IF(Z208&gt;0.15,"Low","No Impact")))</f>
        <v/>
      </c>
      <c r="AB208">
        <f>F208*(R208*0.35+P208*0.3+N208*0.35)*(H208*0.35+J208*0.35+L208*0.3)</f>
        <v/>
      </c>
      <c r="AC208">
        <f>(AB208-$AJ$15)/$AK$15</f>
        <v/>
      </c>
      <c r="AD208">
        <f>IF(AC208&gt;0.7,"High",IF(AC208&gt;0.3,"Moderate",IF(AC208&gt;0.15,"Low","No Impact")))</f>
        <v/>
      </c>
      <c r="AE208">
        <f>F208*(N208*1)*(H208*0.35+J208*0.35+L208*0.3)</f>
        <v/>
      </c>
      <c r="AF208">
        <f>(AE208-$AJ$16)/$AK$16</f>
        <v/>
      </c>
      <c r="AG208">
        <f>IF(AF208&gt;0.7,"High",IF(AF208&gt;0.3,"Moderate",IF(AF208&gt;0.15,"Low","No Impact")))</f>
        <v/>
      </c>
    </row>
    <row r="209">
      <c r="A209" t="n">
        <v>303332</v>
      </c>
      <c r="B209" t="inlineStr">
        <is>
          <t>BD303332</t>
        </is>
      </c>
      <c r="C209" t="inlineStr">
        <is>
          <t>Gazipur</t>
        </is>
      </c>
      <c r="D209" t="inlineStr">
        <is>
          <t>Kaliakair</t>
        </is>
      </c>
      <c r="E209" s="3" t="n">
        <v>4.8</v>
      </c>
      <c r="F209" s="4">
        <f>(E209-$AJ$5)/$AK$5</f>
        <v/>
      </c>
      <c r="G209" t="n">
        <v>54.5034852</v>
      </c>
      <c r="H209">
        <f>(G209-$AJ$6)/$AK$6</f>
        <v/>
      </c>
      <c r="I209" t="n">
        <v>1</v>
      </c>
      <c r="J209" s="4">
        <f>(I209-$AJ$7)/$AK$7</f>
        <v/>
      </c>
      <c r="K209" t="n">
        <v>0</v>
      </c>
      <c r="L209" s="4">
        <f>(K209-$AJ$8)/$AK$8</f>
        <v/>
      </c>
      <c r="M209" t="n">
        <v>85598</v>
      </c>
      <c r="N209">
        <f>(M209-$AJ$9)/$AK$9</f>
        <v/>
      </c>
      <c r="O209" t="n">
        <v>0.22940717</v>
      </c>
      <c r="P209">
        <f>(O209-$AJ$11)/$AK$11</f>
        <v/>
      </c>
      <c r="Q209" t="n">
        <v>0.2371</v>
      </c>
      <c r="R209">
        <f>(Q209-$AJ$12)/$AK$12</f>
        <v/>
      </c>
      <c r="S209">
        <f>F209*(R209*0.5+P209*0.5)*(H209*0.35+J209*0.35+L209*0.3)</f>
        <v/>
      </c>
      <c r="T209" s="14">
        <f>(S209-$AJ$10)/$AK$10</f>
        <v/>
      </c>
      <c r="U209">
        <f>IF(T209&gt;0.7,"High",IF(T209&gt;0.3,"Moderate",IF(T209&gt;0.15,"Low","No Impact")))</f>
        <v/>
      </c>
      <c r="V209">
        <f>F209*(R209*1)*(H209*0.35+J209*0.35+L209*0.3)</f>
        <v/>
      </c>
      <c r="W209">
        <f>(V209-$AJ$13)/$AK$13</f>
        <v/>
      </c>
      <c r="X209">
        <f>IF(W209&gt;0.7,"High",IF(W209&gt;0.3,"Moderate",IF(W209&gt;0.15,"Low","No Impact")))</f>
        <v/>
      </c>
      <c r="Y209">
        <f>F209*(P209*1)*(H209*0.35+J209*0.35+L209*0.3)</f>
        <v/>
      </c>
      <c r="Z209">
        <f>(Y209-$AJ$14)/$AK$14</f>
        <v/>
      </c>
      <c r="AA209">
        <f>IF(Z209&gt;0.7,"High",IF(Z209&gt;0.3,"Moderate",IF(Z209&gt;0.15,"Low","No Impact")))</f>
        <v/>
      </c>
      <c r="AB209">
        <f>F209*(R209*0.35+P209*0.3+N209*0.35)*(H209*0.35+J209*0.35+L209*0.3)</f>
        <v/>
      </c>
      <c r="AC209">
        <f>(AB209-$AJ$15)/$AK$15</f>
        <v/>
      </c>
      <c r="AD209">
        <f>IF(AC209&gt;0.7,"High",IF(AC209&gt;0.3,"Moderate",IF(AC209&gt;0.15,"Low","No Impact")))</f>
        <v/>
      </c>
      <c r="AE209">
        <f>F209*(N209*1)*(H209*0.35+J209*0.35+L209*0.3)</f>
        <v/>
      </c>
      <c r="AF209">
        <f>(AE209-$AJ$16)/$AK$16</f>
        <v/>
      </c>
      <c r="AG209">
        <f>IF(AF209&gt;0.7,"High",IF(AF209&gt;0.3,"Moderate",IF(AF209&gt;0.15,"Low","No Impact")))</f>
        <v/>
      </c>
    </row>
    <row r="210">
      <c r="A210" t="n">
        <v>303334</v>
      </c>
      <c r="B210" t="inlineStr">
        <is>
          <t>BD303334</t>
        </is>
      </c>
      <c r="C210" t="inlineStr">
        <is>
          <t>Gazipur</t>
        </is>
      </c>
      <c r="D210" t="inlineStr">
        <is>
          <t>Kaliganj</t>
        </is>
      </c>
      <c r="E210" s="3" t="n">
        <v>4.8</v>
      </c>
      <c r="F210" s="4">
        <f>(E210-$AJ$5)/$AK$5</f>
        <v/>
      </c>
      <c r="G210" t="n">
        <v>62.5226292</v>
      </c>
      <c r="H210">
        <f>(G210-$AJ$6)/$AK$6</f>
        <v/>
      </c>
      <c r="I210" t="n">
        <v>2.200000000000001</v>
      </c>
      <c r="J210" s="4">
        <f>(I210-$AJ$7)/$AK$7</f>
        <v/>
      </c>
      <c r="K210" t="n">
        <v>0</v>
      </c>
      <c r="L210" s="4">
        <f>(K210-$AJ$8)/$AK$8</f>
        <v/>
      </c>
      <c r="M210" t="n">
        <v>42892</v>
      </c>
      <c r="N210">
        <f>(M210-$AJ$9)/$AK$9</f>
        <v/>
      </c>
      <c r="O210" t="n">
        <v>0.288738756</v>
      </c>
      <c r="P210">
        <f>(O210-$AJ$11)/$AK$11</f>
        <v/>
      </c>
      <c r="Q210" t="n">
        <v>0.2225</v>
      </c>
      <c r="R210">
        <f>(Q210-$AJ$12)/$AK$12</f>
        <v/>
      </c>
      <c r="S210">
        <f>F210*(R210*0.5+P210*0.5)*(H210*0.35+J210*0.35+L210*0.3)</f>
        <v/>
      </c>
      <c r="T210" s="14">
        <f>(S210-$AJ$10)/$AK$10</f>
        <v/>
      </c>
      <c r="U210">
        <f>IF(T210&gt;0.7,"High",IF(T210&gt;0.3,"Moderate",IF(T210&gt;0.15,"Low","No Impact")))</f>
        <v/>
      </c>
      <c r="V210">
        <f>F210*(R210*1)*(H210*0.35+J210*0.35+L210*0.3)</f>
        <v/>
      </c>
      <c r="W210">
        <f>(V210-$AJ$13)/$AK$13</f>
        <v/>
      </c>
      <c r="X210">
        <f>IF(W210&gt;0.7,"High",IF(W210&gt;0.3,"Moderate",IF(W210&gt;0.15,"Low","No Impact")))</f>
        <v/>
      </c>
      <c r="Y210">
        <f>F210*(P210*1)*(H210*0.35+J210*0.35+L210*0.3)</f>
        <v/>
      </c>
      <c r="Z210">
        <f>(Y210-$AJ$14)/$AK$14</f>
        <v/>
      </c>
      <c r="AA210">
        <f>IF(Z210&gt;0.7,"High",IF(Z210&gt;0.3,"Moderate",IF(Z210&gt;0.15,"Low","No Impact")))</f>
        <v/>
      </c>
      <c r="AB210">
        <f>F210*(R210*0.35+P210*0.3+N210*0.35)*(H210*0.35+J210*0.35+L210*0.3)</f>
        <v/>
      </c>
      <c r="AC210">
        <f>(AB210-$AJ$15)/$AK$15</f>
        <v/>
      </c>
      <c r="AD210">
        <f>IF(AC210&gt;0.7,"High",IF(AC210&gt;0.3,"Moderate",IF(AC210&gt;0.15,"Low","No Impact")))</f>
        <v/>
      </c>
      <c r="AE210">
        <f>F210*(N210*1)*(H210*0.35+J210*0.35+L210*0.3)</f>
        <v/>
      </c>
      <c r="AF210">
        <f>(AE210-$AJ$16)/$AK$16</f>
        <v/>
      </c>
      <c r="AG210">
        <f>IF(AF210&gt;0.7,"High",IF(AF210&gt;0.3,"Moderate",IF(AF210&gt;0.15,"Low","No Impact")))</f>
        <v/>
      </c>
    </row>
    <row r="211">
      <c r="A211" t="n">
        <v>303336</v>
      </c>
      <c r="B211" t="inlineStr">
        <is>
          <t>BD303336</t>
        </is>
      </c>
      <c r="C211" t="inlineStr">
        <is>
          <t>Gazipur</t>
        </is>
      </c>
      <c r="D211" t="inlineStr">
        <is>
          <t>Kapasia</t>
        </is>
      </c>
      <c r="E211" s="3" t="n">
        <v>4.8</v>
      </c>
      <c r="F211" s="4">
        <f>(E211-$AJ$5)/$AK$5</f>
        <v/>
      </c>
      <c r="G211" t="n">
        <v>52.1198928</v>
      </c>
      <c r="H211">
        <f>(G211-$AJ$6)/$AK$6</f>
        <v/>
      </c>
      <c r="I211" t="n">
        <v>0.4000000000000002</v>
      </c>
      <c r="J211" s="4">
        <f>(I211-$AJ$7)/$AK$7</f>
        <v/>
      </c>
      <c r="K211" t="n">
        <v>0</v>
      </c>
      <c r="L211" s="4">
        <f>(K211-$AJ$8)/$AK$8</f>
        <v/>
      </c>
      <c r="M211" t="n">
        <v>53557</v>
      </c>
      <c r="N211">
        <f>(M211-$AJ$9)/$AK$9</f>
        <v/>
      </c>
      <c r="O211" t="n">
        <v>0.445310243</v>
      </c>
      <c r="P211">
        <f>(O211-$AJ$11)/$AK$11</f>
        <v/>
      </c>
      <c r="Q211" t="n">
        <v>0.2861</v>
      </c>
      <c r="R211">
        <f>(Q211-$AJ$12)/$AK$12</f>
        <v/>
      </c>
      <c r="S211">
        <f>F211*(R211*0.5+P211*0.5)*(H211*0.35+J211*0.35+L211*0.3)</f>
        <v/>
      </c>
      <c r="T211" s="14">
        <f>(S211-$AJ$10)/$AK$10</f>
        <v/>
      </c>
      <c r="U211">
        <f>IF(T211&gt;0.7,"High",IF(T211&gt;0.3,"Moderate",IF(T211&gt;0.15,"Low","No Impact")))</f>
        <v/>
      </c>
      <c r="V211">
        <f>F211*(R211*1)*(H211*0.35+J211*0.35+L211*0.3)</f>
        <v/>
      </c>
      <c r="W211">
        <f>(V211-$AJ$13)/$AK$13</f>
        <v/>
      </c>
      <c r="X211">
        <f>IF(W211&gt;0.7,"High",IF(W211&gt;0.3,"Moderate",IF(W211&gt;0.15,"Low","No Impact")))</f>
        <v/>
      </c>
      <c r="Y211">
        <f>F211*(P211*1)*(H211*0.35+J211*0.35+L211*0.3)</f>
        <v/>
      </c>
      <c r="Z211">
        <f>(Y211-$AJ$14)/$AK$14</f>
        <v/>
      </c>
      <c r="AA211">
        <f>IF(Z211&gt;0.7,"High",IF(Z211&gt;0.3,"Moderate",IF(Z211&gt;0.15,"Low","No Impact")))</f>
        <v/>
      </c>
      <c r="AB211">
        <f>F211*(R211*0.35+P211*0.3+N211*0.35)*(H211*0.35+J211*0.35+L211*0.3)</f>
        <v/>
      </c>
      <c r="AC211">
        <f>(AB211-$AJ$15)/$AK$15</f>
        <v/>
      </c>
      <c r="AD211">
        <f>IF(AC211&gt;0.7,"High",IF(AC211&gt;0.3,"Moderate",IF(AC211&gt;0.15,"Low","No Impact")))</f>
        <v/>
      </c>
      <c r="AE211">
        <f>F211*(N211*1)*(H211*0.35+J211*0.35+L211*0.3)</f>
        <v/>
      </c>
      <c r="AF211">
        <f>(AE211-$AJ$16)/$AK$16</f>
        <v/>
      </c>
      <c r="AG211">
        <f>IF(AF211&gt;0.7,"High",IF(AF211&gt;0.3,"Moderate",IF(AF211&gt;0.15,"Low","No Impact")))</f>
        <v/>
      </c>
    </row>
    <row r="212">
      <c r="A212" t="n">
        <v>303386</v>
      </c>
      <c r="B212" t="inlineStr">
        <is>
          <t>BD303386</t>
        </is>
      </c>
      <c r="C212" t="inlineStr">
        <is>
          <t>Gazipur</t>
        </is>
      </c>
      <c r="D212" t="inlineStr">
        <is>
          <t>Sreepur</t>
        </is>
      </c>
      <c r="E212" s="3" t="n">
        <v>4.7</v>
      </c>
      <c r="F212" s="4">
        <f>(E212-$AJ$5)/$AK$5</f>
        <v/>
      </c>
      <c r="G212" t="n">
        <v>52.1198928</v>
      </c>
      <c r="H212">
        <f>(G212-$AJ$6)/$AK$6</f>
        <v/>
      </c>
      <c r="I212" t="n">
        <v>0.3000000000000008</v>
      </c>
      <c r="J212" s="4">
        <f>(I212-$AJ$7)/$AK$7</f>
        <v/>
      </c>
      <c r="K212" t="n">
        <v>0</v>
      </c>
      <c r="L212" s="4">
        <f>(K212-$AJ$8)/$AK$8</f>
        <v/>
      </c>
      <c r="M212" t="n">
        <v>93377</v>
      </c>
      <c r="N212">
        <f>(M212-$AJ$9)/$AK$9</f>
        <v/>
      </c>
      <c r="O212" t="n">
        <v>0.278346315</v>
      </c>
      <c r="P212">
        <f>(O212-$AJ$11)/$AK$11</f>
        <v/>
      </c>
      <c r="Q212" t="n">
        <v>0.2807</v>
      </c>
      <c r="R212">
        <f>(Q212-$AJ$12)/$AK$12</f>
        <v/>
      </c>
      <c r="S212">
        <f>F212*(R212*0.5+P212*0.5)*(H212*0.35+J212*0.35+L212*0.3)</f>
        <v/>
      </c>
      <c r="T212" s="14">
        <f>(S212-$AJ$10)/$AK$10</f>
        <v/>
      </c>
      <c r="U212">
        <f>IF(T212&gt;0.7,"High",IF(T212&gt;0.3,"Moderate",IF(T212&gt;0.15,"Low","No Impact")))</f>
        <v/>
      </c>
      <c r="V212">
        <f>F212*(R212*1)*(H212*0.35+J212*0.35+L212*0.3)</f>
        <v/>
      </c>
      <c r="W212">
        <f>(V212-$AJ$13)/$AK$13</f>
        <v/>
      </c>
      <c r="X212">
        <f>IF(W212&gt;0.7,"High",IF(W212&gt;0.3,"Moderate",IF(W212&gt;0.15,"Low","No Impact")))</f>
        <v/>
      </c>
      <c r="Y212">
        <f>F212*(P212*1)*(H212*0.35+J212*0.35+L212*0.3)</f>
        <v/>
      </c>
      <c r="Z212">
        <f>(Y212-$AJ$14)/$AK$14</f>
        <v/>
      </c>
      <c r="AA212">
        <f>IF(Z212&gt;0.7,"High",IF(Z212&gt;0.3,"Moderate",IF(Z212&gt;0.15,"Low","No Impact")))</f>
        <v/>
      </c>
      <c r="AB212">
        <f>F212*(R212*0.35+P212*0.3+N212*0.35)*(H212*0.35+J212*0.35+L212*0.3)</f>
        <v/>
      </c>
      <c r="AC212">
        <f>(AB212-$AJ$15)/$AK$15</f>
        <v/>
      </c>
      <c r="AD212">
        <f>IF(AC212&gt;0.7,"High",IF(AC212&gt;0.3,"Moderate",IF(AC212&gt;0.15,"Low","No Impact")))</f>
        <v/>
      </c>
      <c r="AE212">
        <f>F212*(N212*1)*(H212*0.35+J212*0.35+L212*0.3)</f>
        <v/>
      </c>
      <c r="AF212">
        <f>(AE212-$AJ$16)/$AK$16</f>
        <v/>
      </c>
      <c r="AG212">
        <f>IF(AF212&gt;0.7,"High",IF(AF212&gt;0.3,"Moderate",IF(AF212&gt;0.15,"Low","No Impact")))</f>
        <v/>
      </c>
    </row>
    <row r="213">
      <c r="A213" t="n">
        <v>303532</v>
      </c>
      <c r="B213" t="inlineStr">
        <is>
          <t>BD303532</t>
        </is>
      </c>
      <c r="C213" t="inlineStr">
        <is>
          <t>Gopalganj</t>
        </is>
      </c>
      <c r="D213" t="inlineStr">
        <is>
          <t>Gopalganj Sadar</t>
        </is>
      </c>
      <c r="E213" s="3" t="n">
        <v>6</v>
      </c>
      <c r="F213" s="4">
        <f>(E213-$AJ$5)/$AK$5</f>
        <v/>
      </c>
      <c r="G213" t="n">
        <v>109.034352</v>
      </c>
      <c r="H213">
        <f>(G213-$AJ$6)/$AK$6</f>
        <v/>
      </c>
      <c r="I213" t="n">
        <v>32</v>
      </c>
      <c r="J213" s="4">
        <f>(I213-$AJ$7)/$AK$7</f>
        <v/>
      </c>
      <c r="K213" t="n">
        <v>0</v>
      </c>
      <c r="L213" s="4">
        <f>(K213-$AJ$8)/$AK$8</f>
        <v/>
      </c>
      <c r="M213" t="n">
        <v>31655</v>
      </c>
      <c r="N213">
        <f>(M213-$AJ$9)/$AK$9</f>
        <v/>
      </c>
      <c r="O213" t="n">
        <v>0.27454943</v>
      </c>
      <c r="P213">
        <f>(O213-$AJ$11)/$AK$11</f>
        <v/>
      </c>
      <c r="Q213" t="n">
        <v>0.246</v>
      </c>
      <c r="R213">
        <f>(Q213-$AJ$12)/$AK$12</f>
        <v/>
      </c>
      <c r="S213">
        <f>F213*(R213*0.5+P213*0.5)*(H213*0.35+J213*0.35+L213*0.3)</f>
        <v/>
      </c>
      <c r="T213" s="14">
        <f>(S213-$AJ$10)/$AK$10</f>
        <v/>
      </c>
      <c r="U213">
        <f>IF(T213&gt;0.7,"High",IF(T213&gt;0.3,"Moderate",IF(T213&gt;0.15,"Low","No Impact")))</f>
        <v/>
      </c>
      <c r="V213">
        <f>F213*(R213*1)*(H213*0.35+J213*0.35+L213*0.3)</f>
        <v/>
      </c>
      <c r="W213">
        <f>(V213-$AJ$13)/$AK$13</f>
        <v/>
      </c>
      <c r="X213">
        <f>IF(W213&gt;0.7,"High",IF(W213&gt;0.3,"Moderate",IF(W213&gt;0.15,"Low","No Impact")))</f>
        <v/>
      </c>
      <c r="Y213">
        <f>F213*(P213*1)*(H213*0.35+J213*0.35+L213*0.3)</f>
        <v/>
      </c>
      <c r="Z213">
        <f>(Y213-$AJ$14)/$AK$14</f>
        <v/>
      </c>
      <c r="AA213">
        <f>IF(Z213&gt;0.7,"High",IF(Z213&gt;0.3,"Moderate",IF(Z213&gt;0.15,"Low","No Impact")))</f>
        <v/>
      </c>
      <c r="AB213">
        <f>F213*(R213*0.35+P213*0.3+N213*0.35)*(H213*0.35+J213*0.35+L213*0.3)</f>
        <v/>
      </c>
      <c r="AC213">
        <f>(AB213-$AJ$15)/$AK$15</f>
        <v/>
      </c>
      <c r="AD213">
        <f>IF(AC213&gt;0.7,"High",IF(AC213&gt;0.3,"Moderate",IF(AC213&gt;0.15,"Low","No Impact")))</f>
        <v/>
      </c>
      <c r="AE213">
        <f>F213*(N213*1)*(H213*0.35+J213*0.35+L213*0.3)</f>
        <v/>
      </c>
      <c r="AF213">
        <f>(AE213-$AJ$16)/$AK$16</f>
        <v/>
      </c>
      <c r="AG213">
        <f>IF(AF213&gt;0.7,"High",IF(AF213&gt;0.3,"Moderate",IF(AF213&gt;0.15,"Low","No Impact")))</f>
        <v/>
      </c>
    </row>
    <row r="214">
      <c r="A214" t="n">
        <v>303543</v>
      </c>
      <c r="B214" t="inlineStr">
        <is>
          <t>BD303543</t>
        </is>
      </c>
      <c r="C214" t="inlineStr">
        <is>
          <t>Gopalganj</t>
        </is>
      </c>
      <c r="D214" t="inlineStr">
        <is>
          <t>Kashiani</t>
        </is>
      </c>
      <c r="E214" s="3" t="n">
        <v>6</v>
      </c>
      <c r="F214" s="4">
        <f>(E214-$AJ$5)/$AK$5</f>
        <v/>
      </c>
      <c r="G214" t="n">
        <v>109.034352</v>
      </c>
      <c r="H214">
        <f>(G214-$AJ$6)/$AK$6</f>
        <v/>
      </c>
      <c r="I214" t="n">
        <v>32</v>
      </c>
      <c r="J214" s="4">
        <f>(I214-$AJ$7)/$AK$7</f>
        <v/>
      </c>
      <c r="K214" t="n">
        <v>0</v>
      </c>
      <c r="L214" s="4">
        <f>(K214-$AJ$8)/$AK$8</f>
        <v/>
      </c>
      <c r="M214" t="n">
        <v>27057</v>
      </c>
      <c r="N214">
        <f>(M214-$AJ$9)/$AK$9</f>
        <v/>
      </c>
      <c r="O214" t="n">
        <v>0.21422947</v>
      </c>
      <c r="P214">
        <f>(O214-$AJ$11)/$AK$11</f>
        <v/>
      </c>
      <c r="Q214" t="n">
        <v>0.2817</v>
      </c>
      <c r="R214">
        <f>(Q214-$AJ$12)/$AK$12</f>
        <v/>
      </c>
      <c r="S214">
        <f>F214*(R214*0.5+P214*0.5)*(H214*0.35+J214*0.35+L214*0.3)</f>
        <v/>
      </c>
      <c r="T214" s="14">
        <f>(S214-$AJ$10)/$AK$10</f>
        <v/>
      </c>
      <c r="U214">
        <f>IF(T214&gt;0.7,"High",IF(T214&gt;0.3,"Moderate",IF(T214&gt;0.15,"Low","No Impact")))</f>
        <v/>
      </c>
      <c r="V214">
        <f>F214*(R214*1)*(H214*0.35+J214*0.35+L214*0.3)</f>
        <v/>
      </c>
      <c r="W214">
        <f>(V214-$AJ$13)/$AK$13</f>
        <v/>
      </c>
      <c r="X214">
        <f>IF(W214&gt;0.7,"High",IF(W214&gt;0.3,"Moderate",IF(W214&gt;0.15,"Low","No Impact")))</f>
        <v/>
      </c>
      <c r="Y214">
        <f>F214*(P214*1)*(H214*0.35+J214*0.35+L214*0.3)</f>
        <v/>
      </c>
      <c r="Z214">
        <f>(Y214-$AJ$14)/$AK$14</f>
        <v/>
      </c>
      <c r="AA214">
        <f>IF(Z214&gt;0.7,"High",IF(Z214&gt;0.3,"Moderate",IF(Z214&gt;0.15,"Low","No Impact")))</f>
        <v/>
      </c>
      <c r="AB214">
        <f>F214*(R214*0.35+P214*0.3+N214*0.35)*(H214*0.35+J214*0.35+L214*0.3)</f>
        <v/>
      </c>
      <c r="AC214">
        <f>(AB214-$AJ$15)/$AK$15</f>
        <v/>
      </c>
      <c r="AD214">
        <f>IF(AC214&gt;0.7,"High",IF(AC214&gt;0.3,"Moderate",IF(AC214&gt;0.15,"Low","No Impact")))</f>
        <v/>
      </c>
      <c r="AE214">
        <f>F214*(N214*1)*(H214*0.35+J214*0.35+L214*0.3)</f>
        <v/>
      </c>
      <c r="AF214">
        <f>(AE214-$AJ$16)/$AK$16</f>
        <v/>
      </c>
      <c r="AG214">
        <f>IF(AF214&gt;0.7,"High",IF(AF214&gt;0.3,"Moderate",IF(AF214&gt;0.15,"Low","No Impact")))</f>
        <v/>
      </c>
    </row>
    <row r="215">
      <c r="A215" t="n">
        <v>303551</v>
      </c>
      <c r="B215" t="inlineStr">
        <is>
          <t>BD303551</t>
        </is>
      </c>
      <c r="C215" t="inlineStr">
        <is>
          <t>Gopalganj</t>
        </is>
      </c>
      <c r="D215" t="inlineStr">
        <is>
          <t>Kotali Para</t>
        </is>
      </c>
      <c r="E215" s="3" t="n">
        <v>5.9</v>
      </c>
      <c r="F215" s="4">
        <f>(E215-$AJ$5)/$AK$5</f>
        <v/>
      </c>
      <c r="G215" t="n">
        <v>108.4753656</v>
      </c>
      <c r="H215">
        <f>(G215-$AJ$6)/$AK$6</f>
        <v/>
      </c>
      <c r="I215" t="n">
        <v>29.3</v>
      </c>
      <c r="J215" s="4">
        <f>(I215-$AJ$7)/$AK$7</f>
        <v/>
      </c>
      <c r="K215" t="n">
        <v>0</v>
      </c>
      <c r="L215" s="4">
        <f>(K215-$AJ$8)/$AK$8</f>
        <v/>
      </c>
      <c r="M215" t="n">
        <v>16777</v>
      </c>
      <c r="N215">
        <f>(M215-$AJ$9)/$AK$9</f>
        <v/>
      </c>
      <c r="O215" t="n">
        <v>0.442939402</v>
      </c>
      <c r="P215">
        <f>(O215-$AJ$11)/$AK$11</f>
        <v/>
      </c>
      <c r="Q215" t="n">
        <v>0.2425</v>
      </c>
      <c r="R215">
        <f>(Q215-$AJ$12)/$AK$12</f>
        <v/>
      </c>
      <c r="S215">
        <f>F215*(R215*0.5+P215*0.5)*(H215*0.35+J215*0.35+L215*0.3)</f>
        <v/>
      </c>
      <c r="T215" s="14">
        <f>(S215-$AJ$10)/$AK$10</f>
        <v/>
      </c>
      <c r="U215">
        <f>IF(T215&gt;0.7,"High",IF(T215&gt;0.3,"Moderate",IF(T215&gt;0.15,"Low","No Impact")))</f>
        <v/>
      </c>
      <c r="V215">
        <f>F215*(R215*1)*(H215*0.35+J215*0.35+L215*0.3)</f>
        <v/>
      </c>
      <c r="W215">
        <f>(V215-$AJ$13)/$AK$13</f>
        <v/>
      </c>
      <c r="X215">
        <f>IF(W215&gt;0.7,"High",IF(W215&gt;0.3,"Moderate",IF(W215&gt;0.15,"Low","No Impact")))</f>
        <v/>
      </c>
      <c r="Y215">
        <f>F215*(P215*1)*(H215*0.35+J215*0.35+L215*0.3)</f>
        <v/>
      </c>
      <c r="Z215">
        <f>(Y215-$AJ$14)/$AK$14</f>
        <v/>
      </c>
      <c r="AA215">
        <f>IF(Z215&gt;0.7,"High",IF(Z215&gt;0.3,"Moderate",IF(Z215&gt;0.15,"Low","No Impact")))</f>
        <v/>
      </c>
      <c r="AB215">
        <f>F215*(R215*0.35+P215*0.3+N215*0.35)*(H215*0.35+J215*0.35+L215*0.3)</f>
        <v/>
      </c>
      <c r="AC215">
        <f>(AB215-$AJ$15)/$AK$15</f>
        <v/>
      </c>
      <c r="AD215">
        <f>IF(AC215&gt;0.7,"High",IF(AC215&gt;0.3,"Moderate",IF(AC215&gt;0.15,"Low","No Impact")))</f>
        <v/>
      </c>
      <c r="AE215">
        <f>F215*(N215*1)*(H215*0.35+J215*0.35+L215*0.3)</f>
        <v/>
      </c>
      <c r="AF215">
        <f>(AE215-$AJ$16)/$AK$16</f>
        <v/>
      </c>
      <c r="AG215">
        <f>IF(AF215&gt;0.7,"High",IF(AF215&gt;0.3,"Moderate",IF(AF215&gt;0.15,"Low","No Impact")))</f>
        <v/>
      </c>
    </row>
    <row r="216">
      <c r="A216" t="n">
        <v>303558</v>
      </c>
      <c r="B216" t="inlineStr">
        <is>
          <t>BD303558</t>
        </is>
      </c>
      <c r="C216" t="inlineStr">
        <is>
          <t>Gopalganj</t>
        </is>
      </c>
      <c r="D216" t="inlineStr">
        <is>
          <t>Muksudpur</t>
        </is>
      </c>
      <c r="E216" s="3" t="n">
        <v>6</v>
      </c>
      <c r="F216" s="4">
        <f>(E216-$AJ$5)/$AK$5</f>
        <v/>
      </c>
      <c r="G216" t="n">
        <v>103.8312252</v>
      </c>
      <c r="H216">
        <f>(G216-$AJ$6)/$AK$6</f>
        <v/>
      </c>
      <c r="I216" t="n">
        <v>30.5</v>
      </c>
      <c r="J216" s="4">
        <f>(I216-$AJ$7)/$AK$7</f>
        <v/>
      </c>
      <c r="K216" t="n">
        <v>0</v>
      </c>
      <c r="L216" s="4">
        <f>(K216-$AJ$8)/$AK$8</f>
        <v/>
      </c>
      <c r="M216" t="n">
        <v>27947</v>
      </c>
      <c r="N216">
        <f>(M216-$AJ$9)/$AK$9</f>
        <v/>
      </c>
      <c r="O216" t="n">
        <v>0.440725115</v>
      </c>
      <c r="P216">
        <f>(O216-$AJ$11)/$AK$11</f>
        <v/>
      </c>
      <c r="Q216" t="n">
        <v>0.3068</v>
      </c>
      <c r="R216">
        <f>(Q216-$AJ$12)/$AK$12</f>
        <v/>
      </c>
      <c r="S216">
        <f>F216*(R216*0.5+P216*0.5)*(H216*0.35+J216*0.35+L216*0.3)</f>
        <v/>
      </c>
      <c r="T216" s="14">
        <f>(S216-$AJ$10)/$AK$10</f>
        <v/>
      </c>
      <c r="U216">
        <f>IF(T216&gt;0.7,"High",IF(T216&gt;0.3,"Moderate",IF(T216&gt;0.15,"Low","No Impact")))</f>
        <v/>
      </c>
      <c r="V216">
        <f>F216*(R216*1)*(H216*0.35+J216*0.35+L216*0.3)</f>
        <v/>
      </c>
      <c r="W216">
        <f>(V216-$AJ$13)/$AK$13</f>
        <v/>
      </c>
      <c r="X216">
        <f>IF(W216&gt;0.7,"High",IF(W216&gt;0.3,"Moderate",IF(W216&gt;0.15,"Low","No Impact")))</f>
        <v/>
      </c>
      <c r="Y216">
        <f>F216*(P216*1)*(H216*0.35+J216*0.35+L216*0.3)</f>
        <v/>
      </c>
      <c r="Z216">
        <f>(Y216-$AJ$14)/$AK$14</f>
        <v/>
      </c>
      <c r="AA216">
        <f>IF(Z216&gt;0.7,"High",IF(Z216&gt;0.3,"Moderate",IF(Z216&gt;0.15,"Low","No Impact")))</f>
        <v/>
      </c>
      <c r="AB216">
        <f>F216*(R216*0.35+P216*0.3+N216*0.35)*(H216*0.35+J216*0.35+L216*0.3)</f>
        <v/>
      </c>
      <c r="AC216">
        <f>(AB216-$AJ$15)/$AK$15</f>
        <v/>
      </c>
      <c r="AD216">
        <f>IF(AC216&gt;0.7,"High",IF(AC216&gt;0.3,"Moderate",IF(AC216&gt;0.15,"Low","No Impact")))</f>
        <v/>
      </c>
      <c r="AE216">
        <f>F216*(N216*1)*(H216*0.35+J216*0.35+L216*0.3)</f>
        <v/>
      </c>
      <c r="AF216">
        <f>(AE216-$AJ$16)/$AK$16</f>
        <v/>
      </c>
      <c r="AG216">
        <f>IF(AF216&gt;0.7,"High",IF(AF216&gt;0.3,"Moderate",IF(AF216&gt;0.15,"Low","No Impact")))</f>
        <v/>
      </c>
    </row>
    <row r="217">
      <c r="A217" t="n">
        <v>303591</v>
      </c>
      <c r="B217" t="inlineStr">
        <is>
          <t>BD303591</t>
        </is>
      </c>
      <c r="C217" t="inlineStr">
        <is>
          <t>Gopalganj</t>
        </is>
      </c>
      <c r="D217" t="inlineStr">
        <is>
          <t>Tungi Para</t>
        </is>
      </c>
      <c r="E217" s="3" t="n">
        <v>6</v>
      </c>
      <c r="F217" s="4">
        <f>(E217-$AJ$5)/$AK$5</f>
        <v/>
      </c>
      <c r="G217" t="n">
        <v>109.034352</v>
      </c>
      <c r="H217">
        <f>(G217-$AJ$6)/$AK$6</f>
        <v/>
      </c>
      <c r="I217" t="n">
        <v>34.3</v>
      </c>
      <c r="J217" s="4">
        <f>(I217-$AJ$7)/$AK$7</f>
        <v/>
      </c>
      <c r="K217" t="n">
        <v>0</v>
      </c>
      <c r="L217" s="4">
        <f>(K217-$AJ$8)/$AK$8</f>
        <v/>
      </c>
      <c r="M217" t="n">
        <v>5557</v>
      </c>
      <c r="N217">
        <f>(M217-$AJ$9)/$AK$9</f>
        <v/>
      </c>
      <c r="O217" t="n">
        <v>0.732852839</v>
      </c>
      <c r="P217">
        <f>(O217-$AJ$11)/$AK$11</f>
        <v/>
      </c>
      <c r="Q217" t="n">
        <v>0.2506</v>
      </c>
      <c r="R217">
        <f>(Q217-$AJ$12)/$AK$12</f>
        <v/>
      </c>
      <c r="S217">
        <f>F217*(R217*0.5+P217*0.5)*(H217*0.35+J217*0.35+L217*0.3)</f>
        <v/>
      </c>
      <c r="T217" s="14">
        <f>(S217-$AJ$10)/$AK$10</f>
        <v/>
      </c>
      <c r="U217">
        <f>IF(T217&gt;0.7,"High",IF(T217&gt;0.3,"Moderate",IF(T217&gt;0.15,"Low","No Impact")))</f>
        <v/>
      </c>
      <c r="V217">
        <f>F217*(R217*1)*(H217*0.35+J217*0.35+L217*0.3)</f>
        <v/>
      </c>
      <c r="W217">
        <f>(V217-$AJ$13)/$AK$13</f>
        <v/>
      </c>
      <c r="X217">
        <f>IF(W217&gt;0.7,"High",IF(W217&gt;0.3,"Moderate",IF(W217&gt;0.15,"Low","No Impact")))</f>
        <v/>
      </c>
      <c r="Y217">
        <f>F217*(P217*1)*(H217*0.35+J217*0.35+L217*0.3)</f>
        <v/>
      </c>
      <c r="Z217">
        <f>(Y217-$AJ$14)/$AK$14</f>
        <v/>
      </c>
      <c r="AA217">
        <f>IF(Z217&gt;0.7,"High",IF(Z217&gt;0.3,"Moderate",IF(Z217&gt;0.15,"Low","No Impact")))</f>
        <v/>
      </c>
      <c r="AB217">
        <f>F217*(R217*0.35+P217*0.3+N217*0.35)*(H217*0.35+J217*0.35+L217*0.3)</f>
        <v/>
      </c>
      <c r="AC217">
        <f>(AB217-$AJ$15)/$AK$15</f>
        <v/>
      </c>
      <c r="AD217">
        <f>IF(AC217&gt;0.7,"High",IF(AC217&gt;0.3,"Moderate",IF(AC217&gt;0.15,"Low","No Impact")))</f>
        <v/>
      </c>
      <c r="AE217">
        <f>F217*(N217*1)*(H217*0.35+J217*0.35+L217*0.3)</f>
        <v/>
      </c>
      <c r="AF217">
        <f>(AE217-$AJ$16)/$AK$16</f>
        <v/>
      </c>
      <c r="AG217">
        <f>IF(AF217&gt;0.7,"High",IF(AF217&gt;0.3,"Moderate",IF(AF217&gt;0.15,"Low","No Impact")))</f>
        <v/>
      </c>
    </row>
    <row r="218">
      <c r="A218" t="n">
        <v>304802</v>
      </c>
      <c r="B218" t="inlineStr">
        <is>
          <t>BD304802</t>
        </is>
      </c>
      <c r="C218" t="inlineStr">
        <is>
          <t>Kishoreganj</t>
        </is>
      </c>
      <c r="D218" t="inlineStr">
        <is>
          <t>Austagram</t>
        </is>
      </c>
      <c r="E218" s="3" t="n">
        <v>6.2</v>
      </c>
      <c r="F218" s="4">
        <f>(E218-$AJ$5)/$AK$5</f>
        <v/>
      </c>
      <c r="G218" t="n">
        <v>48.4054992</v>
      </c>
      <c r="H218">
        <f>(G218-$AJ$6)/$AK$6</f>
        <v/>
      </c>
      <c r="I218" t="n">
        <v>0.1000000000000003</v>
      </c>
      <c r="J218" s="4">
        <f>(I218-$AJ$7)/$AK$7</f>
        <v/>
      </c>
      <c r="K218" t="n">
        <v>0</v>
      </c>
      <c r="L218" s="4">
        <f>(K218-$AJ$8)/$AK$8</f>
        <v/>
      </c>
      <c r="M218" t="n">
        <v>7200</v>
      </c>
      <c r="N218">
        <f>(M218-$AJ$9)/$AK$9</f>
        <v/>
      </c>
      <c r="O218" t="n">
        <v>0.477605465</v>
      </c>
      <c r="P218">
        <f>(O218-$AJ$11)/$AK$11</f>
        <v/>
      </c>
      <c r="Q218" t="n">
        <v>0.1458</v>
      </c>
      <c r="R218">
        <f>(Q218-$AJ$12)/$AK$12</f>
        <v/>
      </c>
      <c r="S218">
        <f>F218*(R218*0.5+P218*0.5)*(H218*0.35+J218*0.35+L218*0.3)</f>
        <v/>
      </c>
      <c r="T218" s="14">
        <f>(S218-$AJ$10)/$AK$10</f>
        <v/>
      </c>
      <c r="U218">
        <f>IF(T218&gt;0.7,"High",IF(T218&gt;0.3,"Moderate",IF(T218&gt;0.15,"Low","No Impact")))</f>
        <v/>
      </c>
      <c r="V218">
        <f>F218*(R218*1)*(H218*0.35+J218*0.35+L218*0.3)</f>
        <v/>
      </c>
      <c r="W218">
        <f>(V218-$AJ$13)/$AK$13</f>
        <v/>
      </c>
      <c r="X218">
        <f>IF(W218&gt;0.7,"High",IF(W218&gt;0.3,"Moderate",IF(W218&gt;0.15,"Low","No Impact")))</f>
        <v/>
      </c>
      <c r="Y218">
        <f>F218*(P218*1)*(H218*0.35+J218*0.35+L218*0.3)</f>
        <v/>
      </c>
      <c r="Z218">
        <f>(Y218-$AJ$14)/$AK$14</f>
        <v/>
      </c>
      <c r="AA218">
        <f>IF(Z218&gt;0.7,"High",IF(Z218&gt;0.3,"Moderate",IF(Z218&gt;0.15,"Low","No Impact")))</f>
        <v/>
      </c>
      <c r="AB218">
        <f>F218*(R218*0.35+P218*0.3+N218*0.35)*(H218*0.35+J218*0.35+L218*0.3)</f>
        <v/>
      </c>
      <c r="AC218">
        <f>(AB218-$AJ$15)/$AK$15</f>
        <v/>
      </c>
      <c r="AD218">
        <f>IF(AC218&gt;0.7,"High",IF(AC218&gt;0.3,"Moderate",IF(AC218&gt;0.15,"Low","No Impact")))</f>
        <v/>
      </c>
      <c r="AE218">
        <f>F218*(N218*1)*(H218*0.35+J218*0.35+L218*0.3)</f>
        <v/>
      </c>
      <c r="AF218">
        <f>(AE218-$AJ$16)/$AK$16</f>
        <v/>
      </c>
      <c r="AG218">
        <f>IF(AF218&gt;0.7,"High",IF(AF218&gt;0.3,"Moderate",IF(AF218&gt;0.15,"Low","No Impact")))</f>
        <v/>
      </c>
    </row>
    <row r="219">
      <c r="A219" t="n">
        <v>304806</v>
      </c>
      <c r="B219" t="inlineStr">
        <is>
          <t>BD304806</t>
        </is>
      </c>
      <c r="C219" t="inlineStr">
        <is>
          <t>Kishoreganj</t>
        </is>
      </c>
      <c r="D219" t="inlineStr">
        <is>
          <t>Bajitpur</t>
        </is>
      </c>
      <c r="E219" s="3" t="n">
        <v>6.3</v>
      </c>
      <c r="F219" s="4">
        <f>(E219-$AJ$5)/$AK$5</f>
        <v/>
      </c>
      <c r="G219" t="n">
        <v>46.027314</v>
      </c>
      <c r="H219">
        <f>(G219-$AJ$6)/$AK$6</f>
        <v/>
      </c>
      <c r="I219" t="n">
        <v>0.2999999999999999</v>
      </c>
      <c r="J219" s="4">
        <f>(I219-$AJ$7)/$AK$7</f>
        <v/>
      </c>
      <c r="K219" t="n">
        <v>0</v>
      </c>
      <c r="L219" s="4">
        <f>(K219-$AJ$8)/$AK$8</f>
        <v/>
      </c>
      <c r="M219" t="n">
        <v>27557</v>
      </c>
      <c r="N219">
        <f>(M219-$AJ$9)/$AK$9</f>
        <v/>
      </c>
      <c r="O219" t="n">
        <v>0.59530444</v>
      </c>
      <c r="P219">
        <f>(O219-$AJ$11)/$AK$11</f>
        <v/>
      </c>
      <c r="Q219" t="n">
        <v>0.2384</v>
      </c>
      <c r="R219">
        <f>(Q219-$AJ$12)/$AK$12</f>
        <v/>
      </c>
      <c r="S219">
        <f>F219*(R219*0.5+P219*0.5)*(H219*0.35+J219*0.35+L219*0.3)</f>
        <v/>
      </c>
      <c r="T219" s="14">
        <f>(S219-$AJ$10)/$AK$10</f>
        <v/>
      </c>
      <c r="U219">
        <f>IF(T219&gt;0.7,"High",IF(T219&gt;0.3,"Moderate",IF(T219&gt;0.15,"Low","No Impact")))</f>
        <v/>
      </c>
      <c r="V219">
        <f>F219*(R219*1)*(H219*0.35+J219*0.35+L219*0.3)</f>
        <v/>
      </c>
      <c r="W219">
        <f>(V219-$AJ$13)/$AK$13</f>
        <v/>
      </c>
      <c r="X219">
        <f>IF(W219&gt;0.7,"High",IF(W219&gt;0.3,"Moderate",IF(W219&gt;0.15,"Low","No Impact")))</f>
        <v/>
      </c>
      <c r="Y219">
        <f>F219*(P219*1)*(H219*0.35+J219*0.35+L219*0.3)</f>
        <v/>
      </c>
      <c r="Z219">
        <f>(Y219-$AJ$14)/$AK$14</f>
        <v/>
      </c>
      <c r="AA219">
        <f>IF(Z219&gt;0.7,"High",IF(Z219&gt;0.3,"Moderate",IF(Z219&gt;0.15,"Low","No Impact")))</f>
        <v/>
      </c>
      <c r="AB219">
        <f>F219*(R219*0.35+P219*0.3+N219*0.35)*(H219*0.35+J219*0.35+L219*0.3)</f>
        <v/>
      </c>
      <c r="AC219">
        <f>(AB219-$AJ$15)/$AK$15</f>
        <v/>
      </c>
      <c r="AD219">
        <f>IF(AC219&gt;0.7,"High",IF(AC219&gt;0.3,"Moderate",IF(AC219&gt;0.15,"Low","No Impact")))</f>
        <v/>
      </c>
      <c r="AE219">
        <f>F219*(N219*1)*(H219*0.35+J219*0.35+L219*0.3)</f>
        <v/>
      </c>
      <c r="AF219">
        <f>(AE219-$AJ$16)/$AK$16</f>
        <v/>
      </c>
      <c r="AG219">
        <f>IF(AF219&gt;0.7,"High",IF(AF219&gt;0.3,"Moderate",IF(AF219&gt;0.15,"Low","No Impact")))</f>
        <v/>
      </c>
    </row>
    <row r="220">
      <c r="A220" t="n">
        <v>304811</v>
      </c>
      <c r="B220" t="inlineStr">
        <is>
          <t>BD304811</t>
        </is>
      </c>
      <c r="C220" t="inlineStr">
        <is>
          <t>Kishoreganj</t>
        </is>
      </c>
      <c r="D220" t="inlineStr">
        <is>
          <t>Bhairab</t>
        </is>
      </c>
      <c r="E220" s="3" t="n">
        <v>6.2</v>
      </c>
      <c r="F220" s="4">
        <f>(E220-$AJ$5)/$AK$5</f>
        <v/>
      </c>
      <c r="G220" t="n">
        <v>43.1761428</v>
      </c>
      <c r="H220">
        <f>(G220-$AJ$6)/$AK$6</f>
        <v/>
      </c>
      <c r="I220" t="n">
        <v>0.3999999999999993</v>
      </c>
      <c r="J220" s="4">
        <f>(I220-$AJ$7)/$AK$7</f>
        <v/>
      </c>
      <c r="K220" t="n">
        <v>0</v>
      </c>
      <c r="L220" s="4">
        <f>(K220-$AJ$8)/$AK$8</f>
        <v/>
      </c>
      <c r="M220" t="n">
        <v>22574</v>
      </c>
      <c r="N220">
        <f>(M220-$AJ$9)/$AK$9</f>
        <v/>
      </c>
      <c r="O220" t="n">
        <v>0.378419901</v>
      </c>
      <c r="P220">
        <f>(O220-$AJ$11)/$AK$11</f>
        <v/>
      </c>
      <c r="Q220" t="n">
        <v>0.2322</v>
      </c>
      <c r="R220">
        <f>(Q220-$AJ$12)/$AK$12</f>
        <v/>
      </c>
      <c r="S220">
        <f>F220*(R220*0.5+P220*0.5)*(H220*0.35+J220*0.35+L220*0.3)</f>
        <v/>
      </c>
      <c r="T220" s="14">
        <f>(S220-$AJ$10)/$AK$10</f>
        <v/>
      </c>
      <c r="U220">
        <f>IF(T220&gt;0.7,"High",IF(T220&gt;0.3,"Moderate",IF(T220&gt;0.15,"Low","No Impact")))</f>
        <v/>
      </c>
      <c r="V220">
        <f>F220*(R220*1)*(H220*0.35+J220*0.35+L220*0.3)</f>
        <v/>
      </c>
      <c r="W220">
        <f>(V220-$AJ$13)/$AK$13</f>
        <v/>
      </c>
      <c r="X220">
        <f>IF(W220&gt;0.7,"High",IF(W220&gt;0.3,"Moderate",IF(W220&gt;0.15,"Low","No Impact")))</f>
        <v/>
      </c>
      <c r="Y220">
        <f>F220*(P220*1)*(H220*0.35+J220*0.35+L220*0.3)</f>
        <v/>
      </c>
      <c r="Z220">
        <f>(Y220-$AJ$14)/$AK$14</f>
        <v/>
      </c>
      <c r="AA220">
        <f>IF(Z220&gt;0.7,"High",IF(Z220&gt;0.3,"Moderate",IF(Z220&gt;0.15,"Low","No Impact")))</f>
        <v/>
      </c>
      <c r="AB220">
        <f>F220*(R220*0.35+P220*0.3+N220*0.35)*(H220*0.35+J220*0.35+L220*0.3)</f>
        <v/>
      </c>
      <c r="AC220">
        <f>(AB220-$AJ$15)/$AK$15</f>
        <v/>
      </c>
      <c r="AD220">
        <f>IF(AC220&gt;0.7,"High",IF(AC220&gt;0.3,"Moderate",IF(AC220&gt;0.15,"Low","No Impact")))</f>
        <v/>
      </c>
      <c r="AE220">
        <f>F220*(N220*1)*(H220*0.35+J220*0.35+L220*0.3)</f>
        <v/>
      </c>
      <c r="AF220">
        <f>(AE220-$AJ$16)/$AK$16</f>
        <v/>
      </c>
      <c r="AG220">
        <f>IF(AF220&gt;0.7,"High",IF(AF220&gt;0.3,"Moderate",IF(AF220&gt;0.15,"Low","No Impact")))</f>
        <v/>
      </c>
    </row>
    <row r="221">
      <c r="A221" t="n">
        <v>304827</v>
      </c>
      <c r="B221" t="inlineStr">
        <is>
          <t>BD304827</t>
        </is>
      </c>
      <c r="C221" t="inlineStr">
        <is>
          <t>Kishoreganj</t>
        </is>
      </c>
      <c r="D221" t="inlineStr">
        <is>
          <t>Hossainpur</t>
        </is>
      </c>
      <c r="E221" s="3" t="n">
        <v>6.3</v>
      </c>
      <c r="F221" s="4">
        <f>(E221-$AJ$5)/$AK$5</f>
        <v/>
      </c>
      <c r="G221" t="n">
        <v>46.431612</v>
      </c>
      <c r="H221">
        <f>(G221-$AJ$6)/$AK$6</f>
        <v/>
      </c>
      <c r="I221" t="n">
        <v>0</v>
      </c>
      <c r="J221" s="4">
        <f>(I221-$AJ$7)/$AK$7</f>
        <v/>
      </c>
      <c r="K221" t="n">
        <v>0</v>
      </c>
      <c r="L221" s="4">
        <f>(K221-$AJ$8)/$AK$8</f>
        <v/>
      </c>
      <c r="M221" t="n">
        <v>17728</v>
      </c>
      <c r="N221">
        <f>(M221-$AJ$9)/$AK$9</f>
        <v/>
      </c>
      <c r="O221" t="n">
        <v>0.689662722</v>
      </c>
      <c r="P221">
        <f>(O221-$AJ$11)/$AK$11</f>
        <v/>
      </c>
      <c r="Q221" t="n">
        <v>0.2442</v>
      </c>
      <c r="R221">
        <f>(Q221-$AJ$12)/$AK$12</f>
        <v/>
      </c>
      <c r="S221">
        <f>F221*(R221*0.5+P221*0.5)*(H221*0.35+J221*0.35+L221*0.3)</f>
        <v/>
      </c>
      <c r="T221" s="14">
        <f>(S221-$AJ$10)/$AK$10</f>
        <v/>
      </c>
      <c r="U221">
        <f>IF(T221&gt;0.7,"High",IF(T221&gt;0.3,"Moderate",IF(T221&gt;0.15,"Low","No Impact")))</f>
        <v/>
      </c>
      <c r="V221">
        <f>F221*(R221*1)*(H221*0.35+J221*0.35+L221*0.3)</f>
        <v/>
      </c>
      <c r="W221">
        <f>(V221-$AJ$13)/$AK$13</f>
        <v/>
      </c>
      <c r="X221">
        <f>IF(W221&gt;0.7,"High",IF(W221&gt;0.3,"Moderate",IF(W221&gt;0.15,"Low","No Impact")))</f>
        <v/>
      </c>
      <c r="Y221">
        <f>F221*(P221*1)*(H221*0.35+J221*0.35+L221*0.3)</f>
        <v/>
      </c>
      <c r="Z221">
        <f>(Y221-$AJ$14)/$AK$14</f>
        <v/>
      </c>
      <c r="AA221">
        <f>IF(Z221&gt;0.7,"High",IF(Z221&gt;0.3,"Moderate",IF(Z221&gt;0.15,"Low","No Impact")))</f>
        <v/>
      </c>
      <c r="AB221">
        <f>F221*(R221*0.35+P221*0.3+N221*0.35)*(H221*0.35+J221*0.35+L221*0.3)</f>
        <v/>
      </c>
      <c r="AC221">
        <f>(AB221-$AJ$15)/$AK$15</f>
        <v/>
      </c>
      <c r="AD221">
        <f>IF(AC221&gt;0.7,"High",IF(AC221&gt;0.3,"Moderate",IF(AC221&gt;0.15,"Low","No Impact")))</f>
        <v/>
      </c>
      <c r="AE221">
        <f>F221*(N221*1)*(H221*0.35+J221*0.35+L221*0.3)</f>
        <v/>
      </c>
      <c r="AF221">
        <f>(AE221-$AJ$16)/$AK$16</f>
        <v/>
      </c>
      <c r="AG221">
        <f>IF(AF221&gt;0.7,"High",IF(AF221&gt;0.3,"Moderate",IF(AF221&gt;0.15,"Low","No Impact")))</f>
        <v/>
      </c>
    </row>
    <row r="222">
      <c r="A222" t="n">
        <v>304833</v>
      </c>
      <c r="B222" t="inlineStr">
        <is>
          <t>BD304833</t>
        </is>
      </c>
      <c r="C222" t="inlineStr">
        <is>
          <t>Kishoreganj</t>
        </is>
      </c>
      <c r="D222" t="inlineStr">
        <is>
          <t>Itna</t>
        </is>
      </c>
      <c r="E222" s="3" t="n">
        <v>5.8</v>
      </c>
      <c r="F222" s="4">
        <f>(E222-$AJ$5)/$AK$5</f>
        <v/>
      </c>
      <c r="G222" t="n">
        <v>48.4054992</v>
      </c>
      <c r="H222">
        <f>(G222-$AJ$6)/$AK$6</f>
        <v/>
      </c>
      <c r="I222" t="n">
        <v>0</v>
      </c>
      <c r="J222" s="4">
        <f>(I222-$AJ$7)/$AK$7</f>
        <v/>
      </c>
      <c r="K222" t="n">
        <v>0</v>
      </c>
      <c r="L222" s="4">
        <f>(K222-$AJ$8)/$AK$8</f>
        <v/>
      </c>
      <c r="M222" t="n">
        <v>5943</v>
      </c>
      <c r="N222">
        <f>(M222-$AJ$9)/$AK$9</f>
        <v/>
      </c>
      <c r="O222" t="n">
        <v>0.569943842</v>
      </c>
      <c r="P222">
        <f>(O222-$AJ$11)/$AK$11</f>
        <v/>
      </c>
      <c r="Q222" t="n">
        <v>0.1509</v>
      </c>
      <c r="R222">
        <f>(Q222-$AJ$12)/$AK$12</f>
        <v/>
      </c>
      <c r="S222">
        <f>F222*(R222*0.5+P222*0.5)*(H222*0.35+J222*0.35+L222*0.3)</f>
        <v/>
      </c>
      <c r="T222" s="14">
        <f>(S222-$AJ$10)/$AK$10</f>
        <v/>
      </c>
      <c r="U222">
        <f>IF(T222&gt;0.7,"High",IF(T222&gt;0.3,"Moderate",IF(T222&gt;0.15,"Low","No Impact")))</f>
        <v/>
      </c>
      <c r="V222">
        <f>F222*(R222*1)*(H222*0.35+J222*0.35+L222*0.3)</f>
        <v/>
      </c>
      <c r="W222">
        <f>(V222-$AJ$13)/$AK$13</f>
        <v/>
      </c>
      <c r="X222">
        <f>IF(W222&gt;0.7,"High",IF(W222&gt;0.3,"Moderate",IF(W222&gt;0.15,"Low","No Impact")))</f>
        <v/>
      </c>
      <c r="Y222">
        <f>F222*(P222*1)*(H222*0.35+J222*0.35+L222*0.3)</f>
        <v/>
      </c>
      <c r="Z222">
        <f>(Y222-$AJ$14)/$AK$14</f>
        <v/>
      </c>
      <c r="AA222">
        <f>IF(Z222&gt;0.7,"High",IF(Z222&gt;0.3,"Moderate",IF(Z222&gt;0.15,"Low","No Impact")))</f>
        <v/>
      </c>
      <c r="AB222">
        <f>F222*(R222*0.35+P222*0.3+N222*0.35)*(H222*0.35+J222*0.35+L222*0.3)</f>
        <v/>
      </c>
      <c r="AC222">
        <f>(AB222-$AJ$15)/$AK$15</f>
        <v/>
      </c>
      <c r="AD222">
        <f>IF(AC222&gt;0.7,"High",IF(AC222&gt;0.3,"Moderate",IF(AC222&gt;0.15,"Low","No Impact")))</f>
        <v/>
      </c>
      <c r="AE222">
        <f>F222*(N222*1)*(H222*0.35+J222*0.35+L222*0.3)</f>
        <v/>
      </c>
      <c r="AF222">
        <f>(AE222-$AJ$16)/$AK$16</f>
        <v/>
      </c>
      <c r="AG222">
        <f>IF(AF222&gt;0.7,"High",IF(AF222&gt;0.3,"Moderate",IF(AF222&gt;0.15,"Low","No Impact")))</f>
        <v/>
      </c>
    </row>
    <row r="223">
      <c r="A223" t="n">
        <v>304842</v>
      </c>
      <c r="B223" t="inlineStr">
        <is>
          <t>BD304842</t>
        </is>
      </c>
      <c r="C223" t="inlineStr">
        <is>
          <t>Kishoreganj</t>
        </is>
      </c>
      <c r="D223" t="inlineStr">
        <is>
          <t>Karimganj</t>
        </is>
      </c>
      <c r="E223" s="3" t="n">
        <v>5.7</v>
      </c>
      <c r="F223" s="4">
        <f>(E223-$AJ$5)/$AK$5</f>
        <v/>
      </c>
      <c r="G223" t="n">
        <v>48.4054992</v>
      </c>
      <c r="H223">
        <f>(G223-$AJ$6)/$AK$6</f>
        <v/>
      </c>
      <c r="I223" t="n">
        <v>0.1000000000000003</v>
      </c>
      <c r="J223" s="4">
        <f>(I223-$AJ$7)/$AK$7</f>
        <v/>
      </c>
      <c r="K223" t="n">
        <v>0</v>
      </c>
      <c r="L223" s="4">
        <f>(K223-$AJ$8)/$AK$8</f>
        <v/>
      </c>
      <c r="M223" t="n">
        <v>9163</v>
      </c>
      <c r="N223">
        <f>(M223-$AJ$9)/$AK$9</f>
        <v/>
      </c>
      <c r="O223" t="n">
        <v>0.225188333</v>
      </c>
      <c r="P223">
        <f>(O223-$AJ$11)/$AK$11</f>
        <v/>
      </c>
      <c r="Q223" t="n">
        <v>0.2483</v>
      </c>
      <c r="R223">
        <f>(Q223-$AJ$12)/$AK$12</f>
        <v/>
      </c>
      <c r="S223">
        <f>F223*(R223*0.5+P223*0.5)*(H223*0.35+J223*0.35+L223*0.3)</f>
        <v/>
      </c>
      <c r="T223" s="14">
        <f>(S223-$AJ$10)/$AK$10</f>
        <v/>
      </c>
      <c r="U223">
        <f>IF(T223&gt;0.7,"High",IF(T223&gt;0.3,"Moderate",IF(T223&gt;0.15,"Low","No Impact")))</f>
        <v/>
      </c>
      <c r="V223">
        <f>F223*(R223*1)*(H223*0.35+J223*0.35+L223*0.3)</f>
        <v/>
      </c>
      <c r="W223">
        <f>(V223-$AJ$13)/$AK$13</f>
        <v/>
      </c>
      <c r="X223">
        <f>IF(W223&gt;0.7,"High",IF(W223&gt;0.3,"Moderate",IF(W223&gt;0.15,"Low","No Impact")))</f>
        <v/>
      </c>
      <c r="Y223">
        <f>F223*(P223*1)*(H223*0.35+J223*0.35+L223*0.3)</f>
        <v/>
      </c>
      <c r="Z223">
        <f>(Y223-$AJ$14)/$AK$14</f>
        <v/>
      </c>
      <c r="AA223">
        <f>IF(Z223&gt;0.7,"High",IF(Z223&gt;0.3,"Moderate",IF(Z223&gt;0.15,"Low","No Impact")))</f>
        <v/>
      </c>
      <c r="AB223">
        <f>F223*(R223*0.35+P223*0.3+N223*0.35)*(H223*0.35+J223*0.35+L223*0.3)</f>
        <v/>
      </c>
      <c r="AC223">
        <f>(AB223-$AJ$15)/$AK$15</f>
        <v/>
      </c>
      <c r="AD223">
        <f>IF(AC223&gt;0.7,"High",IF(AC223&gt;0.3,"Moderate",IF(AC223&gt;0.15,"Low","No Impact")))</f>
        <v/>
      </c>
      <c r="AE223">
        <f>F223*(N223*1)*(H223*0.35+J223*0.35+L223*0.3)</f>
        <v/>
      </c>
      <c r="AF223">
        <f>(AE223-$AJ$16)/$AK$16</f>
        <v/>
      </c>
      <c r="AG223">
        <f>IF(AF223&gt;0.7,"High",IF(AF223&gt;0.3,"Moderate",IF(AF223&gt;0.15,"Low","No Impact")))</f>
        <v/>
      </c>
    </row>
    <row r="224">
      <c r="A224" t="n">
        <v>304845</v>
      </c>
      <c r="B224" t="inlineStr">
        <is>
          <t>BD304845</t>
        </is>
      </c>
      <c r="C224" t="inlineStr">
        <is>
          <t>Kishoreganj</t>
        </is>
      </c>
      <c r="D224" t="inlineStr">
        <is>
          <t>Katiadi</t>
        </is>
      </c>
      <c r="E224" s="3" t="n">
        <v>6.3</v>
      </c>
      <c r="F224" s="4">
        <f>(E224-$AJ$5)/$AK$5</f>
        <v/>
      </c>
      <c r="G224" t="n">
        <v>48.4054992</v>
      </c>
      <c r="H224">
        <f>(G224-$AJ$6)/$AK$6</f>
        <v/>
      </c>
      <c r="I224" t="n">
        <v>0.1000000000000003</v>
      </c>
      <c r="J224" s="4">
        <f>(I224-$AJ$7)/$AK$7</f>
        <v/>
      </c>
      <c r="K224" t="n">
        <v>0</v>
      </c>
      <c r="L224" s="4">
        <f>(K224-$AJ$8)/$AK$8</f>
        <v/>
      </c>
      <c r="M224" t="n">
        <v>30895</v>
      </c>
      <c r="N224">
        <f>(M224-$AJ$9)/$AK$9</f>
        <v/>
      </c>
      <c r="O224" t="n">
        <v>0.162341431</v>
      </c>
      <c r="P224">
        <f>(O224-$AJ$11)/$AK$11</f>
        <v/>
      </c>
      <c r="Q224" t="n">
        <v>0.2342</v>
      </c>
      <c r="R224">
        <f>(Q224-$AJ$12)/$AK$12</f>
        <v/>
      </c>
      <c r="S224">
        <f>F224*(R224*0.5+P224*0.5)*(H224*0.35+J224*0.35+L224*0.3)</f>
        <v/>
      </c>
      <c r="T224" s="14">
        <f>(S224-$AJ$10)/$AK$10</f>
        <v/>
      </c>
      <c r="U224">
        <f>IF(T224&gt;0.7,"High",IF(T224&gt;0.3,"Moderate",IF(T224&gt;0.15,"Low","No Impact")))</f>
        <v/>
      </c>
      <c r="V224">
        <f>F224*(R224*1)*(H224*0.35+J224*0.35+L224*0.3)</f>
        <v/>
      </c>
      <c r="W224">
        <f>(V224-$AJ$13)/$AK$13</f>
        <v/>
      </c>
      <c r="X224">
        <f>IF(W224&gt;0.7,"High",IF(W224&gt;0.3,"Moderate",IF(W224&gt;0.15,"Low","No Impact")))</f>
        <v/>
      </c>
      <c r="Y224">
        <f>F224*(P224*1)*(H224*0.35+J224*0.35+L224*0.3)</f>
        <v/>
      </c>
      <c r="Z224">
        <f>(Y224-$AJ$14)/$AK$14</f>
        <v/>
      </c>
      <c r="AA224">
        <f>IF(Z224&gt;0.7,"High",IF(Z224&gt;0.3,"Moderate",IF(Z224&gt;0.15,"Low","No Impact")))</f>
        <v/>
      </c>
      <c r="AB224">
        <f>F224*(R224*0.35+P224*0.3+N224*0.35)*(H224*0.35+J224*0.35+L224*0.3)</f>
        <v/>
      </c>
      <c r="AC224">
        <f>(AB224-$AJ$15)/$AK$15</f>
        <v/>
      </c>
      <c r="AD224">
        <f>IF(AC224&gt;0.7,"High",IF(AC224&gt;0.3,"Moderate",IF(AC224&gt;0.15,"Low","No Impact")))</f>
        <v/>
      </c>
      <c r="AE224">
        <f>F224*(N224*1)*(H224*0.35+J224*0.35+L224*0.3)</f>
        <v/>
      </c>
      <c r="AF224">
        <f>(AE224-$AJ$16)/$AK$16</f>
        <v/>
      </c>
      <c r="AG224">
        <f>IF(AF224&gt;0.7,"High",IF(AF224&gt;0.3,"Moderate",IF(AF224&gt;0.15,"Low","No Impact")))</f>
        <v/>
      </c>
    </row>
    <row r="225">
      <c r="A225" t="n">
        <v>304849</v>
      </c>
      <c r="B225" t="inlineStr">
        <is>
          <t>BD304849</t>
        </is>
      </c>
      <c r="C225" t="inlineStr">
        <is>
          <t>Kishoreganj</t>
        </is>
      </c>
      <c r="D225" t="inlineStr">
        <is>
          <t>Kishoreganj Sadar</t>
        </is>
      </c>
      <c r="E225" s="3" t="n">
        <v>6.3</v>
      </c>
      <c r="F225" s="4">
        <f>(E225-$AJ$5)/$AK$5</f>
        <v/>
      </c>
      <c r="G225" t="n">
        <v>46.027314</v>
      </c>
      <c r="H225">
        <f>(G225-$AJ$6)/$AK$6</f>
        <v/>
      </c>
      <c r="I225" t="n">
        <v>0.1999999999999997</v>
      </c>
      <c r="J225" s="4">
        <f>(I225-$AJ$7)/$AK$7</f>
        <v/>
      </c>
      <c r="K225" t="n">
        <v>0</v>
      </c>
      <c r="L225" s="4">
        <f>(K225-$AJ$8)/$AK$8</f>
        <v/>
      </c>
      <c r="M225" t="n">
        <v>49962</v>
      </c>
      <c r="N225">
        <f>(M225-$AJ$9)/$AK$9</f>
        <v/>
      </c>
      <c r="O225" t="n">
        <v>0.20890495</v>
      </c>
      <c r="P225">
        <f>(O225-$AJ$11)/$AK$11</f>
        <v/>
      </c>
      <c r="Q225" t="n">
        <v>0.2334</v>
      </c>
      <c r="R225">
        <f>(Q225-$AJ$12)/$AK$12</f>
        <v/>
      </c>
      <c r="S225">
        <f>F225*(R225*0.5+P225*0.5)*(H225*0.35+J225*0.35+L225*0.3)</f>
        <v/>
      </c>
      <c r="T225" s="14">
        <f>(S225-$AJ$10)/$AK$10</f>
        <v/>
      </c>
      <c r="U225">
        <f>IF(T225&gt;0.7,"High",IF(T225&gt;0.3,"Moderate",IF(T225&gt;0.15,"Low","No Impact")))</f>
        <v/>
      </c>
      <c r="V225">
        <f>F225*(R225*1)*(H225*0.35+J225*0.35+L225*0.3)</f>
        <v/>
      </c>
      <c r="W225">
        <f>(V225-$AJ$13)/$AK$13</f>
        <v/>
      </c>
      <c r="X225">
        <f>IF(W225&gt;0.7,"High",IF(W225&gt;0.3,"Moderate",IF(W225&gt;0.15,"Low","No Impact")))</f>
        <v/>
      </c>
      <c r="Y225">
        <f>F225*(P225*1)*(H225*0.35+J225*0.35+L225*0.3)</f>
        <v/>
      </c>
      <c r="Z225">
        <f>(Y225-$AJ$14)/$AK$14</f>
        <v/>
      </c>
      <c r="AA225">
        <f>IF(Z225&gt;0.7,"High",IF(Z225&gt;0.3,"Moderate",IF(Z225&gt;0.15,"Low","No Impact")))</f>
        <v/>
      </c>
      <c r="AB225">
        <f>F225*(R225*0.35+P225*0.3+N225*0.35)*(H225*0.35+J225*0.35+L225*0.3)</f>
        <v/>
      </c>
      <c r="AC225">
        <f>(AB225-$AJ$15)/$AK$15</f>
        <v/>
      </c>
      <c r="AD225">
        <f>IF(AC225&gt;0.7,"High",IF(AC225&gt;0.3,"Moderate",IF(AC225&gt;0.15,"Low","No Impact")))</f>
        <v/>
      </c>
      <c r="AE225">
        <f>F225*(N225*1)*(H225*0.35+J225*0.35+L225*0.3)</f>
        <v/>
      </c>
      <c r="AF225">
        <f>(AE225-$AJ$16)/$AK$16</f>
        <v/>
      </c>
      <c r="AG225">
        <f>IF(AF225&gt;0.7,"High",IF(AF225&gt;0.3,"Moderate",IF(AF225&gt;0.15,"Low","No Impact")))</f>
        <v/>
      </c>
    </row>
    <row r="226">
      <c r="A226" t="n">
        <v>304854</v>
      </c>
      <c r="B226" t="inlineStr">
        <is>
          <t>BD304854</t>
        </is>
      </c>
      <c r="C226" t="inlineStr">
        <is>
          <t>Kishoreganj</t>
        </is>
      </c>
      <c r="D226" t="inlineStr">
        <is>
          <t>Kuliar Char</t>
        </is>
      </c>
      <c r="E226" s="3" t="n">
        <v>6.3</v>
      </c>
      <c r="F226" s="4">
        <f>(E226-$AJ$5)/$AK$5</f>
        <v/>
      </c>
      <c r="G226" t="n">
        <v>46.027314</v>
      </c>
      <c r="H226">
        <f>(G226-$AJ$6)/$AK$6</f>
        <v/>
      </c>
      <c r="I226" t="n">
        <v>0.3999999999999993</v>
      </c>
      <c r="J226" s="4">
        <f>(I226-$AJ$7)/$AK$7</f>
        <v/>
      </c>
      <c r="K226" t="n">
        <v>0</v>
      </c>
      <c r="L226" s="4">
        <f>(K226-$AJ$8)/$AK$8</f>
        <v/>
      </c>
      <c r="M226" t="n">
        <v>20678</v>
      </c>
      <c r="N226">
        <f>(M226-$AJ$9)/$AK$9</f>
        <v/>
      </c>
      <c r="O226" t="n">
        <v>0.395461795</v>
      </c>
      <c r="P226">
        <f>(O226-$AJ$11)/$AK$11</f>
        <v/>
      </c>
      <c r="Q226" t="n">
        <v>0.2665</v>
      </c>
      <c r="R226">
        <f>(Q226-$AJ$12)/$AK$12</f>
        <v/>
      </c>
      <c r="S226">
        <f>F226*(R226*0.5+P226*0.5)*(H226*0.35+J226*0.35+L226*0.3)</f>
        <v/>
      </c>
      <c r="T226" s="14">
        <f>(S226-$AJ$10)/$AK$10</f>
        <v/>
      </c>
      <c r="U226">
        <f>IF(T226&gt;0.7,"High",IF(T226&gt;0.3,"Moderate",IF(T226&gt;0.15,"Low","No Impact")))</f>
        <v/>
      </c>
      <c r="V226">
        <f>F226*(R226*1)*(H226*0.35+J226*0.35+L226*0.3)</f>
        <v/>
      </c>
      <c r="W226">
        <f>(V226-$AJ$13)/$AK$13</f>
        <v/>
      </c>
      <c r="X226">
        <f>IF(W226&gt;0.7,"High",IF(W226&gt;0.3,"Moderate",IF(W226&gt;0.15,"Low","No Impact")))</f>
        <v/>
      </c>
      <c r="Y226">
        <f>F226*(P226*1)*(H226*0.35+J226*0.35+L226*0.3)</f>
        <v/>
      </c>
      <c r="Z226">
        <f>(Y226-$AJ$14)/$AK$14</f>
        <v/>
      </c>
      <c r="AA226">
        <f>IF(Z226&gt;0.7,"High",IF(Z226&gt;0.3,"Moderate",IF(Z226&gt;0.15,"Low","No Impact")))</f>
        <v/>
      </c>
      <c r="AB226">
        <f>F226*(R226*0.35+P226*0.3+N226*0.35)*(H226*0.35+J226*0.35+L226*0.3)</f>
        <v/>
      </c>
      <c r="AC226">
        <f>(AB226-$AJ$15)/$AK$15</f>
        <v/>
      </c>
      <c r="AD226">
        <f>IF(AC226&gt;0.7,"High",IF(AC226&gt;0.3,"Moderate",IF(AC226&gt;0.15,"Low","No Impact")))</f>
        <v/>
      </c>
      <c r="AE226">
        <f>F226*(N226*1)*(H226*0.35+J226*0.35+L226*0.3)</f>
        <v/>
      </c>
      <c r="AF226">
        <f>(AE226-$AJ$16)/$AK$16</f>
        <v/>
      </c>
      <c r="AG226">
        <f>IF(AF226&gt;0.7,"High",IF(AF226&gt;0.3,"Moderate",IF(AF226&gt;0.15,"Low","No Impact")))</f>
        <v/>
      </c>
    </row>
    <row r="227">
      <c r="A227" t="n">
        <v>304859</v>
      </c>
      <c r="B227" t="inlineStr">
        <is>
          <t>BD304859</t>
        </is>
      </c>
      <c r="C227" t="inlineStr">
        <is>
          <t>Kishoreganj</t>
        </is>
      </c>
      <c r="D227" t="inlineStr">
        <is>
          <t>Mithamain</t>
        </is>
      </c>
      <c r="E227" s="3" t="n">
        <v>5.9</v>
      </c>
      <c r="F227" s="4">
        <f>(E227-$AJ$5)/$AK$5</f>
        <v/>
      </c>
      <c r="G227" t="n">
        <v>48.4054992</v>
      </c>
      <c r="H227">
        <f>(G227-$AJ$6)/$AK$6</f>
        <v/>
      </c>
      <c r="I227" t="n">
        <v>0.1000000000000003</v>
      </c>
      <c r="J227" s="4">
        <f>(I227-$AJ$7)/$AK$7</f>
        <v/>
      </c>
      <c r="K227" t="n">
        <v>0</v>
      </c>
      <c r="L227" s="4">
        <f>(K227-$AJ$8)/$AK$8</f>
        <v/>
      </c>
      <c r="M227" t="n">
        <v>2267</v>
      </c>
      <c r="N227">
        <f>(M227-$AJ$9)/$AK$9</f>
        <v/>
      </c>
      <c r="O227" t="n">
        <v>0.181822136</v>
      </c>
      <c r="P227">
        <f>(O227-$AJ$11)/$AK$11</f>
        <v/>
      </c>
      <c r="Q227" t="n">
        <v>0.1447</v>
      </c>
      <c r="R227">
        <f>(Q227-$AJ$12)/$AK$12</f>
        <v/>
      </c>
      <c r="S227">
        <f>F227*(R227*0.5+P227*0.5)*(H227*0.35+J227*0.35+L227*0.3)</f>
        <v/>
      </c>
      <c r="T227" s="14">
        <f>(S227-$AJ$10)/$AK$10</f>
        <v/>
      </c>
      <c r="U227">
        <f>IF(T227&gt;0.7,"High",IF(T227&gt;0.3,"Moderate",IF(T227&gt;0.15,"Low","No Impact")))</f>
        <v/>
      </c>
      <c r="V227">
        <f>F227*(R227*1)*(H227*0.35+J227*0.35+L227*0.3)</f>
        <v/>
      </c>
      <c r="W227">
        <f>(V227-$AJ$13)/$AK$13</f>
        <v/>
      </c>
      <c r="X227">
        <f>IF(W227&gt;0.7,"High",IF(W227&gt;0.3,"Moderate",IF(W227&gt;0.15,"Low","No Impact")))</f>
        <v/>
      </c>
      <c r="Y227">
        <f>F227*(P227*1)*(H227*0.35+J227*0.35+L227*0.3)</f>
        <v/>
      </c>
      <c r="Z227">
        <f>(Y227-$AJ$14)/$AK$14</f>
        <v/>
      </c>
      <c r="AA227">
        <f>IF(Z227&gt;0.7,"High",IF(Z227&gt;0.3,"Moderate",IF(Z227&gt;0.15,"Low","No Impact")))</f>
        <v/>
      </c>
      <c r="AB227">
        <f>F227*(R227*0.35+P227*0.3+N227*0.35)*(H227*0.35+J227*0.35+L227*0.3)</f>
        <v/>
      </c>
      <c r="AC227">
        <f>(AB227-$AJ$15)/$AK$15</f>
        <v/>
      </c>
      <c r="AD227">
        <f>IF(AC227&gt;0.7,"High",IF(AC227&gt;0.3,"Moderate",IF(AC227&gt;0.15,"Low","No Impact")))</f>
        <v/>
      </c>
      <c r="AE227">
        <f>F227*(N227*1)*(H227*0.35+J227*0.35+L227*0.3)</f>
        <v/>
      </c>
      <c r="AF227">
        <f>(AE227-$AJ$16)/$AK$16</f>
        <v/>
      </c>
      <c r="AG227">
        <f>IF(AF227&gt;0.7,"High",IF(AF227&gt;0.3,"Moderate",IF(AF227&gt;0.15,"Low","No Impact")))</f>
        <v/>
      </c>
    </row>
    <row r="228">
      <c r="A228" t="n">
        <v>304876</v>
      </c>
      <c r="B228" t="inlineStr">
        <is>
          <t>BD304876</t>
        </is>
      </c>
      <c r="C228" t="inlineStr">
        <is>
          <t>Kishoreganj</t>
        </is>
      </c>
      <c r="D228" t="inlineStr">
        <is>
          <t>Nikli</t>
        </is>
      </c>
      <c r="E228" s="3" t="n">
        <v>6.2</v>
      </c>
      <c r="F228" s="4">
        <f>(E228-$AJ$5)/$AK$5</f>
        <v/>
      </c>
      <c r="G228" t="n">
        <v>48.4054992</v>
      </c>
      <c r="H228">
        <f>(G228-$AJ$6)/$AK$6</f>
        <v/>
      </c>
      <c r="I228" t="n">
        <v>0.1000000000000003</v>
      </c>
      <c r="J228" s="4">
        <f>(I228-$AJ$7)/$AK$7</f>
        <v/>
      </c>
      <c r="K228" t="n">
        <v>0</v>
      </c>
      <c r="L228" s="4">
        <f>(K228-$AJ$8)/$AK$8</f>
        <v/>
      </c>
      <c r="M228" t="n">
        <v>6692</v>
      </c>
      <c r="N228">
        <f>(M228-$AJ$9)/$AK$9</f>
        <v/>
      </c>
      <c r="O228" t="n">
        <v>0.362591022</v>
      </c>
      <c r="P228">
        <f>(O228-$AJ$11)/$AK$11</f>
        <v/>
      </c>
      <c r="Q228" t="n">
        <v>0.1683</v>
      </c>
      <c r="R228">
        <f>(Q228-$AJ$12)/$AK$12</f>
        <v/>
      </c>
      <c r="S228">
        <f>F228*(R228*0.5+P228*0.5)*(H228*0.35+J228*0.35+L228*0.3)</f>
        <v/>
      </c>
      <c r="T228" s="14">
        <f>(S228-$AJ$10)/$AK$10</f>
        <v/>
      </c>
      <c r="U228">
        <f>IF(T228&gt;0.7,"High",IF(T228&gt;0.3,"Moderate",IF(T228&gt;0.15,"Low","No Impact")))</f>
        <v/>
      </c>
      <c r="V228">
        <f>F228*(R228*1)*(H228*0.35+J228*0.35+L228*0.3)</f>
        <v/>
      </c>
      <c r="W228">
        <f>(V228-$AJ$13)/$AK$13</f>
        <v/>
      </c>
      <c r="X228">
        <f>IF(W228&gt;0.7,"High",IF(W228&gt;0.3,"Moderate",IF(W228&gt;0.15,"Low","No Impact")))</f>
        <v/>
      </c>
      <c r="Y228">
        <f>F228*(P228*1)*(H228*0.35+J228*0.35+L228*0.3)</f>
        <v/>
      </c>
      <c r="Z228">
        <f>(Y228-$AJ$14)/$AK$14</f>
        <v/>
      </c>
      <c r="AA228">
        <f>IF(Z228&gt;0.7,"High",IF(Z228&gt;0.3,"Moderate",IF(Z228&gt;0.15,"Low","No Impact")))</f>
        <v/>
      </c>
      <c r="AB228">
        <f>F228*(R228*0.35+P228*0.3+N228*0.35)*(H228*0.35+J228*0.35+L228*0.3)</f>
        <v/>
      </c>
      <c r="AC228">
        <f>(AB228-$AJ$15)/$AK$15</f>
        <v/>
      </c>
      <c r="AD228">
        <f>IF(AC228&gt;0.7,"High",IF(AC228&gt;0.3,"Moderate",IF(AC228&gt;0.15,"Low","No Impact")))</f>
        <v/>
      </c>
      <c r="AE228">
        <f>F228*(N228*1)*(H228*0.35+J228*0.35+L228*0.3)</f>
        <v/>
      </c>
      <c r="AF228">
        <f>(AE228-$AJ$16)/$AK$16</f>
        <v/>
      </c>
      <c r="AG228">
        <f>IF(AF228&gt;0.7,"High",IF(AF228&gt;0.3,"Moderate",IF(AF228&gt;0.15,"Low","No Impact")))</f>
        <v/>
      </c>
    </row>
    <row r="229">
      <c r="A229" t="n">
        <v>304879</v>
      </c>
      <c r="B229" t="inlineStr">
        <is>
          <t>BD304879</t>
        </is>
      </c>
      <c r="C229" t="inlineStr">
        <is>
          <t>Kishoreganj</t>
        </is>
      </c>
      <c r="D229" t="inlineStr">
        <is>
          <t>Pakundia</t>
        </is>
      </c>
      <c r="E229" s="3" t="n">
        <v>6.3</v>
      </c>
      <c r="F229" s="4">
        <f>(E229-$AJ$5)/$AK$5</f>
        <v/>
      </c>
      <c r="G229" t="n">
        <v>48.9136428</v>
      </c>
      <c r="H229">
        <f>(G229-$AJ$6)/$AK$6</f>
        <v/>
      </c>
      <c r="I229" t="n">
        <v>0.1000000000000003</v>
      </c>
      <c r="J229" s="4">
        <f>(I229-$AJ$7)/$AK$7</f>
        <v/>
      </c>
      <c r="K229" t="n">
        <v>0</v>
      </c>
      <c r="L229" s="4">
        <f>(K229-$AJ$8)/$AK$8</f>
        <v/>
      </c>
      <c r="M229" t="n">
        <v>22012</v>
      </c>
      <c r="N229">
        <f>(M229-$AJ$9)/$AK$9</f>
        <v/>
      </c>
      <c r="O229" t="n">
        <v>0.249833884</v>
      </c>
      <c r="P229">
        <f>(O229-$AJ$11)/$AK$11</f>
        <v/>
      </c>
      <c r="Q229" t="n">
        <v>0.2563</v>
      </c>
      <c r="R229">
        <f>(Q229-$AJ$12)/$AK$12</f>
        <v/>
      </c>
      <c r="S229">
        <f>F229*(R229*0.5+P229*0.5)*(H229*0.35+J229*0.35+L229*0.3)</f>
        <v/>
      </c>
      <c r="T229" s="14">
        <f>(S229-$AJ$10)/$AK$10</f>
        <v/>
      </c>
      <c r="U229">
        <f>IF(T229&gt;0.7,"High",IF(T229&gt;0.3,"Moderate",IF(T229&gt;0.15,"Low","No Impact")))</f>
        <v/>
      </c>
      <c r="V229">
        <f>F229*(R229*1)*(H229*0.35+J229*0.35+L229*0.3)</f>
        <v/>
      </c>
      <c r="W229">
        <f>(V229-$AJ$13)/$AK$13</f>
        <v/>
      </c>
      <c r="X229">
        <f>IF(W229&gt;0.7,"High",IF(W229&gt;0.3,"Moderate",IF(W229&gt;0.15,"Low","No Impact")))</f>
        <v/>
      </c>
      <c r="Y229">
        <f>F229*(P229*1)*(H229*0.35+J229*0.35+L229*0.3)</f>
        <v/>
      </c>
      <c r="Z229">
        <f>(Y229-$AJ$14)/$AK$14</f>
        <v/>
      </c>
      <c r="AA229">
        <f>IF(Z229&gt;0.7,"High",IF(Z229&gt;0.3,"Moderate",IF(Z229&gt;0.15,"Low","No Impact")))</f>
        <v/>
      </c>
      <c r="AB229">
        <f>F229*(R229*0.35+P229*0.3+N229*0.35)*(H229*0.35+J229*0.35+L229*0.3)</f>
        <v/>
      </c>
      <c r="AC229">
        <f>(AB229-$AJ$15)/$AK$15</f>
        <v/>
      </c>
      <c r="AD229">
        <f>IF(AC229&gt;0.7,"High",IF(AC229&gt;0.3,"Moderate",IF(AC229&gt;0.15,"Low","No Impact")))</f>
        <v/>
      </c>
      <c r="AE229">
        <f>F229*(N229*1)*(H229*0.35+J229*0.35+L229*0.3)</f>
        <v/>
      </c>
      <c r="AF229">
        <f>(AE229-$AJ$16)/$AK$16</f>
        <v/>
      </c>
      <c r="AG229">
        <f>IF(AF229&gt;0.7,"High",IF(AF229&gt;0.3,"Moderate",IF(AF229&gt;0.15,"Low","No Impact")))</f>
        <v/>
      </c>
    </row>
    <row r="230">
      <c r="A230" t="n">
        <v>304892</v>
      </c>
      <c r="B230" t="inlineStr">
        <is>
          <t>BD304892</t>
        </is>
      </c>
      <c r="C230" t="inlineStr">
        <is>
          <t>Kishoreganj</t>
        </is>
      </c>
      <c r="D230" t="inlineStr">
        <is>
          <t>Tarail</t>
        </is>
      </c>
      <c r="E230" s="3" t="n">
        <v>6.3</v>
      </c>
      <c r="F230" s="4">
        <f>(E230-$AJ$5)/$AK$5</f>
        <v/>
      </c>
      <c r="G230" t="n">
        <v>48.4054992</v>
      </c>
      <c r="H230">
        <f>(G230-$AJ$6)/$AK$6</f>
        <v/>
      </c>
      <c r="I230" t="n">
        <v>0</v>
      </c>
      <c r="J230" s="4">
        <f>(I230-$AJ$7)/$AK$7</f>
        <v/>
      </c>
      <c r="K230" t="n">
        <v>0</v>
      </c>
      <c r="L230" s="4">
        <f>(K230-$AJ$8)/$AK$8</f>
        <v/>
      </c>
      <c r="M230" t="n">
        <v>17053</v>
      </c>
      <c r="N230">
        <f>(M230-$AJ$9)/$AK$9</f>
        <v/>
      </c>
      <c r="O230" t="n">
        <v>0.331795714</v>
      </c>
      <c r="P230">
        <f>(O230-$AJ$11)/$AK$11</f>
        <v/>
      </c>
      <c r="Q230" t="n">
        <v>0.2074</v>
      </c>
      <c r="R230">
        <f>(Q230-$AJ$12)/$AK$12</f>
        <v/>
      </c>
      <c r="S230">
        <f>F230*(R230*0.5+P230*0.5)*(H230*0.35+J230*0.35+L230*0.3)</f>
        <v/>
      </c>
      <c r="T230" s="14">
        <f>(S230-$AJ$10)/$AK$10</f>
        <v/>
      </c>
      <c r="U230">
        <f>IF(T230&gt;0.7,"High",IF(T230&gt;0.3,"Moderate",IF(T230&gt;0.15,"Low","No Impact")))</f>
        <v/>
      </c>
      <c r="V230">
        <f>F230*(R230*1)*(H230*0.35+J230*0.35+L230*0.3)</f>
        <v/>
      </c>
      <c r="W230">
        <f>(V230-$AJ$13)/$AK$13</f>
        <v/>
      </c>
      <c r="X230">
        <f>IF(W230&gt;0.7,"High",IF(W230&gt;0.3,"Moderate",IF(W230&gt;0.15,"Low","No Impact")))</f>
        <v/>
      </c>
      <c r="Y230">
        <f>F230*(P230*1)*(H230*0.35+J230*0.35+L230*0.3)</f>
        <v/>
      </c>
      <c r="Z230">
        <f>(Y230-$AJ$14)/$AK$14</f>
        <v/>
      </c>
      <c r="AA230">
        <f>IF(Z230&gt;0.7,"High",IF(Z230&gt;0.3,"Moderate",IF(Z230&gt;0.15,"Low","No Impact")))</f>
        <v/>
      </c>
      <c r="AB230">
        <f>F230*(R230*0.35+P230*0.3+N230*0.35)*(H230*0.35+J230*0.35+L230*0.3)</f>
        <v/>
      </c>
      <c r="AC230">
        <f>(AB230-$AJ$15)/$AK$15</f>
        <v/>
      </c>
      <c r="AD230">
        <f>IF(AC230&gt;0.7,"High",IF(AC230&gt;0.3,"Moderate",IF(AC230&gt;0.15,"Low","No Impact")))</f>
        <v/>
      </c>
      <c r="AE230">
        <f>F230*(N230*1)*(H230*0.35+J230*0.35+L230*0.3)</f>
        <v/>
      </c>
      <c r="AF230">
        <f>(AE230-$AJ$16)/$AK$16</f>
        <v/>
      </c>
      <c r="AG230">
        <f>IF(AF230&gt;0.7,"High",IF(AF230&gt;0.3,"Moderate",IF(AF230&gt;0.15,"Low","No Impact")))</f>
        <v/>
      </c>
    </row>
    <row r="231">
      <c r="A231" t="n">
        <v>305440</v>
      </c>
      <c r="B231" t="inlineStr">
        <is>
          <t>BD305440</t>
        </is>
      </c>
      <c r="C231" t="inlineStr">
        <is>
          <t>Madaripur</t>
        </is>
      </c>
      <c r="D231" t="inlineStr">
        <is>
          <t>Kalkini</t>
        </is>
      </c>
      <c r="E231" s="3" t="n">
        <v>6.4</v>
      </c>
      <c r="F231" s="4">
        <f>(E231-$AJ$5)/$AK$5</f>
        <v/>
      </c>
      <c r="G231" t="n">
        <v>100.846458</v>
      </c>
      <c r="H231">
        <f>(G231-$AJ$6)/$AK$6</f>
        <v/>
      </c>
      <c r="I231" t="n">
        <v>24.7</v>
      </c>
      <c r="J231" s="4">
        <f>(I231-$AJ$7)/$AK$7</f>
        <v/>
      </c>
      <c r="K231" t="n">
        <v>0</v>
      </c>
      <c r="L231" s="4">
        <f>(K231-$AJ$8)/$AK$8</f>
        <v/>
      </c>
      <c r="M231" t="n">
        <v>17400</v>
      </c>
      <c r="N231">
        <f>(M231-$AJ$9)/$AK$9</f>
        <v/>
      </c>
      <c r="O231" t="n">
        <v>0.312314897</v>
      </c>
      <c r="P231">
        <f>(O231-$AJ$11)/$AK$11</f>
        <v/>
      </c>
      <c r="Q231" t="n">
        <v>0.2969</v>
      </c>
      <c r="R231">
        <f>(Q231-$AJ$12)/$AK$12</f>
        <v/>
      </c>
      <c r="S231">
        <f>F231*(R231*0.5+P231*0.5)*(H231*0.35+J231*0.35+L231*0.3)</f>
        <v/>
      </c>
      <c r="T231" s="14">
        <f>(S231-$AJ$10)/$AK$10</f>
        <v/>
      </c>
      <c r="U231">
        <f>IF(T231&gt;0.7,"High",IF(T231&gt;0.3,"Moderate",IF(T231&gt;0.15,"Low","No Impact")))</f>
        <v/>
      </c>
      <c r="V231">
        <f>F231*(R231*1)*(H231*0.35+J231*0.35+L231*0.3)</f>
        <v/>
      </c>
      <c r="W231">
        <f>(V231-$AJ$13)/$AK$13</f>
        <v/>
      </c>
      <c r="X231">
        <f>IF(W231&gt;0.7,"High",IF(W231&gt;0.3,"Moderate",IF(W231&gt;0.15,"Low","No Impact")))</f>
        <v/>
      </c>
      <c r="Y231">
        <f>F231*(P231*1)*(H231*0.35+J231*0.35+L231*0.3)</f>
        <v/>
      </c>
      <c r="Z231">
        <f>(Y231-$AJ$14)/$AK$14</f>
        <v/>
      </c>
      <c r="AA231">
        <f>IF(Z231&gt;0.7,"High",IF(Z231&gt;0.3,"Moderate",IF(Z231&gt;0.15,"Low","No Impact")))</f>
        <v/>
      </c>
      <c r="AB231">
        <f>F231*(R231*0.35+P231*0.3+N231*0.35)*(H231*0.35+J231*0.35+L231*0.3)</f>
        <v/>
      </c>
      <c r="AC231">
        <f>(AB231-$AJ$15)/$AK$15</f>
        <v/>
      </c>
      <c r="AD231">
        <f>IF(AC231&gt;0.7,"High",IF(AC231&gt;0.3,"Moderate",IF(AC231&gt;0.15,"Low","No Impact")))</f>
        <v/>
      </c>
      <c r="AE231">
        <f>F231*(N231*1)*(H231*0.35+J231*0.35+L231*0.3)</f>
        <v/>
      </c>
      <c r="AF231">
        <f>(AE231-$AJ$16)/$AK$16</f>
        <v/>
      </c>
      <c r="AG231">
        <f>IF(AF231&gt;0.7,"High",IF(AF231&gt;0.3,"Moderate",IF(AF231&gt;0.15,"Low","No Impact")))</f>
        <v/>
      </c>
    </row>
    <row r="232">
      <c r="A232" t="n">
        <v>305454</v>
      </c>
      <c r="B232" t="inlineStr">
        <is>
          <t>BD305454</t>
        </is>
      </c>
      <c r="C232" t="inlineStr">
        <is>
          <t>Madaripur</t>
        </is>
      </c>
      <c r="D232" t="inlineStr">
        <is>
          <t>Madaripur Sadar</t>
        </is>
      </c>
      <c r="E232" s="3" t="n">
        <v>6.4</v>
      </c>
      <c r="F232" s="4">
        <f>(E232-$AJ$5)/$AK$5</f>
        <v/>
      </c>
      <c r="G232" t="n">
        <v>100.846458</v>
      </c>
      <c r="H232">
        <f>(G232-$AJ$6)/$AK$6</f>
        <v/>
      </c>
      <c r="I232" t="n">
        <v>25.5</v>
      </c>
      <c r="J232" s="4">
        <f>(I232-$AJ$7)/$AK$7</f>
        <v/>
      </c>
      <c r="K232" t="n">
        <v>0</v>
      </c>
      <c r="L232" s="4">
        <f>(K232-$AJ$8)/$AK$8</f>
        <v/>
      </c>
      <c r="M232" t="n">
        <v>27938</v>
      </c>
      <c r="N232">
        <f>(M232-$AJ$9)/$AK$9</f>
        <v/>
      </c>
      <c r="O232" t="n">
        <v>0.343270262</v>
      </c>
      <c r="P232">
        <f>(O232-$AJ$11)/$AK$11</f>
        <v/>
      </c>
      <c r="Q232" t="n">
        <v>0.2987</v>
      </c>
      <c r="R232">
        <f>(Q232-$AJ$12)/$AK$12</f>
        <v/>
      </c>
      <c r="S232">
        <f>F232*(R232*0.5+P232*0.5)*(H232*0.35+J232*0.35+L232*0.3)</f>
        <v/>
      </c>
      <c r="T232" s="14">
        <f>(S232-$AJ$10)/$AK$10</f>
        <v/>
      </c>
      <c r="U232">
        <f>IF(T232&gt;0.7,"High",IF(T232&gt;0.3,"Moderate",IF(T232&gt;0.15,"Low","No Impact")))</f>
        <v/>
      </c>
      <c r="V232">
        <f>F232*(R232*1)*(H232*0.35+J232*0.35+L232*0.3)</f>
        <v/>
      </c>
      <c r="W232">
        <f>(V232-$AJ$13)/$AK$13</f>
        <v/>
      </c>
      <c r="X232">
        <f>IF(W232&gt;0.7,"High",IF(W232&gt;0.3,"Moderate",IF(W232&gt;0.15,"Low","No Impact")))</f>
        <v/>
      </c>
      <c r="Y232">
        <f>F232*(P232*1)*(H232*0.35+J232*0.35+L232*0.3)</f>
        <v/>
      </c>
      <c r="Z232">
        <f>(Y232-$AJ$14)/$AK$14</f>
        <v/>
      </c>
      <c r="AA232">
        <f>IF(Z232&gt;0.7,"High",IF(Z232&gt;0.3,"Moderate",IF(Z232&gt;0.15,"Low","No Impact")))</f>
        <v/>
      </c>
      <c r="AB232">
        <f>F232*(R232*0.35+P232*0.3+N232*0.35)*(H232*0.35+J232*0.35+L232*0.3)</f>
        <v/>
      </c>
      <c r="AC232">
        <f>(AB232-$AJ$15)/$AK$15</f>
        <v/>
      </c>
      <c r="AD232">
        <f>IF(AC232&gt;0.7,"High",IF(AC232&gt;0.3,"Moderate",IF(AC232&gt;0.15,"Low","No Impact")))</f>
        <v/>
      </c>
      <c r="AE232">
        <f>F232*(N232*1)*(H232*0.35+J232*0.35+L232*0.3)</f>
        <v/>
      </c>
      <c r="AF232">
        <f>(AE232-$AJ$16)/$AK$16</f>
        <v/>
      </c>
      <c r="AG232">
        <f>IF(AF232&gt;0.7,"High",IF(AF232&gt;0.3,"Moderate",IF(AF232&gt;0.15,"Low","No Impact")))</f>
        <v/>
      </c>
    </row>
    <row r="233">
      <c r="A233" t="n">
        <v>305480</v>
      </c>
      <c r="B233" t="inlineStr">
        <is>
          <t>BD305480</t>
        </is>
      </c>
      <c r="C233" t="inlineStr">
        <is>
          <t>Madaripur</t>
        </is>
      </c>
      <c r="D233" t="inlineStr">
        <is>
          <t>Rajoir</t>
        </is>
      </c>
      <c r="E233" s="3" t="n">
        <v>6.4</v>
      </c>
      <c r="F233" s="4">
        <f>(E233-$AJ$5)/$AK$5</f>
        <v/>
      </c>
      <c r="G233" t="n">
        <v>100.846458</v>
      </c>
      <c r="H233">
        <f>(G233-$AJ$6)/$AK$6</f>
        <v/>
      </c>
      <c r="I233" t="n">
        <v>28.9</v>
      </c>
      <c r="J233" s="4">
        <f>(I233-$AJ$7)/$AK$7</f>
        <v/>
      </c>
      <c r="K233" t="n">
        <v>0</v>
      </c>
      <c r="L233" s="4">
        <f>(K233-$AJ$8)/$AK$8</f>
        <v/>
      </c>
      <c r="M233" t="n">
        <v>12683</v>
      </c>
      <c r="N233">
        <f>(M233-$AJ$9)/$AK$9</f>
        <v/>
      </c>
      <c r="O233" t="n">
        <v>0.554638292</v>
      </c>
      <c r="P233">
        <f>(O233-$AJ$11)/$AK$11</f>
        <v/>
      </c>
      <c r="Q233" t="n">
        <v>0.2901</v>
      </c>
      <c r="R233">
        <f>(Q233-$AJ$12)/$AK$12</f>
        <v/>
      </c>
      <c r="S233">
        <f>F233*(R233*0.5+P233*0.5)*(H233*0.35+J233*0.35+L233*0.3)</f>
        <v/>
      </c>
      <c r="T233" s="14">
        <f>(S233-$AJ$10)/$AK$10</f>
        <v/>
      </c>
      <c r="U233">
        <f>IF(T233&gt;0.7,"High",IF(T233&gt;0.3,"Moderate",IF(T233&gt;0.15,"Low","No Impact")))</f>
        <v/>
      </c>
      <c r="V233">
        <f>F233*(R233*1)*(H233*0.35+J233*0.35+L233*0.3)</f>
        <v/>
      </c>
      <c r="W233">
        <f>(V233-$AJ$13)/$AK$13</f>
        <v/>
      </c>
      <c r="X233">
        <f>IF(W233&gt;0.7,"High",IF(W233&gt;0.3,"Moderate",IF(W233&gt;0.15,"Low","No Impact")))</f>
        <v/>
      </c>
      <c r="Y233">
        <f>F233*(P233*1)*(H233*0.35+J233*0.35+L233*0.3)</f>
        <v/>
      </c>
      <c r="Z233">
        <f>(Y233-$AJ$14)/$AK$14</f>
        <v/>
      </c>
      <c r="AA233">
        <f>IF(Z233&gt;0.7,"High",IF(Z233&gt;0.3,"Moderate",IF(Z233&gt;0.15,"Low","No Impact")))</f>
        <v/>
      </c>
      <c r="AB233">
        <f>F233*(R233*0.35+P233*0.3+N233*0.35)*(H233*0.35+J233*0.35+L233*0.3)</f>
        <v/>
      </c>
      <c r="AC233">
        <f>(AB233-$AJ$15)/$AK$15</f>
        <v/>
      </c>
      <c r="AD233">
        <f>IF(AC233&gt;0.7,"High",IF(AC233&gt;0.3,"Moderate",IF(AC233&gt;0.15,"Low","No Impact")))</f>
        <v/>
      </c>
      <c r="AE233">
        <f>F233*(N233*1)*(H233*0.35+J233*0.35+L233*0.3)</f>
        <v/>
      </c>
      <c r="AF233">
        <f>(AE233-$AJ$16)/$AK$16</f>
        <v/>
      </c>
      <c r="AG233">
        <f>IF(AF233&gt;0.7,"High",IF(AF233&gt;0.3,"Moderate",IF(AF233&gt;0.15,"Low","No Impact")))</f>
        <v/>
      </c>
    </row>
    <row r="234">
      <c r="A234" t="n">
        <v>305487</v>
      </c>
      <c r="B234" t="inlineStr">
        <is>
          <t>BD305487</t>
        </is>
      </c>
      <c r="C234" t="inlineStr">
        <is>
          <t>Madaripur</t>
        </is>
      </c>
      <c r="D234" t="inlineStr">
        <is>
          <t>Shib Char</t>
        </is>
      </c>
      <c r="E234" s="3" t="n">
        <v>6.4</v>
      </c>
      <c r="F234" s="4">
        <f>(E234-$AJ$5)/$AK$5</f>
        <v/>
      </c>
      <c r="G234" t="n">
        <v>94.8030984</v>
      </c>
      <c r="H234">
        <f>(G234-$AJ$6)/$AK$6</f>
        <v/>
      </c>
      <c r="I234" t="n">
        <v>19.4</v>
      </c>
      <c r="J234" s="4">
        <f>(I234-$AJ$7)/$AK$7</f>
        <v/>
      </c>
      <c r="K234" t="n">
        <v>0</v>
      </c>
      <c r="L234" s="4">
        <f>(K234-$AJ$8)/$AK$8</f>
        <v/>
      </c>
      <c r="M234" t="n">
        <v>29231</v>
      </c>
      <c r="N234">
        <f>(M234-$AJ$9)/$AK$9</f>
        <v/>
      </c>
      <c r="O234" t="n">
        <v>0.504312699</v>
      </c>
      <c r="P234">
        <f>(O234-$AJ$11)/$AK$11</f>
        <v/>
      </c>
      <c r="Q234" t="n">
        <v>0.3162</v>
      </c>
      <c r="R234">
        <f>(Q234-$AJ$12)/$AK$12</f>
        <v/>
      </c>
      <c r="S234">
        <f>F234*(R234*0.5+P234*0.5)*(H234*0.35+J234*0.35+L234*0.3)</f>
        <v/>
      </c>
      <c r="T234" s="14">
        <f>(S234-$AJ$10)/$AK$10</f>
        <v/>
      </c>
      <c r="U234">
        <f>IF(T234&gt;0.7,"High",IF(T234&gt;0.3,"Moderate",IF(T234&gt;0.15,"Low","No Impact")))</f>
        <v/>
      </c>
      <c r="V234">
        <f>F234*(R234*1)*(H234*0.35+J234*0.35+L234*0.3)</f>
        <v/>
      </c>
      <c r="W234">
        <f>(V234-$AJ$13)/$AK$13</f>
        <v/>
      </c>
      <c r="X234">
        <f>IF(W234&gt;0.7,"High",IF(W234&gt;0.3,"Moderate",IF(W234&gt;0.15,"Low","No Impact")))</f>
        <v/>
      </c>
      <c r="Y234">
        <f>F234*(P234*1)*(H234*0.35+J234*0.35+L234*0.3)</f>
        <v/>
      </c>
      <c r="Z234">
        <f>(Y234-$AJ$14)/$AK$14</f>
        <v/>
      </c>
      <c r="AA234">
        <f>IF(Z234&gt;0.7,"High",IF(Z234&gt;0.3,"Moderate",IF(Z234&gt;0.15,"Low","No Impact")))</f>
        <v/>
      </c>
      <c r="AB234">
        <f>F234*(R234*0.35+P234*0.3+N234*0.35)*(H234*0.35+J234*0.35+L234*0.3)</f>
        <v/>
      </c>
      <c r="AC234">
        <f>(AB234-$AJ$15)/$AK$15</f>
        <v/>
      </c>
      <c r="AD234">
        <f>IF(AC234&gt;0.7,"High",IF(AC234&gt;0.3,"Moderate",IF(AC234&gt;0.15,"Low","No Impact")))</f>
        <v/>
      </c>
      <c r="AE234">
        <f>F234*(N234*1)*(H234*0.35+J234*0.35+L234*0.3)</f>
        <v/>
      </c>
      <c r="AF234">
        <f>(AE234-$AJ$16)/$AK$16</f>
        <v/>
      </c>
      <c r="AG234">
        <f>IF(AF234&gt;0.7,"High",IF(AF234&gt;0.3,"Moderate",IF(AF234&gt;0.15,"Low","No Impact")))</f>
        <v/>
      </c>
    </row>
    <row r="235">
      <c r="A235" t="n">
        <v>305610</v>
      </c>
      <c r="B235" t="inlineStr">
        <is>
          <t>BD305610</t>
        </is>
      </c>
      <c r="C235" t="inlineStr">
        <is>
          <t>Khulna</t>
        </is>
      </c>
      <c r="D235" t="inlineStr">
        <is>
          <t>Daulatpur</t>
        </is>
      </c>
      <c r="E235" s="3" t="n">
        <v>5.2</v>
      </c>
      <c r="F235" s="4">
        <f>(E235-$AJ$5)/$AK$5</f>
        <v/>
      </c>
      <c r="G235" t="n">
        <v>72.440208</v>
      </c>
      <c r="H235">
        <f>(G235-$AJ$6)/$AK$6</f>
        <v/>
      </c>
      <c r="I235" t="n">
        <v>5.100000000000001</v>
      </c>
      <c r="J235" s="4">
        <f>(I235-$AJ$7)/$AK$7</f>
        <v/>
      </c>
      <c r="K235" t="n">
        <v>0</v>
      </c>
      <c r="L235" s="4">
        <f>(K235-$AJ$8)/$AK$8</f>
        <v/>
      </c>
      <c r="M235" t="n">
        <v>16413</v>
      </c>
      <c r="N235">
        <f>(M235-$AJ$9)/$AK$9</f>
        <v/>
      </c>
      <c r="O235" t="n">
        <v>0.419881467</v>
      </c>
      <c r="P235">
        <f>(O235-$AJ$11)/$AK$11</f>
        <v/>
      </c>
      <c r="Q235" t="n">
        <v>0.2317</v>
      </c>
      <c r="R235">
        <f>(Q235-$AJ$12)/$AK$12</f>
        <v/>
      </c>
      <c r="S235">
        <f>F235*(R235*0.5+P235*0.5)*(H235*0.35+J235*0.35+L235*0.3)</f>
        <v/>
      </c>
      <c r="T235" s="14">
        <f>(S235-$AJ$10)/$AK$10</f>
        <v/>
      </c>
      <c r="U235">
        <f>IF(T235&gt;0.7,"High",IF(T235&gt;0.3,"Moderate",IF(T235&gt;0.15,"Low","No Impact")))</f>
        <v/>
      </c>
      <c r="V235">
        <f>F235*(R235*1)*(H235*0.35+J235*0.35+L235*0.3)</f>
        <v/>
      </c>
      <c r="W235">
        <f>(V235-$AJ$13)/$AK$13</f>
        <v/>
      </c>
      <c r="X235">
        <f>IF(W235&gt;0.7,"High",IF(W235&gt;0.3,"Moderate",IF(W235&gt;0.15,"Low","No Impact")))</f>
        <v/>
      </c>
      <c r="Y235">
        <f>F235*(P235*1)*(H235*0.35+J235*0.35+L235*0.3)</f>
        <v/>
      </c>
      <c r="Z235">
        <f>(Y235-$AJ$14)/$AK$14</f>
        <v/>
      </c>
      <c r="AA235">
        <f>IF(Z235&gt;0.7,"High",IF(Z235&gt;0.3,"Moderate",IF(Z235&gt;0.15,"Low","No Impact")))</f>
        <v/>
      </c>
      <c r="AB235">
        <f>F235*(R235*0.35+P235*0.3+N235*0.35)*(H235*0.35+J235*0.35+L235*0.3)</f>
        <v/>
      </c>
      <c r="AC235">
        <f>(AB235-$AJ$15)/$AK$15</f>
        <v/>
      </c>
      <c r="AD235">
        <f>IF(AC235&gt;0.7,"High",IF(AC235&gt;0.3,"Moderate",IF(AC235&gt;0.15,"Low","No Impact")))</f>
        <v/>
      </c>
      <c r="AE235">
        <f>F235*(N235*1)*(H235*0.35+J235*0.35+L235*0.3)</f>
        <v/>
      </c>
      <c r="AF235">
        <f>(AE235-$AJ$16)/$AK$16</f>
        <v/>
      </c>
      <c r="AG235">
        <f>IF(AF235&gt;0.7,"High",IF(AF235&gt;0.3,"Moderate",IF(AF235&gt;0.15,"Low","No Impact")))</f>
        <v/>
      </c>
    </row>
    <row r="236">
      <c r="A236" t="n">
        <v>305622</v>
      </c>
      <c r="B236" t="inlineStr">
        <is>
          <t>BD305622</t>
        </is>
      </c>
      <c r="C236" t="inlineStr">
        <is>
          <t>Manikganj</t>
        </is>
      </c>
      <c r="D236" t="inlineStr">
        <is>
          <t>Ghior</t>
        </is>
      </c>
      <c r="E236" s="3" t="n">
        <v>5.9</v>
      </c>
      <c r="F236" s="4">
        <f>(E236-$AJ$5)/$AK$5</f>
        <v/>
      </c>
      <c r="G236" t="n">
        <v>80.427708</v>
      </c>
      <c r="H236">
        <f>(G236-$AJ$6)/$AK$6</f>
        <v/>
      </c>
      <c r="I236" t="n">
        <v>8.5</v>
      </c>
      <c r="J236" s="4">
        <f>(I236-$AJ$7)/$AK$7</f>
        <v/>
      </c>
      <c r="K236" t="n">
        <v>0</v>
      </c>
      <c r="L236" s="4">
        <f>(K236-$AJ$8)/$AK$8</f>
        <v/>
      </c>
      <c r="M236" t="n">
        <v>22617</v>
      </c>
      <c r="N236">
        <f>(M236-$AJ$9)/$AK$9</f>
        <v/>
      </c>
      <c r="O236" t="n">
        <v>0.432396417</v>
      </c>
      <c r="P236">
        <f>(O236-$AJ$11)/$AK$11</f>
        <v/>
      </c>
      <c r="Q236" t="n">
        <v>0.2913</v>
      </c>
      <c r="R236">
        <f>(Q236-$AJ$12)/$AK$12</f>
        <v/>
      </c>
      <c r="S236">
        <f>F236*(R236*0.5+P236*0.5)*(H236*0.35+J236*0.35+L236*0.3)</f>
        <v/>
      </c>
      <c r="T236" s="14">
        <f>(S236-$AJ$10)/$AK$10</f>
        <v/>
      </c>
      <c r="U236">
        <f>IF(T236&gt;0.7,"High",IF(T236&gt;0.3,"Moderate",IF(T236&gt;0.15,"Low","No Impact")))</f>
        <v/>
      </c>
      <c r="V236">
        <f>F236*(R236*1)*(H236*0.35+J236*0.35+L236*0.3)</f>
        <v/>
      </c>
      <c r="W236">
        <f>(V236-$AJ$13)/$AK$13</f>
        <v/>
      </c>
      <c r="X236">
        <f>IF(W236&gt;0.7,"High",IF(W236&gt;0.3,"Moderate",IF(W236&gt;0.15,"Low","No Impact")))</f>
        <v/>
      </c>
      <c r="Y236">
        <f>F236*(P236*1)*(H236*0.35+J236*0.35+L236*0.3)</f>
        <v/>
      </c>
      <c r="Z236">
        <f>(Y236-$AJ$14)/$AK$14</f>
        <v/>
      </c>
      <c r="AA236">
        <f>IF(Z236&gt;0.7,"High",IF(Z236&gt;0.3,"Moderate",IF(Z236&gt;0.15,"Low","No Impact")))</f>
        <v/>
      </c>
      <c r="AB236">
        <f>F236*(R236*0.35+P236*0.3+N236*0.35)*(H236*0.35+J236*0.35+L236*0.3)</f>
        <v/>
      </c>
      <c r="AC236">
        <f>(AB236-$AJ$15)/$AK$15</f>
        <v/>
      </c>
      <c r="AD236">
        <f>IF(AC236&gt;0.7,"High",IF(AC236&gt;0.3,"Moderate",IF(AC236&gt;0.15,"Low","No Impact")))</f>
        <v/>
      </c>
      <c r="AE236">
        <f>F236*(N236*1)*(H236*0.35+J236*0.35+L236*0.3)</f>
        <v/>
      </c>
      <c r="AF236">
        <f>(AE236-$AJ$16)/$AK$16</f>
        <v/>
      </c>
      <c r="AG236">
        <f>IF(AF236&gt;0.7,"High",IF(AF236&gt;0.3,"Moderate",IF(AF236&gt;0.15,"Low","No Impact")))</f>
        <v/>
      </c>
    </row>
    <row r="237">
      <c r="A237" t="n">
        <v>305628</v>
      </c>
      <c r="B237" t="inlineStr">
        <is>
          <t>BD305628</t>
        </is>
      </c>
      <c r="C237" t="inlineStr">
        <is>
          <t>Manikganj</t>
        </is>
      </c>
      <c r="D237" t="inlineStr">
        <is>
          <t>Harirampur</t>
        </is>
      </c>
      <c r="E237" s="3" t="n">
        <v>5.9</v>
      </c>
      <c r="F237" s="4">
        <f>(E237-$AJ$5)/$AK$5</f>
        <v/>
      </c>
      <c r="G237" t="n">
        <v>80.427708</v>
      </c>
      <c r="H237">
        <f>(G237-$AJ$6)/$AK$6</f>
        <v/>
      </c>
      <c r="I237" t="n">
        <v>11.8</v>
      </c>
      <c r="J237" s="4">
        <f>(I237-$AJ$7)/$AK$7</f>
        <v/>
      </c>
      <c r="K237" t="n">
        <v>0</v>
      </c>
      <c r="L237" s="4">
        <f>(K237-$AJ$8)/$AK$8</f>
        <v/>
      </c>
      <c r="M237" t="n">
        <v>12495</v>
      </c>
      <c r="N237">
        <f>(M237-$AJ$9)/$AK$9</f>
        <v/>
      </c>
      <c r="O237" t="n">
        <v>0.551287696</v>
      </c>
      <c r="P237">
        <f>(O237-$AJ$11)/$AK$11</f>
        <v/>
      </c>
      <c r="Q237" t="n">
        <v>0.2554</v>
      </c>
      <c r="R237">
        <f>(Q237-$AJ$12)/$AK$12</f>
        <v/>
      </c>
      <c r="S237">
        <f>F237*(R237*0.5+P237*0.5)*(H237*0.35+J237*0.35+L237*0.3)</f>
        <v/>
      </c>
      <c r="T237" s="14">
        <f>(S237-$AJ$10)/$AK$10</f>
        <v/>
      </c>
      <c r="U237">
        <f>IF(T237&gt;0.7,"High",IF(T237&gt;0.3,"Moderate",IF(T237&gt;0.15,"Low","No Impact")))</f>
        <v/>
      </c>
      <c r="V237">
        <f>F237*(R237*1)*(H237*0.35+J237*0.35+L237*0.3)</f>
        <v/>
      </c>
      <c r="W237">
        <f>(V237-$AJ$13)/$AK$13</f>
        <v/>
      </c>
      <c r="X237">
        <f>IF(W237&gt;0.7,"High",IF(W237&gt;0.3,"Moderate",IF(W237&gt;0.15,"Low","No Impact")))</f>
        <v/>
      </c>
      <c r="Y237">
        <f>F237*(P237*1)*(H237*0.35+J237*0.35+L237*0.3)</f>
        <v/>
      </c>
      <c r="Z237">
        <f>(Y237-$AJ$14)/$AK$14</f>
        <v/>
      </c>
      <c r="AA237">
        <f>IF(Z237&gt;0.7,"High",IF(Z237&gt;0.3,"Moderate",IF(Z237&gt;0.15,"Low","No Impact")))</f>
        <v/>
      </c>
      <c r="AB237">
        <f>F237*(R237*0.35+P237*0.3+N237*0.35)*(H237*0.35+J237*0.35+L237*0.3)</f>
        <v/>
      </c>
      <c r="AC237">
        <f>(AB237-$AJ$15)/$AK$15</f>
        <v/>
      </c>
      <c r="AD237">
        <f>IF(AC237&gt;0.7,"High",IF(AC237&gt;0.3,"Moderate",IF(AC237&gt;0.15,"Low","No Impact")))</f>
        <v/>
      </c>
      <c r="AE237">
        <f>F237*(N237*1)*(H237*0.35+J237*0.35+L237*0.3)</f>
        <v/>
      </c>
      <c r="AF237">
        <f>(AE237-$AJ$16)/$AK$16</f>
        <v/>
      </c>
      <c r="AG237">
        <f>IF(AF237&gt;0.7,"High",IF(AF237&gt;0.3,"Moderate",IF(AF237&gt;0.15,"Low","No Impact")))</f>
        <v/>
      </c>
    </row>
    <row r="238">
      <c r="A238" t="n">
        <v>305646</v>
      </c>
      <c r="B238" t="inlineStr">
        <is>
          <t>BD305646</t>
        </is>
      </c>
      <c r="C238" t="inlineStr">
        <is>
          <t>Manikganj</t>
        </is>
      </c>
      <c r="D238" t="inlineStr">
        <is>
          <t>Manikganj Sadar</t>
        </is>
      </c>
      <c r="E238" s="3" t="n">
        <v>5.9</v>
      </c>
      <c r="F238" s="4">
        <f>(E238-$AJ$5)/$AK$5</f>
        <v/>
      </c>
      <c r="G238" t="n">
        <v>73.5019272</v>
      </c>
      <c r="H238">
        <f>(G238-$AJ$6)/$AK$6</f>
        <v/>
      </c>
      <c r="I238" t="n">
        <v>7.9</v>
      </c>
      <c r="J238" s="4">
        <f>(I238-$AJ$7)/$AK$7</f>
        <v/>
      </c>
      <c r="K238" t="n">
        <v>0</v>
      </c>
      <c r="L238" s="4">
        <f>(K238-$AJ$8)/$AK$8</f>
        <v/>
      </c>
      <c r="M238" t="n">
        <v>45062</v>
      </c>
      <c r="N238">
        <f>(M238-$AJ$9)/$AK$9</f>
        <v/>
      </c>
      <c r="O238" t="n">
        <v>0.417654067</v>
      </c>
      <c r="P238">
        <f>(O238-$AJ$11)/$AK$11</f>
        <v/>
      </c>
      <c r="Q238" t="n">
        <v>0.2591</v>
      </c>
      <c r="R238">
        <f>(Q238-$AJ$12)/$AK$12</f>
        <v/>
      </c>
      <c r="S238">
        <f>F238*(R238*0.5+P238*0.5)*(H238*0.35+J238*0.35+L238*0.3)</f>
        <v/>
      </c>
      <c r="T238" s="14">
        <f>(S238-$AJ$10)/$AK$10</f>
        <v/>
      </c>
      <c r="U238">
        <f>IF(T238&gt;0.7,"High",IF(T238&gt;0.3,"Moderate",IF(T238&gt;0.15,"Low","No Impact")))</f>
        <v/>
      </c>
      <c r="V238">
        <f>F238*(R238*1)*(H238*0.35+J238*0.35+L238*0.3)</f>
        <v/>
      </c>
      <c r="W238">
        <f>(V238-$AJ$13)/$AK$13</f>
        <v/>
      </c>
      <c r="X238">
        <f>IF(W238&gt;0.7,"High",IF(W238&gt;0.3,"Moderate",IF(W238&gt;0.15,"Low","No Impact")))</f>
        <v/>
      </c>
      <c r="Y238">
        <f>F238*(P238*1)*(H238*0.35+J238*0.35+L238*0.3)</f>
        <v/>
      </c>
      <c r="Z238">
        <f>(Y238-$AJ$14)/$AK$14</f>
        <v/>
      </c>
      <c r="AA238">
        <f>IF(Z238&gt;0.7,"High",IF(Z238&gt;0.3,"Moderate",IF(Z238&gt;0.15,"Low","No Impact")))</f>
        <v/>
      </c>
      <c r="AB238">
        <f>F238*(R238*0.35+P238*0.3+N238*0.35)*(H238*0.35+J238*0.35+L238*0.3)</f>
        <v/>
      </c>
      <c r="AC238">
        <f>(AB238-$AJ$15)/$AK$15</f>
        <v/>
      </c>
      <c r="AD238">
        <f>IF(AC238&gt;0.7,"High",IF(AC238&gt;0.3,"Moderate",IF(AC238&gt;0.15,"Low","No Impact")))</f>
        <v/>
      </c>
      <c r="AE238">
        <f>F238*(N238*1)*(H238*0.35+J238*0.35+L238*0.3)</f>
        <v/>
      </c>
      <c r="AF238">
        <f>(AE238-$AJ$16)/$AK$16</f>
        <v/>
      </c>
      <c r="AG238">
        <f>IF(AF238&gt;0.7,"High",IF(AF238&gt;0.3,"Moderate",IF(AF238&gt;0.15,"Low","No Impact")))</f>
        <v/>
      </c>
    </row>
    <row r="239">
      <c r="A239" t="n">
        <v>305670</v>
      </c>
      <c r="B239" t="inlineStr">
        <is>
          <t>BD305670</t>
        </is>
      </c>
      <c r="C239" t="inlineStr">
        <is>
          <t>Manikganj</t>
        </is>
      </c>
      <c r="D239" t="inlineStr">
        <is>
          <t>Saturia</t>
        </is>
      </c>
      <c r="E239" s="3" t="n">
        <v>5.9</v>
      </c>
      <c r="F239" s="4">
        <f>(E239-$AJ$5)/$AK$5</f>
        <v/>
      </c>
      <c r="G239" t="n">
        <v>62.607006</v>
      </c>
      <c r="H239">
        <f>(G239-$AJ$6)/$AK$6</f>
        <v/>
      </c>
      <c r="I239" t="n">
        <v>4.799999999999999</v>
      </c>
      <c r="J239" s="4">
        <f>(I239-$AJ$7)/$AK$7</f>
        <v/>
      </c>
      <c r="K239" t="n">
        <v>0</v>
      </c>
      <c r="L239" s="4">
        <f>(K239-$AJ$8)/$AK$8</f>
        <v/>
      </c>
      <c r="M239" t="n">
        <v>15842</v>
      </c>
      <c r="N239">
        <f>(M239-$AJ$9)/$AK$9</f>
        <v/>
      </c>
      <c r="O239" t="n">
        <v>0.54290677</v>
      </c>
      <c r="P239">
        <f>(O239-$AJ$11)/$AK$11</f>
        <v/>
      </c>
      <c r="Q239" t="n">
        <v>0.2649</v>
      </c>
      <c r="R239">
        <f>(Q239-$AJ$12)/$AK$12</f>
        <v/>
      </c>
      <c r="S239">
        <f>F239*(R239*0.5+P239*0.5)*(H239*0.35+J239*0.35+L239*0.3)</f>
        <v/>
      </c>
      <c r="T239" s="14">
        <f>(S239-$AJ$10)/$AK$10</f>
        <v/>
      </c>
      <c r="U239">
        <f>IF(T239&gt;0.7,"High",IF(T239&gt;0.3,"Moderate",IF(T239&gt;0.15,"Low","No Impact")))</f>
        <v/>
      </c>
      <c r="V239">
        <f>F239*(R239*1)*(H239*0.35+J239*0.35+L239*0.3)</f>
        <v/>
      </c>
      <c r="W239">
        <f>(V239-$AJ$13)/$AK$13</f>
        <v/>
      </c>
      <c r="X239">
        <f>IF(W239&gt;0.7,"High",IF(W239&gt;0.3,"Moderate",IF(W239&gt;0.15,"Low","No Impact")))</f>
        <v/>
      </c>
      <c r="Y239">
        <f>F239*(P239*1)*(H239*0.35+J239*0.35+L239*0.3)</f>
        <v/>
      </c>
      <c r="Z239">
        <f>(Y239-$AJ$14)/$AK$14</f>
        <v/>
      </c>
      <c r="AA239">
        <f>IF(Z239&gt;0.7,"High",IF(Z239&gt;0.3,"Moderate",IF(Z239&gt;0.15,"Low","No Impact")))</f>
        <v/>
      </c>
      <c r="AB239">
        <f>F239*(R239*0.35+P239*0.3+N239*0.35)*(H239*0.35+J239*0.35+L239*0.3)</f>
        <v/>
      </c>
      <c r="AC239">
        <f>(AB239-$AJ$15)/$AK$15</f>
        <v/>
      </c>
      <c r="AD239">
        <f>IF(AC239&gt;0.7,"High",IF(AC239&gt;0.3,"Moderate",IF(AC239&gt;0.15,"Low","No Impact")))</f>
        <v/>
      </c>
      <c r="AE239">
        <f>F239*(N239*1)*(H239*0.35+J239*0.35+L239*0.3)</f>
        <v/>
      </c>
      <c r="AF239">
        <f>(AE239-$AJ$16)/$AK$16</f>
        <v/>
      </c>
      <c r="AG239">
        <f>IF(AF239&gt;0.7,"High",IF(AF239&gt;0.3,"Moderate",IF(AF239&gt;0.15,"Low","No Impact")))</f>
        <v/>
      </c>
    </row>
    <row r="240">
      <c r="A240" t="n">
        <v>305678</v>
      </c>
      <c r="B240" t="inlineStr">
        <is>
          <t>BD305678</t>
        </is>
      </c>
      <c r="C240" t="inlineStr">
        <is>
          <t>Manikganj</t>
        </is>
      </c>
      <c r="D240" t="inlineStr">
        <is>
          <t>Shibalaya</t>
        </is>
      </c>
      <c r="E240" s="3" t="n">
        <v>5.9</v>
      </c>
      <c r="F240" s="4">
        <f>(E240-$AJ$5)/$AK$5</f>
        <v/>
      </c>
      <c r="G240" t="n">
        <v>80.427708</v>
      </c>
      <c r="H240">
        <f>(G240-$AJ$6)/$AK$6</f>
        <v/>
      </c>
      <c r="I240" t="n">
        <v>9.700000000000001</v>
      </c>
      <c r="J240" s="4">
        <f>(I240-$AJ$7)/$AK$7</f>
        <v/>
      </c>
      <c r="K240" t="n">
        <v>0</v>
      </c>
      <c r="L240" s="4">
        <f>(K240-$AJ$8)/$AK$8</f>
        <v/>
      </c>
      <c r="M240" t="n">
        <v>16520</v>
      </c>
      <c r="N240">
        <f>(M240-$AJ$9)/$AK$9</f>
        <v/>
      </c>
      <c r="O240" t="n">
        <v>0.504267285</v>
      </c>
      <c r="P240">
        <f>(O240-$AJ$11)/$AK$11</f>
        <v/>
      </c>
      <c r="Q240" t="n">
        <v>0.2435</v>
      </c>
      <c r="R240">
        <f>(Q240-$AJ$12)/$AK$12</f>
        <v/>
      </c>
      <c r="S240">
        <f>F240*(R240*0.5+P240*0.5)*(H240*0.35+J240*0.35+L240*0.3)</f>
        <v/>
      </c>
      <c r="T240" s="14">
        <f>(S240-$AJ$10)/$AK$10</f>
        <v/>
      </c>
      <c r="U240">
        <f>IF(T240&gt;0.7,"High",IF(T240&gt;0.3,"Moderate",IF(T240&gt;0.15,"Low","No Impact")))</f>
        <v/>
      </c>
      <c r="V240">
        <f>F240*(R240*1)*(H240*0.35+J240*0.35+L240*0.3)</f>
        <v/>
      </c>
      <c r="W240">
        <f>(V240-$AJ$13)/$AK$13</f>
        <v/>
      </c>
      <c r="X240">
        <f>IF(W240&gt;0.7,"High",IF(W240&gt;0.3,"Moderate",IF(W240&gt;0.15,"Low","No Impact")))</f>
        <v/>
      </c>
      <c r="Y240">
        <f>F240*(P240*1)*(H240*0.35+J240*0.35+L240*0.3)</f>
        <v/>
      </c>
      <c r="Z240">
        <f>(Y240-$AJ$14)/$AK$14</f>
        <v/>
      </c>
      <c r="AA240">
        <f>IF(Z240&gt;0.7,"High",IF(Z240&gt;0.3,"Moderate",IF(Z240&gt;0.15,"Low","No Impact")))</f>
        <v/>
      </c>
      <c r="AB240">
        <f>F240*(R240*0.35+P240*0.3+N240*0.35)*(H240*0.35+J240*0.35+L240*0.3)</f>
        <v/>
      </c>
      <c r="AC240">
        <f>(AB240-$AJ$15)/$AK$15</f>
        <v/>
      </c>
      <c r="AD240">
        <f>IF(AC240&gt;0.7,"High",IF(AC240&gt;0.3,"Moderate",IF(AC240&gt;0.15,"Low","No Impact")))</f>
        <v/>
      </c>
      <c r="AE240">
        <f>F240*(N240*1)*(H240*0.35+J240*0.35+L240*0.3)</f>
        <v/>
      </c>
      <c r="AF240">
        <f>(AE240-$AJ$16)/$AK$16</f>
        <v/>
      </c>
      <c r="AG240">
        <f>IF(AF240&gt;0.7,"High",IF(AF240&gt;0.3,"Moderate",IF(AF240&gt;0.15,"Low","No Impact")))</f>
        <v/>
      </c>
    </row>
    <row r="241">
      <c r="A241" t="n">
        <v>305682</v>
      </c>
      <c r="B241" t="inlineStr">
        <is>
          <t>BD305682</t>
        </is>
      </c>
      <c r="C241" t="inlineStr">
        <is>
          <t>Manikganj</t>
        </is>
      </c>
      <c r="D241" t="inlineStr">
        <is>
          <t>Singair</t>
        </is>
      </c>
      <c r="E241" s="3" t="n">
        <v>5.9</v>
      </c>
      <c r="F241" s="4">
        <f>(E241-$AJ$5)/$AK$5</f>
        <v/>
      </c>
      <c r="G241" t="n">
        <v>73.5019272</v>
      </c>
      <c r="H241">
        <f>(G241-$AJ$6)/$AK$6</f>
        <v/>
      </c>
      <c r="I241" t="n">
        <v>9.399999999999999</v>
      </c>
      <c r="J241" s="4">
        <f>(I241-$AJ$7)/$AK$7</f>
        <v/>
      </c>
      <c r="K241" t="n">
        <v>0</v>
      </c>
      <c r="L241" s="4">
        <f>(K241-$AJ$8)/$AK$8</f>
        <v/>
      </c>
      <c r="M241" t="n">
        <v>54363</v>
      </c>
      <c r="N241">
        <f>(M241-$AJ$9)/$AK$9</f>
        <v/>
      </c>
      <c r="O241" t="n">
        <v>0.503573648</v>
      </c>
      <c r="P241">
        <f>(O241-$AJ$11)/$AK$11</f>
        <v/>
      </c>
      <c r="Q241" t="n">
        <v>0.2746</v>
      </c>
      <c r="R241">
        <f>(Q241-$AJ$12)/$AK$12</f>
        <v/>
      </c>
      <c r="S241">
        <f>F241*(R241*0.5+P241*0.5)*(H241*0.35+J241*0.35+L241*0.3)</f>
        <v/>
      </c>
      <c r="T241" s="14">
        <f>(S241-$AJ$10)/$AK$10</f>
        <v/>
      </c>
      <c r="U241">
        <f>IF(T241&gt;0.7,"High",IF(T241&gt;0.3,"Moderate",IF(T241&gt;0.15,"Low","No Impact")))</f>
        <v/>
      </c>
      <c r="V241">
        <f>F241*(R241*1)*(H241*0.35+J241*0.35+L241*0.3)</f>
        <v/>
      </c>
      <c r="W241">
        <f>(V241-$AJ$13)/$AK$13</f>
        <v/>
      </c>
      <c r="X241">
        <f>IF(W241&gt;0.7,"High",IF(W241&gt;0.3,"Moderate",IF(W241&gt;0.15,"Low","No Impact")))</f>
        <v/>
      </c>
      <c r="Y241">
        <f>F241*(P241*1)*(H241*0.35+J241*0.35+L241*0.3)</f>
        <v/>
      </c>
      <c r="Z241">
        <f>(Y241-$AJ$14)/$AK$14</f>
        <v/>
      </c>
      <c r="AA241">
        <f>IF(Z241&gt;0.7,"High",IF(Z241&gt;0.3,"Moderate",IF(Z241&gt;0.15,"Low","No Impact")))</f>
        <v/>
      </c>
      <c r="AB241">
        <f>F241*(R241*0.35+P241*0.3+N241*0.35)*(H241*0.35+J241*0.35+L241*0.3)</f>
        <v/>
      </c>
      <c r="AC241">
        <f>(AB241-$AJ$15)/$AK$15</f>
        <v/>
      </c>
      <c r="AD241">
        <f>IF(AC241&gt;0.7,"High",IF(AC241&gt;0.3,"Moderate",IF(AC241&gt;0.15,"Low","No Impact")))</f>
        <v/>
      </c>
      <c r="AE241">
        <f>F241*(N241*1)*(H241*0.35+J241*0.35+L241*0.3)</f>
        <v/>
      </c>
      <c r="AF241">
        <f>(AE241-$AJ$16)/$AK$16</f>
        <v/>
      </c>
      <c r="AG241">
        <f>IF(AF241&gt;0.7,"High",IF(AF241&gt;0.3,"Moderate",IF(AF241&gt;0.15,"Low","No Impact")))</f>
        <v/>
      </c>
    </row>
    <row r="242">
      <c r="A242" t="n">
        <v>305924</v>
      </c>
      <c r="B242" t="inlineStr">
        <is>
          <t>BD305924</t>
        </is>
      </c>
      <c r="C242" t="inlineStr">
        <is>
          <t>Munshiganj</t>
        </is>
      </c>
      <c r="D242" t="inlineStr">
        <is>
          <t>Gazaria</t>
        </is>
      </c>
      <c r="E242" s="3" t="n">
        <v>5.2</v>
      </c>
      <c r="F242" s="4">
        <f>(E242-$AJ$5)/$AK$5</f>
        <v/>
      </c>
      <c r="G242" t="n">
        <v>63.4472388</v>
      </c>
      <c r="H242">
        <f>(G242-$AJ$6)/$AK$6</f>
        <v/>
      </c>
      <c r="I242" t="n">
        <v>7.299999999999999</v>
      </c>
      <c r="J242" s="4">
        <f>(I242-$AJ$7)/$AK$7</f>
        <v/>
      </c>
      <c r="K242" t="n">
        <v>0</v>
      </c>
      <c r="L242" s="4">
        <f>(K242-$AJ$8)/$AK$8</f>
        <v/>
      </c>
      <c r="M242" t="n">
        <v>21467</v>
      </c>
      <c r="N242">
        <f>(M242-$AJ$9)/$AK$9</f>
        <v/>
      </c>
      <c r="O242" t="n">
        <v>0.497292673</v>
      </c>
      <c r="P242">
        <f>(O242-$AJ$11)/$AK$11</f>
        <v/>
      </c>
      <c r="Q242" t="n">
        <v>0.2291</v>
      </c>
      <c r="R242">
        <f>(Q242-$AJ$12)/$AK$12</f>
        <v/>
      </c>
      <c r="S242">
        <f>F242*(R242*0.5+P242*0.5)*(H242*0.35+J242*0.35+L242*0.3)</f>
        <v/>
      </c>
      <c r="T242" s="14">
        <f>(S242-$AJ$10)/$AK$10</f>
        <v/>
      </c>
      <c r="U242">
        <f>IF(T242&gt;0.7,"High",IF(T242&gt;0.3,"Moderate",IF(T242&gt;0.15,"Low","No Impact")))</f>
        <v/>
      </c>
      <c r="V242">
        <f>F242*(R242*1)*(H242*0.35+J242*0.35+L242*0.3)</f>
        <v/>
      </c>
      <c r="W242">
        <f>(V242-$AJ$13)/$AK$13</f>
        <v/>
      </c>
      <c r="X242">
        <f>IF(W242&gt;0.7,"High",IF(W242&gt;0.3,"Moderate",IF(W242&gt;0.15,"Low","No Impact")))</f>
        <v/>
      </c>
      <c r="Y242">
        <f>F242*(P242*1)*(H242*0.35+J242*0.35+L242*0.3)</f>
        <v/>
      </c>
      <c r="Z242">
        <f>(Y242-$AJ$14)/$AK$14</f>
        <v/>
      </c>
      <c r="AA242">
        <f>IF(Z242&gt;0.7,"High",IF(Z242&gt;0.3,"Moderate",IF(Z242&gt;0.15,"Low","No Impact")))</f>
        <v/>
      </c>
      <c r="AB242">
        <f>F242*(R242*0.35+P242*0.3+N242*0.35)*(H242*0.35+J242*0.35+L242*0.3)</f>
        <v/>
      </c>
      <c r="AC242">
        <f>(AB242-$AJ$15)/$AK$15</f>
        <v/>
      </c>
      <c r="AD242">
        <f>IF(AC242&gt;0.7,"High",IF(AC242&gt;0.3,"Moderate",IF(AC242&gt;0.15,"Low","No Impact")))</f>
        <v/>
      </c>
      <c r="AE242">
        <f>F242*(N242*1)*(H242*0.35+J242*0.35+L242*0.3)</f>
        <v/>
      </c>
      <c r="AF242">
        <f>(AE242-$AJ$16)/$AK$16</f>
        <v/>
      </c>
      <c r="AG242">
        <f>IF(AF242&gt;0.7,"High",IF(AF242&gt;0.3,"Moderate",IF(AF242&gt;0.15,"Low","No Impact")))</f>
        <v/>
      </c>
    </row>
    <row r="243">
      <c r="A243" t="n">
        <v>305944</v>
      </c>
      <c r="B243" t="inlineStr">
        <is>
          <t>BD305944</t>
        </is>
      </c>
      <c r="C243" t="inlineStr">
        <is>
          <t>Munshiganj</t>
        </is>
      </c>
      <c r="D243" t="inlineStr">
        <is>
          <t>Lohajang</t>
        </is>
      </c>
      <c r="E243" s="3" t="n">
        <v>5.2</v>
      </c>
      <c r="F243" s="4">
        <f>(E243-$AJ$5)/$AK$5</f>
        <v/>
      </c>
      <c r="G243" t="n">
        <v>77.13356760000001</v>
      </c>
      <c r="H243">
        <f>(G243-$AJ$6)/$AK$6</f>
        <v/>
      </c>
      <c r="I243" t="n">
        <v>12.4</v>
      </c>
      <c r="J243" s="4">
        <f>(I243-$AJ$7)/$AK$7</f>
        <v/>
      </c>
      <c r="K243" t="n">
        <v>0</v>
      </c>
      <c r="L243" s="4">
        <f>(K243-$AJ$8)/$AK$8</f>
        <v/>
      </c>
      <c r="M243" t="n">
        <v>27501</v>
      </c>
      <c r="N243">
        <f>(M243-$AJ$9)/$AK$9</f>
        <v/>
      </c>
      <c r="O243" t="n">
        <v>0.606638967</v>
      </c>
      <c r="P243">
        <f>(O243-$AJ$11)/$AK$11</f>
        <v/>
      </c>
      <c r="Q243" t="n">
        <v>0.2441</v>
      </c>
      <c r="R243">
        <f>(Q243-$AJ$12)/$AK$12</f>
        <v/>
      </c>
      <c r="S243">
        <f>F243*(R243*0.5+P243*0.5)*(H243*0.35+J243*0.35+L243*0.3)</f>
        <v/>
      </c>
      <c r="T243" s="14">
        <f>(S243-$AJ$10)/$AK$10</f>
        <v/>
      </c>
      <c r="U243">
        <f>IF(T243&gt;0.7,"High",IF(T243&gt;0.3,"Moderate",IF(T243&gt;0.15,"Low","No Impact")))</f>
        <v/>
      </c>
      <c r="V243">
        <f>F243*(R243*1)*(H243*0.35+J243*0.35+L243*0.3)</f>
        <v/>
      </c>
      <c r="W243">
        <f>(V243-$AJ$13)/$AK$13</f>
        <v/>
      </c>
      <c r="X243">
        <f>IF(W243&gt;0.7,"High",IF(W243&gt;0.3,"Moderate",IF(W243&gt;0.15,"Low","No Impact")))</f>
        <v/>
      </c>
      <c r="Y243">
        <f>F243*(P243*1)*(H243*0.35+J243*0.35+L243*0.3)</f>
        <v/>
      </c>
      <c r="Z243">
        <f>(Y243-$AJ$14)/$AK$14</f>
        <v/>
      </c>
      <c r="AA243">
        <f>IF(Z243&gt;0.7,"High",IF(Z243&gt;0.3,"Moderate",IF(Z243&gt;0.15,"Low","No Impact")))</f>
        <v/>
      </c>
      <c r="AB243">
        <f>F243*(R243*0.35+P243*0.3+N243*0.35)*(H243*0.35+J243*0.35+L243*0.3)</f>
        <v/>
      </c>
      <c r="AC243">
        <f>(AB243-$AJ$15)/$AK$15</f>
        <v/>
      </c>
      <c r="AD243">
        <f>IF(AC243&gt;0.7,"High",IF(AC243&gt;0.3,"Moderate",IF(AC243&gt;0.15,"Low","No Impact")))</f>
        <v/>
      </c>
      <c r="AE243">
        <f>F243*(N243*1)*(H243*0.35+J243*0.35+L243*0.3)</f>
        <v/>
      </c>
      <c r="AF243">
        <f>(AE243-$AJ$16)/$AK$16</f>
        <v/>
      </c>
      <c r="AG243">
        <f>IF(AF243&gt;0.7,"High",IF(AF243&gt;0.3,"Moderate",IF(AF243&gt;0.15,"Low","No Impact")))</f>
        <v/>
      </c>
    </row>
    <row r="244">
      <c r="A244" t="n">
        <v>305956</v>
      </c>
      <c r="B244" t="inlineStr">
        <is>
          <t>BD305956</t>
        </is>
      </c>
      <c r="C244" t="inlineStr">
        <is>
          <t>Munshiganj</t>
        </is>
      </c>
      <c r="D244" t="inlineStr">
        <is>
          <t>Munshiganj Sadar</t>
        </is>
      </c>
      <c r="E244" s="3" t="n">
        <v>5.3</v>
      </c>
      <c r="F244" s="4">
        <f>(E244-$AJ$5)/$AK$5</f>
        <v/>
      </c>
      <c r="G244" t="n">
        <v>63.4472388</v>
      </c>
      <c r="H244">
        <f>(G244-$AJ$6)/$AK$6</f>
        <v/>
      </c>
      <c r="I244" t="n">
        <v>10.2</v>
      </c>
      <c r="J244" s="4">
        <f>(I244-$AJ$7)/$AK$7</f>
        <v/>
      </c>
      <c r="K244" t="n">
        <v>0</v>
      </c>
      <c r="L244" s="4">
        <f>(K244-$AJ$8)/$AK$8</f>
        <v/>
      </c>
      <c r="M244" t="n">
        <v>39821</v>
      </c>
      <c r="N244">
        <f>(M244-$AJ$9)/$AK$9</f>
        <v/>
      </c>
      <c r="O244" t="n">
        <v>0.60621123</v>
      </c>
      <c r="P244">
        <f>(O244-$AJ$11)/$AK$11</f>
        <v/>
      </c>
      <c r="Q244" t="n">
        <v>0.2448</v>
      </c>
      <c r="R244">
        <f>(Q244-$AJ$12)/$AK$12</f>
        <v/>
      </c>
      <c r="S244">
        <f>F244*(R244*0.5+P244*0.5)*(H244*0.35+J244*0.35+L244*0.3)</f>
        <v/>
      </c>
      <c r="T244" s="14">
        <f>(S244-$AJ$10)/$AK$10</f>
        <v/>
      </c>
      <c r="U244">
        <f>IF(T244&gt;0.7,"High",IF(T244&gt;0.3,"Moderate",IF(T244&gt;0.15,"Low","No Impact")))</f>
        <v/>
      </c>
      <c r="V244">
        <f>F244*(R244*1)*(H244*0.35+J244*0.35+L244*0.3)</f>
        <v/>
      </c>
      <c r="W244">
        <f>(V244-$AJ$13)/$AK$13</f>
        <v/>
      </c>
      <c r="X244">
        <f>IF(W244&gt;0.7,"High",IF(W244&gt;0.3,"Moderate",IF(W244&gt;0.15,"Low","No Impact")))</f>
        <v/>
      </c>
      <c r="Y244">
        <f>F244*(P244*1)*(H244*0.35+J244*0.35+L244*0.3)</f>
        <v/>
      </c>
      <c r="Z244">
        <f>(Y244-$AJ$14)/$AK$14</f>
        <v/>
      </c>
      <c r="AA244">
        <f>IF(Z244&gt;0.7,"High",IF(Z244&gt;0.3,"Moderate",IF(Z244&gt;0.15,"Low","No Impact")))</f>
        <v/>
      </c>
      <c r="AB244">
        <f>F244*(R244*0.35+P244*0.3+N244*0.35)*(H244*0.35+J244*0.35+L244*0.3)</f>
        <v/>
      </c>
      <c r="AC244">
        <f>(AB244-$AJ$15)/$AK$15</f>
        <v/>
      </c>
      <c r="AD244">
        <f>IF(AC244&gt;0.7,"High",IF(AC244&gt;0.3,"Moderate",IF(AC244&gt;0.15,"Low","No Impact")))</f>
        <v/>
      </c>
      <c r="AE244">
        <f>F244*(N244*1)*(H244*0.35+J244*0.35+L244*0.3)</f>
        <v/>
      </c>
      <c r="AF244">
        <f>(AE244-$AJ$16)/$AK$16</f>
        <v/>
      </c>
      <c r="AG244">
        <f>IF(AF244&gt;0.7,"High",IF(AF244&gt;0.3,"Moderate",IF(AF244&gt;0.15,"Low","No Impact")))</f>
        <v/>
      </c>
    </row>
    <row r="245">
      <c r="A245" t="n">
        <v>305974</v>
      </c>
      <c r="B245" t="inlineStr">
        <is>
          <t>BD305974</t>
        </is>
      </c>
      <c r="C245" t="inlineStr">
        <is>
          <t>Munshiganj</t>
        </is>
      </c>
      <c r="D245" t="inlineStr">
        <is>
          <t>Serajdikhan</t>
        </is>
      </c>
      <c r="E245" s="3" t="n">
        <v>5.2</v>
      </c>
      <c r="F245" s="4">
        <f>(E245-$AJ$5)/$AK$5</f>
        <v/>
      </c>
      <c r="G245" t="n">
        <v>77.13356760000001</v>
      </c>
      <c r="H245">
        <f>(G245-$AJ$6)/$AK$6</f>
        <v/>
      </c>
      <c r="I245" t="n">
        <v>9.5</v>
      </c>
      <c r="J245" s="4">
        <f>(I245-$AJ$7)/$AK$7</f>
        <v/>
      </c>
      <c r="K245" t="n">
        <v>0</v>
      </c>
      <c r="L245" s="4">
        <f>(K245-$AJ$8)/$AK$8</f>
        <v/>
      </c>
      <c r="M245" t="n">
        <v>40362</v>
      </c>
      <c r="N245">
        <f>(M245-$AJ$9)/$AK$9</f>
        <v/>
      </c>
      <c r="O245" t="n">
        <v>0.633761003</v>
      </c>
      <c r="P245">
        <f>(O245-$AJ$11)/$AK$11</f>
        <v/>
      </c>
      <c r="Q245" t="n">
        <v>0.2539</v>
      </c>
      <c r="R245">
        <f>(Q245-$AJ$12)/$AK$12</f>
        <v/>
      </c>
      <c r="S245">
        <f>F245*(R245*0.5+P245*0.5)*(H245*0.35+J245*0.35+L245*0.3)</f>
        <v/>
      </c>
      <c r="T245" s="14">
        <f>(S245-$AJ$10)/$AK$10</f>
        <v/>
      </c>
      <c r="U245">
        <f>IF(T245&gt;0.7,"High",IF(T245&gt;0.3,"Moderate",IF(T245&gt;0.15,"Low","No Impact")))</f>
        <v/>
      </c>
      <c r="V245">
        <f>F245*(R245*1)*(H245*0.35+J245*0.35+L245*0.3)</f>
        <v/>
      </c>
      <c r="W245">
        <f>(V245-$AJ$13)/$AK$13</f>
        <v/>
      </c>
      <c r="X245">
        <f>IF(W245&gt;0.7,"High",IF(W245&gt;0.3,"Moderate",IF(W245&gt;0.15,"Low","No Impact")))</f>
        <v/>
      </c>
      <c r="Y245">
        <f>F245*(P245*1)*(H245*0.35+J245*0.35+L245*0.3)</f>
        <v/>
      </c>
      <c r="Z245">
        <f>(Y245-$AJ$14)/$AK$14</f>
        <v/>
      </c>
      <c r="AA245">
        <f>IF(Z245&gt;0.7,"High",IF(Z245&gt;0.3,"Moderate",IF(Z245&gt;0.15,"Low","No Impact")))</f>
        <v/>
      </c>
      <c r="AB245">
        <f>F245*(R245*0.35+P245*0.3+N245*0.35)*(H245*0.35+J245*0.35+L245*0.3)</f>
        <v/>
      </c>
      <c r="AC245">
        <f>(AB245-$AJ$15)/$AK$15</f>
        <v/>
      </c>
      <c r="AD245">
        <f>IF(AC245&gt;0.7,"High",IF(AC245&gt;0.3,"Moderate",IF(AC245&gt;0.15,"Low","No Impact")))</f>
        <v/>
      </c>
      <c r="AE245">
        <f>F245*(N245*1)*(H245*0.35+J245*0.35+L245*0.3)</f>
        <v/>
      </c>
      <c r="AF245">
        <f>(AE245-$AJ$16)/$AK$16</f>
        <v/>
      </c>
      <c r="AG245">
        <f>IF(AF245&gt;0.7,"High",IF(AF245&gt;0.3,"Moderate",IF(AF245&gt;0.15,"Low","No Impact")))</f>
        <v/>
      </c>
    </row>
    <row r="246">
      <c r="A246" t="n">
        <v>305984</v>
      </c>
      <c r="B246" t="inlineStr">
        <is>
          <t>BD305984</t>
        </is>
      </c>
      <c r="C246" t="inlineStr">
        <is>
          <t>Munshiganj</t>
        </is>
      </c>
      <c r="D246" t="inlineStr">
        <is>
          <t>Sreenagar</t>
        </is>
      </c>
      <c r="E246" s="3" t="n">
        <v>5.2</v>
      </c>
      <c r="F246" s="4">
        <f>(E246-$AJ$5)/$AK$5</f>
        <v/>
      </c>
      <c r="G246" t="n">
        <v>77.13356760000001</v>
      </c>
      <c r="H246">
        <f>(G246-$AJ$6)/$AK$6</f>
        <v/>
      </c>
      <c r="I246" t="n">
        <v>11.2</v>
      </c>
      <c r="J246" s="4">
        <f>(I246-$AJ$7)/$AK$7</f>
        <v/>
      </c>
      <c r="K246" t="n">
        <v>0</v>
      </c>
      <c r="L246" s="4">
        <f>(K246-$AJ$8)/$AK$8</f>
        <v/>
      </c>
      <c r="M246" t="n">
        <v>39492</v>
      </c>
      <c r="N246">
        <f>(M246-$AJ$9)/$AK$9</f>
        <v/>
      </c>
      <c r="O246" t="n">
        <v>0.413393509</v>
      </c>
      <c r="P246">
        <f>(O246-$AJ$11)/$AK$11</f>
        <v/>
      </c>
      <c r="Q246" t="n">
        <v>0.254</v>
      </c>
      <c r="R246">
        <f>(Q246-$AJ$12)/$AK$12</f>
        <v/>
      </c>
      <c r="S246">
        <f>F246*(R246*0.5+P246*0.5)*(H246*0.35+J246*0.35+L246*0.3)</f>
        <v/>
      </c>
      <c r="T246" s="14">
        <f>(S246-$AJ$10)/$AK$10</f>
        <v/>
      </c>
      <c r="U246">
        <f>IF(T246&gt;0.7,"High",IF(T246&gt;0.3,"Moderate",IF(T246&gt;0.15,"Low","No Impact")))</f>
        <v/>
      </c>
      <c r="V246">
        <f>F246*(R246*1)*(H246*0.35+J246*0.35+L246*0.3)</f>
        <v/>
      </c>
      <c r="W246">
        <f>(V246-$AJ$13)/$AK$13</f>
        <v/>
      </c>
      <c r="X246">
        <f>IF(W246&gt;0.7,"High",IF(W246&gt;0.3,"Moderate",IF(W246&gt;0.15,"Low","No Impact")))</f>
        <v/>
      </c>
      <c r="Y246">
        <f>F246*(P246*1)*(H246*0.35+J246*0.35+L246*0.3)</f>
        <v/>
      </c>
      <c r="Z246">
        <f>(Y246-$AJ$14)/$AK$14</f>
        <v/>
      </c>
      <c r="AA246">
        <f>IF(Z246&gt;0.7,"High",IF(Z246&gt;0.3,"Moderate",IF(Z246&gt;0.15,"Low","No Impact")))</f>
        <v/>
      </c>
      <c r="AB246">
        <f>F246*(R246*0.35+P246*0.3+N246*0.35)*(H246*0.35+J246*0.35+L246*0.3)</f>
        <v/>
      </c>
      <c r="AC246">
        <f>(AB246-$AJ$15)/$AK$15</f>
        <v/>
      </c>
      <c r="AD246">
        <f>IF(AC246&gt;0.7,"High",IF(AC246&gt;0.3,"Moderate",IF(AC246&gt;0.15,"Low","No Impact")))</f>
        <v/>
      </c>
      <c r="AE246">
        <f>F246*(N246*1)*(H246*0.35+J246*0.35+L246*0.3)</f>
        <v/>
      </c>
      <c r="AF246">
        <f>(AE246-$AJ$16)/$AK$16</f>
        <v/>
      </c>
      <c r="AG246">
        <f>IF(AF246&gt;0.7,"High",IF(AF246&gt;0.3,"Moderate",IF(AF246&gt;0.15,"Low","No Impact")))</f>
        <v/>
      </c>
    </row>
    <row r="247">
      <c r="A247" t="n">
        <v>305994</v>
      </c>
      <c r="B247" t="inlineStr">
        <is>
          <t>BD305994</t>
        </is>
      </c>
      <c r="C247" t="inlineStr">
        <is>
          <t>Munshiganj</t>
        </is>
      </c>
      <c r="D247" t="inlineStr">
        <is>
          <t>Tongibari</t>
        </is>
      </c>
      <c r="E247" s="3" t="n">
        <v>5.2</v>
      </c>
      <c r="F247" s="4">
        <f>(E247-$AJ$5)/$AK$5</f>
        <v/>
      </c>
      <c r="G247" t="n">
        <v>63.4472388</v>
      </c>
      <c r="H247">
        <f>(G247-$AJ$6)/$AK$6</f>
        <v/>
      </c>
      <c r="I247" t="n">
        <v>10.2</v>
      </c>
      <c r="J247" s="4">
        <f>(I247-$AJ$7)/$AK$7</f>
        <v/>
      </c>
      <c r="K247" t="n">
        <v>0</v>
      </c>
      <c r="L247" s="4">
        <f>(K247-$AJ$8)/$AK$8</f>
        <v/>
      </c>
      <c r="M247" t="n">
        <v>26166</v>
      </c>
      <c r="N247">
        <f>(M247-$AJ$9)/$AK$9</f>
        <v/>
      </c>
      <c r="O247" t="n">
        <v>0.507023425</v>
      </c>
      <c r="P247">
        <f>(O247-$AJ$11)/$AK$11</f>
        <v/>
      </c>
      <c r="Q247" t="n">
        <v>0.2556</v>
      </c>
      <c r="R247">
        <f>(Q247-$AJ$12)/$AK$12</f>
        <v/>
      </c>
      <c r="S247">
        <f>F247*(R247*0.5+P247*0.5)*(H247*0.35+J247*0.35+L247*0.3)</f>
        <v/>
      </c>
      <c r="T247" s="14">
        <f>(S247-$AJ$10)/$AK$10</f>
        <v/>
      </c>
      <c r="U247">
        <f>IF(T247&gt;0.7,"High",IF(T247&gt;0.3,"Moderate",IF(T247&gt;0.15,"Low","No Impact")))</f>
        <v/>
      </c>
      <c r="V247">
        <f>F247*(R247*1)*(H247*0.35+J247*0.35+L247*0.3)</f>
        <v/>
      </c>
      <c r="W247">
        <f>(V247-$AJ$13)/$AK$13</f>
        <v/>
      </c>
      <c r="X247">
        <f>IF(W247&gt;0.7,"High",IF(W247&gt;0.3,"Moderate",IF(W247&gt;0.15,"Low","No Impact")))</f>
        <v/>
      </c>
      <c r="Y247">
        <f>F247*(P247*1)*(H247*0.35+J247*0.35+L247*0.3)</f>
        <v/>
      </c>
      <c r="Z247">
        <f>(Y247-$AJ$14)/$AK$14</f>
        <v/>
      </c>
      <c r="AA247">
        <f>IF(Z247&gt;0.7,"High",IF(Z247&gt;0.3,"Moderate",IF(Z247&gt;0.15,"Low","No Impact")))</f>
        <v/>
      </c>
      <c r="AB247">
        <f>F247*(R247*0.35+P247*0.3+N247*0.35)*(H247*0.35+J247*0.35+L247*0.3)</f>
        <v/>
      </c>
      <c r="AC247">
        <f>(AB247-$AJ$15)/$AK$15</f>
        <v/>
      </c>
      <c r="AD247">
        <f>IF(AC247&gt;0.7,"High",IF(AC247&gt;0.3,"Moderate",IF(AC247&gt;0.15,"Low","No Impact")))</f>
        <v/>
      </c>
      <c r="AE247">
        <f>F247*(N247*1)*(H247*0.35+J247*0.35+L247*0.3)</f>
        <v/>
      </c>
      <c r="AF247">
        <f>(AE247-$AJ$16)/$AK$16</f>
        <v/>
      </c>
      <c r="AG247">
        <f>IF(AF247&gt;0.7,"High",IF(AF247&gt;0.3,"Moderate",IF(AF247&gt;0.15,"Low","No Impact")))</f>
        <v/>
      </c>
    </row>
    <row r="248">
      <c r="A248" t="n">
        <v>306702</v>
      </c>
      <c r="B248" t="inlineStr">
        <is>
          <t>BD306702</t>
        </is>
      </c>
      <c r="C248" t="inlineStr">
        <is>
          <t>Narayanganj</t>
        </is>
      </c>
      <c r="D248" t="inlineStr">
        <is>
          <t>Araihazar</t>
        </is>
      </c>
      <c r="E248" s="3" t="n">
        <v>4.4</v>
      </c>
      <c r="F248" s="4">
        <f>(E248-$AJ$5)/$AK$5</f>
        <v/>
      </c>
      <c r="G248" t="n">
        <v>62.5226292</v>
      </c>
      <c r="H248">
        <f>(G248-$AJ$6)/$AK$6</f>
        <v/>
      </c>
      <c r="I248" t="n">
        <v>3.7</v>
      </c>
      <c r="J248" s="4">
        <f>(I248-$AJ$7)/$AK$7</f>
        <v/>
      </c>
      <c r="K248" t="n">
        <v>0</v>
      </c>
      <c r="L248" s="4">
        <f>(K248-$AJ$8)/$AK$8</f>
        <v/>
      </c>
      <c r="M248" t="n">
        <v>60872</v>
      </c>
      <c r="N248">
        <f>(M248-$AJ$9)/$AK$9</f>
        <v/>
      </c>
      <c r="O248" t="n">
        <v>0.636080188</v>
      </c>
      <c r="P248">
        <f>(O248-$AJ$11)/$AK$11</f>
        <v/>
      </c>
      <c r="Q248" t="n">
        <v>0.2514</v>
      </c>
      <c r="R248">
        <f>(Q248-$AJ$12)/$AK$12</f>
        <v/>
      </c>
      <c r="S248">
        <f>F248*(R248*0.5+P248*0.5)*(H248*0.35+J248*0.35+L248*0.3)</f>
        <v/>
      </c>
      <c r="T248" s="14">
        <f>(S248-$AJ$10)/$AK$10</f>
        <v/>
      </c>
      <c r="U248">
        <f>IF(T248&gt;0.7,"High",IF(T248&gt;0.3,"Moderate",IF(T248&gt;0.15,"Low","No Impact")))</f>
        <v/>
      </c>
      <c r="V248">
        <f>F248*(R248*1)*(H248*0.35+J248*0.35+L248*0.3)</f>
        <v/>
      </c>
      <c r="W248">
        <f>(V248-$AJ$13)/$AK$13</f>
        <v/>
      </c>
      <c r="X248">
        <f>IF(W248&gt;0.7,"High",IF(W248&gt;0.3,"Moderate",IF(W248&gt;0.15,"Low","No Impact")))</f>
        <v/>
      </c>
      <c r="Y248">
        <f>F248*(P248*1)*(H248*0.35+J248*0.35+L248*0.3)</f>
        <v/>
      </c>
      <c r="Z248">
        <f>(Y248-$AJ$14)/$AK$14</f>
        <v/>
      </c>
      <c r="AA248">
        <f>IF(Z248&gt;0.7,"High",IF(Z248&gt;0.3,"Moderate",IF(Z248&gt;0.15,"Low","No Impact")))</f>
        <v/>
      </c>
      <c r="AB248">
        <f>F248*(R248*0.35+P248*0.3+N248*0.35)*(H248*0.35+J248*0.35+L248*0.3)</f>
        <v/>
      </c>
      <c r="AC248">
        <f>(AB248-$AJ$15)/$AK$15</f>
        <v/>
      </c>
      <c r="AD248">
        <f>IF(AC248&gt;0.7,"High",IF(AC248&gt;0.3,"Moderate",IF(AC248&gt;0.15,"Low","No Impact")))</f>
        <v/>
      </c>
      <c r="AE248">
        <f>F248*(N248*1)*(H248*0.35+J248*0.35+L248*0.3)</f>
        <v/>
      </c>
      <c r="AF248">
        <f>(AE248-$AJ$16)/$AK$16</f>
        <v/>
      </c>
      <c r="AG248">
        <f>IF(AF248&gt;0.7,"High",IF(AF248&gt;0.3,"Moderate",IF(AF248&gt;0.15,"Low","No Impact")))</f>
        <v/>
      </c>
    </row>
    <row r="249">
      <c r="A249" t="n">
        <v>306704</v>
      </c>
      <c r="B249" t="inlineStr">
        <is>
          <t>BD306704</t>
        </is>
      </c>
      <c r="C249" t="inlineStr">
        <is>
          <t>Narayanganj</t>
        </is>
      </c>
      <c r="D249" t="inlineStr">
        <is>
          <t>Sonargaon</t>
        </is>
      </c>
      <c r="E249" s="3" t="n">
        <v>4.3</v>
      </c>
      <c r="F249" s="4">
        <f>(E249-$AJ$5)/$AK$5</f>
        <v/>
      </c>
      <c r="G249" t="n">
        <v>63.4472388</v>
      </c>
      <c r="H249">
        <f>(G249-$AJ$6)/$AK$6</f>
        <v/>
      </c>
      <c r="I249" t="n">
        <v>5.600000000000001</v>
      </c>
      <c r="J249" s="4">
        <f>(I249-$AJ$7)/$AK$7</f>
        <v/>
      </c>
      <c r="K249" t="n">
        <v>0</v>
      </c>
      <c r="L249" s="4">
        <f>(K249-$AJ$8)/$AK$8</f>
        <v/>
      </c>
      <c r="M249" t="n">
        <v>54149</v>
      </c>
      <c r="N249">
        <f>(M249-$AJ$9)/$AK$9</f>
        <v/>
      </c>
      <c r="O249" t="n">
        <v>0.377124756</v>
      </c>
      <c r="P249">
        <f>(O249-$AJ$11)/$AK$11</f>
        <v/>
      </c>
      <c r="Q249" t="n">
        <v>0.2504</v>
      </c>
      <c r="R249">
        <f>(Q249-$AJ$12)/$AK$12</f>
        <v/>
      </c>
      <c r="S249">
        <f>F249*(R249*0.5+P249*0.5)*(H249*0.35+J249*0.35+L249*0.3)</f>
        <v/>
      </c>
      <c r="T249" s="14">
        <f>(S249-$AJ$10)/$AK$10</f>
        <v/>
      </c>
      <c r="U249">
        <f>IF(T249&gt;0.7,"High",IF(T249&gt;0.3,"Moderate",IF(T249&gt;0.15,"Low","No Impact")))</f>
        <v/>
      </c>
      <c r="V249">
        <f>F249*(R249*1)*(H249*0.35+J249*0.35+L249*0.3)</f>
        <v/>
      </c>
      <c r="W249">
        <f>(V249-$AJ$13)/$AK$13</f>
        <v/>
      </c>
      <c r="X249">
        <f>IF(W249&gt;0.7,"High",IF(W249&gt;0.3,"Moderate",IF(W249&gt;0.15,"Low","No Impact")))</f>
        <v/>
      </c>
      <c r="Y249">
        <f>F249*(P249*1)*(H249*0.35+J249*0.35+L249*0.3)</f>
        <v/>
      </c>
      <c r="Z249">
        <f>(Y249-$AJ$14)/$AK$14</f>
        <v/>
      </c>
      <c r="AA249">
        <f>IF(Z249&gt;0.7,"High",IF(Z249&gt;0.3,"Moderate",IF(Z249&gt;0.15,"Low","No Impact")))</f>
        <v/>
      </c>
      <c r="AB249">
        <f>F249*(R249*0.35+P249*0.3+N249*0.35)*(H249*0.35+J249*0.35+L249*0.3)</f>
        <v/>
      </c>
      <c r="AC249">
        <f>(AB249-$AJ$15)/$AK$15</f>
        <v/>
      </c>
      <c r="AD249">
        <f>IF(AC249&gt;0.7,"High",IF(AC249&gt;0.3,"Moderate",IF(AC249&gt;0.15,"Low","No Impact")))</f>
        <v/>
      </c>
      <c r="AE249">
        <f>F249*(N249*1)*(H249*0.35+J249*0.35+L249*0.3)</f>
        <v/>
      </c>
      <c r="AF249">
        <f>(AE249-$AJ$16)/$AK$16</f>
        <v/>
      </c>
      <c r="AG249">
        <f>IF(AF249&gt;0.7,"High",IF(AF249&gt;0.3,"Moderate",IF(AF249&gt;0.15,"Low","No Impact")))</f>
        <v/>
      </c>
    </row>
    <row r="250">
      <c r="A250" t="n">
        <v>306706</v>
      </c>
      <c r="B250" t="inlineStr">
        <is>
          <t>BD306706</t>
        </is>
      </c>
      <c r="C250" t="inlineStr">
        <is>
          <t>Narayanganj</t>
        </is>
      </c>
      <c r="D250" t="inlineStr">
        <is>
          <t>Bandar</t>
        </is>
      </c>
      <c r="E250" s="3" t="n">
        <v>4.4</v>
      </c>
      <c r="F250" s="4">
        <f>(E250-$AJ$5)/$AK$5</f>
        <v/>
      </c>
      <c r="G250" t="n">
        <v>63.4472388</v>
      </c>
      <c r="H250">
        <f>(G250-$AJ$6)/$AK$6</f>
        <v/>
      </c>
      <c r="I250" t="n">
        <v>7.800000000000002</v>
      </c>
      <c r="J250" s="4">
        <f>(I250-$AJ$7)/$AK$7</f>
        <v/>
      </c>
      <c r="K250" t="n">
        <v>0</v>
      </c>
      <c r="L250" s="4">
        <f>(K250-$AJ$8)/$AK$8</f>
        <v/>
      </c>
      <c r="M250" t="n">
        <v>35234</v>
      </c>
      <c r="N250">
        <f>(M250-$AJ$9)/$AK$9</f>
        <v/>
      </c>
      <c r="O250" t="n">
        <v>0.595995669</v>
      </c>
      <c r="P250">
        <f>(O250-$AJ$11)/$AK$11</f>
        <v/>
      </c>
      <c r="Q250" t="n">
        <v>0.2164</v>
      </c>
      <c r="R250">
        <f>(Q250-$AJ$12)/$AK$12</f>
        <v/>
      </c>
      <c r="S250">
        <f>F250*(R250*0.5+P250*0.5)*(H250*0.35+J250*0.35+L250*0.3)</f>
        <v/>
      </c>
      <c r="T250" s="14">
        <f>(S250-$AJ$10)/$AK$10</f>
        <v/>
      </c>
      <c r="U250">
        <f>IF(T250&gt;0.7,"High",IF(T250&gt;0.3,"Moderate",IF(T250&gt;0.15,"Low","No Impact")))</f>
        <v/>
      </c>
      <c r="V250">
        <f>F250*(R250*1)*(H250*0.35+J250*0.35+L250*0.3)</f>
        <v/>
      </c>
      <c r="W250">
        <f>(V250-$AJ$13)/$AK$13</f>
        <v/>
      </c>
      <c r="X250">
        <f>IF(W250&gt;0.7,"High",IF(W250&gt;0.3,"Moderate",IF(W250&gt;0.15,"Low","No Impact")))</f>
        <v/>
      </c>
      <c r="Y250">
        <f>F250*(P250*1)*(H250*0.35+J250*0.35+L250*0.3)</f>
        <v/>
      </c>
      <c r="Z250">
        <f>(Y250-$AJ$14)/$AK$14</f>
        <v/>
      </c>
      <c r="AA250">
        <f>IF(Z250&gt;0.7,"High",IF(Z250&gt;0.3,"Moderate",IF(Z250&gt;0.15,"Low","No Impact")))</f>
        <v/>
      </c>
      <c r="AB250">
        <f>F250*(R250*0.35+P250*0.3+N250*0.35)*(H250*0.35+J250*0.35+L250*0.3)</f>
        <v/>
      </c>
      <c r="AC250">
        <f>(AB250-$AJ$15)/$AK$15</f>
        <v/>
      </c>
      <c r="AD250">
        <f>IF(AC250&gt;0.7,"High",IF(AC250&gt;0.3,"Moderate",IF(AC250&gt;0.15,"Low","No Impact")))</f>
        <v/>
      </c>
      <c r="AE250">
        <f>F250*(N250*1)*(H250*0.35+J250*0.35+L250*0.3)</f>
        <v/>
      </c>
      <c r="AF250">
        <f>(AE250-$AJ$16)/$AK$16</f>
        <v/>
      </c>
      <c r="AG250">
        <f>IF(AF250&gt;0.7,"High",IF(AF250&gt;0.3,"Moderate",IF(AF250&gt;0.15,"Low","No Impact")))</f>
        <v/>
      </c>
    </row>
    <row r="251">
      <c r="A251" t="n">
        <v>306758</v>
      </c>
      <c r="B251" t="inlineStr">
        <is>
          <t>BD306758</t>
        </is>
      </c>
      <c r="C251" t="inlineStr">
        <is>
          <t>Narayanganj</t>
        </is>
      </c>
      <c r="D251" t="inlineStr">
        <is>
          <t>Narayanganj Sadar</t>
        </is>
      </c>
      <c r="E251" s="3" t="n">
        <v>4.4</v>
      </c>
      <c r="F251" s="4">
        <f>(E251-$AJ$5)/$AK$5</f>
        <v/>
      </c>
      <c r="G251" t="n">
        <v>63.4472388</v>
      </c>
      <c r="H251">
        <f>(G251-$AJ$6)/$AK$6</f>
        <v/>
      </c>
      <c r="I251" t="n">
        <v>7.800000000000002</v>
      </c>
      <c r="J251" s="4">
        <f>(I251-$AJ$7)/$AK$7</f>
        <v/>
      </c>
      <c r="K251" t="n">
        <v>0</v>
      </c>
      <c r="L251" s="4">
        <f>(K251-$AJ$8)/$AK$8</f>
        <v/>
      </c>
      <c r="M251" t="n">
        <v>84610</v>
      </c>
      <c r="N251">
        <f>(M251-$AJ$9)/$AK$9</f>
        <v/>
      </c>
      <c r="O251" t="n">
        <v>0.448007286</v>
      </c>
      <c r="P251">
        <f>(O251-$AJ$11)/$AK$11</f>
        <v/>
      </c>
      <c r="Q251" t="n">
        <v>0.1676</v>
      </c>
      <c r="R251">
        <f>(Q251-$AJ$12)/$AK$12</f>
        <v/>
      </c>
      <c r="S251">
        <f>F251*(R251*0.5+P251*0.5)*(H251*0.35+J251*0.35+L251*0.3)</f>
        <v/>
      </c>
      <c r="T251" s="14">
        <f>(S251-$AJ$10)/$AK$10</f>
        <v/>
      </c>
      <c r="U251">
        <f>IF(T251&gt;0.7,"High",IF(T251&gt;0.3,"Moderate",IF(T251&gt;0.15,"Low","No Impact")))</f>
        <v/>
      </c>
      <c r="V251">
        <f>F251*(R251*1)*(H251*0.35+J251*0.35+L251*0.3)</f>
        <v/>
      </c>
      <c r="W251">
        <f>(V251-$AJ$13)/$AK$13</f>
        <v/>
      </c>
      <c r="X251">
        <f>IF(W251&gt;0.7,"High",IF(W251&gt;0.3,"Moderate",IF(W251&gt;0.15,"Low","No Impact")))</f>
        <v/>
      </c>
      <c r="Y251">
        <f>F251*(P251*1)*(H251*0.35+J251*0.35+L251*0.3)</f>
        <v/>
      </c>
      <c r="Z251">
        <f>(Y251-$AJ$14)/$AK$14</f>
        <v/>
      </c>
      <c r="AA251">
        <f>IF(Z251&gt;0.7,"High",IF(Z251&gt;0.3,"Moderate",IF(Z251&gt;0.15,"Low","No Impact")))</f>
        <v/>
      </c>
      <c r="AB251">
        <f>F251*(R251*0.35+P251*0.3+N251*0.35)*(H251*0.35+J251*0.35+L251*0.3)</f>
        <v/>
      </c>
      <c r="AC251">
        <f>(AB251-$AJ$15)/$AK$15</f>
        <v/>
      </c>
      <c r="AD251">
        <f>IF(AC251&gt;0.7,"High",IF(AC251&gt;0.3,"Moderate",IF(AC251&gt;0.15,"Low","No Impact")))</f>
        <v/>
      </c>
      <c r="AE251">
        <f>F251*(N251*1)*(H251*0.35+J251*0.35+L251*0.3)</f>
        <v/>
      </c>
      <c r="AF251">
        <f>(AE251-$AJ$16)/$AK$16</f>
        <v/>
      </c>
      <c r="AG251">
        <f>IF(AF251&gt;0.7,"High",IF(AF251&gt;0.3,"Moderate",IF(AF251&gt;0.15,"Low","No Impact")))</f>
        <v/>
      </c>
    </row>
    <row r="252">
      <c r="A252" t="n">
        <v>306768</v>
      </c>
      <c r="B252" t="inlineStr">
        <is>
          <t>BD306768</t>
        </is>
      </c>
      <c r="C252" t="inlineStr">
        <is>
          <t>Narayanganj</t>
        </is>
      </c>
      <c r="D252" t="inlineStr">
        <is>
          <t>Rupganj</t>
        </is>
      </c>
      <c r="E252" s="3" t="n">
        <v>4.4</v>
      </c>
      <c r="F252" s="4">
        <f>(E252-$AJ$5)/$AK$5</f>
        <v/>
      </c>
      <c r="G252" t="n">
        <v>62.5226292</v>
      </c>
      <c r="H252">
        <f>(G252-$AJ$6)/$AK$6</f>
        <v/>
      </c>
      <c r="I252" t="n">
        <v>3.1</v>
      </c>
      <c r="J252" s="4">
        <f>(I252-$AJ$7)/$AK$7</f>
        <v/>
      </c>
      <c r="K252" t="n">
        <v>0</v>
      </c>
      <c r="L252" s="4">
        <f>(K252-$AJ$8)/$AK$8</f>
        <v/>
      </c>
      <c r="M252" t="n">
        <v>72027</v>
      </c>
      <c r="N252">
        <f>(M252-$AJ$9)/$AK$9</f>
        <v/>
      </c>
      <c r="O252" t="n">
        <v>0.369617334</v>
      </c>
      <c r="P252">
        <f>(O252-$AJ$11)/$AK$11</f>
        <v/>
      </c>
      <c r="Q252" t="n">
        <v>0.2056</v>
      </c>
      <c r="R252">
        <f>(Q252-$AJ$12)/$AK$12</f>
        <v/>
      </c>
      <c r="S252">
        <f>F252*(R252*0.5+P252*0.5)*(H252*0.35+J252*0.35+L252*0.3)</f>
        <v/>
      </c>
      <c r="T252" s="14">
        <f>(S252-$AJ$10)/$AK$10</f>
        <v/>
      </c>
      <c r="U252">
        <f>IF(T252&gt;0.7,"High",IF(T252&gt;0.3,"Moderate",IF(T252&gt;0.15,"Low","No Impact")))</f>
        <v/>
      </c>
      <c r="V252">
        <f>F252*(R252*1)*(H252*0.35+J252*0.35+L252*0.3)</f>
        <v/>
      </c>
      <c r="W252">
        <f>(V252-$AJ$13)/$AK$13</f>
        <v/>
      </c>
      <c r="X252">
        <f>IF(W252&gt;0.7,"High",IF(W252&gt;0.3,"Moderate",IF(W252&gt;0.15,"Low","No Impact")))</f>
        <v/>
      </c>
      <c r="Y252">
        <f>F252*(P252*1)*(H252*0.35+J252*0.35+L252*0.3)</f>
        <v/>
      </c>
      <c r="Z252">
        <f>(Y252-$AJ$14)/$AK$14</f>
        <v/>
      </c>
      <c r="AA252">
        <f>IF(Z252&gt;0.7,"High",IF(Z252&gt;0.3,"Moderate",IF(Z252&gt;0.15,"Low","No Impact")))</f>
        <v/>
      </c>
      <c r="AB252">
        <f>F252*(R252*0.35+P252*0.3+N252*0.35)*(H252*0.35+J252*0.35+L252*0.3)</f>
        <v/>
      </c>
      <c r="AC252">
        <f>(AB252-$AJ$15)/$AK$15</f>
        <v/>
      </c>
      <c r="AD252">
        <f>IF(AC252&gt;0.7,"High",IF(AC252&gt;0.3,"Moderate",IF(AC252&gt;0.15,"Low","No Impact")))</f>
        <v/>
      </c>
      <c r="AE252">
        <f>F252*(N252*1)*(H252*0.35+J252*0.35+L252*0.3)</f>
        <v/>
      </c>
      <c r="AF252">
        <f>(AE252-$AJ$16)/$AK$16</f>
        <v/>
      </c>
      <c r="AG252">
        <f>IF(AF252&gt;0.7,"High",IF(AF252&gt;0.3,"Moderate",IF(AF252&gt;0.15,"Low","No Impact")))</f>
        <v/>
      </c>
    </row>
    <row r="253">
      <c r="A253" t="n">
        <v>306807</v>
      </c>
      <c r="B253" t="inlineStr">
        <is>
          <t>BD306807</t>
        </is>
      </c>
      <c r="C253" t="inlineStr">
        <is>
          <t>Narsingdi</t>
        </is>
      </c>
      <c r="D253" t="inlineStr">
        <is>
          <t>Belabo</t>
        </is>
      </c>
      <c r="E253" s="3" t="n">
        <v>4.4</v>
      </c>
      <c r="F253" s="4">
        <f>(E253-$AJ$5)/$AK$5</f>
        <v/>
      </c>
      <c r="G253" t="n">
        <v>46.027314</v>
      </c>
      <c r="H253">
        <f>(G253-$AJ$6)/$AK$6</f>
        <v/>
      </c>
      <c r="I253" t="n">
        <v>0.4999999999999996</v>
      </c>
      <c r="J253" s="4">
        <f>(I253-$AJ$7)/$AK$7</f>
        <v/>
      </c>
      <c r="K253" t="n">
        <v>0</v>
      </c>
      <c r="L253" s="4">
        <f>(K253-$AJ$8)/$AK$8</f>
        <v/>
      </c>
      <c r="M253" t="n">
        <v>27160</v>
      </c>
      <c r="N253">
        <f>(M253-$AJ$9)/$AK$9</f>
        <v/>
      </c>
      <c r="O253" t="n">
        <v>0.561784085</v>
      </c>
      <c r="P253">
        <f>(O253-$AJ$11)/$AK$11</f>
        <v/>
      </c>
      <c r="Q253" t="n">
        <v>0.3105</v>
      </c>
      <c r="R253">
        <f>(Q253-$AJ$12)/$AK$12</f>
        <v/>
      </c>
      <c r="S253">
        <f>F253*(R253*0.5+P253*0.5)*(H253*0.35+J253*0.35+L253*0.3)</f>
        <v/>
      </c>
      <c r="T253" s="14">
        <f>(S253-$AJ$10)/$AK$10</f>
        <v/>
      </c>
      <c r="U253">
        <f>IF(T253&gt;0.7,"High",IF(T253&gt;0.3,"Moderate",IF(T253&gt;0.15,"Low","No Impact")))</f>
        <v/>
      </c>
      <c r="V253">
        <f>F253*(R253*1)*(H253*0.35+J253*0.35+L253*0.3)</f>
        <v/>
      </c>
      <c r="W253">
        <f>(V253-$AJ$13)/$AK$13</f>
        <v/>
      </c>
      <c r="X253">
        <f>IF(W253&gt;0.7,"High",IF(W253&gt;0.3,"Moderate",IF(W253&gt;0.15,"Low","No Impact")))</f>
        <v/>
      </c>
      <c r="Y253">
        <f>F253*(P253*1)*(H253*0.35+J253*0.35+L253*0.3)</f>
        <v/>
      </c>
      <c r="Z253">
        <f>(Y253-$AJ$14)/$AK$14</f>
        <v/>
      </c>
      <c r="AA253">
        <f>IF(Z253&gt;0.7,"High",IF(Z253&gt;0.3,"Moderate",IF(Z253&gt;0.15,"Low","No Impact")))</f>
        <v/>
      </c>
      <c r="AB253">
        <f>F253*(R253*0.35+P253*0.3+N253*0.35)*(H253*0.35+J253*0.35+L253*0.3)</f>
        <v/>
      </c>
      <c r="AC253">
        <f>(AB253-$AJ$15)/$AK$15</f>
        <v/>
      </c>
      <c r="AD253">
        <f>IF(AC253&gt;0.7,"High",IF(AC253&gt;0.3,"Moderate",IF(AC253&gt;0.15,"Low","No Impact")))</f>
        <v/>
      </c>
      <c r="AE253">
        <f>F253*(N253*1)*(H253*0.35+J253*0.35+L253*0.3)</f>
        <v/>
      </c>
      <c r="AF253">
        <f>(AE253-$AJ$16)/$AK$16</f>
        <v/>
      </c>
      <c r="AG253">
        <f>IF(AF253&gt;0.7,"High",IF(AF253&gt;0.3,"Moderate",IF(AF253&gt;0.15,"Low","No Impact")))</f>
        <v/>
      </c>
    </row>
    <row r="254">
      <c r="A254" t="n">
        <v>306852</v>
      </c>
      <c r="B254" t="inlineStr">
        <is>
          <t>BD306852</t>
        </is>
      </c>
      <c r="C254" t="inlineStr">
        <is>
          <t>Narsingdi</t>
        </is>
      </c>
      <c r="D254" t="inlineStr">
        <is>
          <t>Manohardi</t>
        </is>
      </c>
      <c r="E254" s="3" t="n">
        <v>4.5</v>
      </c>
      <c r="F254" s="4">
        <f>(E254-$AJ$5)/$AK$5</f>
        <v/>
      </c>
      <c r="G254" t="n">
        <v>46.027314</v>
      </c>
      <c r="H254">
        <f>(G254-$AJ$6)/$AK$6</f>
        <v/>
      </c>
      <c r="I254" t="n">
        <v>0.2999999999999999</v>
      </c>
      <c r="J254" s="4">
        <f>(I254-$AJ$7)/$AK$7</f>
        <v/>
      </c>
      <c r="K254" t="n">
        <v>0</v>
      </c>
      <c r="L254" s="4">
        <f>(K254-$AJ$8)/$AK$8</f>
        <v/>
      </c>
      <c r="M254" t="n">
        <v>22807</v>
      </c>
      <c r="N254">
        <f>(M254-$AJ$9)/$AK$9</f>
        <v/>
      </c>
      <c r="O254" t="n">
        <v>0.326443629</v>
      </c>
      <c r="P254">
        <f>(O254-$AJ$11)/$AK$11</f>
        <v/>
      </c>
      <c r="Q254" t="n">
        <v>0.276</v>
      </c>
      <c r="R254">
        <f>(Q254-$AJ$12)/$AK$12</f>
        <v/>
      </c>
      <c r="S254">
        <f>F254*(R254*0.5+P254*0.5)*(H254*0.35+J254*0.35+L254*0.3)</f>
        <v/>
      </c>
      <c r="T254" s="14">
        <f>(S254-$AJ$10)/$AK$10</f>
        <v/>
      </c>
      <c r="U254">
        <f>IF(T254&gt;0.7,"High",IF(T254&gt;0.3,"Moderate",IF(T254&gt;0.15,"Low","No Impact")))</f>
        <v/>
      </c>
      <c r="V254">
        <f>F254*(R254*1)*(H254*0.35+J254*0.35+L254*0.3)</f>
        <v/>
      </c>
      <c r="W254">
        <f>(V254-$AJ$13)/$AK$13</f>
        <v/>
      </c>
      <c r="X254">
        <f>IF(W254&gt;0.7,"High",IF(W254&gt;0.3,"Moderate",IF(W254&gt;0.15,"Low","No Impact")))</f>
        <v/>
      </c>
      <c r="Y254">
        <f>F254*(P254*1)*(H254*0.35+J254*0.35+L254*0.3)</f>
        <v/>
      </c>
      <c r="Z254">
        <f>(Y254-$AJ$14)/$AK$14</f>
        <v/>
      </c>
      <c r="AA254">
        <f>IF(Z254&gt;0.7,"High",IF(Z254&gt;0.3,"Moderate",IF(Z254&gt;0.15,"Low","No Impact")))</f>
        <v/>
      </c>
      <c r="AB254">
        <f>F254*(R254*0.35+P254*0.3+N254*0.35)*(H254*0.35+J254*0.35+L254*0.3)</f>
        <v/>
      </c>
      <c r="AC254">
        <f>(AB254-$AJ$15)/$AK$15</f>
        <v/>
      </c>
      <c r="AD254">
        <f>IF(AC254&gt;0.7,"High",IF(AC254&gt;0.3,"Moderate",IF(AC254&gt;0.15,"Low","No Impact")))</f>
        <v/>
      </c>
      <c r="AE254">
        <f>F254*(N254*1)*(H254*0.35+J254*0.35+L254*0.3)</f>
        <v/>
      </c>
      <c r="AF254">
        <f>(AE254-$AJ$16)/$AK$16</f>
        <v/>
      </c>
      <c r="AG254">
        <f>IF(AF254&gt;0.7,"High",IF(AF254&gt;0.3,"Moderate",IF(AF254&gt;0.15,"Low","No Impact")))</f>
        <v/>
      </c>
    </row>
    <row r="255">
      <c r="A255" t="n">
        <v>306860</v>
      </c>
      <c r="B255" t="inlineStr">
        <is>
          <t>BD306860</t>
        </is>
      </c>
      <c r="C255" t="inlineStr">
        <is>
          <t>Narsingdi</t>
        </is>
      </c>
      <c r="D255" t="inlineStr">
        <is>
          <t>Narsingdi Sadar</t>
        </is>
      </c>
      <c r="E255" s="3" t="n">
        <v>4.4</v>
      </c>
      <c r="F255" s="4">
        <f>(E255-$AJ$5)/$AK$5</f>
        <v/>
      </c>
      <c r="G255" t="n">
        <v>62.5226292</v>
      </c>
      <c r="H255">
        <f>(G255-$AJ$6)/$AK$6</f>
        <v/>
      </c>
      <c r="I255" t="n">
        <v>2.199999999999999</v>
      </c>
      <c r="J255" s="4">
        <f>(I255-$AJ$7)/$AK$7</f>
        <v/>
      </c>
      <c r="K255" t="n">
        <v>0</v>
      </c>
      <c r="L255" s="4">
        <f>(K255-$AJ$8)/$AK$8</f>
        <v/>
      </c>
      <c r="M255" t="n">
        <v>70583</v>
      </c>
      <c r="N255">
        <f>(M255-$AJ$9)/$AK$9</f>
        <v/>
      </c>
      <c r="O255" t="n">
        <v>0.187955236</v>
      </c>
      <c r="P255">
        <f>(O255-$AJ$11)/$AK$11</f>
        <v/>
      </c>
      <c r="Q255" t="n">
        <v>0.2383</v>
      </c>
      <c r="R255">
        <f>(Q255-$AJ$12)/$AK$12</f>
        <v/>
      </c>
      <c r="S255">
        <f>F255*(R255*0.5+P255*0.5)*(H255*0.35+J255*0.35+L255*0.3)</f>
        <v/>
      </c>
      <c r="T255" s="14">
        <f>(S255-$AJ$10)/$AK$10</f>
        <v/>
      </c>
      <c r="U255">
        <f>IF(T255&gt;0.7,"High",IF(T255&gt;0.3,"Moderate",IF(T255&gt;0.15,"Low","No Impact")))</f>
        <v/>
      </c>
      <c r="V255">
        <f>F255*(R255*1)*(H255*0.35+J255*0.35+L255*0.3)</f>
        <v/>
      </c>
      <c r="W255">
        <f>(V255-$AJ$13)/$AK$13</f>
        <v/>
      </c>
      <c r="X255">
        <f>IF(W255&gt;0.7,"High",IF(W255&gt;0.3,"Moderate",IF(W255&gt;0.15,"Low","No Impact")))</f>
        <v/>
      </c>
      <c r="Y255">
        <f>F255*(P255*1)*(H255*0.35+J255*0.35+L255*0.3)</f>
        <v/>
      </c>
      <c r="Z255">
        <f>(Y255-$AJ$14)/$AK$14</f>
        <v/>
      </c>
      <c r="AA255">
        <f>IF(Z255&gt;0.7,"High",IF(Z255&gt;0.3,"Moderate",IF(Z255&gt;0.15,"Low","No Impact")))</f>
        <v/>
      </c>
      <c r="AB255">
        <f>F255*(R255*0.35+P255*0.3+N255*0.35)*(H255*0.35+J255*0.35+L255*0.3)</f>
        <v/>
      </c>
      <c r="AC255">
        <f>(AB255-$AJ$15)/$AK$15</f>
        <v/>
      </c>
      <c r="AD255">
        <f>IF(AC255&gt;0.7,"High",IF(AC255&gt;0.3,"Moderate",IF(AC255&gt;0.15,"Low","No Impact")))</f>
        <v/>
      </c>
      <c r="AE255">
        <f>F255*(N255*1)*(H255*0.35+J255*0.35+L255*0.3)</f>
        <v/>
      </c>
      <c r="AF255">
        <f>(AE255-$AJ$16)/$AK$16</f>
        <v/>
      </c>
      <c r="AG255">
        <f>IF(AF255&gt;0.7,"High",IF(AF255&gt;0.3,"Moderate",IF(AF255&gt;0.15,"Low","No Impact")))</f>
        <v/>
      </c>
    </row>
    <row r="256">
      <c r="A256" t="n">
        <v>306863</v>
      </c>
      <c r="B256" t="inlineStr">
        <is>
          <t>BD306863</t>
        </is>
      </c>
      <c r="C256" t="inlineStr">
        <is>
          <t>Narsingdi</t>
        </is>
      </c>
      <c r="D256" t="inlineStr">
        <is>
          <t>Palash</t>
        </is>
      </c>
      <c r="E256" s="3" t="n">
        <v>4</v>
      </c>
      <c r="F256" s="4">
        <f>(E256-$AJ$5)/$AK$5</f>
        <v/>
      </c>
      <c r="G256" t="n">
        <v>52.1198928</v>
      </c>
      <c r="H256">
        <f>(G256-$AJ$6)/$AK$6</f>
        <v/>
      </c>
      <c r="I256" t="n">
        <v>0.6000000000000008</v>
      </c>
      <c r="J256" s="4">
        <f>(I256-$AJ$7)/$AK$7</f>
        <v/>
      </c>
      <c r="K256" t="n">
        <v>0</v>
      </c>
      <c r="L256" s="4">
        <f>(K256-$AJ$8)/$AK$8</f>
        <v/>
      </c>
      <c r="M256" t="n">
        <v>31340</v>
      </c>
      <c r="N256">
        <f>(M256-$AJ$9)/$AK$9</f>
        <v/>
      </c>
      <c r="O256" t="n">
        <v>0.309082176</v>
      </c>
      <c r="P256">
        <f>(O256-$AJ$11)/$AK$11</f>
        <v/>
      </c>
      <c r="Q256" t="n">
        <v>0.2591</v>
      </c>
      <c r="R256">
        <f>(Q256-$AJ$12)/$AK$12</f>
        <v/>
      </c>
      <c r="S256">
        <f>F256*(R256*0.5+P256*0.5)*(H256*0.35+J256*0.35+L256*0.3)</f>
        <v/>
      </c>
      <c r="T256" s="14">
        <f>(S256-$AJ$10)/$AK$10</f>
        <v/>
      </c>
      <c r="U256">
        <f>IF(T256&gt;0.7,"High",IF(T256&gt;0.3,"Moderate",IF(T256&gt;0.15,"Low","No Impact")))</f>
        <v/>
      </c>
      <c r="V256">
        <f>F256*(R256*1)*(H256*0.35+J256*0.35+L256*0.3)</f>
        <v/>
      </c>
      <c r="W256">
        <f>(V256-$AJ$13)/$AK$13</f>
        <v/>
      </c>
      <c r="X256">
        <f>IF(W256&gt;0.7,"High",IF(W256&gt;0.3,"Moderate",IF(W256&gt;0.15,"Low","No Impact")))</f>
        <v/>
      </c>
      <c r="Y256">
        <f>F256*(P256*1)*(H256*0.35+J256*0.35+L256*0.3)</f>
        <v/>
      </c>
      <c r="Z256">
        <f>(Y256-$AJ$14)/$AK$14</f>
        <v/>
      </c>
      <c r="AA256">
        <f>IF(Z256&gt;0.7,"High",IF(Z256&gt;0.3,"Moderate",IF(Z256&gt;0.15,"Low","No Impact")))</f>
        <v/>
      </c>
      <c r="AB256">
        <f>F256*(R256*0.35+P256*0.3+N256*0.35)*(H256*0.35+J256*0.35+L256*0.3)</f>
        <v/>
      </c>
      <c r="AC256">
        <f>(AB256-$AJ$15)/$AK$15</f>
        <v/>
      </c>
      <c r="AD256">
        <f>IF(AC256&gt;0.7,"High",IF(AC256&gt;0.3,"Moderate",IF(AC256&gt;0.15,"Low","No Impact")))</f>
        <v/>
      </c>
      <c r="AE256">
        <f>F256*(N256*1)*(H256*0.35+J256*0.35+L256*0.3)</f>
        <v/>
      </c>
      <c r="AF256">
        <f>(AE256-$AJ$16)/$AK$16</f>
        <v/>
      </c>
      <c r="AG256">
        <f>IF(AF256&gt;0.7,"High",IF(AF256&gt;0.3,"Moderate",IF(AF256&gt;0.15,"Low","No Impact")))</f>
        <v/>
      </c>
    </row>
    <row r="257">
      <c r="A257" t="n">
        <v>306864</v>
      </c>
      <c r="B257" t="inlineStr">
        <is>
          <t>BD306864</t>
        </is>
      </c>
      <c r="C257" t="inlineStr">
        <is>
          <t>Narsingdi</t>
        </is>
      </c>
      <c r="D257" t="inlineStr">
        <is>
          <t>Roypura</t>
        </is>
      </c>
      <c r="E257" s="3" t="n">
        <v>4.5</v>
      </c>
      <c r="F257" s="4">
        <f>(E257-$AJ$5)/$AK$5</f>
        <v/>
      </c>
      <c r="G257" t="n">
        <v>57.0258144</v>
      </c>
      <c r="H257">
        <f>(G257-$AJ$6)/$AK$6</f>
        <v/>
      </c>
      <c r="I257" t="n">
        <v>1.2</v>
      </c>
      <c r="J257" s="4">
        <f>(I257-$AJ$7)/$AK$7</f>
        <v/>
      </c>
      <c r="K257" t="n">
        <v>0</v>
      </c>
      <c r="L257" s="4">
        <f>(K257-$AJ$8)/$AK$8</f>
        <v/>
      </c>
      <c r="M257" t="n">
        <v>38383</v>
      </c>
      <c r="N257">
        <f>(M257-$AJ$9)/$AK$9</f>
        <v/>
      </c>
      <c r="O257" t="n">
        <v>0.553488829</v>
      </c>
      <c r="P257">
        <f>(O257-$AJ$11)/$AK$11</f>
        <v/>
      </c>
      <c r="Q257" t="n">
        <v>0.2636</v>
      </c>
      <c r="R257">
        <f>(Q257-$AJ$12)/$AK$12</f>
        <v/>
      </c>
      <c r="S257">
        <f>F257*(R257*0.5+P257*0.5)*(H257*0.35+J257*0.35+L257*0.3)</f>
        <v/>
      </c>
      <c r="T257" s="14">
        <f>(S257-$AJ$10)/$AK$10</f>
        <v/>
      </c>
      <c r="U257">
        <f>IF(T257&gt;0.7,"High",IF(T257&gt;0.3,"Moderate",IF(T257&gt;0.15,"Low","No Impact")))</f>
        <v/>
      </c>
      <c r="V257">
        <f>F257*(R257*1)*(H257*0.35+J257*0.35+L257*0.3)</f>
        <v/>
      </c>
      <c r="W257">
        <f>(V257-$AJ$13)/$AK$13</f>
        <v/>
      </c>
      <c r="X257">
        <f>IF(W257&gt;0.7,"High",IF(W257&gt;0.3,"Moderate",IF(W257&gt;0.15,"Low","No Impact")))</f>
        <v/>
      </c>
      <c r="Y257">
        <f>F257*(P257*1)*(H257*0.35+J257*0.35+L257*0.3)</f>
        <v/>
      </c>
      <c r="Z257">
        <f>(Y257-$AJ$14)/$AK$14</f>
        <v/>
      </c>
      <c r="AA257">
        <f>IF(Z257&gt;0.7,"High",IF(Z257&gt;0.3,"Moderate",IF(Z257&gt;0.15,"Low","No Impact")))</f>
        <v/>
      </c>
      <c r="AB257">
        <f>F257*(R257*0.35+P257*0.3+N257*0.35)*(H257*0.35+J257*0.35+L257*0.3)</f>
        <v/>
      </c>
      <c r="AC257">
        <f>(AB257-$AJ$15)/$AK$15</f>
        <v/>
      </c>
      <c r="AD257">
        <f>IF(AC257&gt;0.7,"High",IF(AC257&gt;0.3,"Moderate",IF(AC257&gt;0.15,"Low","No Impact")))</f>
        <v/>
      </c>
      <c r="AE257">
        <f>F257*(N257*1)*(H257*0.35+J257*0.35+L257*0.3)</f>
        <v/>
      </c>
      <c r="AF257">
        <f>(AE257-$AJ$16)/$AK$16</f>
        <v/>
      </c>
      <c r="AG257">
        <f>IF(AF257&gt;0.7,"High",IF(AF257&gt;0.3,"Moderate",IF(AF257&gt;0.15,"Low","No Impact")))</f>
        <v/>
      </c>
    </row>
    <row r="258">
      <c r="A258" t="n">
        <v>306876</v>
      </c>
      <c r="B258" t="inlineStr">
        <is>
          <t>BD306876</t>
        </is>
      </c>
      <c r="C258" t="inlineStr">
        <is>
          <t>Narsingdi</t>
        </is>
      </c>
      <c r="D258" t="inlineStr">
        <is>
          <t>Shibpur</t>
        </is>
      </c>
      <c r="E258" s="3" t="n">
        <v>4.4</v>
      </c>
      <c r="F258" s="4">
        <f>(E258-$AJ$5)/$AK$5</f>
        <v/>
      </c>
      <c r="G258" t="n">
        <v>45.981612</v>
      </c>
      <c r="H258">
        <f>(G258-$AJ$6)/$AK$6</f>
        <v/>
      </c>
      <c r="I258" t="n">
        <v>0.400000000000001</v>
      </c>
      <c r="J258" s="4">
        <f>(I258-$AJ$7)/$AK$7</f>
        <v/>
      </c>
      <c r="K258" t="n">
        <v>0</v>
      </c>
      <c r="L258" s="4">
        <f>(K258-$AJ$8)/$AK$8</f>
        <v/>
      </c>
      <c r="M258" t="n">
        <v>46047</v>
      </c>
      <c r="N258">
        <f>(M258-$AJ$9)/$AK$9</f>
        <v/>
      </c>
      <c r="O258" t="n">
        <v>0.318080936</v>
      </c>
      <c r="P258">
        <f>(O258-$AJ$11)/$AK$11</f>
        <v/>
      </c>
      <c r="Q258" t="n">
        <v>0.287</v>
      </c>
      <c r="R258">
        <f>(Q258-$AJ$12)/$AK$12</f>
        <v/>
      </c>
      <c r="S258">
        <f>F258*(R258*0.5+P258*0.5)*(H258*0.35+J258*0.35+L258*0.3)</f>
        <v/>
      </c>
      <c r="T258" s="14">
        <f>(S258-$AJ$10)/$AK$10</f>
        <v/>
      </c>
      <c r="U258">
        <f>IF(T258&gt;0.7,"High",IF(T258&gt;0.3,"Moderate",IF(T258&gt;0.15,"Low","No Impact")))</f>
        <v/>
      </c>
      <c r="V258">
        <f>F258*(R258*1)*(H258*0.35+J258*0.35+L258*0.3)</f>
        <v/>
      </c>
      <c r="W258">
        <f>(V258-$AJ$13)/$AK$13</f>
        <v/>
      </c>
      <c r="X258">
        <f>IF(W258&gt;0.7,"High",IF(W258&gt;0.3,"Moderate",IF(W258&gt;0.15,"Low","No Impact")))</f>
        <v/>
      </c>
      <c r="Y258">
        <f>F258*(P258*1)*(H258*0.35+J258*0.35+L258*0.3)</f>
        <v/>
      </c>
      <c r="Z258">
        <f>(Y258-$AJ$14)/$AK$14</f>
        <v/>
      </c>
      <c r="AA258">
        <f>IF(Z258&gt;0.7,"High",IF(Z258&gt;0.3,"Moderate",IF(Z258&gt;0.15,"Low","No Impact")))</f>
        <v/>
      </c>
      <c r="AB258">
        <f>F258*(R258*0.35+P258*0.3+N258*0.35)*(H258*0.35+J258*0.35+L258*0.3)</f>
        <v/>
      </c>
      <c r="AC258">
        <f>(AB258-$AJ$15)/$AK$15</f>
        <v/>
      </c>
      <c r="AD258">
        <f>IF(AC258&gt;0.7,"High",IF(AC258&gt;0.3,"Moderate",IF(AC258&gt;0.15,"Low","No Impact")))</f>
        <v/>
      </c>
      <c r="AE258">
        <f>F258*(N258*1)*(H258*0.35+J258*0.35+L258*0.3)</f>
        <v/>
      </c>
      <c r="AF258">
        <f>(AE258-$AJ$16)/$AK$16</f>
        <v/>
      </c>
      <c r="AG258">
        <f>IF(AF258&gt;0.7,"High",IF(AF258&gt;0.3,"Moderate",IF(AF258&gt;0.15,"Low","No Impact")))</f>
        <v/>
      </c>
    </row>
    <row r="259">
      <c r="A259" t="n">
        <v>308207</v>
      </c>
      <c r="B259" t="inlineStr">
        <is>
          <t>BD308207</t>
        </is>
      </c>
      <c r="C259" t="inlineStr">
        <is>
          <t>Thakurgaon</t>
        </is>
      </c>
      <c r="D259" t="inlineStr">
        <is>
          <t>Baliadangi</t>
        </is>
      </c>
      <c r="E259" s="3" t="n">
        <v>5.4</v>
      </c>
      <c r="F259" s="4">
        <f>(E259-$AJ$5)/$AK$5</f>
        <v/>
      </c>
      <c r="G259" t="n">
        <v>101.2155984</v>
      </c>
      <c r="H259">
        <f>(G259-$AJ$6)/$AK$6</f>
        <v/>
      </c>
      <c r="I259" t="n">
        <v>18.8</v>
      </c>
      <c r="J259" s="4">
        <f>(I259-$AJ$7)/$AK$7</f>
        <v/>
      </c>
      <c r="K259" t="n">
        <v>0</v>
      </c>
      <c r="L259" s="4">
        <f>(K259-$AJ$8)/$AK$8</f>
        <v/>
      </c>
      <c r="M259" t="n">
        <v>27077</v>
      </c>
      <c r="N259">
        <f>(M259-$AJ$9)/$AK$9</f>
        <v/>
      </c>
      <c r="O259" t="n">
        <v>0.5047493669999999</v>
      </c>
      <c r="P259">
        <f>(O259-$AJ$11)/$AK$11</f>
        <v/>
      </c>
      <c r="Q259" t="n">
        <v>0.2688</v>
      </c>
      <c r="R259">
        <f>(Q259-$AJ$12)/$AK$12</f>
        <v/>
      </c>
      <c r="S259">
        <f>F259*(R259*0.5+P259*0.5)*(H259*0.35+J259*0.35+L259*0.3)</f>
        <v/>
      </c>
      <c r="T259" s="14">
        <f>(S259-$AJ$10)/$AK$10</f>
        <v/>
      </c>
      <c r="U259">
        <f>IF(T259&gt;0.7,"High",IF(T259&gt;0.3,"Moderate",IF(T259&gt;0.15,"Low","No Impact")))</f>
        <v/>
      </c>
      <c r="V259">
        <f>F259*(R259*1)*(H259*0.35+J259*0.35+L259*0.3)</f>
        <v/>
      </c>
      <c r="W259">
        <f>(V259-$AJ$13)/$AK$13</f>
        <v/>
      </c>
      <c r="X259">
        <f>IF(W259&gt;0.7,"High",IF(W259&gt;0.3,"Moderate",IF(W259&gt;0.15,"Low","No Impact")))</f>
        <v/>
      </c>
      <c r="Y259">
        <f>F259*(P259*1)*(H259*0.35+J259*0.35+L259*0.3)</f>
        <v/>
      </c>
      <c r="Z259">
        <f>(Y259-$AJ$14)/$AK$14</f>
        <v/>
      </c>
      <c r="AA259">
        <f>IF(Z259&gt;0.7,"High",IF(Z259&gt;0.3,"Moderate",IF(Z259&gt;0.15,"Low","No Impact")))</f>
        <v/>
      </c>
      <c r="AB259">
        <f>F259*(R259*0.35+P259*0.3+N259*0.35)*(H259*0.35+J259*0.35+L259*0.3)</f>
        <v/>
      </c>
      <c r="AC259">
        <f>(AB259-$AJ$15)/$AK$15</f>
        <v/>
      </c>
      <c r="AD259">
        <f>IF(AC259&gt;0.7,"High",IF(AC259&gt;0.3,"Moderate",IF(AC259&gt;0.15,"Low","No Impact")))</f>
        <v/>
      </c>
      <c r="AE259">
        <f>F259*(N259*1)*(H259*0.35+J259*0.35+L259*0.3)</f>
        <v/>
      </c>
      <c r="AF259">
        <f>(AE259-$AJ$16)/$AK$16</f>
        <v/>
      </c>
      <c r="AG259">
        <f>IF(AF259&gt;0.7,"High",IF(AF259&gt;0.3,"Moderate",IF(AF259&gt;0.15,"Low","No Impact")))</f>
        <v/>
      </c>
    </row>
    <row r="260">
      <c r="A260" t="n">
        <v>308229</v>
      </c>
      <c r="B260" t="inlineStr">
        <is>
          <t>BD308229</t>
        </is>
      </c>
      <c r="C260" t="inlineStr">
        <is>
          <t>Rajbari</t>
        </is>
      </c>
      <c r="D260" t="inlineStr">
        <is>
          <t>Goalandaghat</t>
        </is>
      </c>
      <c r="E260" s="3" t="n">
        <v>5.4</v>
      </c>
      <c r="F260" s="4">
        <f>(E260-$AJ$5)/$AK$5</f>
        <v/>
      </c>
      <c r="G260" t="n">
        <v>80.427708</v>
      </c>
      <c r="H260">
        <f>(G260-$AJ$6)/$AK$6</f>
        <v/>
      </c>
      <c r="I260" t="n">
        <v>12.7</v>
      </c>
      <c r="J260" s="4">
        <f>(I260-$AJ$7)/$AK$7</f>
        <v/>
      </c>
      <c r="K260" t="n">
        <v>0</v>
      </c>
      <c r="L260" s="4">
        <f>(K260-$AJ$8)/$AK$8</f>
        <v/>
      </c>
      <c r="M260" t="n">
        <v>14728</v>
      </c>
      <c r="N260">
        <f>(M260-$AJ$9)/$AK$9</f>
        <v/>
      </c>
      <c r="O260" t="n">
        <v>0.320352239</v>
      </c>
      <c r="P260">
        <f>(O260-$AJ$11)/$AK$11</f>
        <v/>
      </c>
      <c r="Q260" t="n">
        <v>0.2548</v>
      </c>
      <c r="R260">
        <f>(Q260-$AJ$12)/$AK$12</f>
        <v/>
      </c>
      <c r="S260">
        <f>F260*(R260*0.5+P260*0.5)*(H260*0.35+J260*0.35+L260*0.3)</f>
        <v/>
      </c>
      <c r="T260" s="14">
        <f>(S260-$AJ$10)/$AK$10</f>
        <v/>
      </c>
      <c r="U260">
        <f>IF(T260&gt;0.7,"High",IF(T260&gt;0.3,"Moderate",IF(T260&gt;0.15,"Low","No Impact")))</f>
        <v/>
      </c>
      <c r="V260">
        <f>F260*(R260*1)*(H260*0.35+J260*0.35+L260*0.3)</f>
        <v/>
      </c>
      <c r="W260">
        <f>(V260-$AJ$13)/$AK$13</f>
        <v/>
      </c>
      <c r="X260">
        <f>IF(W260&gt;0.7,"High",IF(W260&gt;0.3,"Moderate",IF(W260&gt;0.15,"Low","No Impact")))</f>
        <v/>
      </c>
      <c r="Y260">
        <f>F260*(P260*1)*(H260*0.35+J260*0.35+L260*0.3)</f>
        <v/>
      </c>
      <c r="Z260">
        <f>(Y260-$AJ$14)/$AK$14</f>
        <v/>
      </c>
      <c r="AA260">
        <f>IF(Z260&gt;0.7,"High",IF(Z260&gt;0.3,"Moderate",IF(Z260&gt;0.15,"Low","No Impact")))</f>
        <v/>
      </c>
      <c r="AB260">
        <f>F260*(R260*0.35+P260*0.3+N260*0.35)*(H260*0.35+J260*0.35+L260*0.3)</f>
        <v/>
      </c>
      <c r="AC260">
        <f>(AB260-$AJ$15)/$AK$15</f>
        <v/>
      </c>
      <c r="AD260">
        <f>IF(AC260&gt;0.7,"High",IF(AC260&gt;0.3,"Moderate",IF(AC260&gt;0.15,"Low","No Impact")))</f>
        <v/>
      </c>
      <c r="AE260">
        <f>F260*(N260*1)*(H260*0.35+J260*0.35+L260*0.3)</f>
        <v/>
      </c>
      <c r="AF260">
        <f>(AE260-$AJ$16)/$AK$16</f>
        <v/>
      </c>
      <c r="AG260">
        <f>IF(AF260&gt;0.7,"High",IF(AF260&gt;0.3,"Moderate",IF(AF260&gt;0.15,"Low","No Impact")))</f>
        <v/>
      </c>
    </row>
    <row r="261">
      <c r="A261" t="n">
        <v>308247</v>
      </c>
      <c r="B261" t="inlineStr">
        <is>
          <t>BD308247</t>
        </is>
      </c>
      <c r="C261" t="inlineStr">
        <is>
          <t>Rajbari</t>
        </is>
      </c>
      <c r="D261" t="inlineStr">
        <is>
          <t>Kalukhali</t>
        </is>
      </c>
      <c r="E261" s="3" t="n">
        <v>5.6</v>
      </c>
      <c r="F261" s="4">
        <f>(E261-$AJ$5)/$AK$5</f>
        <v/>
      </c>
      <c r="G261" t="n">
        <v>91.5230196</v>
      </c>
      <c r="H261">
        <f>(G261-$AJ$6)/$AK$6</f>
        <v/>
      </c>
      <c r="I261" t="n">
        <v>17.5</v>
      </c>
      <c r="J261" s="4">
        <f>(I261-$AJ$7)/$AK$7</f>
        <v/>
      </c>
      <c r="K261" t="n">
        <v>0</v>
      </c>
      <c r="L261" s="4">
        <f>(K261-$AJ$8)/$AK$8</f>
        <v/>
      </c>
      <c r="M261" t="n">
        <v>15025</v>
      </c>
      <c r="N261">
        <f>(M261-$AJ$9)/$AK$9</f>
        <v/>
      </c>
      <c r="O261" t="n">
        <v>0.25794141</v>
      </c>
      <c r="P261">
        <f>(O261-$AJ$11)/$AK$11</f>
        <v/>
      </c>
      <c r="Q261" t="n">
        <v>0.2944</v>
      </c>
      <c r="R261">
        <f>(Q261-$AJ$12)/$AK$12</f>
        <v/>
      </c>
      <c r="S261">
        <f>F261*(R261*0.5+P261*0.5)*(H261*0.35+J261*0.35+L261*0.3)</f>
        <v/>
      </c>
      <c r="T261" s="14">
        <f>(S261-$AJ$10)/$AK$10</f>
        <v/>
      </c>
      <c r="U261">
        <f>IF(T261&gt;0.7,"High",IF(T261&gt;0.3,"Moderate",IF(T261&gt;0.15,"Low","No Impact")))</f>
        <v/>
      </c>
      <c r="V261">
        <f>F261*(R261*1)*(H261*0.35+J261*0.35+L261*0.3)</f>
        <v/>
      </c>
      <c r="W261">
        <f>(V261-$AJ$13)/$AK$13</f>
        <v/>
      </c>
      <c r="X261">
        <f>IF(W261&gt;0.7,"High",IF(W261&gt;0.3,"Moderate",IF(W261&gt;0.15,"Low","No Impact")))</f>
        <v/>
      </c>
      <c r="Y261">
        <f>F261*(P261*1)*(H261*0.35+J261*0.35+L261*0.3)</f>
        <v/>
      </c>
      <c r="Z261">
        <f>(Y261-$AJ$14)/$AK$14</f>
        <v/>
      </c>
      <c r="AA261">
        <f>IF(Z261&gt;0.7,"High",IF(Z261&gt;0.3,"Moderate",IF(Z261&gt;0.15,"Low","No Impact")))</f>
        <v/>
      </c>
      <c r="AB261">
        <f>F261*(R261*0.35+P261*0.3+N261*0.35)*(H261*0.35+J261*0.35+L261*0.3)</f>
        <v/>
      </c>
      <c r="AC261">
        <f>(AB261-$AJ$15)/$AK$15</f>
        <v/>
      </c>
      <c r="AD261">
        <f>IF(AC261&gt;0.7,"High",IF(AC261&gt;0.3,"Moderate",IF(AC261&gt;0.15,"Low","No Impact")))</f>
        <v/>
      </c>
      <c r="AE261">
        <f>F261*(N261*1)*(H261*0.35+J261*0.35+L261*0.3)</f>
        <v/>
      </c>
      <c r="AF261">
        <f>(AE261-$AJ$16)/$AK$16</f>
        <v/>
      </c>
      <c r="AG261">
        <f>IF(AF261&gt;0.7,"High",IF(AF261&gt;0.3,"Moderate",IF(AF261&gt;0.15,"Low","No Impact")))</f>
        <v/>
      </c>
    </row>
    <row r="262">
      <c r="A262" t="n">
        <v>308273</v>
      </c>
      <c r="B262" t="inlineStr">
        <is>
          <t>BD308273</t>
        </is>
      </c>
      <c r="C262" t="inlineStr">
        <is>
          <t>Rajbari</t>
        </is>
      </c>
      <c r="D262" t="inlineStr">
        <is>
          <t>Pangsha</t>
        </is>
      </c>
      <c r="E262" s="3" t="n">
        <v>5.6</v>
      </c>
      <c r="F262" s="4">
        <f>(E262-$AJ$5)/$AK$5</f>
        <v/>
      </c>
      <c r="G262" t="n">
        <v>91.5230196</v>
      </c>
      <c r="H262">
        <f>(G262-$AJ$6)/$AK$6</f>
        <v/>
      </c>
      <c r="I262" t="n">
        <v>13.1</v>
      </c>
      <c r="J262" s="4">
        <f>(I262-$AJ$7)/$AK$7</f>
        <v/>
      </c>
      <c r="K262" t="n">
        <v>0</v>
      </c>
      <c r="L262" s="4">
        <f>(K262-$AJ$8)/$AK$8</f>
        <v/>
      </c>
      <c r="M262" t="n">
        <v>21428</v>
      </c>
      <c r="N262">
        <f>(M262-$AJ$9)/$AK$9</f>
        <v/>
      </c>
      <c r="O262" t="n">
        <v>0.430204654</v>
      </c>
      <c r="P262">
        <f>(O262-$AJ$11)/$AK$11</f>
        <v/>
      </c>
      <c r="Q262" t="n">
        <v>0.2957</v>
      </c>
      <c r="R262">
        <f>(Q262-$AJ$12)/$AK$12</f>
        <v/>
      </c>
      <c r="S262">
        <f>F262*(R262*0.5+P262*0.5)*(H262*0.35+J262*0.35+L262*0.3)</f>
        <v/>
      </c>
      <c r="T262" s="14">
        <f>(S262-$AJ$10)/$AK$10</f>
        <v/>
      </c>
      <c r="U262">
        <f>IF(T262&gt;0.7,"High",IF(T262&gt;0.3,"Moderate",IF(T262&gt;0.15,"Low","No Impact")))</f>
        <v/>
      </c>
      <c r="V262">
        <f>F262*(R262*1)*(H262*0.35+J262*0.35+L262*0.3)</f>
        <v/>
      </c>
      <c r="W262">
        <f>(V262-$AJ$13)/$AK$13</f>
        <v/>
      </c>
      <c r="X262">
        <f>IF(W262&gt;0.7,"High",IF(W262&gt;0.3,"Moderate",IF(W262&gt;0.15,"Low","No Impact")))</f>
        <v/>
      </c>
      <c r="Y262">
        <f>F262*(P262*1)*(H262*0.35+J262*0.35+L262*0.3)</f>
        <v/>
      </c>
      <c r="Z262">
        <f>(Y262-$AJ$14)/$AK$14</f>
        <v/>
      </c>
      <c r="AA262">
        <f>IF(Z262&gt;0.7,"High",IF(Z262&gt;0.3,"Moderate",IF(Z262&gt;0.15,"Low","No Impact")))</f>
        <v/>
      </c>
      <c r="AB262">
        <f>F262*(R262*0.35+P262*0.3+N262*0.35)*(H262*0.35+J262*0.35+L262*0.3)</f>
        <v/>
      </c>
      <c r="AC262">
        <f>(AB262-$AJ$15)/$AK$15</f>
        <v/>
      </c>
      <c r="AD262">
        <f>IF(AC262&gt;0.7,"High",IF(AC262&gt;0.3,"Moderate",IF(AC262&gt;0.15,"Low","No Impact")))</f>
        <v/>
      </c>
      <c r="AE262">
        <f>F262*(N262*1)*(H262*0.35+J262*0.35+L262*0.3)</f>
        <v/>
      </c>
      <c r="AF262">
        <f>(AE262-$AJ$16)/$AK$16</f>
        <v/>
      </c>
      <c r="AG262">
        <f>IF(AF262&gt;0.7,"High",IF(AF262&gt;0.3,"Moderate",IF(AF262&gt;0.15,"Low","No Impact")))</f>
        <v/>
      </c>
    </row>
    <row r="263">
      <c r="A263" t="n">
        <v>308276</v>
      </c>
      <c r="B263" t="inlineStr">
        <is>
          <t>BD308276</t>
        </is>
      </c>
      <c r="C263" t="inlineStr">
        <is>
          <t>Rajbari</t>
        </is>
      </c>
      <c r="D263" t="inlineStr">
        <is>
          <t>Rajbari Sadar</t>
        </is>
      </c>
      <c r="E263" s="3" t="n">
        <v>5.6</v>
      </c>
      <c r="F263" s="4">
        <f>(E263-$AJ$5)/$AK$5</f>
        <v/>
      </c>
      <c r="G263" t="n">
        <v>88.5769272</v>
      </c>
      <c r="H263">
        <f>(G263-$AJ$6)/$AK$6</f>
        <v/>
      </c>
      <c r="I263" t="n">
        <v>16.6</v>
      </c>
      <c r="J263" s="4">
        <f>(I263-$AJ$7)/$AK$7</f>
        <v/>
      </c>
      <c r="K263" t="n">
        <v>0</v>
      </c>
      <c r="L263" s="4">
        <f>(K263-$AJ$8)/$AK$8</f>
        <v/>
      </c>
      <c r="M263" t="n">
        <v>45411</v>
      </c>
      <c r="N263">
        <f>(M263-$AJ$9)/$AK$9</f>
        <v/>
      </c>
      <c r="O263" t="n">
        <v>0.371754786</v>
      </c>
      <c r="P263">
        <f>(O263-$AJ$11)/$AK$11</f>
        <v/>
      </c>
      <c r="Q263" t="n">
        <v>0.2948</v>
      </c>
      <c r="R263">
        <f>(Q263-$AJ$12)/$AK$12</f>
        <v/>
      </c>
      <c r="S263">
        <f>F263*(R263*0.5+P263*0.5)*(H263*0.35+J263*0.35+L263*0.3)</f>
        <v/>
      </c>
      <c r="T263" s="14">
        <f>(S263-$AJ$10)/$AK$10</f>
        <v/>
      </c>
      <c r="U263">
        <f>IF(T263&gt;0.7,"High",IF(T263&gt;0.3,"Moderate",IF(T263&gt;0.15,"Low","No Impact")))</f>
        <v/>
      </c>
      <c r="V263">
        <f>F263*(R263*1)*(H263*0.35+J263*0.35+L263*0.3)</f>
        <v/>
      </c>
      <c r="W263">
        <f>(V263-$AJ$13)/$AK$13</f>
        <v/>
      </c>
      <c r="X263">
        <f>IF(W263&gt;0.7,"High",IF(W263&gt;0.3,"Moderate",IF(W263&gt;0.15,"Low","No Impact")))</f>
        <v/>
      </c>
      <c r="Y263">
        <f>F263*(P263*1)*(H263*0.35+J263*0.35+L263*0.3)</f>
        <v/>
      </c>
      <c r="Z263">
        <f>(Y263-$AJ$14)/$AK$14</f>
        <v/>
      </c>
      <c r="AA263">
        <f>IF(Z263&gt;0.7,"High",IF(Z263&gt;0.3,"Moderate",IF(Z263&gt;0.15,"Low","No Impact")))</f>
        <v/>
      </c>
      <c r="AB263">
        <f>F263*(R263*0.35+P263*0.3+N263*0.35)*(H263*0.35+J263*0.35+L263*0.3)</f>
        <v/>
      </c>
      <c r="AC263">
        <f>(AB263-$AJ$15)/$AK$15</f>
        <v/>
      </c>
      <c r="AD263">
        <f>IF(AC263&gt;0.7,"High",IF(AC263&gt;0.3,"Moderate",IF(AC263&gt;0.15,"Low","No Impact")))</f>
        <v/>
      </c>
      <c r="AE263">
        <f>F263*(N263*1)*(H263*0.35+J263*0.35+L263*0.3)</f>
        <v/>
      </c>
      <c r="AF263">
        <f>(AE263-$AJ$16)/$AK$16</f>
        <v/>
      </c>
      <c r="AG263">
        <f>IF(AF263&gt;0.7,"High",IF(AF263&gt;0.3,"Moderate",IF(AF263&gt;0.15,"Low","No Impact")))</f>
        <v/>
      </c>
    </row>
    <row r="264">
      <c r="A264" t="n">
        <v>308614</v>
      </c>
      <c r="B264" t="inlineStr">
        <is>
          <t>BD308614</t>
        </is>
      </c>
      <c r="C264" t="inlineStr">
        <is>
          <t>Shariatpur</t>
        </is>
      </c>
      <c r="D264" t="inlineStr">
        <is>
          <t>Bhedarganj</t>
        </is>
      </c>
      <c r="E264" s="3" t="n">
        <v>6.5</v>
      </c>
      <c r="F264" s="4">
        <f>(E264-$AJ$5)/$AK$5</f>
        <v/>
      </c>
      <c r="G264" t="n">
        <v>75.5585676</v>
      </c>
      <c r="H264">
        <f>(G264-$AJ$6)/$AK$6</f>
        <v/>
      </c>
      <c r="I264" t="n">
        <v>13.9</v>
      </c>
      <c r="J264" s="4">
        <f>(I264-$AJ$7)/$AK$7</f>
        <v/>
      </c>
      <c r="K264" t="n">
        <v>0</v>
      </c>
      <c r="L264" s="4">
        <f>(K264-$AJ$8)/$AK$8</f>
        <v/>
      </c>
      <c r="M264" t="n">
        <v>19841</v>
      </c>
      <c r="N264">
        <f>(M264-$AJ$9)/$AK$9</f>
        <v/>
      </c>
      <c r="O264" t="n">
        <v>0.286890727</v>
      </c>
      <c r="P264">
        <f>(O264-$AJ$11)/$AK$11</f>
        <v/>
      </c>
      <c r="Q264" t="n">
        <v>0.2636</v>
      </c>
      <c r="R264">
        <f>(Q264-$AJ$12)/$AK$12</f>
        <v/>
      </c>
      <c r="S264">
        <f>F264*(R264*0.5+P264*0.5)*(H264*0.35+J264*0.35+L264*0.3)</f>
        <v/>
      </c>
      <c r="T264" s="14">
        <f>(S264-$AJ$10)/$AK$10</f>
        <v/>
      </c>
      <c r="U264">
        <f>IF(T264&gt;0.7,"High",IF(T264&gt;0.3,"Moderate",IF(T264&gt;0.15,"Low","No Impact")))</f>
        <v/>
      </c>
      <c r="V264">
        <f>F264*(R264*1)*(H264*0.35+J264*0.35+L264*0.3)</f>
        <v/>
      </c>
      <c r="W264">
        <f>(V264-$AJ$13)/$AK$13</f>
        <v/>
      </c>
      <c r="X264">
        <f>IF(W264&gt;0.7,"High",IF(W264&gt;0.3,"Moderate",IF(W264&gt;0.15,"Low","No Impact")))</f>
        <v/>
      </c>
      <c r="Y264">
        <f>F264*(P264*1)*(H264*0.35+J264*0.35+L264*0.3)</f>
        <v/>
      </c>
      <c r="Z264">
        <f>(Y264-$AJ$14)/$AK$14</f>
        <v/>
      </c>
      <c r="AA264">
        <f>IF(Z264&gt;0.7,"High",IF(Z264&gt;0.3,"Moderate",IF(Z264&gt;0.15,"Low","No Impact")))</f>
        <v/>
      </c>
      <c r="AB264">
        <f>F264*(R264*0.35+P264*0.3+N264*0.35)*(H264*0.35+J264*0.35+L264*0.3)</f>
        <v/>
      </c>
      <c r="AC264">
        <f>(AB264-$AJ$15)/$AK$15</f>
        <v/>
      </c>
      <c r="AD264">
        <f>IF(AC264&gt;0.7,"High",IF(AC264&gt;0.3,"Moderate",IF(AC264&gt;0.15,"Low","No Impact")))</f>
        <v/>
      </c>
      <c r="AE264">
        <f>F264*(N264*1)*(H264*0.35+J264*0.35+L264*0.3)</f>
        <v/>
      </c>
      <c r="AF264">
        <f>(AE264-$AJ$16)/$AK$16</f>
        <v/>
      </c>
      <c r="AG264">
        <f>IF(AF264&gt;0.7,"High",IF(AF264&gt;0.3,"Moderate",IF(AF264&gt;0.15,"Low","No Impact")))</f>
        <v/>
      </c>
    </row>
    <row r="265">
      <c r="A265" t="n">
        <v>308625</v>
      </c>
      <c r="B265" t="inlineStr">
        <is>
          <t>BD308625</t>
        </is>
      </c>
      <c r="C265" t="inlineStr">
        <is>
          <t>Shariatpur</t>
        </is>
      </c>
      <c r="D265" t="inlineStr">
        <is>
          <t>Damudya</t>
        </is>
      </c>
      <c r="E265" s="3" t="n">
        <v>6.5</v>
      </c>
      <c r="F265" s="4">
        <f>(E265-$AJ$5)/$AK$5</f>
        <v/>
      </c>
      <c r="G265" t="n">
        <v>88.15505040000001</v>
      </c>
      <c r="H265">
        <f>(G265-$AJ$6)/$AK$6</f>
        <v/>
      </c>
      <c r="I265" t="n">
        <v>21.5</v>
      </c>
      <c r="J265" s="4">
        <f>(I265-$AJ$7)/$AK$7</f>
        <v/>
      </c>
      <c r="K265" t="n">
        <v>0</v>
      </c>
      <c r="L265" s="4">
        <f>(K265-$AJ$8)/$AK$8</f>
        <v/>
      </c>
      <c r="M265" t="n">
        <v>5388</v>
      </c>
      <c r="N265">
        <f>(M265-$AJ$9)/$AK$9</f>
        <v/>
      </c>
      <c r="O265" t="n">
        <v>0.414560117</v>
      </c>
      <c r="P265">
        <f>(O265-$AJ$11)/$AK$11</f>
        <v/>
      </c>
      <c r="Q265" t="n">
        <v>0.2904</v>
      </c>
      <c r="R265">
        <f>(Q265-$AJ$12)/$AK$12</f>
        <v/>
      </c>
      <c r="S265">
        <f>F265*(R265*0.5+P265*0.5)*(H265*0.35+J265*0.35+L265*0.3)</f>
        <v/>
      </c>
      <c r="T265" s="14">
        <f>(S265-$AJ$10)/$AK$10</f>
        <v/>
      </c>
      <c r="U265">
        <f>IF(T265&gt;0.7,"High",IF(T265&gt;0.3,"Moderate",IF(T265&gt;0.15,"Low","No Impact")))</f>
        <v/>
      </c>
      <c r="V265">
        <f>F265*(R265*1)*(H265*0.35+J265*0.35+L265*0.3)</f>
        <v/>
      </c>
      <c r="W265">
        <f>(V265-$AJ$13)/$AK$13</f>
        <v/>
      </c>
      <c r="X265">
        <f>IF(W265&gt;0.7,"High",IF(W265&gt;0.3,"Moderate",IF(W265&gt;0.15,"Low","No Impact")))</f>
        <v/>
      </c>
      <c r="Y265">
        <f>F265*(P265*1)*(H265*0.35+J265*0.35+L265*0.3)</f>
        <v/>
      </c>
      <c r="Z265">
        <f>(Y265-$AJ$14)/$AK$14</f>
        <v/>
      </c>
      <c r="AA265">
        <f>IF(Z265&gt;0.7,"High",IF(Z265&gt;0.3,"Moderate",IF(Z265&gt;0.15,"Low","No Impact")))</f>
        <v/>
      </c>
      <c r="AB265">
        <f>F265*(R265*0.35+P265*0.3+N265*0.35)*(H265*0.35+J265*0.35+L265*0.3)</f>
        <v/>
      </c>
      <c r="AC265">
        <f>(AB265-$AJ$15)/$AK$15</f>
        <v/>
      </c>
      <c r="AD265">
        <f>IF(AC265&gt;0.7,"High",IF(AC265&gt;0.3,"Moderate",IF(AC265&gt;0.15,"Low","No Impact")))</f>
        <v/>
      </c>
      <c r="AE265">
        <f>F265*(N265*1)*(H265*0.35+J265*0.35+L265*0.3)</f>
        <v/>
      </c>
      <c r="AF265">
        <f>(AE265-$AJ$16)/$AK$16</f>
        <v/>
      </c>
      <c r="AG265">
        <f>IF(AF265&gt;0.7,"High",IF(AF265&gt;0.3,"Moderate",IF(AF265&gt;0.15,"Low","No Impact")))</f>
        <v/>
      </c>
    </row>
    <row r="266">
      <c r="A266" t="n">
        <v>308636</v>
      </c>
      <c r="B266" t="inlineStr">
        <is>
          <t>BD308636</t>
        </is>
      </c>
      <c r="C266" t="inlineStr">
        <is>
          <t>Shariatpur</t>
        </is>
      </c>
      <c r="D266" t="inlineStr">
        <is>
          <t>Gosairhat</t>
        </is>
      </c>
      <c r="E266" s="3" t="n">
        <v>6.4</v>
      </c>
      <c r="F266" s="4">
        <f>(E266-$AJ$5)/$AK$5</f>
        <v/>
      </c>
      <c r="G266" t="n">
        <v>88.15505040000001</v>
      </c>
      <c r="H266">
        <f>(G266-$AJ$6)/$AK$6</f>
        <v/>
      </c>
      <c r="I266" t="n">
        <v>21.7</v>
      </c>
      <c r="J266" s="4">
        <f>(I266-$AJ$7)/$AK$7</f>
        <v/>
      </c>
      <c r="K266" t="n">
        <v>0</v>
      </c>
      <c r="L266" s="4">
        <f>(K266-$AJ$8)/$AK$8</f>
        <v/>
      </c>
      <c r="M266" t="n">
        <v>3568</v>
      </c>
      <c r="N266">
        <f>(M266-$AJ$9)/$AK$9</f>
        <v/>
      </c>
      <c r="O266" t="n">
        <v>0.444142295</v>
      </c>
      <c r="P266">
        <f>(O266-$AJ$11)/$AK$11</f>
        <v/>
      </c>
      <c r="Q266" t="n">
        <v>0.2777</v>
      </c>
      <c r="R266">
        <f>(Q266-$AJ$12)/$AK$12</f>
        <v/>
      </c>
      <c r="S266">
        <f>F266*(R266*0.5+P266*0.5)*(H266*0.35+J266*0.35+L266*0.3)</f>
        <v/>
      </c>
      <c r="T266" s="14">
        <f>(S266-$AJ$10)/$AK$10</f>
        <v/>
      </c>
      <c r="U266">
        <f>IF(T266&gt;0.7,"High",IF(T266&gt;0.3,"Moderate",IF(T266&gt;0.15,"Low","No Impact")))</f>
        <v/>
      </c>
      <c r="V266">
        <f>F266*(R266*1)*(H266*0.35+J266*0.35+L266*0.3)</f>
        <v/>
      </c>
      <c r="W266">
        <f>(V266-$AJ$13)/$AK$13</f>
        <v/>
      </c>
      <c r="X266">
        <f>IF(W266&gt;0.7,"High",IF(W266&gt;0.3,"Moderate",IF(W266&gt;0.15,"Low","No Impact")))</f>
        <v/>
      </c>
      <c r="Y266">
        <f>F266*(P266*1)*(H266*0.35+J266*0.35+L266*0.3)</f>
        <v/>
      </c>
      <c r="Z266">
        <f>(Y266-$AJ$14)/$AK$14</f>
        <v/>
      </c>
      <c r="AA266">
        <f>IF(Z266&gt;0.7,"High",IF(Z266&gt;0.3,"Moderate",IF(Z266&gt;0.15,"Low","No Impact")))</f>
        <v/>
      </c>
      <c r="AB266">
        <f>F266*(R266*0.35+P266*0.3+N266*0.35)*(H266*0.35+J266*0.35+L266*0.3)</f>
        <v/>
      </c>
      <c r="AC266">
        <f>(AB266-$AJ$15)/$AK$15</f>
        <v/>
      </c>
      <c r="AD266">
        <f>IF(AC266&gt;0.7,"High",IF(AC266&gt;0.3,"Moderate",IF(AC266&gt;0.15,"Low","No Impact")))</f>
        <v/>
      </c>
      <c r="AE266">
        <f>F266*(N266*1)*(H266*0.35+J266*0.35+L266*0.3)</f>
        <v/>
      </c>
      <c r="AF266">
        <f>(AE266-$AJ$16)/$AK$16</f>
        <v/>
      </c>
      <c r="AG266">
        <f>IF(AF266&gt;0.7,"High",IF(AF266&gt;0.3,"Moderate",IF(AF266&gt;0.15,"Low","No Impact")))</f>
        <v/>
      </c>
    </row>
    <row r="267">
      <c r="A267" t="n">
        <v>308665</v>
      </c>
      <c r="B267" t="inlineStr">
        <is>
          <t>BD308665</t>
        </is>
      </c>
      <c r="C267" t="inlineStr">
        <is>
          <t>Shariatpur</t>
        </is>
      </c>
      <c r="D267" t="inlineStr">
        <is>
          <t>Naria</t>
        </is>
      </c>
      <c r="E267" s="3" t="n">
        <v>6.5</v>
      </c>
      <c r="F267" s="4">
        <f>(E267-$AJ$5)/$AK$5</f>
        <v/>
      </c>
      <c r="G267" t="n">
        <v>81.6687252</v>
      </c>
      <c r="H267">
        <f>(G267-$AJ$6)/$AK$6</f>
        <v/>
      </c>
      <c r="I267" t="n">
        <v>16.2</v>
      </c>
      <c r="J267" s="4">
        <f>(I267-$AJ$7)/$AK$7</f>
        <v/>
      </c>
      <c r="K267" t="n">
        <v>0</v>
      </c>
      <c r="L267" s="4">
        <f>(K267-$AJ$8)/$AK$8</f>
        <v/>
      </c>
      <c r="M267" t="n">
        <v>22687</v>
      </c>
      <c r="N267">
        <f>(M267-$AJ$9)/$AK$9</f>
        <v/>
      </c>
      <c r="O267" t="n">
        <v>0.499660446</v>
      </c>
      <c r="P267">
        <f>(O267-$AJ$11)/$AK$11</f>
        <v/>
      </c>
      <c r="Q267" t="n">
        <v>0.2809</v>
      </c>
      <c r="R267">
        <f>(Q267-$AJ$12)/$AK$12</f>
        <v/>
      </c>
      <c r="S267">
        <f>F267*(R267*0.5+P267*0.5)*(H267*0.35+J267*0.35+L267*0.3)</f>
        <v/>
      </c>
      <c r="T267" s="14">
        <f>(S267-$AJ$10)/$AK$10</f>
        <v/>
      </c>
      <c r="U267">
        <f>IF(T267&gt;0.7,"High",IF(T267&gt;0.3,"Moderate",IF(T267&gt;0.15,"Low","No Impact")))</f>
        <v/>
      </c>
      <c r="V267">
        <f>F267*(R267*1)*(H267*0.35+J267*0.35+L267*0.3)</f>
        <v/>
      </c>
      <c r="W267">
        <f>(V267-$AJ$13)/$AK$13</f>
        <v/>
      </c>
      <c r="X267">
        <f>IF(W267&gt;0.7,"High",IF(W267&gt;0.3,"Moderate",IF(W267&gt;0.15,"Low","No Impact")))</f>
        <v/>
      </c>
      <c r="Y267">
        <f>F267*(P267*1)*(H267*0.35+J267*0.35+L267*0.3)</f>
        <v/>
      </c>
      <c r="Z267">
        <f>(Y267-$AJ$14)/$AK$14</f>
        <v/>
      </c>
      <c r="AA267">
        <f>IF(Z267&gt;0.7,"High",IF(Z267&gt;0.3,"Moderate",IF(Z267&gt;0.15,"Low","No Impact")))</f>
        <v/>
      </c>
      <c r="AB267">
        <f>F267*(R267*0.35+P267*0.3+N267*0.35)*(H267*0.35+J267*0.35+L267*0.3)</f>
        <v/>
      </c>
      <c r="AC267">
        <f>(AB267-$AJ$15)/$AK$15</f>
        <v/>
      </c>
      <c r="AD267">
        <f>IF(AC267&gt;0.7,"High",IF(AC267&gt;0.3,"Moderate",IF(AC267&gt;0.15,"Low","No Impact")))</f>
        <v/>
      </c>
      <c r="AE267">
        <f>F267*(N267*1)*(H267*0.35+J267*0.35+L267*0.3)</f>
        <v/>
      </c>
      <c r="AF267">
        <f>(AE267-$AJ$16)/$AK$16</f>
        <v/>
      </c>
      <c r="AG267">
        <f>IF(AF267&gt;0.7,"High",IF(AF267&gt;0.3,"Moderate",IF(AF267&gt;0.15,"Low","No Impact")))</f>
        <v/>
      </c>
    </row>
    <row r="268">
      <c r="A268" t="n">
        <v>308669</v>
      </c>
      <c r="B268" t="inlineStr">
        <is>
          <t>BD308669</t>
        </is>
      </c>
      <c r="C268" t="inlineStr">
        <is>
          <t>Shariatpur</t>
        </is>
      </c>
      <c r="D268" t="inlineStr">
        <is>
          <t>Shariatpur Sadar</t>
        </is>
      </c>
      <c r="E268" s="3" t="n">
        <v>6.4</v>
      </c>
      <c r="F268" s="4">
        <f>(E268-$AJ$5)/$AK$5</f>
        <v/>
      </c>
      <c r="G268" t="n">
        <v>81.6687252</v>
      </c>
      <c r="H268">
        <f>(G268-$AJ$6)/$AK$6</f>
        <v/>
      </c>
      <c r="I268" t="n">
        <v>19.3</v>
      </c>
      <c r="J268" s="4">
        <f>(I268-$AJ$7)/$AK$7</f>
        <v/>
      </c>
      <c r="K268" t="n">
        <v>0</v>
      </c>
      <c r="L268" s="4">
        <f>(K268-$AJ$8)/$AK$8</f>
        <v/>
      </c>
      <c r="M268" t="n">
        <v>23823</v>
      </c>
      <c r="N268">
        <f>(M268-$AJ$9)/$AK$9</f>
        <v/>
      </c>
      <c r="O268" t="n">
        <v>0.5388761989999999</v>
      </c>
      <c r="P268">
        <f>(O268-$AJ$11)/$AK$11</f>
        <v/>
      </c>
      <c r="Q268" t="n">
        <v>0.3207</v>
      </c>
      <c r="R268">
        <f>(Q268-$AJ$12)/$AK$12</f>
        <v/>
      </c>
      <c r="S268">
        <f>F268*(R268*0.5+P268*0.5)*(H268*0.35+J268*0.35+L268*0.3)</f>
        <v/>
      </c>
      <c r="T268" s="14">
        <f>(S268-$AJ$10)/$AK$10</f>
        <v/>
      </c>
      <c r="U268">
        <f>IF(T268&gt;0.7,"High",IF(T268&gt;0.3,"Moderate",IF(T268&gt;0.15,"Low","No Impact")))</f>
        <v/>
      </c>
      <c r="V268">
        <f>F268*(R268*1)*(H268*0.35+J268*0.35+L268*0.3)</f>
        <v/>
      </c>
      <c r="W268">
        <f>(V268-$AJ$13)/$AK$13</f>
        <v/>
      </c>
      <c r="X268">
        <f>IF(W268&gt;0.7,"High",IF(W268&gt;0.3,"Moderate",IF(W268&gt;0.15,"Low","No Impact")))</f>
        <v/>
      </c>
      <c r="Y268">
        <f>F268*(P268*1)*(H268*0.35+J268*0.35+L268*0.3)</f>
        <v/>
      </c>
      <c r="Z268">
        <f>(Y268-$AJ$14)/$AK$14</f>
        <v/>
      </c>
      <c r="AA268">
        <f>IF(Z268&gt;0.7,"High",IF(Z268&gt;0.3,"Moderate",IF(Z268&gt;0.15,"Low","No Impact")))</f>
        <v/>
      </c>
      <c r="AB268">
        <f>F268*(R268*0.35+P268*0.3+N268*0.35)*(H268*0.35+J268*0.35+L268*0.3)</f>
        <v/>
      </c>
      <c r="AC268">
        <f>(AB268-$AJ$15)/$AK$15</f>
        <v/>
      </c>
      <c r="AD268">
        <f>IF(AC268&gt;0.7,"High",IF(AC268&gt;0.3,"Moderate",IF(AC268&gt;0.15,"Low","No Impact")))</f>
        <v/>
      </c>
      <c r="AE268">
        <f>F268*(N268*1)*(H268*0.35+J268*0.35+L268*0.3)</f>
        <v/>
      </c>
      <c r="AF268">
        <f>(AE268-$AJ$16)/$AK$16</f>
        <v/>
      </c>
      <c r="AG268">
        <f>IF(AF268&gt;0.7,"High",IF(AF268&gt;0.3,"Moderate",IF(AF268&gt;0.15,"Low","No Impact")))</f>
        <v/>
      </c>
    </row>
    <row r="269">
      <c r="A269" t="n">
        <v>308694</v>
      </c>
      <c r="B269" t="inlineStr">
        <is>
          <t>BD308694</t>
        </is>
      </c>
      <c r="C269" t="inlineStr">
        <is>
          <t>Shariatpur</t>
        </is>
      </c>
      <c r="D269" t="inlineStr">
        <is>
          <t>Zanjira</t>
        </is>
      </c>
      <c r="E269" s="3" t="n">
        <v>6.4</v>
      </c>
      <c r="F269" s="4">
        <f>(E269-$AJ$5)/$AK$5</f>
        <v/>
      </c>
      <c r="G269" t="n">
        <v>81.6687252</v>
      </c>
      <c r="H269">
        <f>(G269-$AJ$6)/$AK$6</f>
        <v/>
      </c>
      <c r="I269" t="n">
        <v>15.8</v>
      </c>
      <c r="J269" s="4">
        <f>(I269-$AJ$7)/$AK$7</f>
        <v/>
      </c>
      <c r="K269" t="n">
        <v>0</v>
      </c>
      <c r="L269" s="4">
        <f>(K269-$AJ$8)/$AK$8</f>
        <v/>
      </c>
      <c r="M269" t="n">
        <v>35519</v>
      </c>
      <c r="N269">
        <f>(M269-$AJ$9)/$AK$9</f>
        <v/>
      </c>
      <c r="O269" t="n">
        <v>0.482092462</v>
      </c>
      <c r="P269">
        <f>(O269-$AJ$11)/$AK$11</f>
        <v/>
      </c>
      <c r="Q269" t="n">
        <v>0.2695</v>
      </c>
      <c r="R269">
        <f>(Q269-$AJ$12)/$AK$12</f>
        <v/>
      </c>
      <c r="S269">
        <f>F269*(R269*0.5+P269*0.5)*(H269*0.35+J269*0.35+L269*0.3)</f>
        <v/>
      </c>
      <c r="T269" s="14">
        <f>(S269-$AJ$10)/$AK$10</f>
        <v/>
      </c>
      <c r="U269">
        <f>IF(T269&gt;0.7,"High",IF(T269&gt;0.3,"Moderate",IF(T269&gt;0.15,"Low","No Impact")))</f>
        <v/>
      </c>
      <c r="V269">
        <f>F269*(R269*1)*(H269*0.35+J269*0.35+L269*0.3)</f>
        <v/>
      </c>
      <c r="W269">
        <f>(V269-$AJ$13)/$AK$13</f>
        <v/>
      </c>
      <c r="X269">
        <f>IF(W269&gt;0.7,"High",IF(W269&gt;0.3,"Moderate",IF(W269&gt;0.15,"Low","No Impact")))</f>
        <v/>
      </c>
      <c r="Y269">
        <f>F269*(P269*1)*(H269*0.35+J269*0.35+L269*0.3)</f>
        <v/>
      </c>
      <c r="Z269">
        <f>(Y269-$AJ$14)/$AK$14</f>
        <v/>
      </c>
      <c r="AA269">
        <f>IF(Z269&gt;0.7,"High",IF(Z269&gt;0.3,"Moderate",IF(Z269&gt;0.15,"Low","No Impact")))</f>
        <v/>
      </c>
      <c r="AB269">
        <f>F269*(R269*0.35+P269*0.3+N269*0.35)*(H269*0.35+J269*0.35+L269*0.3)</f>
        <v/>
      </c>
      <c r="AC269">
        <f>(AB269-$AJ$15)/$AK$15</f>
        <v/>
      </c>
      <c r="AD269">
        <f>IF(AC269&gt;0.7,"High",IF(AC269&gt;0.3,"Moderate",IF(AC269&gt;0.15,"Low","No Impact")))</f>
        <v/>
      </c>
      <c r="AE269">
        <f>F269*(N269*1)*(H269*0.35+J269*0.35+L269*0.3)</f>
        <v/>
      </c>
      <c r="AF269">
        <f>(AE269-$AJ$16)/$AK$16</f>
        <v/>
      </c>
      <c r="AG269">
        <f>IF(AF269&gt;0.7,"High",IF(AF269&gt;0.3,"Moderate",IF(AF269&gt;0.15,"Low","No Impact")))</f>
        <v/>
      </c>
    </row>
    <row r="270">
      <c r="A270" t="n">
        <v>309309</v>
      </c>
      <c r="B270" t="inlineStr">
        <is>
          <t>BD309309</t>
        </is>
      </c>
      <c r="C270" t="inlineStr">
        <is>
          <t>Tangail</t>
        </is>
      </c>
      <c r="D270" t="inlineStr">
        <is>
          <t>Basail</t>
        </is>
      </c>
      <c r="E270" s="3" t="n">
        <v>5.9</v>
      </c>
      <c r="F270" s="4">
        <f>(E270-$AJ$5)/$AK$5</f>
        <v/>
      </c>
      <c r="G270" t="n">
        <v>59.671458</v>
      </c>
      <c r="H270">
        <f>(G270-$AJ$6)/$AK$6</f>
        <v/>
      </c>
      <c r="I270" t="n">
        <v>0.9000000000000002</v>
      </c>
      <c r="J270" s="4">
        <f>(I270-$AJ$7)/$AK$7</f>
        <v/>
      </c>
      <c r="K270" t="n">
        <v>0</v>
      </c>
      <c r="L270" s="4">
        <f>(K270-$AJ$8)/$AK$8</f>
        <v/>
      </c>
      <c r="M270" t="n">
        <v>14864</v>
      </c>
      <c r="N270">
        <f>(M270-$AJ$9)/$AK$9</f>
        <v/>
      </c>
      <c r="O270" t="n">
        <v>0.517675821</v>
      </c>
      <c r="P270">
        <f>(O270-$AJ$11)/$AK$11</f>
        <v/>
      </c>
      <c r="Q270" t="n">
        <v>0.2274</v>
      </c>
      <c r="R270">
        <f>(Q270-$AJ$12)/$AK$12</f>
        <v/>
      </c>
      <c r="S270">
        <f>F270*(R270*0.5+P270*0.5)*(H270*0.35+J270*0.35+L270*0.3)</f>
        <v/>
      </c>
      <c r="T270" s="14">
        <f>(S270-$AJ$10)/$AK$10</f>
        <v/>
      </c>
      <c r="U270">
        <f>IF(T270&gt;0.7,"High",IF(T270&gt;0.3,"Moderate",IF(T270&gt;0.15,"Low","No Impact")))</f>
        <v/>
      </c>
      <c r="V270">
        <f>F270*(R270*1)*(H270*0.35+J270*0.35+L270*0.3)</f>
        <v/>
      </c>
      <c r="W270">
        <f>(V270-$AJ$13)/$AK$13</f>
        <v/>
      </c>
      <c r="X270">
        <f>IF(W270&gt;0.7,"High",IF(W270&gt;0.3,"Moderate",IF(W270&gt;0.15,"Low","No Impact")))</f>
        <v/>
      </c>
      <c r="Y270">
        <f>F270*(P270*1)*(H270*0.35+J270*0.35+L270*0.3)</f>
        <v/>
      </c>
      <c r="Z270">
        <f>(Y270-$AJ$14)/$AK$14</f>
        <v/>
      </c>
      <c r="AA270">
        <f>IF(Z270&gt;0.7,"High",IF(Z270&gt;0.3,"Moderate",IF(Z270&gt;0.15,"Low","No Impact")))</f>
        <v/>
      </c>
      <c r="AB270">
        <f>F270*(R270*0.35+P270*0.3+N270*0.35)*(H270*0.35+J270*0.35+L270*0.3)</f>
        <v/>
      </c>
      <c r="AC270">
        <f>(AB270-$AJ$15)/$AK$15</f>
        <v/>
      </c>
      <c r="AD270">
        <f>IF(AC270&gt;0.7,"High",IF(AC270&gt;0.3,"Moderate",IF(AC270&gt;0.15,"Low","No Impact")))</f>
        <v/>
      </c>
      <c r="AE270">
        <f>F270*(N270*1)*(H270*0.35+J270*0.35+L270*0.3)</f>
        <v/>
      </c>
      <c r="AF270">
        <f>(AE270-$AJ$16)/$AK$16</f>
        <v/>
      </c>
      <c r="AG270">
        <f>IF(AF270&gt;0.7,"High",IF(AF270&gt;0.3,"Moderate",IF(AF270&gt;0.15,"Low","No Impact")))</f>
        <v/>
      </c>
    </row>
    <row r="271">
      <c r="A271" t="n">
        <v>309319</v>
      </c>
      <c r="B271" t="inlineStr">
        <is>
          <t>BD309319</t>
        </is>
      </c>
      <c r="C271" t="inlineStr">
        <is>
          <t>Tangail</t>
        </is>
      </c>
      <c r="D271" t="inlineStr">
        <is>
          <t>Bhuapur</t>
        </is>
      </c>
      <c r="E271" s="3" t="n">
        <v>5.9</v>
      </c>
      <c r="F271" s="4">
        <f>(E271-$AJ$5)/$AK$5</f>
        <v/>
      </c>
      <c r="G271" t="n">
        <v>52.5874716</v>
      </c>
      <c r="H271">
        <f>(G271-$AJ$6)/$AK$6</f>
        <v/>
      </c>
      <c r="I271" t="n">
        <v>0</v>
      </c>
      <c r="J271" s="4">
        <f>(I271-$AJ$7)/$AK$7</f>
        <v/>
      </c>
      <c r="K271" t="n">
        <v>0</v>
      </c>
      <c r="L271" s="4">
        <f>(K271-$AJ$8)/$AK$8</f>
        <v/>
      </c>
      <c r="M271" t="n">
        <v>8293</v>
      </c>
      <c r="N271">
        <f>(M271-$AJ$9)/$AK$9</f>
        <v/>
      </c>
      <c r="O271" t="n">
        <v>0.450001205</v>
      </c>
      <c r="P271">
        <f>(O271-$AJ$11)/$AK$11</f>
        <v/>
      </c>
      <c r="Q271" t="n">
        <v>0.1828</v>
      </c>
      <c r="R271">
        <f>(Q271-$AJ$12)/$AK$12</f>
        <v/>
      </c>
      <c r="S271">
        <f>F271*(R271*0.5+P271*0.5)*(H271*0.35+J271*0.35+L271*0.3)</f>
        <v/>
      </c>
      <c r="T271" s="14">
        <f>(S271-$AJ$10)/$AK$10</f>
        <v/>
      </c>
      <c r="U271">
        <f>IF(T271&gt;0.7,"High",IF(T271&gt;0.3,"Moderate",IF(T271&gt;0.15,"Low","No Impact")))</f>
        <v/>
      </c>
      <c r="V271">
        <f>F271*(R271*1)*(H271*0.35+J271*0.35+L271*0.3)</f>
        <v/>
      </c>
      <c r="W271">
        <f>(V271-$AJ$13)/$AK$13</f>
        <v/>
      </c>
      <c r="X271">
        <f>IF(W271&gt;0.7,"High",IF(W271&gt;0.3,"Moderate",IF(W271&gt;0.15,"Low","No Impact")))</f>
        <v/>
      </c>
      <c r="Y271">
        <f>F271*(P271*1)*(H271*0.35+J271*0.35+L271*0.3)</f>
        <v/>
      </c>
      <c r="Z271">
        <f>(Y271-$AJ$14)/$AK$14</f>
        <v/>
      </c>
      <c r="AA271">
        <f>IF(Z271&gt;0.7,"High",IF(Z271&gt;0.3,"Moderate",IF(Z271&gt;0.15,"Low","No Impact")))</f>
        <v/>
      </c>
      <c r="AB271">
        <f>F271*(R271*0.35+P271*0.3+N271*0.35)*(H271*0.35+J271*0.35+L271*0.3)</f>
        <v/>
      </c>
      <c r="AC271">
        <f>(AB271-$AJ$15)/$AK$15</f>
        <v/>
      </c>
      <c r="AD271">
        <f>IF(AC271&gt;0.7,"High",IF(AC271&gt;0.3,"Moderate",IF(AC271&gt;0.15,"Low","No Impact")))</f>
        <v/>
      </c>
      <c r="AE271">
        <f>F271*(N271*1)*(H271*0.35+J271*0.35+L271*0.3)</f>
        <v/>
      </c>
      <c r="AF271">
        <f>(AE271-$AJ$16)/$AK$16</f>
        <v/>
      </c>
      <c r="AG271">
        <f>IF(AF271&gt;0.7,"High",IF(AF271&gt;0.3,"Moderate",IF(AF271&gt;0.15,"Low","No Impact")))</f>
        <v/>
      </c>
    </row>
    <row r="272">
      <c r="A272" t="n">
        <v>309323</v>
      </c>
      <c r="B272" t="inlineStr">
        <is>
          <t>BD309323</t>
        </is>
      </c>
      <c r="C272" t="inlineStr">
        <is>
          <t>Tangail</t>
        </is>
      </c>
      <c r="D272" t="inlineStr">
        <is>
          <t>Delduar</t>
        </is>
      </c>
      <c r="E272" s="3" t="n">
        <v>5.9</v>
      </c>
      <c r="F272" s="4">
        <f>(E272-$AJ$5)/$AK$5</f>
        <v/>
      </c>
      <c r="G272" t="n">
        <v>72.440208</v>
      </c>
      <c r="H272">
        <f>(G272-$AJ$6)/$AK$6</f>
        <v/>
      </c>
      <c r="I272" t="n">
        <v>3.1</v>
      </c>
      <c r="J272" s="4">
        <f>(I272-$AJ$7)/$AK$7</f>
        <v/>
      </c>
      <c r="K272" t="n">
        <v>0</v>
      </c>
      <c r="L272" s="4">
        <f>(K272-$AJ$8)/$AK$8</f>
        <v/>
      </c>
      <c r="M272" t="n">
        <v>27551</v>
      </c>
      <c r="N272">
        <f>(M272-$AJ$9)/$AK$9</f>
        <v/>
      </c>
      <c r="O272" t="n">
        <v>0.808077547</v>
      </c>
      <c r="P272">
        <f>(O272-$AJ$11)/$AK$11</f>
        <v/>
      </c>
      <c r="Q272" t="n">
        <v>0.256</v>
      </c>
      <c r="R272">
        <f>(Q272-$AJ$12)/$AK$12</f>
        <v/>
      </c>
      <c r="S272">
        <f>F272*(R272*0.5+P272*0.5)*(H272*0.35+J272*0.35+L272*0.3)</f>
        <v/>
      </c>
      <c r="T272" s="14">
        <f>(S272-$AJ$10)/$AK$10</f>
        <v/>
      </c>
      <c r="U272">
        <f>IF(T272&gt;0.7,"High",IF(T272&gt;0.3,"Moderate",IF(T272&gt;0.15,"Low","No Impact")))</f>
        <v/>
      </c>
      <c r="V272">
        <f>F272*(R272*1)*(H272*0.35+J272*0.35+L272*0.3)</f>
        <v/>
      </c>
      <c r="W272">
        <f>(V272-$AJ$13)/$AK$13</f>
        <v/>
      </c>
      <c r="X272">
        <f>IF(W272&gt;0.7,"High",IF(W272&gt;0.3,"Moderate",IF(W272&gt;0.15,"Low","No Impact")))</f>
        <v/>
      </c>
      <c r="Y272">
        <f>F272*(P272*1)*(H272*0.35+J272*0.35+L272*0.3)</f>
        <v/>
      </c>
      <c r="Z272">
        <f>(Y272-$AJ$14)/$AK$14</f>
        <v/>
      </c>
      <c r="AA272">
        <f>IF(Z272&gt;0.7,"High",IF(Z272&gt;0.3,"Moderate",IF(Z272&gt;0.15,"Low","No Impact")))</f>
        <v/>
      </c>
      <c r="AB272">
        <f>F272*(R272*0.35+P272*0.3+N272*0.35)*(H272*0.35+J272*0.35+L272*0.3)</f>
        <v/>
      </c>
      <c r="AC272">
        <f>(AB272-$AJ$15)/$AK$15</f>
        <v/>
      </c>
      <c r="AD272">
        <f>IF(AC272&gt;0.7,"High",IF(AC272&gt;0.3,"Moderate",IF(AC272&gt;0.15,"Low","No Impact")))</f>
        <v/>
      </c>
      <c r="AE272">
        <f>F272*(N272*1)*(H272*0.35+J272*0.35+L272*0.3)</f>
        <v/>
      </c>
      <c r="AF272">
        <f>(AE272-$AJ$16)/$AK$16</f>
        <v/>
      </c>
      <c r="AG272">
        <f>IF(AF272&gt;0.7,"High",IF(AF272&gt;0.3,"Moderate",IF(AF272&gt;0.15,"Low","No Impact")))</f>
        <v/>
      </c>
    </row>
    <row r="273">
      <c r="A273" t="n">
        <v>309325</v>
      </c>
      <c r="B273" t="inlineStr">
        <is>
          <t>BD309325</t>
        </is>
      </c>
      <c r="C273" t="inlineStr">
        <is>
          <t>Tangail</t>
        </is>
      </c>
      <c r="D273" t="inlineStr">
        <is>
          <t>Dhanbari</t>
        </is>
      </c>
      <c r="E273" s="3" t="n">
        <v>5</v>
      </c>
      <c r="F273" s="4">
        <f>(E273-$AJ$5)/$AK$5</f>
        <v/>
      </c>
      <c r="G273" t="n">
        <v>52.5874716</v>
      </c>
      <c r="H273">
        <f>(G273-$AJ$6)/$AK$6</f>
        <v/>
      </c>
      <c r="I273" t="n">
        <v>0</v>
      </c>
      <c r="J273" s="4">
        <f>(I273-$AJ$7)/$AK$7</f>
        <v/>
      </c>
      <c r="K273" t="n">
        <v>0</v>
      </c>
      <c r="L273" s="4">
        <f>(K273-$AJ$8)/$AK$8</f>
        <v/>
      </c>
      <c r="M273" t="n">
        <v>20219</v>
      </c>
      <c r="N273">
        <f>(M273-$AJ$9)/$AK$9</f>
        <v/>
      </c>
      <c r="O273" t="n">
        <v>0.473386557</v>
      </c>
      <c r="P273">
        <f>(O273-$AJ$11)/$AK$11</f>
        <v/>
      </c>
      <c r="Q273" t="n">
        <v>0.2432</v>
      </c>
      <c r="R273">
        <f>(Q273-$AJ$12)/$AK$12</f>
        <v/>
      </c>
      <c r="S273">
        <f>F273*(R273*0.5+P273*0.5)*(H273*0.35+J273*0.35+L273*0.3)</f>
        <v/>
      </c>
      <c r="T273" s="14">
        <f>(S273-$AJ$10)/$AK$10</f>
        <v/>
      </c>
      <c r="U273">
        <f>IF(T273&gt;0.7,"High",IF(T273&gt;0.3,"Moderate",IF(T273&gt;0.15,"Low","No Impact")))</f>
        <v/>
      </c>
      <c r="V273">
        <f>F273*(R273*1)*(H273*0.35+J273*0.35+L273*0.3)</f>
        <v/>
      </c>
      <c r="W273">
        <f>(V273-$AJ$13)/$AK$13</f>
        <v/>
      </c>
      <c r="X273">
        <f>IF(W273&gt;0.7,"High",IF(W273&gt;0.3,"Moderate",IF(W273&gt;0.15,"Low","No Impact")))</f>
        <v/>
      </c>
      <c r="Y273">
        <f>F273*(P273*1)*(H273*0.35+J273*0.35+L273*0.3)</f>
        <v/>
      </c>
      <c r="Z273">
        <f>(Y273-$AJ$14)/$AK$14</f>
        <v/>
      </c>
      <c r="AA273">
        <f>IF(Z273&gt;0.7,"High",IF(Z273&gt;0.3,"Moderate",IF(Z273&gt;0.15,"Low","No Impact")))</f>
        <v/>
      </c>
      <c r="AB273">
        <f>F273*(R273*0.35+P273*0.3+N273*0.35)*(H273*0.35+J273*0.35+L273*0.3)</f>
        <v/>
      </c>
      <c r="AC273">
        <f>(AB273-$AJ$15)/$AK$15</f>
        <v/>
      </c>
      <c r="AD273">
        <f>IF(AC273&gt;0.7,"High",IF(AC273&gt;0.3,"Moderate",IF(AC273&gt;0.15,"Low","No Impact")))</f>
        <v/>
      </c>
      <c r="AE273">
        <f>F273*(N273*1)*(H273*0.35+J273*0.35+L273*0.3)</f>
        <v/>
      </c>
      <c r="AF273">
        <f>(AE273-$AJ$16)/$AK$16</f>
        <v/>
      </c>
      <c r="AG273">
        <f>IF(AF273&gt;0.7,"High",IF(AF273&gt;0.3,"Moderate",IF(AF273&gt;0.15,"Low","No Impact")))</f>
        <v/>
      </c>
    </row>
    <row r="274">
      <c r="A274" t="n">
        <v>309328</v>
      </c>
      <c r="B274" t="inlineStr">
        <is>
          <t>BD309328</t>
        </is>
      </c>
      <c r="C274" t="inlineStr">
        <is>
          <t>Tangail</t>
        </is>
      </c>
      <c r="D274" t="inlineStr">
        <is>
          <t>Ghatail</t>
        </is>
      </c>
      <c r="E274" s="3" t="n">
        <v>5.9</v>
      </c>
      <c r="F274" s="4">
        <f>(E274-$AJ$5)/$AK$5</f>
        <v/>
      </c>
      <c r="G274" t="n">
        <v>52.5874716</v>
      </c>
      <c r="H274">
        <f>(G274-$AJ$6)/$AK$6</f>
        <v/>
      </c>
      <c r="I274" t="n">
        <v>0.09999999999999983</v>
      </c>
      <c r="J274" s="4">
        <f>(I274-$AJ$7)/$AK$7</f>
        <v/>
      </c>
      <c r="K274" t="n">
        <v>0</v>
      </c>
      <c r="L274" s="4">
        <f>(K274-$AJ$8)/$AK$8</f>
        <v/>
      </c>
      <c r="M274" t="n">
        <v>34950</v>
      </c>
      <c r="N274">
        <f>(M274-$AJ$9)/$AK$9</f>
        <v/>
      </c>
      <c r="O274" t="n">
        <v>0.645040286</v>
      </c>
      <c r="P274">
        <f>(O274-$AJ$11)/$AK$11</f>
        <v/>
      </c>
      <c r="Q274" t="n">
        <v>0.2533</v>
      </c>
      <c r="R274">
        <f>(Q274-$AJ$12)/$AK$12</f>
        <v/>
      </c>
      <c r="S274">
        <f>F274*(R274*0.5+P274*0.5)*(H274*0.35+J274*0.35+L274*0.3)</f>
        <v/>
      </c>
      <c r="T274" s="14">
        <f>(S274-$AJ$10)/$AK$10</f>
        <v/>
      </c>
      <c r="U274">
        <f>IF(T274&gt;0.7,"High",IF(T274&gt;0.3,"Moderate",IF(T274&gt;0.15,"Low","No Impact")))</f>
        <v/>
      </c>
      <c r="V274">
        <f>F274*(R274*1)*(H274*0.35+J274*0.35+L274*0.3)</f>
        <v/>
      </c>
      <c r="W274">
        <f>(V274-$AJ$13)/$AK$13</f>
        <v/>
      </c>
      <c r="X274">
        <f>IF(W274&gt;0.7,"High",IF(W274&gt;0.3,"Moderate",IF(W274&gt;0.15,"Low","No Impact")))</f>
        <v/>
      </c>
      <c r="Y274">
        <f>F274*(P274*1)*(H274*0.35+J274*0.35+L274*0.3)</f>
        <v/>
      </c>
      <c r="Z274">
        <f>(Y274-$AJ$14)/$AK$14</f>
        <v/>
      </c>
      <c r="AA274">
        <f>IF(Z274&gt;0.7,"High",IF(Z274&gt;0.3,"Moderate",IF(Z274&gt;0.15,"Low","No Impact")))</f>
        <v/>
      </c>
      <c r="AB274">
        <f>F274*(R274*0.35+P274*0.3+N274*0.35)*(H274*0.35+J274*0.35+L274*0.3)</f>
        <v/>
      </c>
      <c r="AC274">
        <f>(AB274-$AJ$15)/$AK$15</f>
        <v/>
      </c>
      <c r="AD274">
        <f>IF(AC274&gt;0.7,"High",IF(AC274&gt;0.3,"Moderate",IF(AC274&gt;0.15,"Low","No Impact")))</f>
        <v/>
      </c>
      <c r="AE274">
        <f>F274*(N274*1)*(H274*0.35+J274*0.35+L274*0.3)</f>
        <v/>
      </c>
      <c r="AF274">
        <f>(AE274-$AJ$16)/$AK$16</f>
        <v/>
      </c>
      <c r="AG274">
        <f>IF(AF274&gt;0.7,"High",IF(AF274&gt;0.3,"Moderate",IF(AF274&gt;0.15,"Low","No Impact")))</f>
        <v/>
      </c>
    </row>
    <row r="275">
      <c r="A275" t="n">
        <v>309338</v>
      </c>
      <c r="B275" t="inlineStr">
        <is>
          <t>BD309338</t>
        </is>
      </c>
      <c r="C275" t="inlineStr">
        <is>
          <t>Tangail</t>
        </is>
      </c>
      <c r="D275" t="inlineStr">
        <is>
          <t>Gopalpur</t>
        </is>
      </c>
      <c r="E275" s="3" t="n">
        <v>5.9</v>
      </c>
      <c r="F275" s="4">
        <f>(E275-$AJ$5)/$AK$5</f>
        <v/>
      </c>
      <c r="G275" t="n">
        <v>52.5874716</v>
      </c>
      <c r="H275">
        <f>(G275-$AJ$6)/$AK$6</f>
        <v/>
      </c>
      <c r="I275" t="n">
        <v>0.09999999999999983</v>
      </c>
      <c r="J275" s="4">
        <f>(I275-$AJ$7)/$AK$7</f>
        <v/>
      </c>
      <c r="K275" t="n">
        <v>0</v>
      </c>
      <c r="L275" s="4">
        <f>(K275-$AJ$8)/$AK$8</f>
        <v/>
      </c>
      <c r="M275" t="n">
        <v>19705</v>
      </c>
      <c r="N275">
        <f>(M275-$AJ$9)/$AK$9</f>
        <v/>
      </c>
      <c r="O275" t="n">
        <v>0.7123771880000001</v>
      </c>
      <c r="P275">
        <f>(O275-$AJ$11)/$AK$11</f>
        <v/>
      </c>
      <c r="Q275" t="n">
        <v>0.2323</v>
      </c>
      <c r="R275">
        <f>(Q275-$AJ$12)/$AK$12</f>
        <v/>
      </c>
      <c r="S275">
        <f>F275*(R275*0.5+P275*0.5)*(H275*0.35+J275*0.35+L275*0.3)</f>
        <v/>
      </c>
      <c r="T275" s="14">
        <f>(S275-$AJ$10)/$AK$10</f>
        <v/>
      </c>
      <c r="U275">
        <f>IF(T275&gt;0.7,"High",IF(T275&gt;0.3,"Moderate",IF(T275&gt;0.15,"Low","No Impact")))</f>
        <v/>
      </c>
      <c r="V275">
        <f>F275*(R275*1)*(H275*0.35+J275*0.35+L275*0.3)</f>
        <v/>
      </c>
      <c r="W275">
        <f>(V275-$AJ$13)/$AK$13</f>
        <v/>
      </c>
      <c r="X275">
        <f>IF(W275&gt;0.7,"High",IF(W275&gt;0.3,"Moderate",IF(W275&gt;0.15,"Low","No Impact")))</f>
        <v/>
      </c>
      <c r="Y275">
        <f>F275*(P275*1)*(H275*0.35+J275*0.35+L275*0.3)</f>
        <v/>
      </c>
      <c r="Z275">
        <f>(Y275-$AJ$14)/$AK$14</f>
        <v/>
      </c>
      <c r="AA275">
        <f>IF(Z275&gt;0.7,"High",IF(Z275&gt;0.3,"Moderate",IF(Z275&gt;0.15,"Low","No Impact")))</f>
        <v/>
      </c>
      <c r="AB275">
        <f>F275*(R275*0.35+P275*0.3+N275*0.35)*(H275*0.35+J275*0.35+L275*0.3)</f>
        <v/>
      </c>
      <c r="AC275">
        <f>(AB275-$AJ$15)/$AK$15</f>
        <v/>
      </c>
      <c r="AD275">
        <f>IF(AC275&gt;0.7,"High",IF(AC275&gt;0.3,"Moderate",IF(AC275&gt;0.15,"Low","No Impact")))</f>
        <v/>
      </c>
      <c r="AE275">
        <f>F275*(N275*1)*(H275*0.35+J275*0.35+L275*0.3)</f>
        <v/>
      </c>
      <c r="AF275">
        <f>(AE275-$AJ$16)/$AK$16</f>
        <v/>
      </c>
      <c r="AG275">
        <f>IF(AF275&gt;0.7,"High",IF(AF275&gt;0.3,"Moderate",IF(AF275&gt;0.15,"Low","No Impact")))</f>
        <v/>
      </c>
    </row>
    <row r="276">
      <c r="A276" t="n">
        <v>309347</v>
      </c>
      <c r="B276" t="inlineStr">
        <is>
          <t>BD309347</t>
        </is>
      </c>
      <c r="C276" t="inlineStr">
        <is>
          <t>Tangail</t>
        </is>
      </c>
      <c r="D276" t="inlineStr">
        <is>
          <t>Kalihati</t>
        </is>
      </c>
      <c r="E276" s="3" t="n">
        <v>5.9</v>
      </c>
      <c r="F276" s="4">
        <f>(E276-$AJ$5)/$AK$5</f>
        <v/>
      </c>
      <c r="G276" t="n">
        <v>61.2956772</v>
      </c>
      <c r="H276">
        <f>(G276-$AJ$6)/$AK$6</f>
        <v/>
      </c>
      <c r="I276" t="n">
        <v>0.5</v>
      </c>
      <c r="J276" s="4">
        <f>(I276-$AJ$7)/$AK$7</f>
        <v/>
      </c>
      <c r="K276" t="n">
        <v>0</v>
      </c>
      <c r="L276" s="4">
        <f>(K276-$AJ$8)/$AK$8</f>
        <v/>
      </c>
      <c r="M276" t="n">
        <v>36750</v>
      </c>
      <c r="N276">
        <f>(M276-$AJ$9)/$AK$9</f>
        <v/>
      </c>
      <c r="O276" t="n">
        <v>0.558034766</v>
      </c>
      <c r="P276">
        <f>(O276-$AJ$11)/$AK$11</f>
        <v/>
      </c>
      <c r="Q276" t="n">
        <v>0.2198</v>
      </c>
      <c r="R276">
        <f>(Q276-$AJ$12)/$AK$12</f>
        <v/>
      </c>
      <c r="S276">
        <f>F276*(R276*0.5+P276*0.5)*(H276*0.35+J276*0.35+L276*0.3)</f>
        <v/>
      </c>
      <c r="T276" s="14">
        <f>(S276-$AJ$10)/$AK$10</f>
        <v/>
      </c>
      <c r="U276">
        <f>IF(T276&gt;0.7,"High",IF(T276&gt;0.3,"Moderate",IF(T276&gt;0.15,"Low","No Impact")))</f>
        <v/>
      </c>
      <c r="V276">
        <f>F276*(R276*1)*(H276*0.35+J276*0.35+L276*0.3)</f>
        <v/>
      </c>
      <c r="W276">
        <f>(V276-$AJ$13)/$AK$13</f>
        <v/>
      </c>
      <c r="X276">
        <f>IF(W276&gt;0.7,"High",IF(W276&gt;0.3,"Moderate",IF(W276&gt;0.15,"Low","No Impact")))</f>
        <v/>
      </c>
      <c r="Y276">
        <f>F276*(P276*1)*(H276*0.35+J276*0.35+L276*0.3)</f>
        <v/>
      </c>
      <c r="Z276">
        <f>(Y276-$AJ$14)/$AK$14</f>
        <v/>
      </c>
      <c r="AA276">
        <f>IF(Z276&gt;0.7,"High",IF(Z276&gt;0.3,"Moderate",IF(Z276&gt;0.15,"Low","No Impact")))</f>
        <v/>
      </c>
      <c r="AB276">
        <f>F276*(R276*0.35+P276*0.3+N276*0.35)*(H276*0.35+J276*0.35+L276*0.3)</f>
        <v/>
      </c>
      <c r="AC276">
        <f>(AB276-$AJ$15)/$AK$15</f>
        <v/>
      </c>
      <c r="AD276">
        <f>IF(AC276&gt;0.7,"High",IF(AC276&gt;0.3,"Moderate",IF(AC276&gt;0.15,"Low","No Impact")))</f>
        <v/>
      </c>
      <c r="AE276">
        <f>F276*(N276*1)*(H276*0.35+J276*0.35+L276*0.3)</f>
        <v/>
      </c>
      <c r="AF276">
        <f>(AE276-$AJ$16)/$AK$16</f>
        <v/>
      </c>
      <c r="AG276">
        <f>IF(AF276&gt;0.7,"High",IF(AF276&gt;0.3,"Moderate",IF(AF276&gt;0.15,"Low","No Impact")))</f>
        <v/>
      </c>
    </row>
    <row r="277">
      <c r="A277" t="n">
        <v>309357</v>
      </c>
      <c r="B277" t="inlineStr">
        <is>
          <t>BD309357</t>
        </is>
      </c>
      <c r="C277" t="inlineStr">
        <is>
          <t>Tangail</t>
        </is>
      </c>
      <c r="D277" t="inlineStr">
        <is>
          <t>Madhupur</t>
        </is>
      </c>
      <c r="E277" s="3" t="n">
        <v>5.3</v>
      </c>
      <c r="F277" s="4">
        <f>(E277-$AJ$5)/$AK$5</f>
        <v/>
      </c>
      <c r="G277" t="n">
        <v>52.5874716</v>
      </c>
      <c r="H277">
        <f>(G277-$AJ$6)/$AK$6</f>
        <v/>
      </c>
      <c r="I277" t="n">
        <v>0</v>
      </c>
      <c r="J277" s="4">
        <f>(I277-$AJ$7)/$AK$7</f>
        <v/>
      </c>
      <c r="K277" t="n">
        <v>0</v>
      </c>
      <c r="L277" s="4">
        <f>(K277-$AJ$8)/$AK$8</f>
        <v/>
      </c>
      <c r="M277" t="n">
        <v>40172</v>
      </c>
      <c r="N277">
        <f>(M277-$AJ$9)/$AK$9</f>
        <v/>
      </c>
      <c r="O277" t="n">
        <v>0.64604982</v>
      </c>
      <c r="P277">
        <f>(O277-$AJ$11)/$AK$11</f>
        <v/>
      </c>
      <c r="Q277" t="n">
        <v>0.2668</v>
      </c>
      <c r="R277">
        <f>(Q277-$AJ$12)/$AK$12</f>
        <v/>
      </c>
      <c r="S277">
        <f>F277*(R277*0.5+P277*0.5)*(H277*0.35+J277*0.35+L277*0.3)</f>
        <v/>
      </c>
      <c r="T277" s="14">
        <f>(S277-$AJ$10)/$AK$10</f>
        <v/>
      </c>
      <c r="U277">
        <f>IF(T277&gt;0.7,"High",IF(T277&gt;0.3,"Moderate",IF(T277&gt;0.15,"Low","No Impact")))</f>
        <v/>
      </c>
      <c r="V277">
        <f>F277*(R277*1)*(H277*0.35+J277*0.35+L277*0.3)</f>
        <v/>
      </c>
      <c r="W277">
        <f>(V277-$AJ$13)/$AK$13</f>
        <v/>
      </c>
      <c r="X277">
        <f>IF(W277&gt;0.7,"High",IF(W277&gt;0.3,"Moderate",IF(W277&gt;0.15,"Low","No Impact")))</f>
        <v/>
      </c>
      <c r="Y277">
        <f>F277*(P277*1)*(H277*0.35+J277*0.35+L277*0.3)</f>
        <v/>
      </c>
      <c r="Z277">
        <f>(Y277-$AJ$14)/$AK$14</f>
        <v/>
      </c>
      <c r="AA277">
        <f>IF(Z277&gt;0.7,"High",IF(Z277&gt;0.3,"Moderate",IF(Z277&gt;0.15,"Low","No Impact")))</f>
        <v/>
      </c>
      <c r="AB277">
        <f>F277*(R277*0.35+P277*0.3+N277*0.35)*(H277*0.35+J277*0.35+L277*0.3)</f>
        <v/>
      </c>
      <c r="AC277">
        <f>(AB277-$AJ$15)/$AK$15</f>
        <v/>
      </c>
      <c r="AD277">
        <f>IF(AC277&gt;0.7,"High",IF(AC277&gt;0.3,"Moderate",IF(AC277&gt;0.15,"Low","No Impact")))</f>
        <v/>
      </c>
      <c r="AE277">
        <f>F277*(N277*1)*(H277*0.35+J277*0.35+L277*0.3)</f>
        <v/>
      </c>
      <c r="AF277">
        <f>(AE277-$AJ$16)/$AK$16</f>
        <v/>
      </c>
      <c r="AG277">
        <f>IF(AF277&gt;0.7,"High",IF(AF277&gt;0.3,"Moderate",IF(AF277&gt;0.15,"Low","No Impact")))</f>
        <v/>
      </c>
    </row>
    <row r="278">
      <c r="A278" t="n">
        <v>309366</v>
      </c>
      <c r="B278" t="inlineStr">
        <is>
          <t>BD309366</t>
        </is>
      </c>
      <c r="C278" t="inlineStr">
        <is>
          <t>Tangail</t>
        </is>
      </c>
      <c r="D278" t="inlineStr">
        <is>
          <t>Mirzapur</t>
        </is>
      </c>
      <c r="E278" s="3" t="n">
        <v>5.9</v>
      </c>
      <c r="F278" s="4">
        <f>(E278-$AJ$5)/$AK$5</f>
        <v/>
      </c>
      <c r="G278" t="n">
        <v>62.607006</v>
      </c>
      <c r="H278">
        <f>(G278-$AJ$6)/$AK$6</f>
        <v/>
      </c>
      <c r="I278" t="n">
        <v>1.900000000000001</v>
      </c>
      <c r="J278" s="4">
        <f>(I278-$AJ$7)/$AK$7</f>
        <v/>
      </c>
      <c r="K278" t="n">
        <v>0</v>
      </c>
      <c r="L278" s="4">
        <f>(K278-$AJ$8)/$AK$8</f>
        <v/>
      </c>
      <c r="M278" t="n">
        <v>80305</v>
      </c>
      <c r="N278">
        <f>(M278-$AJ$9)/$AK$9</f>
        <v/>
      </c>
      <c r="O278" t="n">
        <v>0.629984937</v>
      </c>
      <c r="P278">
        <f>(O278-$AJ$11)/$AK$11</f>
        <v/>
      </c>
      <c r="Q278" t="n">
        <v>0.243</v>
      </c>
      <c r="R278">
        <f>(Q278-$AJ$12)/$AK$12</f>
        <v/>
      </c>
      <c r="S278">
        <f>F278*(R278*0.5+P278*0.5)*(H278*0.35+J278*0.35+L278*0.3)</f>
        <v/>
      </c>
      <c r="T278" s="14">
        <f>(S278-$AJ$10)/$AK$10</f>
        <v/>
      </c>
      <c r="U278">
        <f>IF(T278&gt;0.7,"High",IF(T278&gt;0.3,"Moderate",IF(T278&gt;0.15,"Low","No Impact")))</f>
        <v/>
      </c>
      <c r="V278">
        <f>F278*(R278*1)*(H278*0.35+J278*0.35+L278*0.3)</f>
        <v/>
      </c>
      <c r="W278">
        <f>(V278-$AJ$13)/$AK$13</f>
        <v/>
      </c>
      <c r="X278">
        <f>IF(W278&gt;0.7,"High",IF(W278&gt;0.3,"Moderate",IF(W278&gt;0.15,"Low","No Impact")))</f>
        <v/>
      </c>
      <c r="Y278">
        <f>F278*(P278*1)*(H278*0.35+J278*0.35+L278*0.3)</f>
        <v/>
      </c>
      <c r="Z278">
        <f>(Y278-$AJ$14)/$AK$14</f>
        <v/>
      </c>
      <c r="AA278">
        <f>IF(Z278&gt;0.7,"High",IF(Z278&gt;0.3,"Moderate",IF(Z278&gt;0.15,"Low","No Impact")))</f>
        <v/>
      </c>
      <c r="AB278">
        <f>F278*(R278*0.35+P278*0.3+N278*0.35)*(H278*0.35+J278*0.35+L278*0.3)</f>
        <v/>
      </c>
      <c r="AC278">
        <f>(AB278-$AJ$15)/$AK$15</f>
        <v/>
      </c>
      <c r="AD278">
        <f>IF(AC278&gt;0.7,"High",IF(AC278&gt;0.3,"Moderate",IF(AC278&gt;0.15,"Low","No Impact")))</f>
        <v/>
      </c>
      <c r="AE278">
        <f>F278*(N278*1)*(H278*0.35+J278*0.35+L278*0.3)</f>
        <v/>
      </c>
      <c r="AF278">
        <f>(AE278-$AJ$16)/$AK$16</f>
        <v/>
      </c>
      <c r="AG278">
        <f>IF(AF278&gt;0.7,"High",IF(AF278&gt;0.3,"Moderate",IF(AF278&gt;0.15,"Low","No Impact")))</f>
        <v/>
      </c>
    </row>
    <row r="279">
      <c r="A279" t="n">
        <v>309376</v>
      </c>
      <c r="B279" t="inlineStr">
        <is>
          <t>BD309376</t>
        </is>
      </c>
      <c r="C279" t="inlineStr">
        <is>
          <t>Tangail</t>
        </is>
      </c>
      <c r="D279" t="inlineStr">
        <is>
          <t>Nagarpur</t>
        </is>
      </c>
      <c r="E279" s="3" t="n">
        <v>5.2</v>
      </c>
      <c r="F279" s="4">
        <f>(E279-$AJ$5)/$AK$5</f>
        <v/>
      </c>
      <c r="G279" t="n">
        <v>72.440208</v>
      </c>
      <c r="H279">
        <f>(G279-$AJ$6)/$AK$6</f>
        <v/>
      </c>
      <c r="I279" t="n">
        <v>3.1</v>
      </c>
      <c r="J279" s="4">
        <f>(I279-$AJ$7)/$AK$7</f>
        <v/>
      </c>
      <c r="K279" t="n">
        <v>0</v>
      </c>
      <c r="L279" s="4">
        <f>(K279-$AJ$8)/$AK$8</f>
        <v/>
      </c>
      <c r="M279" t="n">
        <v>29372</v>
      </c>
      <c r="N279">
        <f>(M279-$AJ$9)/$AK$9</f>
        <v/>
      </c>
      <c r="O279" t="n">
        <v>0.37781035</v>
      </c>
      <c r="P279">
        <f>(O279-$AJ$11)/$AK$11</f>
        <v/>
      </c>
      <c r="Q279" t="n">
        <v>0.249</v>
      </c>
      <c r="R279">
        <f>(Q279-$AJ$12)/$AK$12</f>
        <v/>
      </c>
      <c r="S279">
        <f>F279*(R279*0.5+P279*0.5)*(H279*0.35+J279*0.35+L279*0.3)</f>
        <v/>
      </c>
      <c r="T279" s="14">
        <f>(S279-$AJ$10)/$AK$10</f>
        <v/>
      </c>
      <c r="U279">
        <f>IF(T279&gt;0.7,"High",IF(T279&gt;0.3,"Moderate",IF(T279&gt;0.15,"Low","No Impact")))</f>
        <v/>
      </c>
      <c r="V279">
        <f>F279*(R279*1)*(H279*0.35+J279*0.35+L279*0.3)</f>
        <v/>
      </c>
      <c r="W279">
        <f>(V279-$AJ$13)/$AK$13</f>
        <v/>
      </c>
      <c r="X279">
        <f>IF(W279&gt;0.7,"High",IF(W279&gt;0.3,"Moderate",IF(W279&gt;0.15,"Low","No Impact")))</f>
        <v/>
      </c>
      <c r="Y279">
        <f>F279*(P279*1)*(H279*0.35+J279*0.35+L279*0.3)</f>
        <v/>
      </c>
      <c r="Z279">
        <f>(Y279-$AJ$14)/$AK$14</f>
        <v/>
      </c>
      <c r="AA279">
        <f>IF(Z279&gt;0.7,"High",IF(Z279&gt;0.3,"Moderate",IF(Z279&gt;0.15,"Low","No Impact")))</f>
        <v/>
      </c>
      <c r="AB279">
        <f>F279*(R279*0.35+P279*0.3+N279*0.35)*(H279*0.35+J279*0.35+L279*0.3)</f>
        <v/>
      </c>
      <c r="AC279">
        <f>(AB279-$AJ$15)/$AK$15</f>
        <v/>
      </c>
      <c r="AD279">
        <f>IF(AC279&gt;0.7,"High",IF(AC279&gt;0.3,"Moderate",IF(AC279&gt;0.15,"Low","No Impact")))</f>
        <v/>
      </c>
      <c r="AE279">
        <f>F279*(N279*1)*(H279*0.35+J279*0.35+L279*0.3)</f>
        <v/>
      </c>
      <c r="AF279">
        <f>(AE279-$AJ$16)/$AK$16</f>
        <v/>
      </c>
      <c r="AG279">
        <f>IF(AF279&gt;0.7,"High",IF(AF279&gt;0.3,"Moderate",IF(AF279&gt;0.15,"Low","No Impact")))</f>
        <v/>
      </c>
    </row>
    <row r="280">
      <c r="A280" t="n">
        <v>309385</v>
      </c>
      <c r="B280" t="inlineStr">
        <is>
          <t>BD309385</t>
        </is>
      </c>
      <c r="C280" t="inlineStr">
        <is>
          <t>Tangail</t>
        </is>
      </c>
      <c r="D280" t="inlineStr">
        <is>
          <t>Sakhipur</t>
        </is>
      </c>
      <c r="E280" s="3" t="n">
        <v>5.9</v>
      </c>
      <c r="F280" s="4">
        <f>(E280-$AJ$5)/$AK$5</f>
        <v/>
      </c>
      <c r="G280" t="n">
        <v>59.671458</v>
      </c>
      <c r="H280">
        <f>(G280-$AJ$6)/$AK$6</f>
        <v/>
      </c>
      <c r="I280" t="n">
        <v>0.2000000000000001</v>
      </c>
      <c r="J280" s="4">
        <f>(I280-$AJ$7)/$AK$7</f>
        <v/>
      </c>
      <c r="K280" t="n">
        <v>0</v>
      </c>
      <c r="L280" s="4">
        <f>(K280-$AJ$8)/$AK$8</f>
        <v/>
      </c>
      <c r="M280" t="n">
        <v>55940</v>
      </c>
      <c r="N280">
        <f>(M280-$AJ$9)/$AK$9</f>
        <v/>
      </c>
      <c r="O280" t="n">
        <v>0.80603028</v>
      </c>
      <c r="P280">
        <f>(O280-$AJ$11)/$AK$11</f>
        <v/>
      </c>
      <c r="Q280" t="n">
        <v>0.2865</v>
      </c>
      <c r="R280">
        <f>(Q280-$AJ$12)/$AK$12</f>
        <v/>
      </c>
      <c r="S280">
        <f>F280*(R280*0.5+P280*0.5)*(H280*0.35+J280*0.35+L280*0.3)</f>
        <v/>
      </c>
      <c r="T280" s="14">
        <f>(S280-$AJ$10)/$AK$10</f>
        <v/>
      </c>
      <c r="U280">
        <f>IF(T280&gt;0.7,"High",IF(T280&gt;0.3,"Moderate",IF(T280&gt;0.15,"Low","No Impact")))</f>
        <v/>
      </c>
      <c r="V280">
        <f>F280*(R280*1)*(H280*0.35+J280*0.35+L280*0.3)</f>
        <v/>
      </c>
      <c r="W280">
        <f>(V280-$AJ$13)/$AK$13</f>
        <v/>
      </c>
      <c r="X280">
        <f>IF(W280&gt;0.7,"High",IF(W280&gt;0.3,"Moderate",IF(W280&gt;0.15,"Low","No Impact")))</f>
        <v/>
      </c>
      <c r="Y280">
        <f>F280*(P280*1)*(H280*0.35+J280*0.35+L280*0.3)</f>
        <v/>
      </c>
      <c r="Z280">
        <f>(Y280-$AJ$14)/$AK$14</f>
        <v/>
      </c>
      <c r="AA280">
        <f>IF(Z280&gt;0.7,"High",IF(Z280&gt;0.3,"Moderate",IF(Z280&gt;0.15,"Low","No Impact")))</f>
        <v/>
      </c>
      <c r="AB280">
        <f>F280*(R280*0.35+P280*0.3+N280*0.35)*(H280*0.35+J280*0.35+L280*0.3)</f>
        <v/>
      </c>
      <c r="AC280">
        <f>(AB280-$AJ$15)/$AK$15</f>
        <v/>
      </c>
      <c r="AD280">
        <f>IF(AC280&gt;0.7,"High",IF(AC280&gt;0.3,"Moderate",IF(AC280&gt;0.15,"Low","No Impact")))</f>
        <v/>
      </c>
      <c r="AE280">
        <f>F280*(N280*1)*(H280*0.35+J280*0.35+L280*0.3)</f>
        <v/>
      </c>
      <c r="AF280">
        <f>(AE280-$AJ$16)/$AK$16</f>
        <v/>
      </c>
      <c r="AG280">
        <f>IF(AF280&gt;0.7,"High",IF(AF280&gt;0.3,"Moderate",IF(AF280&gt;0.15,"Low","No Impact")))</f>
        <v/>
      </c>
    </row>
    <row r="281">
      <c r="A281" t="n">
        <v>309395</v>
      </c>
      <c r="B281" t="inlineStr">
        <is>
          <t>BD309395</t>
        </is>
      </c>
      <c r="C281" t="inlineStr">
        <is>
          <t>Tangail</t>
        </is>
      </c>
      <c r="D281" t="inlineStr">
        <is>
          <t>Tangail Sadar</t>
        </is>
      </c>
      <c r="E281" s="3" t="n">
        <v>5.9</v>
      </c>
      <c r="F281" s="4">
        <f>(E281-$AJ$5)/$AK$5</f>
        <v/>
      </c>
      <c r="G281" t="n">
        <v>61.2956772</v>
      </c>
      <c r="H281">
        <f>(G281-$AJ$6)/$AK$6</f>
        <v/>
      </c>
      <c r="I281" t="n">
        <v>1</v>
      </c>
      <c r="J281" s="4">
        <f>(I281-$AJ$7)/$AK$7</f>
        <v/>
      </c>
      <c r="K281" t="n">
        <v>0</v>
      </c>
      <c r="L281" s="4">
        <f>(K281-$AJ$8)/$AK$8</f>
        <v/>
      </c>
      <c r="M281" t="n">
        <v>51021</v>
      </c>
      <c r="N281">
        <f>(M281-$AJ$9)/$AK$9</f>
        <v/>
      </c>
      <c r="O281" t="n">
        <v>0.681545513</v>
      </c>
      <c r="P281">
        <f>(O281-$AJ$11)/$AK$11</f>
        <v/>
      </c>
      <c r="Q281" t="n">
        <v>0.238</v>
      </c>
      <c r="R281">
        <f>(Q281-$AJ$12)/$AK$12</f>
        <v/>
      </c>
      <c r="S281">
        <f>F281*(R281*0.5+P281*0.5)*(H281*0.35+J281*0.35+L281*0.3)</f>
        <v/>
      </c>
      <c r="T281" s="14">
        <f>(S281-$AJ$10)/$AK$10</f>
        <v/>
      </c>
      <c r="U281">
        <f>IF(T281&gt;0.7,"High",IF(T281&gt;0.3,"Moderate",IF(T281&gt;0.15,"Low","No Impact")))</f>
        <v/>
      </c>
      <c r="V281">
        <f>F281*(R281*1)*(H281*0.35+J281*0.35+L281*0.3)</f>
        <v/>
      </c>
      <c r="W281">
        <f>(V281-$AJ$13)/$AK$13</f>
        <v/>
      </c>
      <c r="X281">
        <f>IF(W281&gt;0.7,"High",IF(W281&gt;0.3,"Moderate",IF(W281&gt;0.15,"Low","No Impact")))</f>
        <v/>
      </c>
      <c r="Y281">
        <f>F281*(P281*1)*(H281*0.35+J281*0.35+L281*0.3)</f>
        <v/>
      </c>
      <c r="Z281">
        <f>(Y281-$AJ$14)/$AK$14</f>
        <v/>
      </c>
      <c r="AA281">
        <f>IF(Z281&gt;0.7,"High",IF(Z281&gt;0.3,"Moderate",IF(Z281&gt;0.15,"Low","No Impact")))</f>
        <v/>
      </c>
      <c r="AB281">
        <f>F281*(R281*0.35+P281*0.3+N281*0.35)*(H281*0.35+J281*0.35+L281*0.3)</f>
        <v/>
      </c>
      <c r="AC281">
        <f>(AB281-$AJ$15)/$AK$15</f>
        <v/>
      </c>
      <c r="AD281">
        <f>IF(AC281&gt;0.7,"High",IF(AC281&gt;0.3,"Moderate",IF(AC281&gt;0.15,"Low","No Impact")))</f>
        <v/>
      </c>
      <c r="AE281">
        <f>F281*(N281*1)*(H281*0.35+J281*0.35+L281*0.3)</f>
        <v/>
      </c>
      <c r="AF281">
        <f>(AE281-$AJ$16)/$AK$16</f>
        <v/>
      </c>
      <c r="AG281">
        <f>IF(AF281&gt;0.7,"High",IF(AF281&gt;0.3,"Moderate",IF(AF281&gt;0.15,"Low","No Impact")))</f>
        <v/>
      </c>
    </row>
    <row r="282">
      <c r="A282" t="n">
        <v>400108</v>
      </c>
      <c r="B282" t="inlineStr">
        <is>
          <t>BD400108</t>
        </is>
      </c>
      <c r="C282" t="inlineStr">
        <is>
          <t>Bagerhat</t>
        </is>
      </c>
      <c r="D282" t="inlineStr">
        <is>
          <t>Bagerhat Sadar</t>
        </is>
      </c>
      <c r="E282" s="3" t="n">
        <v>6.9</v>
      </c>
      <c r="F282" s="4">
        <f>(E282-$AJ$5)/$AK$5</f>
        <v/>
      </c>
      <c r="G282" t="n">
        <v>124.1866944</v>
      </c>
      <c r="H282">
        <f>(G282-$AJ$6)/$AK$6</f>
        <v/>
      </c>
      <c r="I282" t="n">
        <v>46.4</v>
      </c>
      <c r="J282" s="4">
        <f>(I282-$AJ$7)/$AK$7</f>
        <v/>
      </c>
      <c r="K282" t="n">
        <v>1</v>
      </c>
      <c r="L282" s="4">
        <f>(K282-$AJ$8)/$AK$8</f>
        <v/>
      </c>
      <c r="M282" t="n">
        <v>24641</v>
      </c>
      <c r="N282">
        <f>(M282-$AJ$9)/$AK$9</f>
        <v/>
      </c>
      <c r="O282" t="n">
        <v>0.518013547</v>
      </c>
      <c r="P282">
        <f>(O282-$AJ$11)/$AK$11</f>
        <v/>
      </c>
      <c r="Q282" t="n">
        <v>0.2067</v>
      </c>
      <c r="R282">
        <f>(Q282-$AJ$12)/$AK$12</f>
        <v/>
      </c>
      <c r="S282">
        <f>F282*(R282*0.5+P282*0.5)*(H282*0.35+J282*0.35+L282*0.3)</f>
        <v/>
      </c>
      <c r="T282" s="14">
        <f>(S282-$AJ$10)/$AK$10</f>
        <v/>
      </c>
      <c r="U282">
        <f>IF(T282&gt;0.7,"High",IF(T282&gt;0.3,"Moderate",IF(T282&gt;0.15,"Low","No Impact")))</f>
        <v/>
      </c>
      <c r="V282">
        <f>F282*(R282*1)*(H282*0.35+J282*0.35+L282*0.3)</f>
        <v/>
      </c>
      <c r="W282">
        <f>(V282-$AJ$13)/$AK$13</f>
        <v/>
      </c>
      <c r="X282">
        <f>IF(W282&gt;0.7,"High",IF(W282&gt;0.3,"Moderate",IF(W282&gt;0.15,"Low","No Impact")))</f>
        <v/>
      </c>
      <c r="Y282">
        <f>F282*(P282*1)*(H282*0.35+J282*0.35+L282*0.3)</f>
        <v/>
      </c>
      <c r="Z282">
        <f>(Y282-$AJ$14)/$AK$14</f>
        <v/>
      </c>
      <c r="AA282">
        <f>IF(Z282&gt;0.7,"High",IF(Z282&gt;0.3,"Moderate",IF(Z282&gt;0.15,"Low","No Impact")))</f>
        <v/>
      </c>
      <c r="AB282">
        <f>F282*(R282*0.35+P282*0.3+N282*0.35)*(H282*0.35+J282*0.35+L282*0.3)</f>
        <v/>
      </c>
      <c r="AC282">
        <f>(AB282-$AJ$15)/$AK$15</f>
        <v/>
      </c>
      <c r="AD282">
        <f>IF(AC282&gt;0.7,"High",IF(AC282&gt;0.3,"Moderate",IF(AC282&gt;0.15,"Low","No Impact")))</f>
        <v/>
      </c>
      <c r="AE282">
        <f>F282*(N282*1)*(H282*0.35+J282*0.35+L282*0.3)</f>
        <v/>
      </c>
      <c r="AF282">
        <f>(AE282-$AJ$16)/$AK$16</f>
        <v/>
      </c>
      <c r="AG282">
        <f>IF(AF282&gt;0.7,"High",IF(AF282&gt;0.3,"Moderate",IF(AF282&gt;0.15,"Low","No Impact")))</f>
        <v/>
      </c>
    </row>
    <row r="283">
      <c r="A283" t="n">
        <v>400114</v>
      </c>
      <c r="B283" t="inlineStr">
        <is>
          <t>BD400114</t>
        </is>
      </c>
      <c r="C283" t="inlineStr">
        <is>
          <t>Bagerhat</t>
        </is>
      </c>
      <c r="D283" t="inlineStr">
        <is>
          <t>Chitalmari</t>
        </is>
      </c>
      <c r="E283" s="3" t="n">
        <v>6.8</v>
      </c>
      <c r="F283" s="4">
        <f>(E283-$AJ$5)/$AK$5</f>
        <v/>
      </c>
      <c r="G283" t="n">
        <v>123.230448</v>
      </c>
      <c r="H283">
        <f>(G283-$AJ$6)/$AK$6</f>
        <v/>
      </c>
      <c r="I283" t="n">
        <v>36.6</v>
      </c>
      <c r="J283" s="4">
        <f>(I283-$AJ$7)/$AK$7</f>
        <v/>
      </c>
      <c r="K283" t="n">
        <v>0</v>
      </c>
      <c r="L283" s="4">
        <f>(K283-$AJ$8)/$AK$8</f>
        <v/>
      </c>
      <c r="M283" t="n">
        <v>9991</v>
      </c>
      <c r="N283">
        <f>(M283-$AJ$9)/$AK$9</f>
        <v/>
      </c>
      <c r="O283" t="n">
        <v>0.600790266</v>
      </c>
      <c r="P283">
        <f>(O283-$AJ$11)/$AK$11</f>
        <v/>
      </c>
      <c r="Q283" t="n">
        <v>0.2118</v>
      </c>
      <c r="R283">
        <f>(Q283-$AJ$12)/$AK$12</f>
        <v/>
      </c>
      <c r="S283">
        <f>F283*(R283*0.5+P283*0.5)*(H283*0.35+J283*0.35+L283*0.3)</f>
        <v/>
      </c>
      <c r="T283" s="14">
        <f>(S283-$AJ$10)/$AK$10</f>
        <v/>
      </c>
      <c r="U283">
        <f>IF(T283&gt;0.7,"High",IF(T283&gt;0.3,"Moderate",IF(T283&gt;0.15,"Low","No Impact")))</f>
        <v/>
      </c>
      <c r="V283">
        <f>F283*(R283*1)*(H283*0.35+J283*0.35+L283*0.3)</f>
        <v/>
      </c>
      <c r="W283">
        <f>(V283-$AJ$13)/$AK$13</f>
        <v/>
      </c>
      <c r="X283">
        <f>IF(W283&gt;0.7,"High",IF(W283&gt;0.3,"Moderate",IF(W283&gt;0.15,"Low","No Impact")))</f>
        <v/>
      </c>
      <c r="Y283">
        <f>F283*(P283*1)*(H283*0.35+J283*0.35+L283*0.3)</f>
        <v/>
      </c>
      <c r="Z283">
        <f>(Y283-$AJ$14)/$AK$14</f>
        <v/>
      </c>
      <c r="AA283">
        <f>IF(Z283&gt;0.7,"High",IF(Z283&gt;0.3,"Moderate",IF(Z283&gt;0.15,"Low","No Impact")))</f>
        <v/>
      </c>
      <c r="AB283">
        <f>F283*(R283*0.35+P283*0.3+N283*0.35)*(H283*0.35+J283*0.35+L283*0.3)</f>
        <v/>
      </c>
      <c r="AC283">
        <f>(AB283-$AJ$15)/$AK$15</f>
        <v/>
      </c>
      <c r="AD283">
        <f>IF(AC283&gt;0.7,"High",IF(AC283&gt;0.3,"Moderate",IF(AC283&gt;0.15,"Low","No Impact")))</f>
        <v/>
      </c>
      <c r="AE283">
        <f>F283*(N283*1)*(H283*0.35+J283*0.35+L283*0.3)</f>
        <v/>
      </c>
      <c r="AF283">
        <f>(AE283-$AJ$16)/$AK$16</f>
        <v/>
      </c>
      <c r="AG283">
        <f>IF(AF283&gt;0.7,"High",IF(AF283&gt;0.3,"Moderate",IF(AF283&gt;0.15,"Low","No Impact")))</f>
        <v/>
      </c>
    </row>
    <row r="284">
      <c r="A284" t="n">
        <v>400134</v>
      </c>
      <c r="B284" t="inlineStr">
        <is>
          <t>BD400134</t>
        </is>
      </c>
      <c r="C284" t="inlineStr">
        <is>
          <t>Bagerhat</t>
        </is>
      </c>
      <c r="D284" t="inlineStr">
        <is>
          <t>Fakirhat</t>
        </is>
      </c>
      <c r="E284" s="3" t="n">
        <v>6.9</v>
      </c>
      <c r="F284" s="4">
        <f>(E284-$AJ$5)/$AK$5</f>
        <v/>
      </c>
      <c r="G284" t="n">
        <v>129.432006</v>
      </c>
      <c r="H284">
        <f>(G284-$AJ$6)/$AK$6</f>
        <v/>
      </c>
      <c r="I284" t="n">
        <v>47.2</v>
      </c>
      <c r="J284" s="4">
        <f>(I284-$AJ$7)/$AK$7</f>
        <v/>
      </c>
      <c r="K284" t="n">
        <v>1</v>
      </c>
      <c r="L284" s="4">
        <f>(K284-$AJ$8)/$AK$8</f>
        <v/>
      </c>
      <c r="M284" t="n">
        <v>15140</v>
      </c>
      <c r="N284">
        <f>(M284-$AJ$9)/$AK$9</f>
        <v/>
      </c>
      <c r="O284" t="n">
        <v>0.790922071</v>
      </c>
      <c r="P284">
        <f>(O284-$AJ$11)/$AK$11</f>
        <v/>
      </c>
      <c r="Q284" t="n">
        <v>0.278</v>
      </c>
      <c r="R284">
        <f>(Q284-$AJ$12)/$AK$12</f>
        <v/>
      </c>
      <c r="S284">
        <f>F284*(R284*0.5+P284*0.5)*(H284*0.35+J284*0.35+L284*0.3)</f>
        <v/>
      </c>
      <c r="T284" s="14">
        <f>(S284-$AJ$10)/$AK$10</f>
        <v/>
      </c>
      <c r="U284">
        <f>IF(T284&gt;0.7,"High",IF(T284&gt;0.3,"Moderate",IF(T284&gt;0.15,"Low","No Impact")))</f>
        <v/>
      </c>
      <c r="V284">
        <f>F284*(R284*1)*(H284*0.35+J284*0.35+L284*0.3)</f>
        <v/>
      </c>
      <c r="W284">
        <f>(V284-$AJ$13)/$AK$13</f>
        <v/>
      </c>
      <c r="X284">
        <f>IF(W284&gt;0.7,"High",IF(W284&gt;0.3,"Moderate",IF(W284&gt;0.15,"Low","No Impact")))</f>
        <v/>
      </c>
      <c r="Y284">
        <f>F284*(P284*1)*(H284*0.35+J284*0.35+L284*0.3)</f>
        <v/>
      </c>
      <c r="Z284">
        <f>(Y284-$AJ$14)/$AK$14</f>
        <v/>
      </c>
      <c r="AA284">
        <f>IF(Z284&gt;0.7,"High",IF(Z284&gt;0.3,"Moderate",IF(Z284&gt;0.15,"Low","No Impact")))</f>
        <v/>
      </c>
      <c r="AB284">
        <f>F284*(R284*0.35+P284*0.3+N284*0.35)*(H284*0.35+J284*0.35+L284*0.3)</f>
        <v/>
      </c>
      <c r="AC284">
        <f>(AB284-$AJ$15)/$AK$15</f>
        <v/>
      </c>
      <c r="AD284">
        <f>IF(AC284&gt;0.7,"High",IF(AC284&gt;0.3,"Moderate",IF(AC284&gt;0.15,"Low","No Impact")))</f>
        <v/>
      </c>
      <c r="AE284">
        <f>F284*(N284*1)*(H284*0.35+J284*0.35+L284*0.3)</f>
        <v/>
      </c>
      <c r="AF284">
        <f>(AE284-$AJ$16)/$AK$16</f>
        <v/>
      </c>
      <c r="AG284">
        <f>IF(AF284&gt;0.7,"High",IF(AF284&gt;0.3,"Moderate",IF(AF284&gt;0.15,"Low","No Impact")))</f>
        <v/>
      </c>
    </row>
    <row r="285">
      <c r="A285" t="n">
        <v>400138</v>
      </c>
      <c r="B285" t="inlineStr">
        <is>
          <t>BD400138</t>
        </is>
      </c>
      <c r="C285" t="inlineStr">
        <is>
          <t>Chandpur</t>
        </is>
      </c>
      <c r="D285" t="inlineStr">
        <is>
          <t>Kachua</t>
        </is>
      </c>
      <c r="E285" s="3" t="n">
        <v>6.9</v>
      </c>
      <c r="F285" s="4">
        <f>(E285-$AJ$5)/$AK$5</f>
        <v/>
      </c>
      <c r="G285" t="n">
        <v>124.1866944</v>
      </c>
      <c r="H285">
        <f>(G285-$AJ$6)/$AK$6</f>
        <v/>
      </c>
      <c r="I285" t="n">
        <v>39.50000000000001</v>
      </c>
      <c r="J285" s="4">
        <f>(I285-$AJ$7)/$AK$7</f>
        <v/>
      </c>
      <c r="K285" t="n">
        <v>0</v>
      </c>
      <c r="L285" s="4">
        <f>(K285-$AJ$8)/$AK$8</f>
        <v/>
      </c>
      <c r="M285" t="n">
        <v>6938</v>
      </c>
      <c r="N285">
        <f>(M285-$AJ$9)/$AK$9</f>
        <v/>
      </c>
      <c r="O285" t="n">
        <v>0.725523664</v>
      </c>
      <c r="P285">
        <f>(O285-$AJ$11)/$AK$11</f>
        <v/>
      </c>
      <c r="Q285" t="n">
        <v>0.2486</v>
      </c>
      <c r="R285">
        <f>(Q285-$AJ$12)/$AK$12</f>
        <v/>
      </c>
      <c r="S285">
        <f>F285*(R285*0.5+P285*0.5)*(H285*0.35+J285*0.35+L285*0.3)</f>
        <v/>
      </c>
      <c r="T285" s="14">
        <f>(S285-$AJ$10)/$AK$10</f>
        <v/>
      </c>
      <c r="U285">
        <f>IF(T285&gt;0.7,"High",IF(T285&gt;0.3,"Moderate",IF(T285&gt;0.15,"Low","No Impact")))</f>
        <v/>
      </c>
      <c r="V285">
        <f>F285*(R285*1)*(H285*0.35+J285*0.35+L285*0.3)</f>
        <v/>
      </c>
      <c r="W285">
        <f>(V285-$AJ$13)/$AK$13</f>
        <v/>
      </c>
      <c r="X285">
        <f>IF(W285&gt;0.7,"High",IF(W285&gt;0.3,"Moderate",IF(W285&gt;0.15,"Low","No Impact")))</f>
        <v/>
      </c>
      <c r="Y285">
        <f>F285*(P285*1)*(H285*0.35+J285*0.35+L285*0.3)</f>
        <v/>
      </c>
      <c r="Z285">
        <f>(Y285-$AJ$14)/$AK$14</f>
        <v/>
      </c>
      <c r="AA285">
        <f>IF(Z285&gt;0.7,"High",IF(Z285&gt;0.3,"Moderate",IF(Z285&gt;0.15,"Low","No Impact")))</f>
        <v/>
      </c>
      <c r="AB285">
        <f>F285*(R285*0.35+P285*0.3+N285*0.35)*(H285*0.35+J285*0.35+L285*0.3)</f>
        <v/>
      </c>
      <c r="AC285">
        <f>(AB285-$AJ$15)/$AK$15</f>
        <v/>
      </c>
      <c r="AD285">
        <f>IF(AC285&gt;0.7,"High",IF(AC285&gt;0.3,"Moderate",IF(AC285&gt;0.15,"Low","No Impact")))</f>
        <v/>
      </c>
      <c r="AE285">
        <f>F285*(N285*1)*(H285*0.35+J285*0.35+L285*0.3)</f>
        <v/>
      </c>
      <c r="AF285">
        <f>(AE285-$AJ$16)/$AK$16</f>
        <v/>
      </c>
      <c r="AG285">
        <f>IF(AF285&gt;0.7,"High",IF(AF285&gt;0.3,"Moderate",IF(AF285&gt;0.15,"Low","No Impact")))</f>
        <v/>
      </c>
    </row>
    <row r="286">
      <c r="A286" t="n">
        <v>400156</v>
      </c>
      <c r="B286" t="inlineStr">
        <is>
          <t>BD400156</t>
        </is>
      </c>
      <c r="C286" t="inlineStr">
        <is>
          <t>Bagerhat</t>
        </is>
      </c>
      <c r="D286" t="inlineStr">
        <is>
          <t>Mollahat</t>
        </is>
      </c>
      <c r="E286" s="3" t="n">
        <v>6.9</v>
      </c>
      <c r="F286" s="4">
        <f>(E286-$AJ$5)/$AK$5</f>
        <v/>
      </c>
      <c r="G286" t="n">
        <v>123.230448</v>
      </c>
      <c r="H286">
        <f>(G286-$AJ$6)/$AK$6</f>
        <v/>
      </c>
      <c r="I286" t="n">
        <v>40.2</v>
      </c>
      <c r="J286" s="4">
        <f>(I286-$AJ$7)/$AK$7</f>
        <v/>
      </c>
      <c r="K286" t="n">
        <v>0</v>
      </c>
      <c r="L286" s="4">
        <f>(K286-$AJ$8)/$AK$8</f>
        <v/>
      </c>
      <c r="M286" t="n">
        <v>11647</v>
      </c>
      <c r="N286">
        <f>(M286-$AJ$9)/$AK$9</f>
        <v/>
      </c>
      <c r="O286" t="n">
        <v>0.760101841</v>
      </c>
      <c r="P286">
        <f>(O286-$AJ$11)/$AK$11</f>
        <v/>
      </c>
      <c r="Q286" t="n">
        <v>0.2364</v>
      </c>
      <c r="R286">
        <f>(Q286-$AJ$12)/$AK$12</f>
        <v/>
      </c>
      <c r="S286">
        <f>F286*(R286*0.5+P286*0.5)*(H286*0.35+J286*0.35+L286*0.3)</f>
        <v/>
      </c>
      <c r="T286" s="14">
        <f>(S286-$AJ$10)/$AK$10</f>
        <v/>
      </c>
      <c r="U286">
        <f>IF(T286&gt;0.7,"High",IF(T286&gt;0.3,"Moderate",IF(T286&gt;0.15,"Low","No Impact")))</f>
        <v/>
      </c>
      <c r="V286">
        <f>F286*(R286*1)*(H286*0.35+J286*0.35+L286*0.3)</f>
        <v/>
      </c>
      <c r="W286">
        <f>(V286-$AJ$13)/$AK$13</f>
        <v/>
      </c>
      <c r="X286">
        <f>IF(W286&gt;0.7,"High",IF(W286&gt;0.3,"Moderate",IF(W286&gt;0.15,"Low","No Impact")))</f>
        <v/>
      </c>
      <c r="Y286">
        <f>F286*(P286*1)*(H286*0.35+J286*0.35+L286*0.3)</f>
        <v/>
      </c>
      <c r="Z286">
        <f>(Y286-$AJ$14)/$AK$14</f>
        <v/>
      </c>
      <c r="AA286">
        <f>IF(Z286&gt;0.7,"High",IF(Z286&gt;0.3,"Moderate",IF(Z286&gt;0.15,"Low","No Impact")))</f>
        <v/>
      </c>
      <c r="AB286">
        <f>F286*(R286*0.35+P286*0.3+N286*0.35)*(H286*0.35+J286*0.35+L286*0.3)</f>
        <v/>
      </c>
      <c r="AC286">
        <f>(AB286-$AJ$15)/$AK$15</f>
        <v/>
      </c>
      <c r="AD286">
        <f>IF(AC286&gt;0.7,"High",IF(AC286&gt;0.3,"Moderate",IF(AC286&gt;0.15,"Low","No Impact")))</f>
        <v/>
      </c>
      <c r="AE286">
        <f>F286*(N286*1)*(H286*0.35+J286*0.35+L286*0.3)</f>
        <v/>
      </c>
      <c r="AF286">
        <f>(AE286-$AJ$16)/$AK$16</f>
        <v/>
      </c>
      <c r="AG286">
        <f>IF(AF286&gt;0.7,"High",IF(AF286&gt;0.3,"Moderate",IF(AF286&gt;0.15,"Low","No Impact")))</f>
        <v/>
      </c>
    </row>
    <row r="287">
      <c r="A287" t="n">
        <v>400158</v>
      </c>
      <c r="B287" t="inlineStr">
        <is>
          <t>BD400158</t>
        </is>
      </c>
      <c r="C287" t="inlineStr">
        <is>
          <t>Bagerhat</t>
        </is>
      </c>
      <c r="D287" t="inlineStr">
        <is>
          <t>Mongla</t>
        </is>
      </c>
      <c r="E287" s="3" t="n">
        <v>6.9</v>
      </c>
      <c r="F287" s="4">
        <f>(E287-$AJ$5)/$AK$5</f>
        <v/>
      </c>
      <c r="G287" t="n">
        <v>161.0060652</v>
      </c>
      <c r="H287">
        <f>(G287-$AJ$6)/$AK$6</f>
        <v/>
      </c>
      <c r="I287" t="n">
        <v>55.99999999999999</v>
      </c>
      <c r="J287" s="4">
        <f>(I287-$AJ$7)/$AK$7</f>
        <v/>
      </c>
      <c r="K287" t="n">
        <v>2.4</v>
      </c>
      <c r="L287" s="4">
        <f>(K287-$AJ$8)/$AK$8</f>
        <v/>
      </c>
      <c r="M287" t="n">
        <v>34915</v>
      </c>
      <c r="N287">
        <f>(M287-$AJ$9)/$AK$9</f>
        <v/>
      </c>
      <c r="O287" t="n">
        <v>0.728809743</v>
      </c>
      <c r="P287">
        <f>(O287-$AJ$11)/$AK$11</f>
        <v/>
      </c>
      <c r="Q287" t="n">
        <v>0.358</v>
      </c>
      <c r="R287">
        <f>(Q287-$AJ$12)/$AK$12</f>
        <v/>
      </c>
      <c r="S287">
        <f>F287*(R287*0.5+P287*0.5)*(H287*0.35+J287*0.35+L287*0.3)</f>
        <v/>
      </c>
      <c r="T287" s="14">
        <f>(S287-$AJ$10)/$AK$10</f>
        <v/>
      </c>
      <c r="U287">
        <f>IF(T287&gt;0.7,"High",IF(T287&gt;0.3,"Moderate",IF(T287&gt;0.15,"Low","No Impact")))</f>
        <v/>
      </c>
      <c r="V287">
        <f>F287*(R287*1)*(H287*0.35+J287*0.35+L287*0.3)</f>
        <v/>
      </c>
      <c r="W287">
        <f>(V287-$AJ$13)/$AK$13</f>
        <v/>
      </c>
      <c r="X287">
        <f>IF(W287&gt;0.7,"High",IF(W287&gt;0.3,"Moderate",IF(W287&gt;0.15,"Low","No Impact")))</f>
        <v/>
      </c>
      <c r="Y287">
        <f>F287*(P287*1)*(H287*0.35+J287*0.35+L287*0.3)</f>
        <v/>
      </c>
      <c r="Z287">
        <f>(Y287-$AJ$14)/$AK$14</f>
        <v/>
      </c>
      <c r="AA287">
        <f>IF(Z287&gt;0.7,"High",IF(Z287&gt;0.3,"Moderate",IF(Z287&gt;0.15,"Low","No Impact")))</f>
        <v/>
      </c>
      <c r="AB287">
        <f>F287*(R287*0.35+P287*0.3+N287*0.35)*(H287*0.35+J287*0.35+L287*0.3)</f>
        <v/>
      </c>
      <c r="AC287">
        <f>(AB287-$AJ$15)/$AK$15</f>
        <v/>
      </c>
      <c r="AD287">
        <f>IF(AC287&gt;0.7,"High",IF(AC287&gt;0.3,"Moderate",IF(AC287&gt;0.15,"Low","No Impact")))</f>
        <v/>
      </c>
      <c r="AE287">
        <f>F287*(N287*1)*(H287*0.35+J287*0.35+L287*0.3)</f>
        <v/>
      </c>
      <c r="AF287">
        <f>(AE287-$AJ$16)/$AK$16</f>
        <v/>
      </c>
      <c r="AG287">
        <f>IF(AF287&gt;0.7,"High",IF(AF287&gt;0.3,"Moderate",IF(AF287&gt;0.15,"Low","No Impact")))</f>
        <v/>
      </c>
    </row>
    <row r="288">
      <c r="A288" t="n">
        <v>400160</v>
      </c>
      <c r="B288" t="inlineStr">
        <is>
          <t>BD400160</t>
        </is>
      </c>
      <c r="C288" t="inlineStr">
        <is>
          <t>Bagerhat</t>
        </is>
      </c>
      <c r="D288" t="inlineStr">
        <is>
          <t>Morrelganj</t>
        </is>
      </c>
      <c r="E288" s="3" t="n">
        <v>6.9</v>
      </c>
      <c r="F288" s="4">
        <f>(E288-$AJ$5)/$AK$5</f>
        <v/>
      </c>
      <c r="G288" t="n">
        <v>136.1538792</v>
      </c>
      <c r="H288">
        <f>(G288-$AJ$6)/$AK$6</f>
        <v/>
      </c>
      <c r="I288" t="n">
        <v>41.2</v>
      </c>
      <c r="J288" s="4">
        <f>(I288-$AJ$7)/$AK$7</f>
        <v/>
      </c>
      <c r="K288" t="n">
        <v>2.4</v>
      </c>
      <c r="L288" s="4">
        <f>(K288-$AJ$8)/$AK$8</f>
        <v/>
      </c>
      <c r="M288" t="n">
        <v>36030</v>
      </c>
      <c r="N288">
        <f>(M288-$AJ$9)/$AK$9</f>
        <v/>
      </c>
      <c r="O288" t="n">
        <v>0.577206197</v>
      </c>
      <c r="P288">
        <f>(O288-$AJ$11)/$AK$11</f>
        <v/>
      </c>
      <c r="Q288" t="n">
        <v>0.2072</v>
      </c>
      <c r="R288">
        <f>(Q288-$AJ$12)/$AK$12</f>
        <v/>
      </c>
      <c r="S288">
        <f>F288*(R288*0.5+P288*0.5)*(H288*0.35+J288*0.35+L288*0.3)</f>
        <v/>
      </c>
      <c r="T288" s="14">
        <f>(S288-$AJ$10)/$AK$10</f>
        <v/>
      </c>
      <c r="U288">
        <f>IF(T288&gt;0.7,"High",IF(T288&gt;0.3,"Moderate",IF(T288&gt;0.15,"Low","No Impact")))</f>
        <v/>
      </c>
      <c r="V288">
        <f>F288*(R288*1)*(H288*0.35+J288*0.35+L288*0.3)</f>
        <v/>
      </c>
      <c r="W288">
        <f>(V288-$AJ$13)/$AK$13</f>
        <v/>
      </c>
      <c r="X288">
        <f>IF(W288&gt;0.7,"High",IF(W288&gt;0.3,"Moderate",IF(W288&gt;0.15,"Low","No Impact")))</f>
        <v/>
      </c>
      <c r="Y288">
        <f>F288*(P288*1)*(H288*0.35+J288*0.35+L288*0.3)</f>
        <v/>
      </c>
      <c r="Z288">
        <f>(Y288-$AJ$14)/$AK$14</f>
        <v/>
      </c>
      <c r="AA288">
        <f>IF(Z288&gt;0.7,"High",IF(Z288&gt;0.3,"Moderate",IF(Z288&gt;0.15,"Low","No Impact")))</f>
        <v/>
      </c>
      <c r="AB288">
        <f>F288*(R288*0.35+P288*0.3+N288*0.35)*(H288*0.35+J288*0.35+L288*0.3)</f>
        <v/>
      </c>
      <c r="AC288">
        <f>(AB288-$AJ$15)/$AK$15</f>
        <v/>
      </c>
      <c r="AD288">
        <f>IF(AC288&gt;0.7,"High",IF(AC288&gt;0.3,"Moderate",IF(AC288&gt;0.15,"Low","No Impact")))</f>
        <v/>
      </c>
      <c r="AE288">
        <f>F288*(N288*1)*(H288*0.35+J288*0.35+L288*0.3)</f>
        <v/>
      </c>
      <c r="AF288">
        <f>(AE288-$AJ$16)/$AK$16</f>
        <v/>
      </c>
      <c r="AG288">
        <f>IF(AF288&gt;0.7,"High",IF(AF288&gt;0.3,"Moderate",IF(AF288&gt;0.15,"Low","No Impact")))</f>
        <v/>
      </c>
    </row>
    <row r="289">
      <c r="A289" t="n">
        <v>400173</v>
      </c>
      <c r="B289" t="inlineStr">
        <is>
          <t>BD400173</t>
        </is>
      </c>
      <c r="C289" t="inlineStr">
        <is>
          <t>Bagerhat</t>
        </is>
      </c>
      <c r="D289" t="inlineStr">
        <is>
          <t>Rampal</t>
        </is>
      </c>
      <c r="E289" s="3" t="n">
        <v>6.8</v>
      </c>
      <c r="F289" s="4">
        <f>(E289-$AJ$5)/$AK$5</f>
        <v/>
      </c>
      <c r="G289" t="n">
        <v>135.9886464</v>
      </c>
      <c r="H289">
        <f>(G289-$AJ$6)/$AK$6</f>
        <v/>
      </c>
      <c r="I289" t="n">
        <v>48.09999999999999</v>
      </c>
      <c r="J289" s="4">
        <f>(I289-$AJ$7)/$AK$7</f>
        <v/>
      </c>
      <c r="K289" t="n">
        <v>2.4</v>
      </c>
      <c r="L289" s="4">
        <f>(K289-$AJ$8)/$AK$8</f>
        <v/>
      </c>
      <c r="M289" t="n">
        <v>24278</v>
      </c>
      <c r="N289">
        <f>(M289-$AJ$9)/$AK$9</f>
        <v/>
      </c>
      <c r="O289" t="n">
        <v>0.613590246</v>
      </c>
      <c r="P289">
        <f>(O289-$AJ$11)/$AK$11</f>
        <v/>
      </c>
      <c r="Q289" t="n">
        <v>0.1694</v>
      </c>
      <c r="R289">
        <f>(Q289-$AJ$12)/$AK$12</f>
        <v/>
      </c>
      <c r="S289">
        <f>F289*(R289*0.5+P289*0.5)*(H289*0.35+J289*0.35+L289*0.3)</f>
        <v/>
      </c>
      <c r="T289" s="14">
        <f>(S289-$AJ$10)/$AK$10</f>
        <v/>
      </c>
      <c r="U289">
        <f>IF(T289&gt;0.7,"High",IF(T289&gt;0.3,"Moderate",IF(T289&gt;0.15,"Low","No Impact")))</f>
        <v/>
      </c>
      <c r="V289">
        <f>F289*(R289*1)*(H289*0.35+J289*0.35+L289*0.3)</f>
        <v/>
      </c>
      <c r="W289">
        <f>(V289-$AJ$13)/$AK$13</f>
        <v/>
      </c>
      <c r="X289">
        <f>IF(W289&gt;0.7,"High",IF(W289&gt;0.3,"Moderate",IF(W289&gt;0.15,"Low","No Impact")))</f>
        <v/>
      </c>
      <c r="Y289">
        <f>F289*(P289*1)*(H289*0.35+J289*0.35+L289*0.3)</f>
        <v/>
      </c>
      <c r="Z289">
        <f>(Y289-$AJ$14)/$AK$14</f>
        <v/>
      </c>
      <c r="AA289">
        <f>IF(Z289&gt;0.7,"High",IF(Z289&gt;0.3,"Moderate",IF(Z289&gt;0.15,"Low","No Impact")))</f>
        <v/>
      </c>
      <c r="AB289">
        <f>F289*(R289*0.35+P289*0.3+N289*0.35)*(H289*0.35+J289*0.35+L289*0.3)</f>
        <v/>
      </c>
      <c r="AC289">
        <f>(AB289-$AJ$15)/$AK$15</f>
        <v/>
      </c>
      <c r="AD289">
        <f>IF(AC289&gt;0.7,"High",IF(AC289&gt;0.3,"Moderate",IF(AC289&gt;0.15,"Low","No Impact")))</f>
        <v/>
      </c>
      <c r="AE289">
        <f>F289*(N289*1)*(H289*0.35+J289*0.35+L289*0.3)</f>
        <v/>
      </c>
      <c r="AF289">
        <f>(AE289-$AJ$16)/$AK$16</f>
        <v/>
      </c>
      <c r="AG289">
        <f>IF(AF289&gt;0.7,"High",IF(AF289&gt;0.3,"Moderate",IF(AF289&gt;0.15,"Low","No Impact")))</f>
        <v/>
      </c>
    </row>
    <row r="290">
      <c r="A290" t="n">
        <v>400177</v>
      </c>
      <c r="B290" t="inlineStr">
        <is>
          <t>BD400177</t>
        </is>
      </c>
      <c r="C290" t="inlineStr">
        <is>
          <t>Bagerhat</t>
        </is>
      </c>
      <c r="D290" t="inlineStr">
        <is>
          <t>Sarankhola</t>
        </is>
      </c>
      <c r="E290" s="3" t="n">
        <v>6.9</v>
      </c>
      <c r="F290" s="4">
        <f>(E290-$AJ$5)/$AK$5</f>
        <v/>
      </c>
      <c r="G290" t="n">
        <v>142.6683348</v>
      </c>
      <c r="H290">
        <f>(G290-$AJ$6)/$AK$6</f>
        <v/>
      </c>
      <c r="I290" t="n">
        <v>45.4</v>
      </c>
      <c r="J290" s="4">
        <f>(I290-$AJ$7)/$AK$7</f>
        <v/>
      </c>
      <c r="K290" t="n">
        <v>2.4</v>
      </c>
      <c r="L290" s="4">
        <f>(K290-$AJ$8)/$AK$8</f>
        <v/>
      </c>
      <c r="M290" t="n">
        <v>16547</v>
      </c>
      <c r="N290">
        <f>(M290-$AJ$9)/$AK$9</f>
        <v/>
      </c>
      <c r="O290" t="n">
        <v>0.696033775</v>
      </c>
      <c r="P290">
        <f>(O290-$AJ$11)/$AK$11</f>
        <v/>
      </c>
      <c r="Q290" t="n">
        <v>0.3664</v>
      </c>
      <c r="R290">
        <f>(Q290-$AJ$12)/$AK$12</f>
        <v/>
      </c>
      <c r="S290">
        <f>F290*(R290*0.5+P290*0.5)*(H290*0.35+J290*0.35+L290*0.3)</f>
        <v/>
      </c>
      <c r="T290" s="14">
        <f>(S290-$AJ$10)/$AK$10</f>
        <v/>
      </c>
      <c r="U290">
        <f>IF(T290&gt;0.7,"High",IF(T290&gt;0.3,"Moderate",IF(T290&gt;0.15,"Low","No Impact")))</f>
        <v/>
      </c>
      <c r="V290">
        <f>F290*(R290*1)*(H290*0.35+J290*0.35+L290*0.3)</f>
        <v/>
      </c>
      <c r="W290">
        <f>(V290-$AJ$13)/$AK$13</f>
        <v/>
      </c>
      <c r="X290">
        <f>IF(W290&gt;0.7,"High",IF(W290&gt;0.3,"Moderate",IF(W290&gt;0.15,"Low","No Impact")))</f>
        <v/>
      </c>
      <c r="Y290">
        <f>F290*(P290*1)*(H290*0.35+J290*0.35+L290*0.3)</f>
        <v/>
      </c>
      <c r="Z290">
        <f>(Y290-$AJ$14)/$AK$14</f>
        <v/>
      </c>
      <c r="AA290">
        <f>IF(Z290&gt;0.7,"High",IF(Z290&gt;0.3,"Moderate",IF(Z290&gt;0.15,"Low","No Impact")))</f>
        <v/>
      </c>
      <c r="AB290">
        <f>F290*(R290*0.35+P290*0.3+N290*0.35)*(H290*0.35+J290*0.35+L290*0.3)</f>
        <v/>
      </c>
      <c r="AC290">
        <f>(AB290-$AJ$15)/$AK$15</f>
        <v/>
      </c>
      <c r="AD290">
        <f>IF(AC290&gt;0.7,"High",IF(AC290&gt;0.3,"Moderate",IF(AC290&gt;0.15,"Low","No Impact")))</f>
        <v/>
      </c>
      <c r="AE290">
        <f>F290*(N290*1)*(H290*0.35+J290*0.35+L290*0.3)</f>
        <v/>
      </c>
      <c r="AF290">
        <f>(AE290-$AJ$16)/$AK$16</f>
        <v/>
      </c>
      <c r="AG290">
        <f>IF(AF290&gt;0.7,"High",IF(AF290&gt;0.3,"Moderate",IF(AF290&gt;0.15,"Low","No Impact")))</f>
        <v/>
      </c>
    </row>
    <row r="291">
      <c r="A291" t="n">
        <v>401807</v>
      </c>
      <c r="B291" t="inlineStr">
        <is>
          <t>BD401807</t>
        </is>
      </c>
      <c r="C291" t="inlineStr">
        <is>
          <t>Chuadanga</t>
        </is>
      </c>
      <c r="D291" t="inlineStr">
        <is>
          <t>Alamdanga</t>
        </is>
      </c>
      <c r="E291" s="3" t="n">
        <v>6.3</v>
      </c>
      <c r="F291" s="4">
        <f>(E291-$AJ$5)/$AK$5</f>
        <v/>
      </c>
      <c r="G291" t="n">
        <v>112.2019272</v>
      </c>
      <c r="H291">
        <f>(G291-$AJ$6)/$AK$6</f>
        <v/>
      </c>
      <c r="I291" t="n">
        <v>23.1</v>
      </c>
      <c r="J291" s="4">
        <f>(I291-$AJ$7)/$AK$7</f>
        <v/>
      </c>
      <c r="K291" t="n">
        <v>0</v>
      </c>
      <c r="L291" s="4">
        <f>(K291-$AJ$8)/$AK$8</f>
        <v/>
      </c>
      <c r="M291" t="n">
        <v>51862</v>
      </c>
      <c r="N291">
        <f>(M291-$AJ$9)/$AK$9</f>
        <v/>
      </c>
      <c r="O291" t="n">
        <v>0.580412304</v>
      </c>
      <c r="P291">
        <f>(O291-$AJ$11)/$AK$11</f>
        <v/>
      </c>
      <c r="Q291" t="n">
        <v>0.2145</v>
      </c>
      <c r="R291">
        <f>(Q291-$AJ$12)/$AK$12</f>
        <v/>
      </c>
      <c r="S291">
        <f>F291*(R291*0.5+P291*0.5)*(H291*0.35+J291*0.35+L291*0.3)</f>
        <v/>
      </c>
      <c r="T291" s="14">
        <f>(S291-$AJ$10)/$AK$10</f>
        <v/>
      </c>
      <c r="U291">
        <f>IF(T291&gt;0.7,"High",IF(T291&gt;0.3,"Moderate",IF(T291&gt;0.15,"Low","No Impact")))</f>
        <v/>
      </c>
      <c r="V291">
        <f>F291*(R291*1)*(H291*0.35+J291*0.35+L291*0.3)</f>
        <v/>
      </c>
      <c r="W291">
        <f>(V291-$AJ$13)/$AK$13</f>
        <v/>
      </c>
      <c r="X291">
        <f>IF(W291&gt;0.7,"High",IF(W291&gt;0.3,"Moderate",IF(W291&gt;0.15,"Low","No Impact")))</f>
        <v/>
      </c>
      <c r="Y291">
        <f>F291*(P291*1)*(H291*0.35+J291*0.35+L291*0.3)</f>
        <v/>
      </c>
      <c r="Z291">
        <f>(Y291-$AJ$14)/$AK$14</f>
        <v/>
      </c>
      <c r="AA291">
        <f>IF(Z291&gt;0.7,"High",IF(Z291&gt;0.3,"Moderate",IF(Z291&gt;0.15,"Low","No Impact")))</f>
        <v/>
      </c>
      <c r="AB291">
        <f>F291*(R291*0.35+P291*0.3+N291*0.35)*(H291*0.35+J291*0.35+L291*0.3)</f>
        <v/>
      </c>
      <c r="AC291">
        <f>(AB291-$AJ$15)/$AK$15</f>
        <v/>
      </c>
      <c r="AD291">
        <f>IF(AC291&gt;0.7,"High",IF(AC291&gt;0.3,"Moderate",IF(AC291&gt;0.15,"Low","No Impact")))</f>
        <v/>
      </c>
      <c r="AE291">
        <f>F291*(N291*1)*(H291*0.35+J291*0.35+L291*0.3)</f>
        <v/>
      </c>
      <c r="AF291">
        <f>(AE291-$AJ$16)/$AK$16</f>
        <v/>
      </c>
      <c r="AG291">
        <f>IF(AF291&gt;0.7,"High",IF(AF291&gt;0.3,"Moderate",IF(AF291&gt;0.15,"Low","No Impact")))</f>
        <v/>
      </c>
    </row>
    <row r="292">
      <c r="A292" t="n">
        <v>401823</v>
      </c>
      <c r="B292" t="inlineStr">
        <is>
          <t>BD401823</t>
        </is>
      </c>
      <c r="C292" t="inlineStr">
        <is>
          <t>Chuadanga</t>
        </is>
      </c>
      <c r="D292" t="inlineStr">
        <is>
          <t>Chuadanga Sadar</t>
        </is>
      </c>
      <c r="E292" s="3" t="n">
        <v>6.3</v>
      </c>
      <c r="F292" s="4">
        <f>(E292-$AJ$5)/$AK$5</f>
        <v/>
      </c>
      <c r="G292" t="n">
        <v>112.5077868</v>
      </c>
      <c r="H292">
        <f>(G292-$AJ$6)/$AK$6</f>
        <v/>
      </c>
      <c r="I292" t="n">
        <v>24.6</v>
      </c>
      <c r="J292" s="4">
        <f>(I292-$AJ$7)/$AK$7</f>
        <v/>
      </c>
      <c r="K292" t="n">
        <v>0</v>
      </c>
      <c r="L292" s="4">
        <f>(K292-$AJ$8)/$AK$8</f>
        <v/>
      </c>
      <c r="M292" t="n">
        <v>55839</v>
      </c>
      <c r="N292">
        <f>(M292-$AJ$9)/$AK$9</f>
        <v/>
      </c>
      <c r="O292" t="n">
        <v>0.565070364</v>
      </c>
      <c r="P292">
        <f>(O292-$AJ$11)/$AK$11</f>
        <v/>
      </c>
      <c r="Q292" t="n">
        <v>0.2154</v>
      </c>
      <c r="R292">
        <f>(Q292-$AJ$12)/$AK$12</f>
        <v/>
      </c>
      <c r="S292">
        <f>F292*(R292*0.5+P292*0.5)*(H292*0.35+J292*0.35+L292*0.3)</f>
        <v/>
      </c>
      <c r="T292" s="14">
        <f>(S292-$AJ$10)/$AK$10</f>
        <v/>
      </c>
      <c r="U292">
        <f>IF(T292&gt;0.7,"High",IF(T292&gt;0.3,"Moderate",IF(T292&gt;0.15,"Low","No Impact")))</f>
        <v/>
      </c>
      <c r="V292">
        <f>F292*(R292*1)*(H292*0.35+J292*0.35+L292*0.3)</f>
        <v/>
      </c>
      <c r="W292">
        <f>(V292-$AJ$13)/$AK$13</f>
        <v/>
      </c>
      <c r="X292">
        <f>IF(W292&gt;0.7,"High",IF(W292&gt;0.3,"Moderate",IF(W292&gt;0.15,"Low","No Impact")))</f>
        <v/>
      </c>
      <c r="Y292">
        <f>F292*(P292*1)*(H292*0.35+J292*0.35+L292*0.3)</f>
        <v/>
      </c>
      <c r="Z292">
        <f>(Y292-$AJ$14)/$AK$14</f>
        <v/>
      </c>
      <c r="AA292">
        <f>IF(Z292&gt;0.7,"High",IF(Z292&gt;0.3,"Moderate",IF(Z292&gt;0.15,"Low","No Impact")))</f>
        <v/>
      </c>
      <c r="AB292">
        <f>F292*(R292*0.35+P292*0.3+N292*0.35)*(H292*0.35+J292*0.35+L292*0.3)</f>
        <v/>
      </c>
      <c r="AC292">
        <f>(AB292-$AJ$15)/$AK$15</f>
        <v/>
      </c>
      <c r="AD292">
        <f>IF(AC292&gt;0.7,"High",IF(AC292&gt;0.3,"Moderate",IF(AC292&gt;0.15,"Low","No Impact")))</f>
        <v/>
      </c>
      <c r="AE292">
        <f>F292*(N292*1)*(H292*0.35+J292*0.35+L292*0.3)</f>
        <v/>
      </c>
      <c r="AF292">
        <f>(AE292-$AJ$16)/$AK$16</f>
        <v/>
      </c>
      <c r="AG292">
        <f>IF(AF292&gt;0.7,"High",IF(AF292&gt;0.3,"Moderate",IF(AF292&gt;0.15,"Low","No Impact")))</f>
        <v/>
      </c>
    </row>
    <row r="293">
      <c r="A293" t="n">
        <v>401831</v>
      </c>
      <c r="B293" t="inlineStr">
        <is>
          <t>BD401831</t>
        </is>
      </c>
      <c r="C293" t="inlineStr">
        <is>
          <t>Chuadanga</t>
        </is>
      </c>
      <c r="D293" t="inlineStr">
        <is>
          <t>Damurhuda</t>
        </is>
      </c>
      <c r="E293" s="3" t="n">
        <v>5.7</v>
      </c>
      <c r="F293" s="4">
        <f>(E293-$AJ$5)/$AK$5</f>
        <v/>
      </c>
      <c r="G293" t="n">
        <v>112.5077868</v>
      </c>
      <c r="H293">
        <f>(G293-$AJ$6)/$AK$6</f>
        <v/>
      </c>
      <c r="I293" t="n">
        <v>24.3</v>
      </c>
      <c r="J293" s="4">
        <f>(I293-$AJ$7)/$AK$7</f>
        <v/>
      </c>
      <c r="K293" t="n">
        <v>0</v>
      </c>
      <c r="L293" s="4">
        <f>(K293-$AJ$8)/$AK$8</f>
        <v/>
      </c>
      <c r="M293" t="n">
        <v>46381</v>
      </c>
      <c r="N293">
        <f>(M293-$AJ$9)/$AK$9</f>
        <v/>
      </c>
      <c r="O293" t="n">
        <v>0.424881982</v>
      </c>
      <c r="P293">
        <f>(O293-$AJ$11)/$AK$11</f>
        <v/>
      </c>
      <c r="Q293" t="n">
        <v>0.2279</v>
      </c>
      <c r="R293">
        <f>(Q293-$AJ$12)/$AK$12</f>
        <v/>
      </c>
      <c r="S293">
        <f>F293*(R293*0.5+P293*0.5)*(H293*0.35+J293*0.35+L293*0.3)</f>
        <v/>
      </c>
      <c r="T293" s="14">
        <f>(S293-$AJ$10)/$AK$10</f>
        <v/>
      </c>
      <c r="U293">
        <f>IF(T293&gt;0.7,"High",IF(T293&gt;0.3,"Moderate",IF(T293&gt;0.15,"Low","No Impact")))</f>
        <v/>
      </c>
      <c r="V293">
        <f>F293*(R293*1)*(H293*0.35+J293*0.35+L293*0.3)</f>
        <v/>
      </c>
      <c r="W293">
        <f>(V293-$AJ$13)/$AK$13</f>
        <v/>
      </c>
      <c r="X293">
        <f>IF(W293&gt;0.7,"High",IF(W293&gt;0.3,"Moderate",IF(W293&gt;0.15,"Low","No Impact")))</f>
        <v/>
      </c>
      <c r="Y293">
        <f>F293*(P293*1)*(H293*0.35+J293*0.35+L293*0.3)</f>
        <v/>
      </c>
      <c r="Z293">
        <f>(Y293-$AJ$14)/$AK$14</f>
        <v/>
      </c>
      <c r="AA293">
        <f>IF(Z293&gt;0.7,"High",IF(Z293&gt;0.3,"Moderate",IF(Z293&gt;0.15,"Low","No Impact")))</f>
        <v/>
      </c>
      <c r="AB293">
        <f>F293*(R293*0.35+P293*0.3+N293*0.35)*(H293*0.35+J293*0.35+L293*0.3)</f>
        <v/>
      </c>
      <c r="AC293">
        <f>(AB293-$AJ$15)/$AK$15</f>
        <v/>
      </c>
      <c r="AD293">
        <f>IF(AC293&gt;0.7,"High",IF(AC293&gt;0.3,"Moderate",IF(AC293&gt;0.15,"Low","No Impact")))</f>
        <v/>
      </c>
      <c r="AE293">
        <f>F293*(N293*1)*(H293*0.35+J293*0.35+L293*0.3)</f>
        <v/>
      </c>
      <c r="AF293">
        <f>(AE293-$AJ$16)/$AK$16</f>
        <v/>
      </c>
      <c r="AG293">
        <f>IF(AF293&gt;0.7,"High",IF(AF293&gt;0.3,"Moderate",IF(AF293&gt;0.15,"Low","No Impact")))</f>
        <v/>
      </c>
    </row>
    <row r="294">
      <c r="A294" t="n">
        <v>401855</v>
      </c>
      <c r="B294" t="inlineStr">
        <is>
          <t>BD401855</t>
        </is>
      </c>
      <c r="C294" t="inlineStr">
        <is>
          <t>Chuadanga</t>
        </is>
      </c>
      <c r="D294" t="inlineStr">
        <is>
          <t>Jiban Nagar</t>
        </is>
      </c>
      <c r="E294" s="3" t="n">
        <v>6.3</v>
      </c>
      <c r="F294" s="4">
        <f>(E294-$AJ$5)/$AK$5</f>
        <v/>
      </c>
      <c r="G294" t="n">
        <v>125.3995848</v>
      </c>
      <c r="H294">
        <f>(G294-$AJ$6)/$AK$6</f>
        <v/>
      </c>
      <c r="I294" t="n">
        <v>31.20000000000001</v>
      </c>
      <c r="J294" s="4">
        <f>(I294-$AJ$7)/$AK$7</f>
        <v/>
      </c>
      <c r="K294" t="n">
        <v>0</v>
      </c>
      <c r="L294" s="4">
        <f>(K294-$AJ$8)/$AK$8</f>
        <v/>
      </c>
      <c r="M294" t="n">
        <v>28593</v>
      </c>
      <c r="N294">
        <f>(M294-$AJ$9)/$AK$9</f>
        <v/>
      </c>
      <c r="O294" t="n">
        <v>0.422394087</v>
      </c>
      <c r="P294">
        <f>(O294-$AJ$11)/$AK$11</f>
        <v/>
      </c>
      <c r="Q294" t="n">
        <v>0.2515</v>
      </c>
      <c r="R294">
        <f>(Q294-$AJ$12)/$AK$12</f>
        <v/>
      </c>
      <c r="S294">
        <f>F294*(R294*0.5+P294*0.5)*(H294*0.35+J294*0.35+L294*0.3)</f>
        <v/>
      </c>
      <c r="T294" s="14">
        <f>(S294-$AJ$10)/$AK$10</f>
        <v/>
      </c>
      <c r="U294">
        <f>IF(T294&gt;0.7,"High",IF(T294&gt;0.3,"Moderate",IF(T294&gt;0.15,"Low","No Impact")))</f>
        <v/>
      </c>
      <c r="V294">
        <f>F294*(R294*1)*(H294*0.35+J294*0.35+L294*0.3)</f>
        <v/>
      </c>
      <c r="W294">
        <f>(V294-$AJ$13)/$AK$13</f>
        <v/>
      </c>
      <c r="X294">
        <f>IF(W294&gt;0.7,"High",IF(W294&gt;0.3,"Moderate",IF(W294&gt;0.15,"Low","No Impact")))</f>
        <v/>
      </c>
      <c r="Y294">
        <f>F294*(P294*1)*(H294*0.35+J294*0.35+L294*0.3)</f>
        <v/>
      </c>
      <c r="Z294">
        <f>(Y294-$AJ$14)/$AK$14</f>
        <v/>
      </c>
      <c r="AA294">
        <f>IF(Z294&gt;0.7,"High",IF(Z294&gt;0.3,"Moderate",IF(Z294&gt;0.15,"Low","No Impact")))</f>
        <v/>
      </c>
      <c r="AB294">
        <f>F294*(R294*0.35+P294*0.3+N294*0.35)*(H294*0.35+J294*0.35+L294*0.3)</f>
        <v/>
      </c>
      <c r="AC294">
        <f>(AB294-$AJ$15)/$AK$15</f>
        <v/>
      </c>
      <c r="AD294">
        <f>IF(AC294&gt;0.7,"High",IF(AC294&gt;0.3,"Moderate",IF(AC294&gt;0.15,"Low","No Impact")))</f>
        <v/>
      </c>
      <c r="AE294">
        <f>F294*(N294*1)*(H294*0.35+J294*0.35+L294*0.3)</f>
        <v/>
      </c>
      <c r="AF294">
        <f>(AE294-$AJ$16)/$AK$16</f>
        <v/>
      </c>
      <c r="AG294">
        <f>IF(AF294&gt;0.7,"High",IF(AF294&gt;0.3,"Moderate",IF(AF294&gt;0.15,"Low","No Impact")))</f>
        <v/>
      </c>
    </row>
    <row r="295">
      <c r="A295" t="n">
        <v>404104</v>
      </c>
      <c r="B295" t="inlineStr">
        <is>
          <t>BD404104</t>
        </is>
      </c>
      <c r="C295" t="inlineStr">
        <is>
          <t>Jessore</t>
        </is>
      </c>
      <c r="D295" t="inlineStr">
        <is>
          <t>Abhaynagar</t>
        </is>
      </c>
      <c r="E295" s="3" t="n">
        <v>5.8</v>
      </c>
      <c r="F295" s="4">
        <f>(E295-$AJ$5)/$AK$5</f>
        <v/>
      </c>
      <c r="G295" t="n">
        <v>127.058958</v>
      </c>
      <c r="H295">
        <f>(G295-$AJ$6)/$AK$6</f>
        <v/>
      </c>
      <c r="I295" t="n">
        <v>44.7</v>
      </c>
      <c r="J295" s="4">
        <f>(I295-$AJ$7)/$AK$7</f>
        <v/>
      </c>
      <c r="K295" t="n">
        <v>0</v>
      </c>
      <c r="L295" s="4">
        <f>(K295-$AJ$8)/$AK$8</f>
        <v/>
      </c>
      <c r="M295" t="n">
        <v>51104</v>
      </c>
      <c r="N295">
        <f>(M295-$AJ$9)/$AK$9</f>
        <v/>
      </c>
      <c r="O295" t="n">
        <v>0.400401397</v>
      </c>
      <c r="P295">
        <f>(O295-$AJ$11)/$AK$11</f>
        <v/>
      </c>
      <c r="Q295" t="n">
        <v>0.2404</v>
      </c>
      <c r="R295">
        <f>(Q295-$AJ$12)/$AK$12</f>
        <v/>
      </c>
      <c r="S295">
        <f>F295*(R295*0.5+P295*0.5)*(H295*0.35+J295*0.35+L295*0.3)</f>
        <v/>
      </c>
      <c r="T295" s="14">
        <f>(S295-$AJ$10)/$AK$10</f>
        <v/>
      </c>
      <c r="U295">
        <f>IF(T295&gt;0.7,"High",IF(T295&gt;0.3,"Moderate",IF(T295&gt;0.15,"Low","No Impact")))</f>
        <v/>
      </c>
      <c r="V295">
        <f>F295*(R295*1)*(H295*0.35+J295*0.35+L295*0.3)</f>
        <v/>
      </c>
      <c r="W295">
        <f>(V295-$AJ$13)/$AK$13</f>
        <v/>
      </c>
      <c r="X295">
        <f>IF(W295&gt;0.7,"High",IF(W295&gt;0.3,"Moderate",IF(W295&gt;0.15,"Low","No Impact")))</f>
        <v/>
      </c>
      <c r="Y295">
        <f>F295*(P295*1)*(H295*0.35+J295*0.35+L295*0.3)</f>
        <v/>
      </c>
      <c r="Z295">
        <f>(Y295-$AJ$14)/$AK$14</f>
        <v/>
      </c>
      <c r="AA295">
        <f>IF(Z295&gt;0.7,"High",IF(Z295&gt;0.3,"Moderate",IF(Z295&gt;0.15,"Low","No Impact")))</f>
        <v/>
      </c>
      <c r="AB295">
        <f>F295*(R295*0.35+P295*0.3+N295*0.35)*(H295*0.35+J295*0.35+L295*0.3)</f>
        <v/>
      </c>
      <c r="AC295">
        <f>(AB295-$AJ$15)/$AK$15</f>
        <v/>
      </c>
      <c r="AD295">
        <f>IF(AC295&gt;0.7,"High",IF(AC295&gt;0.3,"Moderate",IF(AC295&gt;0.15,"Low","No Impact")))</f>
        <v/>
      </c>
      <c r="AE295">
        <f>F295*(N295*1)*(H295*0.35+J295*0.35+L295*0.3)</f>
        <v/>
      </c>
      <c r="AF295">
        <f>(AE295-$AJ$16)/$AK$16</f>
        <v/>
      </c>
      <c r="AG295">
        <f>IF(AF295&gt;0.7,"High",IF(AF295&gt;0.3,"Moderate",IF(AF295&gt;0.15,"Low","No Impact")))</f>
        <v/>
      </c>
    </row>
    <row r="296">
      <c r="A296" t="n">
        <v>404109</v>
      </c>
      <c r="B296" t="inlineStr">
        <is>
          <t>BD404109</t>
        </is>
      </c>
      <c r="C296" t="inlineStr">
        <is>
          <t>Jessore</t>
        </is>
      </c>
      <c r="D296" t="inlineStr">
        <is>
          <t>Bagher Para</t>
        </is>
      </c>
      <c r="E296" s="3" t="n">
        <v>5.7</v>
      </c>
      <c r="F296" s="4">
        <f>(E296-$AJ$5)/$AK$5</f>
        <v/>
      </c>
      <c r="G296" t="n">
        <v>126.03591</v>
      </c>
      <c r="H296">
        <f>(G296-$AJ$6)/$AK$6</f>
        <v/>
      </c>
      <c r="I296" t="n">
        <v>40.8</v>
      </c>
      <c r="J296" s="4">
        <f>(I296-$AJ$7)/$AK$7</f>
        <v/>
      </c>
      <c r="K296" t="n">
        <v>0</v>
      </c>
      <c r="L296" s="4">
        <f>(K296-$AJ$8)/$AK$8</f>
        <v/>
      </c>
      <c r="M296" t="n">
        <v>40351</v>
      </c>
      <c r="N296">
        <f>(M296-$AJ$9)/$AK$9</f>
        <v/>
      </c>
      <c r="O296" t="n">
        <v>0.259917757</v>
      </c>
      <c r="P296">
        <f>(O296-$AJ$11)/$AK$11</f>
        <v/>
      </c>
      <c r="Q296" t="n">
        <v>0.2746</v>
      </c>
      <c r="R296">
        <f>(Q296-$AJ$12)/$AK$12</f>
        <v/>
      </c>
      <c r="S296">
        <f>F296*(R296*0.5+P296*0.5)*(H296*0.35+J296*0.35+L296*0.3)</f>
        <v/>
      </c>
      <c r="T296" s="14">
        <f>(S296-$AJ$10)/$AK$10</f>
        <v/>
      </c>
      <c r="U296">
        <f>IF(T296&gt;0.7,"High",IF(T296&gt;0.3,"Moderate",IF(T296&gt;0.15,"Low","No Impact")))</f>
        <v/>
      </c>
      <c r="V296">
        <f>F296*(R296*1)*(H296*0.35+J296*0.35+L296*0.3)</f>
        <v/>
      </c>
      <c r="W296">
        <f>(V296-$AJ$13)/$AK$13</f>
        <v/>
      </c>
      <c r="X296">
        <f>IF(W296&gt;0.7,"High",IF(W296&gt;0.3,"Moderate",IF(W296&gt;0.15,"Low","No Impact")))</f>
        <v/>
      </c>
      <c r="Y296">
        <f>F296*(P296*1)*(H296*0.35+J296*0.35+L296*0.3)</f>
        <v/>
      </c>
      <c r="Z296">
        <f>(Y296-$AJ$14)/$AK$14</f>
        <v/>
      </c>
      <c r="AA296">
        <f>IF(Z296&gt;0.7,"High",IF(Z296&gt;0.3,"Moderate",IF(Z296&gt;0.15,"Low","No Impact")))</f>
        <v/>
      </c>
      <c r="AB296">
        <f>F296*(R296*0.35+P296*0.3+N296*0.35)*(H296*0.35+J296*0.35+L296*0.3)</f>
        <v/>
      </c>
      <c r="AC296">
        <f>(AB296-$AJ$15)/$AK$15</f>
        <v/>
      </c>
      <c r="AD296">
        <f>IF(AC296&gt;0.7,"High",IF(AC296&gt;0.3,"Moderate",IF(AC296&gt;0.15,"Low","No Impact")))</f>
        <v/>
      </c>
      <c r="AE296">
        <f>F296*(N296*1)*(H296*0.35+J296*0.35+L296*0.3)</f>
        <v/>
      </c>
      <c r="AF296">
        <f>(AE296-$AJ$16)/$AK$16</f>
        <v/>
      </c>
      <c r="AG296">
        <f>IF(AF296&gt;0.7,"High",IF(AF296&gt;0.3,"Moderate",IF(AF296&gt;0.15,"Low","No Impact")))</f>
        <v/>
      </c>
    </row>
    <row r="297">
      <c r="A297" t="n">
        <v>404111</v>
      </c>
      <c r="B297" t="inlineStr">
        <is>
          <t>BD404111</t>
        </is>
      </c>
      <c r="C297" t="inlineStr">
        <is>
          <t>Jessore</t>
        </is>
      </c>
      <c r="D297" t="inlineStr">
        <is>
          <t>Chaugachha</t>
        </is>
      </c>
      <c r="E297" s="3" t="n">
        <v>5.8</v>
      </c>
      <c r="F297" s="4">
        <f>(E297-$AJ$5)/$AK$5</f>
        <v/>
      </c>
      <c r="G297" t="n">
        <v>129.9030984</v>
      </c>
      <c r="H297">
        <f>(G297-$AJ$6)/$AK$6</f>
        <v/>
      </c>
      <c r="I297" t="n">
        <v>41</v>
      </c>
      <c r="J297" s="4">
        <f>(I297-$AJ$7)/$AK$7</f>
        <v/>
      </c>
      <c r="K297" t="n">
        <v>0</v>
      </c>
      <c r="L297" s="4">
        <f>(K297-$AJ$8)/$AK$8</f>
        <v/>
      </c>
      <c r="M297" t="n">
        <v>18322</v>
      </c>
      <c r="N297">
        <f>(M297-$AJ$9)/$AK$9</f>
        <v/>
      </c>
      <c r="O297" t="n">
        <v>0.458615265</v>
      </c>
      <c r="P297">
        <f>(O297-$AJ$11)/$AK$11</f>
        <v/>
      </c>
      <c r="Q297" t="n">
        <v>0.2533</v>
      </c>
      <c r="R297">
        <f>(Q297-$AJ$12)/$AK$12</f>
        <v/>
      </c>
      <c r="S297">
        <f>F297*(R297*0.5+P297*0.5)*(H297*0.35+J297*0.35+L297*0.3)</f>
        <v/>
      </c>
      <c r="T297" s="14">
        <f>(S297-$AJ$10)/$AK$10</f>
        <v/>
      </c>
      <c r="U297">
        <f>IF(T297&gt;0.7,"High",IF(T297&gt;0.3,"Moderate",IF(T297&gt;0.15,"Low","No Impact")))</f>
        <v/>
      </c>
      <c r="V297">
        <f>F297*(R297*1)*(H297*0.35+J297*0.35+L297*0.3)</f>
        <v/>
      </c>
      <c r="W297">
        <f>(V297-$AJ$13)/$AK$13</f>
        <v/>
      </c>
      <c r="X297">
        <f>IF(W297&gt;0.7,"High",IF(W297&gt;0.3,"Moderate",IF(W297&gt;0.15,"Low","No Impact")))</f>
        <v/>
      </c>
      <c r="Y297">
        <f>F297*(P297*1)*(H297*0.35+J297*0.35+L297*0.3)</f>
        <v/>
      </c>
      <c r="Z297">
        <f>(Y297-$AJ$14)/$AK$14</f>
        <v/>
      </c>
      <c r="AA297">
        <f>IF(Z297&gt;0.7,"High",IF(Z297&gt;0.3,"Moderate",IF(Z297&gt;0.15,"Low","No Impact")))</f>
        <v/>
      </c>
      <c r="AB297">
        <f>F297*(R297*0.35+P297*0.3+N297*0.35)*(H297*0.35+J297*0.35+L297*0.3)</f>
        <v/>
      </c>
      <c r="AC297">
        <f>(AB297-$AJ$15)/$AK$15</f>
        <v/>
      </c>
      <c r="AD297">
        <f>IF(AC297&gt;0.7,"High",IF(AC297&gt;0.3,"Moderate",IF(AC297&gt;0.15,"Low","No Impact")))</f>
        <v/>
      </c>
      <c r="AE297">
        <f>F297*(N297*1)*(H297*0.35+J297*0.35+L297*0.3)</f>
        <v/>
      </c>
      <c r="AF297">
        <f>(AE297-$AJ$16)/$AK$16</f>
        <v/>
      </c>
      <c r="AG297">
        <f>IF(AF297&gt;0.7,"High",IF(AF297&gt;0.3,"Moderate",IF(AF297&gt;0.15,"Low","No Impact")))</f>
        <v/>
      </c>
    </row>
    <row r="298">
      <c r="A298" t="n">
        <v>404123</v>
      </c>
      <c r="B298" t="inlineStr">
        <is>
          <t>BD404123</t>
        </is>
      </c>
      <c r="C298" t="inlineStr">
        <is>
          <t>Jessore</t>
        </is>
      </c>
      <c r="D298" t="inlineStr">
        <is>
          <t>Jhikargachha</t>
        </is>
      </c>
      <c r="E298" s="3" t="n">
        <v>5.8</v>
      </c>
      <c r="F298" s="4">
        <f>(E298-$AJ$5)/$AK$5</f>
        <v/>
      </c>
      <c r="G298" t="n">
        <v>133.773804</v>
      </c>
      <c r="H298">
        <f>(G298-$AJ$6)/$AK$6</f>
        <v/>
      </c>
      <c r="I298" t="n">
        <v>41.99999999999999</v>
      </c>
      <c r="J298" s="4">
        <f>(I298-$AJ$7)/$AK$7</f>
        <v/>
      </c>
      <c r="K298" t="n">
        <v>0</v>
      </c>
      <c r="L298" s="4">
        <f>(K298-$AJ$8)/$AK$8</f>
        <v/>
      </c>
      <c r="M298" t="n">
        <v>65394</v>
      </c>
      <c r="N298">
        <f>(M298-$AJ$9)/$AK$9</f>
        <v/>
      </c>
      <c r="O298" t="n">
        <v>0.273591489</v>
      </c>
      <c r="P298">
        <f>(O298-$AJ$11)/$AK$11</f>
        <v/>
      </c>
      <c r="Q298" t="n">
        <v>0.2699</v>
      </c>
      <c r="R298">
        <f>(Q298-$AJ$12)/$AK$12</f>
        <v/>
      </c>
      <c r="S298">
        <f>F298*(R298*0.5+P298*0.5)*(H298*0.35+J298*0.35+L298*0.3)</f>
        <v/>
      </c>
      <c r="T298" s="14">
        <f>(S298-$AJ$10)/$AK$10</f>
        <v/>
      </c>
      <c r="U298">
        <f>IF(T298&gt;0.7,"High",IF(T298&gt;0.3,"Moderate",IF(T298&gt;0.15,"Low","No Impact")))</f>
        <v/>
      </c>
      <c r="V298">
        <f>F298*(R298*1)*(H298*0.35+J298*0.35+L298*0.3)</f>
        <v/>
      </c>
      <c r="W298">
        <f>(V298-$AJ$13)/$AK$13</f>
        <v/>
      </c>
      <c r="X298">
        <f>IF(W298&gt;0.7,"High",IF(W298&gt;0.3,"Moderate",IF(W298&gt;0.15,"Low","No Impact")))</f>
        <v/>
      </c>
      <c r="Y298">
        <f>F298*(P298*1)*(H298*0.35+J298*0.35+L298*0.3)</f>
        <v/>
      </c>
      <c r="Z298">
        <f>(Y298-$AJ$14)/$AK$14</f>
        <v/>
      </c>
      <c r="AA298">
        <f>IF(Z298&gt;0.7,"High",IF(Z298&gt;0.3,"Moderate",IF(Z298&gt;0.15,"Low","No Impact")))</f>
        <v/>
      </c>
      <c r="AB298">
        <f>F298*(R298*0.35+P298*0.3+N298*0.35)*(H298*0.35+J298*0.35+L298*0.3)</f>
        <v/>
      </c>
      <c r="AC298">
        <f>(AB298-$AJ$15)/$AK$15</f>
        <v/>
      </c>
      <c r="AD298">
        <f>IF(AC298&gt;0.7,"High",IF(AC298&gt;0.3,"Moderate",IF(AC298&gt;0.15,"Low","No Impact")))</f>
        <v/>
      </c>
      <c r="AE298">
        <f>F298*(N298*1)*(H298*0.35+J298*0.35+L298*0.3)</f>
        <v/>
      </c>
      <c r="AF298">
        <f>(AE298-$AJ$16)/$AK$16</f>
        <v/>
      </c>
      <c r="AG298">
        <f>IF(AF298&gt;0.7,"High",IF(AF298&gt;0.3,"Moderate",IF(AF298&gt;0.15,"Low","No Impact")))</f>
        <v/>
      </c>
    </row>
    <row r="299">
      <c r="A299" t="n">
        <v>404138</v>
      </c>
      <c r="B299" t="inlineStr">
        <is>
          <t>BD404138</t>
        </is>
      </c>
      <c r="C299" t="inlineStr">
        <is>
          <t>Jessore</t>
        </is>
      </c>
      <c r="D299" t="inlineStr">
        <is>
          <t>Keshabpur</t>
        </is>
      </c>
      <c r="E299" s="3" t="n">
        <v>5.8</v>
      </c>
      <c r="F299" s="4">
        <f>(E299-$AJ$5)/$AK$5</f>
        <v/>
      </c>
      <c r="G299" t="n">
        <v>139.7011464</v>
      </c>
      <c r="H299">
        <f>(G299-$AJ$6)/$AK$6</f>
        <v/>
      </c>
      <c r="I299" t="n">
        <v>39.3</v>
      </c>
      <c r="J299" s="4">
        <f>(I299-$AJ$7)/$AK$7</f>
        <v/>
      </c>
      <c r="K299" t="n">
        <v>0</v>
      </c>
      <c r="L299" s="4">
        <f>(K299-$AJ$8)/$AK$8</f>
        <v/>
      </c>
      <c r="M299" t="n">
        <v>45853</v>
      </c>
      <c r="N299">
        <f>(M299-$AJ$9)/$AK$9</f>
        <v/>
      </c>
      <c r="O299" t="n">
        <v>0.36480931</v>
      </c>
      <c r="P299">
        <f>(O299-$AJ$11)/$AK$11</f>
        <v/>
      </c>
      <c r="Q299" t="n">
        <v>0.2423</v>
      </c>
      <c r="R299">
        <f>(Q299-$AJ$12)/$AK$12</f>
        <v/>
      </c>
      <c r="S299">
        <f>F299*(R299*0.5+P299*0.5)*(H299*0.35+J299*0.35+L299*0.3)</f>
        <v/>
      </c>
      <c r="T299" s="14">
        <f>(S299-$AJ$10)/$AK$10</f>
        <v/>
      </c>
      <c r="U299">
        <f>IF(T299&gt;0.7,"High",IF(T299&gt;0.3,"Moderate",IF(T299&gt;0.15,"Low","No Impact")))</f>
        <v/>
      </c>
      <c r="V299">
        <f>F299*(R299*1)*(H299*0.35+J299*0.35+L299*0.3)</f>
        <v/>
      </c>
      <c r="W299">
        <f>(V299-$AJ$13)/$AK$13</f>
        <v/>
      </c>
      <c r="X299">
        <f>IF(W299&gt;0.7,"High",IF(W299&gt;0.3,"Moderate",IF(W299&gt;0.15,"Low","No Impact")))</f>
        <v/>
      </c>
      <c r="Y299">
        <f>F299*(P299*1)*(H299*0.35+J299*0.35+L299*0.3)</f>
        <v/>
      </c>
      <c r="Z299">
        <f>(Y299-$AJ$14)/$AK$14</f>
        <v/>
      </c>
      <c r="AA299">
        <f>IF(Z299&gt;0.7,"High",IF(Z299&gt;0.3,"Moderate",IF(Z299&gt;0.15,"Low","No Impact")))</f>
        <v/>
      </c>
      <c r="AB299">
        <f>F299*(R299*0.35+P299*0.3+N299*0.35)*(H299*0.35+J299*0.35+L299*0.3)</f>
        <v/>
      </c>
      <c r="AC299">
        <f>(AB299-$AJ$15)/$AK$15</f>
        <v/>
      </c>
      <c r="AD299">
        <f>IF(AC299&gt;0.7,"High",IF(AC299&gt;0.3,"Moderate",IF(AC299&gt;0.15,"Low","No Impact")))</f>
        <v/>
      </c>
      <c r="AE299">
        <f>F299*(N299*1)*(H299*0.35+J299*0.35+L299*0.3)</f>
        <v/>
      </c>
      <c r="AF299">
        <f>(AE299-$AJ$16)/$AK$16</f>
        <v/>
      </c>
      <c r="AG299">
        <f>IF(AF299&gt;0.7,"High",IF(AF299&gt;0.3,"Moderate",IF(AF299&gt;0.15,"Low","No Impact")))</f>
        <v/>
      </c>
    </row>
    <row r="300">
      <c r="A300" t="n">
        <v>404147</v>
      </c>
      <c r="B300" t="inlineStr">
        <is>
          <t>BD404147</t>
        </is>
      </c>
      <c r="C300" t="inlineStr">
        <is>
          <t>Jessore</t>
        </is>
      </c>
      <c r="D300" t="inlineStr">
        <is>
          <t>Kotwali</t>
        </is>
      </c>
      <c r="E300" s="3" t="n">
        <v>5.8</v>
      </c>
      <c r="F300" s="4">
        <f>(E300-$AJ$5)/$AK$5</f>
        <v/>
      </c>
      <c r="G300" t="n">
        <v>129.9030984</v>
      </c>
      <c r="H300">
        <f>(G300-$AJ$6)/$AK$6</f>
        <v/>
      </c>
      <c r="I300" t="n">
        <v>41.99999999999999</v>
      </c>
      <c r="J300" s="4">
        <f>(I300-$AJ$7)/$AK$7</f>
        <v/>
      </c>
      <c r="K300" t="n">
        <v>0</v>
      </c>
      <c r="L300" s="4">
        <f>(K300-$AJ$8)/$AK$8</f>
        <v/>
      </c>
      <c r="M300" t="n">
        <v>77221</v>
      </c>
      <c r="N300">
        <f>(M300-$AJ$9)/$AK$9</f>
        <v/>
      </c>
      <c r="O300" t="n">
        <v>0.291033232</v>
      </c>
      <c r="P300">
        <f>(O300-$AJ$11)/$AK$11</f>
        <v/>
      </c>
      <c r="Q300" t="n">
        <v>0.2423</v>
      </c>
      <c r="R300">
        <f>(Q300-$AJ$12)/$AK$12</f>
        <v/>
      </c>
      <c r="S300">
        <f>F300*(R300*0.5+P300*0.5)*(H300*0.35+J300*0.35+L300*0.3)</f>
        <v/>
      </c>
      <c r="T300" s="14">
        <f>(S300-$AJ$10)/$AK$10</f>
        <v/>
      </c>
      <c r="U300">
        <f>IF(T300&gt;0.7,"High",IF(T300&gt;0.3,"Moderate",IF(T300&gt;0.15,"Low","No Impact")))</f>
        <v/>
      </c>
      <c r="V300">
        <f>F300*(R300*1)*(H300*0.35+J300*0.35+L300*0.3)</f>
        <v/>
      </c>
      <c r="W300">
        <f>(V300-$AJ$13)/$AK$13</f>
        <v/>
      </c>
      <c r="X300">
        <f>IF(W300&gt;0.7,"High",IF(W300&gt;0.3,"Moderate",IF(W300&gt;0.15,"Low","No Impact")))</f>
        <v/>
      </c>
      <c r="Y300">
        <f>F300*(P300*1)*(H300*0.35+J300*0.35+L300*0.3)</f>
        <v/>
      </c>
      <c r="Z300">
        <f>(Y300-$AJ$14)/$AK$14</f>
        <v/>
      </c>
      <c r="AA300">
        <f>IF(Z300&gt;0.7,"High",IF(Z300&gt;0.3,"Moderate",IF(Z300&gt;0.15,"Low","No Impact")))</f>
        <v/>
      </c>
      <c r="AB300">
        <f>F300*(R300*0.35+P300*0.3+N300*0.35)*(H300*0.35+J300*0.35+L300*0.3)</f>
        <v/>
      </c>
      <c r="AC300">
        <f>(AB300-$AJ$15)/$AK$15</f>
        <v/>
      </c>
      <c r="AD300">
        <f>IF(AC300&gt;0.7,"High",IF(AC300&gt;0.3,"Moderate",IF(AC300&gt;0.15,"Low","No Impact")))</f>
        <v/>
      </c>
      <c r="AE300">
        <f>F300*(N300*1)*(H300*0.35+J300*0.35+L300*0.3)</f>
        <v/>
      </c>
      <c r="AF300">
        <f>(AE300-$AJ$16)/$AK$16</f>
        <v/>
      </c>
      <c r="AG300">
        <f>IF(AF300&gt;0.7,"High",IF(AF300&gt;0.3,"Moderate",IF(AF300&gt;0.15,"Low","No Impact")))</f>
        <v/>
      </c>
    </row>
    <row r="301">
      <c r="A301" t="n">
        <v>404161</v>
      </c>
      <c r="B301" t="inlineStr">
        <is>
          <t>BD404161</t>
        </is>
      </c>
      <c r="C301" t="inlineStr">
        <is>
          <t>Jessore</t>
        </is>
      </c>
      <c r="D301" t="inlineStr">
        <is>
          <t>Manirampur</t>
        </is>
      </c>
      <c r="E301" s="3" t="n">
        <v>5.8</v>
      </c>
      <c r="F301" s="4">
        <f>(E301-$AJ$5)/$AK$5</f>
        <v/>
      </c>
      <c r="G301" t="n">
        <v>133.773804</v>
      </c>
      <c r="H301">
        <f>(G301-$AJ$6)/$AK$6</f>
        <v/>
      </c>
      <c r="I301" t="n">
        <v>43.00000000000001</v>
      </c>
      <c r="J301" s="4">
        <f>(I301-$AJ$7)/$AK$7</f>
        <v/>
      </c>
      <c r="K301" t="n">
        <v>0</v>
      </c>
      <c r="L301" s="4">
        <f>(K301-$AJ$8)/$AK$8</f>
        <v/>
      </c>
      <c r="M301" t="n">
        <v>71555</v>
      </c>
      <c r="N301">
        <f>(M301-$AJ$9)/$AK$9</f>
        <v/>
      </c>
      <c r="O301" t="n">
        <v>0.36750103</v>
      </c>
      <c r="P301">
        <f>(O301-$AJ$11)/$AK$11</f>
        <v/>
      </c>
      <c r="Q301" t="n">
        <v>0.2564</v>
      </c>
      <c r="R301">
        <f>(Q301-$AJ$12)/$AK$12</f>
        <v/>
      </c>
      <c r="S301">
        <f>F301*(R301*0.5+P301*0.5)*(H301*0.35+J301*0.35+L301*0.3)</f>
        <v/>
      </c>
      <c r="T301" s="14">
        <f>(S301-$AJ$10)/$AK$10</f>
        <v/>
      </c>
      <c r="U301">
        <f>IF(T301&gt;0.7,"High",IF(T301&gt;0.3,"Moderate",IF(T301&gt;0.15,"Low","No Impact")))</f>
        <v/>
      </c>
      <c r="V301">
        <f>F301*(R301*1)*(H301*0.35+J301*0.35+L301*0.3)</f>
        <v/>
      </c>
      <c r="W301">
        <f>(V301-$AJ$13)/$AK$13</f>
        <v/>
      </c>
      <c r="X301">
        <f>IF(W301&gt;0.7,"High",IF(W301&gt;0.3,"Moderate",IF(W301&gt;0.15,"Low","No Impact")))</f>
        <v/>
      </c>
      <c r="Y301">
        <f>F301*(P301*1)*(H301*0.35+J301*0.35+L301*0.3)</f>
        <v/>
      </c>
      <c r="Z301">
        <f>(Y301-$AJ$14)/$AK$14</f>
        <v/>
      </c>
      <c r="AA301">
        <f>IF(Z301&gt;0.7,"High",IF(Z301&gt;0.3,"Moderate",IF(Z301&gt;0.15,"Low","No Impact")))</f>
        <v/>
      </c>
      <c r="AB301">
        <f>F301*(R301*0.35+P301*0.3+N301*0.35)*(H301*0.35+J301*0.35+L301*0.3)</f>
        <v/>
      </c>
      <c r="AC301">
        <f>(AB301-$AJ$15)/$AK$15</f>
        <v/>
      </c>
      <c r="AD301">
        <f>IF(AC301&gt;0.7,"High",IF(AC301&gt;0.3,"Moderate",IF(AC301&gt;0.15,"Low","No Impact")))</f>
        <v/>
      </c>
      <c r="AE301">
        <f>F301*(N301*1)*(H301*0.35+J301*0.35+L301*0.3)</f>
        <v/>
      </c>
      <c r="AF301">
        <f>(AE301-$AJ$16)/$AK$16</f>
        <v/>
      </c>
      <c r="AG301">
        <f>IF(AF301&gt;0.7,"High",IF(AF301&gt;0.3,"Moderate",IF(AF301&gt;0.15,"Low","No Impact")))</f>
        <v/>
      </c>
    </row>
    <row r="302">
      <c r="A302" t="n">
        <v>404190</v>
      </c>
      <c r="B302" t="inlineStr">
        <is>
          <t>BD404190</t>
        </is>
      </c>
      <c r="C302" t="inlineStr">
        <is>
          <t>Jessore</t>
        </is>
      </c>
      <c r="D302" t="inlineStr">
        <is>
          <t>Sharsha</t>
        </is>
      </c>
      <c r="E302" s="3" t="n">
        <v>5.8</v>
      </c>
      <c r="F302" s="4">
        <f>(E302-$AJ$5)/$AK$5</f>
        <v/>
      </c>
      <c r="G302" t="n">
        <v>133.773804</v>
      </c>
      <c r="H302">
        <f>(G302-$AJ$6)/$AK$6</f>
        <v/>
      </c>
      <c r="I302" t="n">
        <v>41.09999999999999</v>
      </c>
      <c r="J302" s="4">
        <f>(I302-$AJ$7)/$AK$7</f>
        <v/>
      </c>
      <c r="K302" t="n">
        <v>0</v>
      </c>
      <c r="L302" s="4">
        <f>(K302-$AJ$8)/$AK$8</f>
        <v/>
      </c>
      <c r="M302" t="n">
        <v>72161</v>
      </c>
      <c r="N302">
        <f>(M302-$AJ$9)/$AK$9</f>
        <v/>
      </c>
      <c r="O302" t="n">
        <v>0.363518967</v>
      </c>
      <c r="P302">
        <f>(O302-$AJ$11)/$AK$11</f>
        <v/>
      </c>
      <c r="Q302" t="n">
        <v>0.2605</v>
      </c>
      <c r="R302">
        <f>(Q302-$AJ$12)/$AK$12</f>
        <v/>
      </c>
      <c r="S302">
        <f>F302*(R302*0.5+P302*0.5)*(H302*0.35+J302*0.35+L302*0.3)</f>
        <v/>
      </c>
      <c r="T302" s="14">
        <f>(S302-$AJ$10)/$AK$10</f>
        <v/>
      </c>
      <c r="U302">
        <f>IF(T302&gt;0.7,"High",IF(T302&gt;0.3,"Moderate",IF(T302&gt;0.15,"Low","No Impact")))</f>
        <v/>
      </c>
      <c r="V302">
        <f>F302*(R302*1)*(H302*0.35+J302*0.35+L302*0.3)</f>
        <v/>
      </c>
      <c r="W302">
        <f>(V302-$AJ$13)/$AK$13</f>
        <v/>
      </c>
      <c r="X302">
        <f>IF(W302&gt;0.7,"High",IF(W302&gt;0.3,"Moderate",IF(W302&gt;0.15,"Low","No Impact")))</f>
        <v/>
      </c>
      <c r="Y302">
        <f>F302*(P302*1)*(H302*0.35+J302*0.35+L302*0.3)</f>
        <v/>
      </c>
      <c r="Z302">
        <f>(Y302-$AJ$14)/$AK$14</f>
        <v/>
      </c>
      <c r="AA302">
        <f>IF(Z302&gt;0.7,"High",IF(Z302&gt;0.3,"Moderate",IF(Z302&gt;0.15,"Low","No Impact")))</f>
        <v/>
      </c>
      <c r="AB302">
        <f>F302*(R302*0.35+P302*0.3+N302*0.35)*(H302*0.35+J302*0.35+L302*0.3)</f>
        <v/>
      </c>
      <c r="AC302">
        <f>(AB302-$AJ$15)/$AK$15</f>
        <v/>
      </c>
      <c r="AD302">
        <f>IF(AC302&gt;0.7,"High",IF(AC302&gt;0.3,"Moderate",IF(AC302&gt;0.15,"Low","No Impact")))</f>
        <v/>
      </c>
      <c r="AE302">
        <f>F302*(N302*1)*(H302*0.35+J302*0.35+L302*0.3)</f>
        <v/>
      </c>
      <c r="AF302">
        <f>(AE302-$AJ$16)/$AK$16</f>
        <v/>
      </c>
      <c r="AG302">
        <f>IF(AF302&gt;0.7,"High",IF(AF302&gt;0.3,"Moderate",IF(AF302&gt;0.15,"Low","No Impact")))</f>
        <v/>
      </c>
    </row>
    <row r="303">
      <c r="A303" t="n">
        <v>404414</v>
      </c>
      <c r="B303" t="inlineStr">
        <is>
          <t>BD404414</t>
        </is>
      </c>
      <c r="C303" t="inlineStr">
        <is>
          <t>Jhenaidah</t>
        </is>
      </c>
      <c r="D303" t="inlineStr">
        <is>
          <t>Harinakunda</t>
        </is>
      </c>
      <c r="E303" s="3" t="n">
        <v>4.7</v>
      </c>
      <c r="F303" s="4">
        <f>(E303-$AJ$5)/$AK$5</f>
        <v/>
      </c>
      <c r="G303" t="n">
        <v>112.2019272</v>
      </c>
      <c r="H303">
        <f>(G303-$AJ$6)/$AK$6</f>
        <v/>
      </c>
      <c r="I303" t="n">
        <v>24.5</v>
      </c>
      <c r="J303" s="4">
        <f>(I303-$AJ$7)/$AK$7</f>
        <v/>
      </c>
      <c r="K303" t="n">
        <v>0</v>
      </c>
      <c r="L303" s="4">
        <f>(K303-$AJ$8)/$AK$8</f>
        <v/>
      </c>
      <c r="M303" t="n">
        <v>28168</v>
      </c>
      <c r="N303">
        <f>(M303-$AJ$9)/$AK$9</f>
        <v/>
      </c>
      <c r="O303" t="n">
        <v>0.306747299</v>
      </c>
      <c r="P303">
        <f>(O303-$AJ$11)/$AK$11</f>
        <v/>
      </c>
      <c r="Q303" t="n">
        <v>0.251</v>
      </c>
      <c r="R303">
        <f>(Q303-$AJ$12)/$AK$12</f>
        <v/>
      </c>
      <c r="S303">
        <f>F303*(R303*0.5+P303*0.5)*(H303*0.35+J303*0.35+L303*0.3)</f>
        <v/>
      </c>
      <c r="T303" s="14">
        <f>(S303-$AJ$10)/$AK$10</f>
        <v/>
      </c>
      <c r="U303">
        <f>IF(T303&gt;0.7,"High",IF(T303&gt;0.3,"Moderate",IF(T303&gt;0.15,"Low","No Impact")))</f>
        <v/>
      </c>
      <c r="V303">
        <f>F303*(R303*1)*(H303*0.35+J303*0.35+L303*0.3)</f>
        <v/>
      </c>
      <c r="W303">
        <f>(V303-$AJ$13)/$AK$13</f>
        <v/>
      </c>
      <c r="X303">
        <f>IF(W303&gt;0.7,"High",IF(W303&gt;0.3,"Moderate",IF(W303&gt;0.15,"Low","No Impact")))</f>
        <v/>
      </c>
      <c r="Y303">
        <f>F303*(P303*1)*(H303*0.35+J303*0.35+L303*0.3)</f>
        <v/>
      </c>
      <c r="Z303">
        <f>(Y303-$AJ$14)/$AK$14</f>
        <v/>
      </c>
      <c r="AA303">
        <f>IF(Z303&gt;0.7,"High",IF(Z303&gt;0.3,"Moderate",IF(Z303&gt;0.15,"Low","No Impact")))</f>
        <v/>
      </c>
      <c r="AB303">
        <f>F303*(R303*0.35+P303*0.3+N303*0.35)*(H303*0.35+J303*0.35+L303*0.3)</f>
        <v/>
      </c>
      <c r="AC303">
        <f>(AB303-$AJ$15)/$AK$15</f>
        <v/>
      </c>
      <c r="AD303">
        <f>IF(AC303&gt;0.7,"High",IF(AC303&gt;0.3,"Moderate",IF(AC303&gt;0.15,"Low","No Impact")))</f>
        <v/>
      </c>
      <c r="AE303">
        <f>F303*(N303*1)*(H303*0.35+J303*0.35+L303*0.3)</f>
        <v/>
      </c>
      <c r="AF303">
        <f>(AE303-$AJ$16)/$AK$16</f>
        <v/>
      </c>
      <c r="AG303">
        <f>IF(AF303&gt;0.7,"High",IF(AF303&gt;0.3,"Moderate",IF(AF303&gt;0.15,"Low","No Impact")))</f>
        <v/>
      </c>
    </row>
    <row r="304">
      <c r="A304" t="n">
        <v>404419</v>
      </c>
      <c r="B304" t="inlineStr">
        <is>
          <t>BD404419</t>
        </is>
      </c>
      <c r="C304" t="inlineStr">
        <is>
          <t>Jhenaidah</t>
        </is>
      </c>
      <c r="D304" t="inlineStr">
        <is>
          <t>Jhenaidah Sadar</t>
        </is>
      </c>
      <c r="E304" s="3" t="n">
        <v>4.6</v>
      </c>
      <c r="F304" s="4">
        <f>(E304-$AJ$5)/$AK$5</f>
        <v/>
      </c>
      <c r="G304" t="n">
        <v>112.2019272</v>
      </c>
      <c r="H304">
        <f>(G304-$AJ$6)/$AK$6</f>
        <v/>
      </c>
      <c r="I304" t="n">
        <v>30</v>
      </c>
      <c r="J304" s="4">
        <f>(I304-$AJ$7)/$AK$7</f>
        <v/>
      </c>
      <c r="K304" t="n">
        <v>0</v>
      </c>
      <c r="L304" s="4">
        <f>(K304-$AJ$8)/$AK$8</f>
        <v/>
      </c>
      <c r="M304" t="n">
        <v>45089</v>
      </c>
      <c r="N304">
        <f>(M304-$AJ$9)/$AK$9</f>
        <v/>
      </c>
      <c r="O304" t="n">
        <v>0.286178223</v>
      </c>
      <c r="P304">
        <f>(O304-$AJ$11)/$AK$11</f>
        <v/>
      </c>
      <c r="Q304" t="n">
        <v>0.2491</v>
      </c>
      <c r="R304">
        <f>(Q304-$AJ$12)/$AK$12</f>
        <v/>
      </c>
      <c r="S304">
        <f>F304*(R304*0.5+P304*0.5)*(H304*0.35+J304*0.35+L304*0.3)</f>
        <v/>
      </c>
      <c r="T304" s="14">
        <f>(S304-$AJ$10)/$AK$10</f>
        <v/>
      </c>
      <c r="U304">
        <f>IF(T304&gt;0.7,"High",IF(T304&gt;0.3,"Moderate",IF(T304&gt;0.15,"Low","No Impact")))</f>
        <v/>
      </c>
      <c r="V304">
        <f>F304*(R304*1)*(H304*0.35+J304*0.35+L304*0.3)</f>
        <v/>
      </c>
      <c r="W304">
        <f>(V304-$AJ$13)/$AK$13</f>
        <v/>
      </c>
      <c r="X304">
        <f>IF(W304&gt;0.7,"High",IF(W304&gt;0.3,"Moderate",IF(W304&gt;0.15,"Low","No Impact")))</f>
        <v/>
      </c>
      <c r="Y304">
        <f>F304*(P304*1)*(H304*0.35+J304*0.35+L304*0.3)</f>
        <v/>
      </c>
      <c r="Z304">
        <f>(Y304-$AJ$14)/$AK$14</f>
        <v/>
      </c>
      <c r="AA304">
        <f>IF(Z304&gt;0.7,"High",IF(Z304&gt;0.3,"Moderate",IF(Z304&gt;0.15,"Low","No Impact")))</f>
        <v/>
      </c>
      <c r="AB304">
        <f>F304*(R304*0.35+P304*0.3+N304*0.35)*(H304*0.35+J304*0.35+L304*0.3)</f>
        <v/>
      </c>
      <c r="AC304">
        <f>(AB304-$AJ$15)/$AK$15</f>
        <v/>
      </c>
      <c r="AD304">
        <f>IF(AC304&gt;0.7,"High",IF(AC304&gt;0.3,"Moderate",IF(AC304&gt;0.15,"Low","No Impact")))</f>
        <v/>
      </c>
      <c r="AE304">
        <f>F304*(N304*1)*(H304*0.35+J304*0.35+L304*0.3)</f>
        <v/>
      </c>
      <c r="AF304">
        <f>(AE304-$AJ$16)/$AK$16</f>
        <v/>
      </c>
      <c r="AG304">
        <f>IF(AF304&gt;0.7,"High",IF(AF304&gt;0.3,"Moderate",IF(AF304&gt;0.15,"Low","No Impact")))</f>
        <v/>
      </c>
    </row>
    <row r="305">
      <c r="A305" t="n">
        <v>404433</v>
      </c>
      <c r="B305" t="inlineStr">
        <is>
          <t>BD404433</t>
        </is>
      </c>
      <c r="C305" t="inlineStr">
        <is>
          <t>Jhenaidah</t>
        </is>
      </c>
      <c r="D305" t="inlineStr">
        <is>
          <t>Kaliganj</t>
        </is>
      </c>
      <c r="E305" s="3" t="n">
        <v>4.6</v>
      </c>
      <c r="F305" s="4">
        <f>(E305-$AJ$5)/$AK$5</f>
        <v/>
      </c>
      <c r="G305" t="n">
        <v>129.9030984</v>
      </c>
      <c r="H305">
        <f>(G305-$AJ$6)/$AK$6</f>
        <v/>
      </c>
      <c r="I305" t="n">
        <v>35.50000000000001</v>
      </c>
      <c r="J305" s="4">
        <f>(I305-$AJ$7)/$AK$7</f>
        <v/>
      </c>
      <c r="K305" t="n">
        <v>0</v>
      </c>
      <c r="L305" s="4">
        <f>(K305-$AJ$8)/$AK$8</f>
        <v/>
      </c>
      <c r="M305" t="n">
        <v>31560</v>
      </c>
      <c r="N305">
        <f>(M305-$AJ$9)/$AK$9</f>
        <v/>
      </c>
      <c r="O305" t="n">
        <v>0.310266628</v>
      </c>
      <c r="P305">
        <f>(O305-$AJ$11)/$AK$11</f>
        <v/>
      </c>
      <c r="Q305" t="n">
        <v>0.2021</v>
      </c>
      <c r="R305">
        <f>(Q305-$AJ$12)/$AK$12</f>
        <v/>
      </c>
      <c r="S305">
        <f>F305*(R305*0.5+P305*0.5)*(H305*0.35+J305*0.35+L305*0.3)</f>
        <v/>
      </c>
      <c r="T305" s="14">
        <f>(S305-$AJ$10)/$AK$10</f>
        <v/>
      </c>
      <c r="U305">
        <f>IF(T305&gt;0.7,"High",IF(T305&gt;0.3,"Moderate",IF(T305&gt;0.15,"Low","No Impact")))</f>
        <v/>
      </c>
      <c r="V305">
        <f>F305*(R305*1)*(H305*0.35+J305*0.35+L305*0.3)</f>
        <v/>
      </c>
      <c r="W305">
        <f>(V305-$AJ$13)/$AK$13</f>
        <v/>
      </c>
      <c r="X305">
        <f>IF(W305&gt;0.7,"High",IF(W305&gt;0.3,"Moderate",IF(W305&gt;0.15,"Low","No Impact")))</f>
        <v/>
      </c>
      <c r="Y305">
        <f>F305*(P305*1)*(H305*0.35+J305*0.35+L305*0.3)</f>
        <v/>
      </c>
      <c r="Z305">
        <f>(Y305-$AJ$14)/$AK$14</f>
        <v/>
      </c>
      <c r="AA305">
        <f>IF(Z305&gt;0.7,"High",IF(Z305&gt;0.3,"Moderate",IF(Z305&gt;0.15,"Low","No Impact")))</f>
        <v/>
      </c>
      <c r="AB305">
        <f>F305*(R305*0.35+P305*0.3+N305*0.35)*(H305*0.35+J305*0.35+L305*0.3)</f>
        <v/>
      </c>
      <c r="AC305">
        <f>(AB305-$AJ$15)/$AK$15</f>
        <v/>
      </c>
      <c r="AD305">
        <f>IF(AC305&gt;0.7,"High",IF(AC305&gt;0.3,"Moderate",IF(AC305&gt;0.15,"Low","No Impact")))</f>
        <v/>
      </c>
      <c r="AE305">
        <f>F305*(N305*1)*(H305*0.35+J305*0.35+L305*0.3)</f>
        <v/>
      </c>
      <c r="AF305">
        <f>(AE305-$AJ$16)/$AK$16</f>
        <v/>
      </c>
      <c r="AG305">
        <f>IF(AF305&gt;0.7,"High",IF(AF305&gt;0.3,"Moderate",IF(AF305&gt;0.15,"Low","No Impact")))</f>
        <v/>
      </c>
    </row>
    <row r="306">
      <c r="A306" t="n">
        <v>404442</v>
      </c>
      <c r="B306" t="inlineStr">
        <is>
          <t>BD404442</t>
        </is>
      </c>
      <c r="C306" t="inlineStr">
        <is>
          <t>Jhenaidah</t>
        </is>
      </c>
      <c r="D306" t="inlineStr">
        <is>
          <t>Kotchandpur</t>
        </is>
      </c>
      <c r="E306" s="3" t="n">
        <v>4.6</v>
      </c>
      <c r="F306" s="4">
        <f>(E306-$AJ$5)/$AK$5</f>
        <v/>
      </c>
      <c r="G306" t="n">
        <v>129.9030984</v>
      </c>
      <c r="H306">
        <f>(G306-$AJ$6)/$AK$6</f>
        <v/>
      </c>
      <c r="I306" t="n">
        <v>34.5</v>
      </c>
      <c r="J306" s="4">
        <f>(I306-$AJ$7)/$AK$7</f>
        <v/>
      </c>
      <c r="K306" t="n">
        <v>0</v>
      </c>
      <c r="L306" s="4">
        <f>(K306-$AJ$8)/$AK$8</f>
        <v/>
      </c>
      <c r="M306" t="n">
        <v>23944</v>
      </c>
      <c r="N306">
        <f>(M306-$AJ$9)/$AK$9</f>
        <v/>
      </c>
      <c r="O306" t="n">
        <v>0.280741168</v>
      </c>
      <c r="P306">
        <f>(O306-$AJ$11)/$AK$11</f>
        <v/>
      </c>
      <c r="Q306" t="n">
        <v>0.2442</v>
      </c>
      <c r="R306">
        <f>(Q306-$AJ$12)/$AK$12</f>
        <v/>
      </c>
      <c r="S306">
        <f>F306*(R306*0.5+P306*0.5)*(H306*0.35+J306*0.35+L306*0.3)</f>
        <v/>
      </c>
      <c r="T306" s="14">
        <f>(S306-$AJ$10)/$AK$10</f>
        <v/>
      </c>
      <c r="U306">
        <f>IF(T306&gt;0.7,"High",IF(T306&gt;0.3,"Moderate",IF(T306&gt;0.15,"Low","No Impact")))</f>
        <v/>
      </c>
      <c r="V306">
        <f>F306*(R306*1)*(H306*0.35+J306*0.35+L306*0.3)</f>
        <v/>
      </c>
      <c r="W306">
        <f>(V306-$AJ$13)/$AK$13</f>
        <v/>
      </c>
      <c r="X306">
        <f>IF(W306&gt;0.7,"High",IF(W306&gt;0.3,"Moderate",IF(W306&gt;0.15,"Low","No Impact")))</f>
        <v/>
      </c>
      <c r="Y306">
        <f>F306*(P306*1)*(H306*0.35+J306*0.35+L306*0.3)</f>
        <v/>
      </c>
      <c r="Z306">
        <f>(Y306-$AJ$14)/$AK$14</f>
        <v/>
      </c>
      <c r="AA306">
        <f>IF(Z306&gt;0.7,"High",IF(Z306&gt;0.3,"Moderate",IF(Z306&gt;0.15,"Low","No Impact")))</f>
        <v/>
      </c>
      <c r="AB306">
        <f>F306*(R306*0.35+P306*0.3+N306*0.35)*(H306*0.35+J306*0.35+L306*0.3)</f>
        <v/>
      </c>
      <c r="AC306">
        <f>(AB306-$AJ$15)/$AK$15</f>
        <v/>
      </c>
      <c r="AD306">
        <f>IF(AC306&gt;0.7,"High",IF(AC306&gt;0.3,"Moderate",IF(AC306&gt;0.15,"Low","No Impact")))</f>
        <v/>
      </c>
      <c r="AE306">
        <f>F306*(N306*1)*(H306*0.35+J306*0.35+L306*0.3)</f>
        <v/>
      </c>
      <c r="AF306">
        <f>(AE306-$AJ$16)/$AK$16</f>
        <v/>
      </c>
      <c r="AG306">
        <f>IF(AF306&gt;0.7,"High",IF(AF306&gt;0.3,"Moderate",IF(AF306&gt;0.15,"Low","No Impact")))</f>
        <v/>
      </c>
    </row>
    <row r="307">
      <c r="A307" t="n">
        <v>404471</v>
      </c>
      <c r="B307" t="inlineStr">
        <is>
          <t>BD404471</t>
        </is>
      </c>
      <c r="C307" t="inlineStr">
        <is>
          <t>Jhenaidah</t>
        </is>
      </c>
      <c r="D307" t="inlineStr">
        <is>
          <t>Maheshpur</t>
        </is>
      </c>
      <c r="E307" s="3" t="n">
        <v>4.6</v>
      </c>
      <c r="F307" s="4">
        <f>(E307-$AJ$5)/$AK$5</f>
        <v/>
      </c>
      <c r="G307" t="n">
        <v>129.9030984</v>
      </c>
      <c r="H307">
        <f>(G307-$AJ$6)/$AK$6</f>
        <v/>
      </c>
      <c r="I307" t="n">
        <v>33.2</v>
      </c>
      <c r="J307" s="4">
        <f>(I307-$AJ$7)/$AK$7</f>
        <v/>
      </c>
      <c r="K307" t="n">
        <v>0</v>
      </c>
      <c r="L307" s="4">
        <f>(K307-$AJ$8)/$AK$8</f>
        <v/>
      </c>
      <c r="M307" t="n">
        <v>47194</v>
      </c>
      <c r="N307">
        <f>(M307-$AJ$9)/$AK$9</f>
        <v/>
      </c>
      <c r="O307" t="n">
        <v>0.222649628</v>
      </c>
      <c r="P307">
        <f>(O307-$AJ$11)/$AK$11</f>
        <v/>
      </c>
      <c r="Q307" t="n">
        <v>0.2407</v>
      </c>
      <c r="R307">
        <f>(Q307-$AJ$12)/$AK$12</f>
        <v/>
      </c>
      <c r="S307">
        <f>F307*(R307*0.5+P307*0.5)*(H307*0.35+J307*0.35+L307*0.3)</f>
        <v/>
      </c>
      <c r="T307" s="14">
        <f>(S307-$AJ$10)/$AK$10</f>
        <v/>
      </c>
      <c r="U307">
        <f>IF(T307&gt;0.7,"High",IF(T307&gt;0.3,"Moderate",IF(T307&gt;0.15,"Low","No Impact")))</f>
        <v/>
      </c>
      <c r="V307">
        <f>F307*(R307*1)*(H307*0.35+J307*0.35+L307*0.3)</f>
        <v/>
      </c>
      <c r="W307">
        <f>(V307-$AJ$13)/$AK$13</f>
        <v/>
      </c>
      <c r="X307">
        <f>IF(W307&gt;0.7,"High",IF(W307&gt;0.3,"Moderate",IF(W307&gt;0.15,"Low","No Impact")))</f>
        <v/>
      </c>
      <c r="Y307">
        <f>F307*(P307*1)*(H307*0.35+J307*0.35+L307*0.3)</f>
        <v/>
      </c>
      <c r="Z307">
        <f>(Y307-$AJ$14)/$AK$14</f>
        <v/>
      </c>
      <c r="AA307">
        <f>IF(Z307&gt;0.7,"High",IF(Z307&gt;0.3,"Moderate",IF(Z307&gt;0.15,"Low","No Impact")))</f>
        <v/>
      </c>
      <c r="AB307">
        <f>F307*(R307*0.35+P307*0.3+N307*0.35)*(H307*0.35+J307*0.35+L307*0.3)</f>
        <v/>
      </c>
      <c r="AC307">
        <f>(AB307-$AJ$15)/$AK$15</f>
        <v/>
      </c>
      <c r="AD307">
        <f>IF(AC307&gt;0.7,"High",IF(AC307&gt;0.3,"Moderate",IF(AC307&gt;0.15,"Low","No Impact")))</f>
        <v/>
      </c>
      <c r="AE307">
        <f>F307*(N307*1)*(H307*0.35+J307*0.35+L307*0.3)</f>
        <v/>
      </c>
      <c r="AF307">
        <f>(AE307-$AJ$16)/$AK$16</f>
        <v/>
      </c>
      <c r="AG307">
        <f>IF(AF307&gt;0.7,"High",IF(AF307&gt;0.3,"Moderate",IF(AF307&gt;0.15,"Low","No Impact")))</f>
        <v/>
      </c>
    </row>
    <row r="308">
      <c r="A308" t="n">
        <v>404480</v>
      </c>
      <c r="B308" t="inlineStr">
        <is>
          <t>BD404480</t>
        </is>
      </c>
      <c r="C308" t="inlineStr">
        <is>
          <t>Jhenaidah</t>
        </is>
      </c>
      <c r="D308" t="inlineStr">
        <is>
          <t>Shailkupa</t>
        </is>
      </c>
      <c r="E308" s="3" t="n">
        <v>4.6</v>
      </c>
      <c r="F308" s="4">
        <f>(E308-$AJ$5)/$AK$5</f>
        <v/>
      </c>
      <c r="G308" t="n">
        <v>107.775756</v>
      </c>
      <c r="H308">
        <f>(G308-$AJ$6)/$AK$6</f>
        <v/>
      </c>
      <c r="I308" t="n">
        <v>21.2</v>
      </c>
      <c r="J308" s="4">
        <f>(I308-$AJ$7)/$AK$7</f>
        <v/>
      </c>
      <c r="K308" t="n">
        <v>0</v>
      </c>
      <c r="L308" s="4">
        <f>(K308-$AJ$8)/$AK$8</f>
        <v/>
      </c>
      <c r="M308" t="n">
        <v>21848</v>
      </c>
      <c r="N308">
        <f>(M308-$AJ$9)/$AK$9</f>
        <v/>
      </c>
      <c r="O308" t="n">
        <v>0.245343391</v>
      </c>
      <c r="P308">
        <f>(O308-$AJ$11)/$AK$11</f>
        <v/>
      </c>
      <c r="Q308" t="n">
        <v>0.2743</v>
      </c>
      <c r="R308">
        <f>(Q308-$AJ$12)/$AK$12</f>
        <v/>
      </c>
      <c r="S308">
        <f>F308*(R308*0.5+P308*0.5)*(H308*0.35+J308*0.35+L308*0.3)</f>
        <v/>
      </c>
      <c r="T308" s="14">
        <f>(S308-$AJ$10)/$AK$10</f>
        <v/>
      </c>
      <c r="U308">
        <f>IF(T308&gt;0.7,"High",IF(T308&gt;0.3,"Moderate",IF(T308&gt;0.15,"Low","No Impact")))</f>
        <v/>
      </c>
      <c r="V308">
        <f>F308*(R308*1)*(H308*0.35+J308*0.35+L308*0.3)</f>
        <v/>
      </c>
      <c r="W308">
        <f>(V308-$AJ$13)/$AK$13</f>
        <v/>
      </c>
      <c r="X308">
        <f>IF(W308&gt;0.7,"High",IF(W308&gt;0.3,"Moderate",IF(W308&gt;0.15,"Low","No Impact")))</f>
        <v/>
      </c>
      <c r="Y308">
        <f>F308*(P308*1)*(H308*0.35+J308*0.35+L308*0.3)</f>
        <v/>
      </c>
      <c r="Z308">
        <f>(Y308-$AJ$14)/$AK$14</f>
        <v/>
      </c>
      <c r="AA308">
        <f>IF(Z308&gt;0.7,"High",IF(Z308&gt;0.3,"Moderate",IF(Z308&gt;0.15,"Low","No Impact")))</f>
        <v/>
      </c>
      <c r="AB308">
        <f>F308*(R308*0.35+P308*0.3+N308*0.35)*(H308*0.35+J308*0.35+L308*0.3)</f>
        <v/>
      </c>
      <c r="AC308">
        <f>(AB308-$AJ$15)/$AK$15</f>
        <v/>
      </c>
      <c r="AD308">
        <f>IF(AC308&gt;0.7,"High",IF(AC308&gt;0.3,"Moderate",IF(AC308&gt;0.15,"Low","No Impact")))</f>
        <v/>
      </c>
      <c r="AE308">
        <f>F308*(N308*1)*(H308*0.35+J308*0.35+L308*0.3)</f>
        <v/>
      </c>
      <c r="AF308">
        <f>(AE308-$AJ$16)/$AK$16</f>
        <v/>
      </c>
      <c r="AG308">
        <f>IF(AF308&gt;0.7,"High",IF(AF308&gt;0.3,"Moderate",IF(AF308&gt;0.15,"Low","No Impact")))</f>
        <v/>
      </c>
    </row>
    <row r="309">
      <c r="A309" t="n">
        <v>404712</v>
      </c>
      <c r="B309" t="inlineStr">
        <is>
          <t>BD404712</t>
        </is>
      </c>
      <c r="C309" t="inlineStr">
        <is>
          <t>Khulna</t>
        </is>
      </c>
      <c r="D309" t="inlineStr">
        <is>
          <t>Batiaghata</t>
        </is>
      </c>
      <c r="E309" s="3" t="n">
        <v>6.9</v>
      </c>
      <c r="F309" s="4">
        <f>(E309-$AJ$5)/$AK$5</f>
        <v/>
      </c>
      <c r="G309" t="n">
        <v>135.9886464</v>
      </c>
      <c r="H309">
        <f>(G309-$AJ$6)/$AK$6</f>
        <v/>
      </c>
      <c r="I309" t="n">
        <v>49.59999999999999</v>
      </c>
      <c r="J309" s="4">
        <f>(I309-$AJ$7)/$AK$7</f>
        <v/>
      </c>
      <c r="K309" t="n">
        <v>1.2</v>
      </c>
      <c r="L309" s="4">
        <f>(K309-$AJ$8)/$AK$8</f>
        <v/>
      </c>
      <c r="M309" t="n">
        <v>34844</v>
      </c>
      <c r="N309">
        <f>(M309-$AJ$9)/$AK$9</f>
        <v/>
      </c>
      <c r="O309" t="n">
        <v>0.255173795</v>
      </c>
      <c r="P309">
        <f>(O309-$AJ$11)/$AK$11</f>
        <v/>
      </c>
      <c r="Q309" t="n">
        <v>0.2211</v>
      </c>
      <c r="R309">
        <f>(Q309-$AJ$12)/$AK$12</f>
        <v/>
      </c>
      <c r="S309">
        <f>F309*(R309*0.5+P309*0.5)*(H309*0.35+J309*0.35+L309*0.3)</f>
        <v/>
      </c>
      <c r="T309" s="14">
        <f>(S309-$AJ$10)/$AK$10</f>
        <v/>
      </c>
      <c r="U309">
        <f>IF(T309&gt;0.7,"High",IF(T309&gt;0.3,"Moderate",IF(T309&gt;0.15,"Low","No Impact")))</f>
        <v/>
      </c>
      <c r="V309">
        <f>F309*(R309*1)*(H309*0.35+J309*0.35+L309*0.3)</f>
        <v/>
      </c>
      <c r="W309">
        <f>(V309-$AJ$13)/$AK$13</f>
        <v/>
      </c>
      <c r="X309">
        <f>IF(W309&gt;0.7,"High",IF(W309&gt;0.3,"Moderate",IF(W309&gt;0.15,"Low","No Impact")))</f>
        <v/>
      </c>
      <c r="Y309">
        <f>F309*(P309*1)*(H309*0.35+J309*0.35+L309*0.3)</f>
        <v/>
      </c>
      <c r="Z309">
        <f>(Y309-$AJ$14)/$AK$14</f>
        <v/>
      </c>
      <c r="AA309">
        <f>IF(Z309&gt;0.7,"High",IF(Z309&gt;0.3,"Moderate",IF(Z309&gt;0.15,"Low","No Impact")))</f>
        <v/>
      </c>
      <c r="AB309">
        <f>F309*(R309*0.35+P309*0.3+N309*0.35)*(H309*0.35+J309*0.35+L309*0.3)</f>
        <v/>
      </c>
      <c r="AC309">
        <f>(AB309-$AJ$15)/$AK$15</f>
        <v/>
      </c>
      <c r="AD309">
        <f>IF(AC309&gt;0.7,"High",IF(AC309&gt;0.3,"Moderate",IF(AC309&gt;0.15,"Low","No Impact")))</f>
        <v/>
      </c>
      <c r="AE309">
        <f>F309*(N309*1)*(H309*0.35+J309*0.35+L309*0.3)</f>
        <v/>
      </c>
      <c r="AF309">
        <f>(AE309-$AJ$16)/$AK$16</f>
        <v/>
      </c>
      <c r="AG309">
        <f>IF(AF309&gt;0.7,"High",IF(AF309&gt;0.3,"Moderate",IF(AF309&gt;0.15,"Low","No Impact")))</f>
        <v/>
      </c>
    </row>
    <row r="310">
      <c r="A310" t="n">
        <v>404717</v>
      </c>
      <c r="B310" t="inlineStr">
        <is>
          <t>BD404717</t>
        </is>
      </c>
      <c r="C310" t="inlineStr">
        <is>
          <t>Khulna</t>
        </is>
      </c>
      <c r="D310" t="inlineStr">
        <is>
          <t>Dacope</t>
        </is>
      </c>
      <c r="E310" s="3" t="n">
        <v>6.9</v>
      </c>
      <c r="F310" s="4">
        <f>(E310-$AJ$5)/$AK$5</f>
        <v/>
      </c>
      <c r="G310" t="n">
        <v>149.6890368</v>
      </c>
      <c r="H310">
        <f>(G310-$AJ$6)/$AK$6</f>
        <v/>
      </c>
      <c r="I310" t="n">
        <v>54.50000000000001</v>
      </c>
      <c r="J310" s="4">
        <f>(I310-$AJ$7)/$AK$7</f>
        <v/>
      </c>
      <c r="K310" t="n">
        <v>1.2</v>
      </c>
      <c r="L310" s="4">
        <f>(K310-$AJ$8)/$AK$8</f>
        <v/>
      </c>
      <c r="M310" t="n">
        <v>30636</v>
      </c>
      <c r="N310">
        <f>(M310-$AJ$9)/$AK$9</f>
        <v/>
      </c>
      <c r="O310" t="n">
        <v>0.250517557</v>
      </c>
      <c r="P310">
        <f>(O310-$AJ$11)/$AK$11</f>
        <v/>
      </c>
      <c r="Q310" t="n">
        <v>0.3153</v>
      </c>
      <c r="R310">
        <f>(Q310-$AJ$12)/$AK$12</f>
        <v/>
      </c>
      <c r="S310">
        <f>F310*(R310*0.5+P310*0.5)*(H310*0.35+J310*0.35+L310*0.3)</f>
        <v/>
      </c>
      <c r="T310" s="14">
        <f>(S310-$AJ$10)/$AK$10</f>
        <v/>
      </c>
      <c r="U310">
        <f>IF(T310&gt;0.7,"High",IF(T310&gt;0.3,"Moderate",IF(T310&gt;0.15,"Low","No Impact")))</f>
        <v/>
      </c>
      <c r="V310">
        <f>F310*(R310*1)*(H310*0.35+J310*0.35+L310*0.3)</f>
        <v/>
      </c>
      <c r="W310">
        <f>(V310-$AJ$13)/$AK$13</f>
        <v/>
      </c>
      <c r="X310">
        <f>IF(W310&gt;0.7,"High",IF(W310&gt;0.3,"Moderate",IF(W310&gt;0.15,"Low","No Impact")))</f>
        <v/>
      </c>
      <c r="Y310">
        <f>F310*(P310*1)*(H310*0.35+J310*0.35+L310*0.3)</f>
        <v/>
      </c>
      <c r="Z310">
        <f>(Y310-$AJ$14)/$AK$14</f>
        <v/>
      </c>
      <c r="AA310">
        <f>IF(Z310&gt;0.7,"High",IF(Z310&gt;0.3,"Moderate",IF(Z310&gt;0.15,"Low","No Impact")))</f>
        <v/>
      </c>
      <c r="AB310">
        <f>F310*(R310*0.35+P310*0.3+N310*0.35)*(H310*0.35+J310*0.35+L310*0.3)</f>
        <v/>
      </c>
      <c r="AC310">
        <f>(AB310-$AJ$15)/$AK$15</f>
        <v/>
      </c>
      <c r="AD310">
        <f>IF(AC310&gt;0.7,"High",IF(AC310&gt;0.3,"Moderate",IF(AC310&gt;0.15,"Low","No Impact")))</f>
        <v/>
      </c>
      <c r="AE310">
        <f>F310*(N310*1)*(H310*0.35+J310*0.35+L310*0.3)</f>
        <v/>
      </c>
      <c r="AF310">
        <f>(AE310-$AJ$16)/$AK$16</f>
        <v/>
      </c>
      <c r="AG310">
        <f>IF(AF310&gt;0.7,"High",IF(AF310&gt;0.3,"Moderate",IF(AF310&gt;0.15,"Low","No Impact")))</f>
        <v/>
      </c>
    </row>
    <row r="311">
      <c r="A311" t="n">
        <v>404721</v>
      </c>
      <c r="B311" t="inlineStr">
        <is>
          <t>BD404721</t>
        </is>
      </c>
      <c r="C311" t="inlineStr">
        <is>
          <t>Kushtia</t>
        </is>
      </c>
      <c r="D311" t="inlineStr">
        <is>
          <t>Daulatpur</t>
        </is>
      </c>
      <c r="E311" s="3" t="n">
        <v>5.1</v>
      </c>
      <c r="F311" s="4">
        <f>(E311-$AJ$5)/$AK$5</f>
        <v/>
      </c>
      <c r="G311" t="n">
        <v>129.432006</v>
      </c>
      <c r="H311">
        <f>(G311-$AJ$6)/$AK$6</f>
        <v/>
      </c>
      <c r="I311" t="n">
        <v>48.70000000000001</v>
      </c>
      <c r="J311" s="4">
        <f>(I311-$AJ$7)/$AK$7</f>
        <v/>
      </c>
      <c r="K311" t="n">
        <v>0</v>
      </c>
      <c r="L311" s="4">
        <f>(K311-$AJ$8)/$AK$8</f>
        <v/>
      </c>
      <c r="M311" t="n">
        <v>15743</v>
      </c>
      <c r="N311">
        <f>(M311-$AJ$9)/$AK$9</f>
        <v/>
      </c>
      <c r="O311" t="n">
        <v>0.6674367409999999</v>
      </c>
      <c r="P311">
        <f>(O311-$AJ$11)/$AK$11</f>
        <v/>
      </c>
      <c r="Q311" t="n">
        <v>0.2314</v>
      </c>
      <c r="R311">
        <f>(Q311-$AJ$12)/$AK$12</f>
        <v/>
      </c>
      <c r="S311">
        <f>F311*(R311*0.5+P311*0.5)*(H311*0.35+J311*0.35+L311*0.3)</f>
        <v/>
      </c>
      <c r="T311" s="14">
        <f>(S311-$AJ$10)/$AK$10</f>
        <v/>
      </c>
      <c r="U311">
        <f>IF(T311&gt;0.7,"High",IF(T311&gt;0.3,"Moderate",IF(T311&gt;0.15,"Low","No Impact")))</f>
        <v/>
      </c>
      <c r="V311">
        <f>F311*(R311*1)*(H311*0.35+J311*0.35+L311*0.3)</f>
        <v/>
      </c>
      <c r="W311">
        <f>(V311-$AJ$13)/$AK$13</f>
        <v/>
      </c>
      <c r="X311">
        <f>IF(W311&gt;0.7,"High",IF(W311&gt;0.3,"Moderate",IF(W311&gt;0.15,"Low","No Impact")))</f>
        <v/>
      </c>
      <c r="Y311">
        <f>F311*(P311*1)*(H311*0.35+J311*0.35+L311*0.3)</f>
        <v/>
      </c>
      <c r="Z311">
        <f>(Y311-$AJ$14)/$AK$14</f>
        <v/>
      </c>
      <c r="AA311">
        <f>IF(Z311&gt;0.7,"High",IF(Z311&gt;0.3,"Moderate",IF(Z311&gt;0.15,"Low","No Impact")))</f>
        <v/>
      </c>
      <c r="AB311">
        <f>F311*(R311*0.35+P311*0.3+N311*0.35)*(H311*0.35+J311*0.35+L311*0.3)</f>
        <v/>
      </c>
      <c r="AC311">
        <f>(AB311-$AJ$15)/$AK$15</f>
        <v/>
      </c>
      <c r="AD311">
        <f>IF(AC311&gt;0.7,"High",IF(AC311&gt;0.3,"Moderate",IF(AC311&gt;0.15,"Low","No Impact")))</f>
        <v/>
      </c>
      <c r="AE311">
        <f>F311*(N311*1)*(H311*0.35+J311*0.35+L311*0.3)</f>
        <v/>
      </c>
      <c r="AF311">
        <f>(AE311-$AJ$16)/$AK$16</f>
        <v/>
      </c>
      <c r="AG311">
        <f>IF(AF311&gt;0.7,"High",IF(AF311&gt;0.3,"Moderate",IF(AF311&gt;0.15,"Low","No Impact")))</f>
        <v/>
      </c>
    </row>
    <row r="312">
      <c r="A312" t="n">
        <v>404730</v>
      </c>
      <c r="B312" t="inlineStr">
        <is>
          <t>BD404730</t>
        </is>
      </c>
      <c r="C312" t="inlineStr">
        <is>
          <t>Khulna</t>
        </is>
      </c>
      <c r="D312" t="inlineStr">
        <is>
          <t>Dumuria</t>
        </is>
      </c>
      <c r="E312" s="3" t="n">
        <v>6.9</v>
      </c>
      <c r="F312" s="4">
        <f>(E312-$AJ$5)/$AK$5</f>
        <v/>
      </c>
      <c r="G312" t="n">
        <v>139.7011464</v>
      </c>
      <c r="H312">
        <f>(G312-$AJ$6)/$AK$6</f>
        <v/>
      </c>
      <c r="I312" t="n">
        <v>47.1</v>
      </c>
      <c r="J312" s="4">
        <f>(I312-$AJ$7)/$AK$7</f>
        <v/>
      </c>
      <c r="K312" t="n">
        <v>0</v>
      </c>
      <c r="L312" s="4">
        <f>(K312-$AJ$8)/$AK$8</f>
        <v/>
      </c>
      <c r="M312" t="n">
        <v>69387</v>
      </c>
      <c r="N312">
        <f>(M312-$AJ$9)/$AK$9</f>
        <v/>
      </c>
      <c r="O312" t="n">
        <v>0.6346635470000001</v>
      </c>
      <c r="P312">
        <f>(O312-$AJ$11)/$AK$11</f>
        <v/>
      </c>
      <c r="Q312" t="n">
        <v>0.2018</v>
      </c>
      <c r="R312">
        <f>(Q312-$AJ$12)/$AK$12</f>
        <v/>
      </c>
      <c r="S312">
        <f>F312*(R312*0.5+P312*0.5)*(H312*0.35+J312*0.35+L312*0.3)</f>
        <v/>
      </c>
      <c r="T312" s="14">
        <f>(S312-$AJ$10)/$AK$10</f>
        <v/>
      </c>
      <c r="U312">
        <f>IF(T312&gt;0.7,"High",IF(T312&gt;0.3,"Moderate",IF(T312&gt;0.15,"Low","No Impact")))</f>
        <v/>
      </c>
      <c r="V312">
        <f>F312*(R312*1)*(H312*0.35+J312*0.35+L312*0.3)</f>
        <v/>
      </c>
      <c r="W312">
        <f>(V312-$AJ$13)/$AK$13</f>
        <v/>
      </c>
      <c r="X312">
        <f>IF(W312&gt;0.7,"High",IF(W312&gt;0.3,"Moderate",IF(W312&gt;0.15,"Low","No Impact")))</f>
        <v/>
      </c>
      <c r="Y312">
        <f>F312*(P312*1)*(H312*0.35+J312*0.35+L312*0.3)</f>
        <v/>
      </c>
      <c r="Z312">
        <f>(Y312-$AJ$14)/$AK$14</f>
        <v/>
      </c>
      <c r="AA312">
        <f>IF(Z312&gt;0.7,"High",IF(Z312&gt;0.3,"Moderate",IF(Z312&gt;0.15,"Low","No Impact")))</f>
        <v/>
      </c>
      <c r="AB312">
        <f>F312*(R312*0.35+P312*0.3+N312*0.35)*(H312*0.35+J312*0.35+L312*0.3)</f>
        <v/>
      </c>
      <c r="AC312">
        <f>(AB312-$AJ$15)/$AK$15</f>
        <v/>
      </c>
      <c r="AD312">
        <f>IF(AC312&gt;0.7,"High",IF(AC312&gt;0.3,"Moderate",IF(AC312&gt;0.15,"Low","No Impact")))</f>
        <v/>
      </c>
      <c r="AE312">
        <f>F312*(N312*1)*(H312*0.35+J312*0.35+L312*0.3)</f>
        <v/>
      </c>
      <c r="AF312">
        <f>(AE312-$AJ$16)/$AK$16</f>
        <v/>
      </c>
      <c r="AG312">
        <f>IF(AF312&gt;0.7,"High",IF(AF312&gt;0.3,"Moderate",IF(AF312&gt;0.15,"Low","No Impact")))</f>
        <v/>
      </c>
    </row>
    <row r="313">
      <c r="A313" t="n">
        <v>404740</v>
      </c>
      <c r="B313" t="inlineStr">
        <is>
          <t>BD404740</t>
        </is>
      </c>
      <c r="C313" t="inlineStr">
        <is>
          <t>Khulna</t>
        </is>
      </c>
      <c r="D313" t="inlineStr">
        <is>
          <t>Dighalia</t>
        </is>
      </c>
      <c r="E313" s="3" t="n">
        <v>6.9</v>
      </c>
      <c r="F313" s="4">
        <f>(E313-$AJ$5)/$AK$5</f>
        <v/>
      </c>
      <c r="G313" t="n">
        <v>129.432006</v>
      </c>
      <c r="H313">
        <f>(G313-$AJ$6)/$AK$6</f>
        <v/>
      </c>
      <c r="I313" t="n">
        <v>48.70000000000001</v>
      </c>
      <c r="J313" s="4">
        <f>(I313-$AJ$7)/$AK$7</f>
        <v/>
      </c>
      <c r="K313" t="n">
        <v>0</v>
      </c>
      <c r="L313" s="4">
        <f>(K313-$AJ$8)/$AK$8</f>
        <v/>
      </c>
      <c r="M313" t="n">
        <v>17988</v>
      </c>
      <c r="N313">
        <f>(M313-$AJ$9)/$AK$9</f>
        <v/>
      </c>
      <c r="O313" t="n">
        <v>0.725192638</v>
      </c>
      <c r="P313">
        <f>(O313-$AJ$11)/$AK$11</f>
        <v/>
      </c>
      <c r="Q313" t="n">
        <v>0.1832</v>
      </c>
      <c r="R313">
        <f>(Q313-$AJ$12)/$AK$12</f>
        <v/>
      </c>
      <c r="S313">
        <f>F313*(R313*0.5+P313*0.5)*(H313*0.35+J313*0.35+L313*0.3)</f>
        <v/>
      </c>
      <c r="T313" s="14">
        <f>(S313-$AJ$10)/$AK$10</f>
        <v/>
      </c>
      <c r="U313">
        <f>IF(T313&gt;0.7,"High",IF(T313&gt;0.3,"Moderate",IF(T313&gt;0.15,"Low","No Impact")))</f>
        <v/>
      </c>
      <c r="V313">
        <f>F313*(R313*1)*(H313*0.35+J313*0.35+L313*0.3)</f>
        <v/>
      </c>
      <c r="W313">
        <f>(V313-$AJ$13)/$AK$13</f>
        <v/>
      </c>
      <c r="X313">
        <f>IF(W313&gt;0.7,"High",IF(W313&gt;0.3,"Moderate",IF(W313&gt;0.15,"Low","No Impact")))</f>
        <v/>
      </c>
      <c r="Y313">
        <f>F313*(P313*1)*(H313*0.35+J313*0.35+L313*0.3)</f>
        <v/>
      </c>
      <c r="Z313">
        <f>(Y313-$AJ$14)/$AK$14</f>
        <v/>
      </c>
      <c r="AA313">
        <f>IF(Z313&gt;0.7,"High",IF(Z313&gt;0.3,"Moderate",IF(Z313&gt;0.15,"Low","No Impact")))</f>
        <v/>
      </c>
      <c r="AB313">
        <f>F313*(R313*0.35+P313*0.3+N313*0.35)*(H313*0.35+J313*0.35+L313*0.3)</f>
        <v/>
      </c>
      <c r="AC313">
        <f>(AB313-$AJ$15)/$AK$15</f>
        <v/>
      </c>
      <c r="AD313">
        <f>IF(AC313&gt;0.7,"High",IF(AC313&gt;0.3,"Moderate",IF(AC313&gt;0.15,"Low","No Impact")))</f>
        <v/>
      </c>
      <c r="AE313">
        <f>F313*(N313*1)*(H313*0.35+J313*0.35+L313*0.3)</f>
        <v/>
      </c>
      <c r="AF313">
        <f>(AE313-$AJ$16)/$AK$16</f>
        <v/>
      </c>
      <c r="AG313">
        <f>IF(AF313&gt;0.7,"High",IF(AF313&gt;0.3,"Moderate",IF(AF313&gt;0.15,"Low","No Impact")))</f>
        <v/>
      </c>
    </row>
    <row r="314">
      <c r="A314" t="n">
        <v>404745</v>
      </c>
      <c r="B314" t="inlineStr">
        <is>
          <t>BD404745</t>
        </is>
      </c>
      <c r="C314" t="inlineStr">
        <is>
          <t>Khulna</t>
        </is>
      </c>
      <c r="D314" t="inlineStr">
        <is>
          <t>Khalishpur</t>
        </is>
      </c>
      <c r="E314" s="3" t="n">
        <v>6.9</v>
      </c>
      <c r="F314" s="4">
        <f>(E314-$AJ$5)/$AK$5</f>
        <v/>
      </c>
      <c r="G314" t="n">
        <v>129.432006</v>
      </c>
      <c r="H314">
        <f>(G314-$AJ$6)/$AK$6</f>
        <v/>
      </c>
      <c r="I314" t="n">
        <v>50.99999999999999</v>
      </c>
      <c r="J314" s="4">
        <f>(I314-$AJ$7)/$AK$7</f>
        <v/>
      </c>
      <c r="K314" t="n">
        <v>0</v>
      </c>
      <c r="L314" s="4">
        <f>(K314-$AJ$8)/$AK$8</f>
        <v/>
      </c>
      <c r="M314" t="n">
        <v>14171</v>
      </c>
      <c r="N314">
        <f>(M314-$AJ$9)/$AK$9</f>
        <v/>
      </c>
      <c r="O314" t="n">
        <v>0.598994387</v>
      </c>
      <c r="P314">
        <f>(O314-$AJ$11)/$AK$11</f>
        <v/>
      </c>
      <c r="Q314" t="n">
        <v>0.1563</v>
      </c>
      <c r="R314">
        <f>(Q314-$AJ$12)/$AK$12</f>
        <v/>
      </c>
      <c r="S314">
        <f>F314*(R314*0.5+P314*0.5)*(H314*0.35+J314*0.35+L314*0.3)</f>
        <v/>
      </c>
      <c r="T314" s="14">
        <f>(S314-$AJ$10)/$AK$10</f>
        <v/>
      </c>
      <c r="U314">
        <f>IF(T314&gt;0.7,"High",IF(T314&gt;0.3,"Moderate",IF(T314&gt;0.15,"Low","No Impact")))</f>
        <v/>
      </c>
      <c r="V314">
        <f>F314*(R314*1)*(H314*0.35+J314*0.35+L314*0.3)</f>
        <v/>
      </c>
      <c r="W314">
        <f>(V314-$AJ$13)/$AK$13</f>
        <v/>
      </c>
      <c r="X314">
        <f>IF(W314&gt;0.7,"High",IF(W314&gt;0.3,"Moderate",IF(W314&gt;0.15,"Low","No Impact")))</f>
        <v/>
      </c>
      <c r="Y314">
        <f>F314*(P314*1)*(H314*0.35+J314*0.35+L314*0.3)</f>
        <v/>
      </c>
      <c r="Z314">
        <f>(Y314-$AJ$14)/$AK$14</f>
        <v/>
      </c>
      <c r="AA314">
        <f>IF(Z314&gt;0.7,"High",IF(Z314&gt;0.3,"Moderate",IF(Z314&gt;0.15,"Low","No Impact")))</f>
        <v/>
      </c>
      <c r="AB314">
        <f>F314*(R314*0.35+P314*0.3+N314*0.35)*(H314*0.35+J314*0.35+L314*0.3)</f>
        <v/>
      </c>
      <c r="AC314">
        <f>(AB314-$AJ$15)/$AK$15</f>
        <v/>
      </c>
      <c r="AD314">
        <f>IF(AC314&gt;0.7,"High",IF(AC314&gt;0.3,"Moderate",IF(AC314&gt;0.15,"Low","No Impact")))</f>
        <v/>
      </c>
      <c r="AE314">
        <f>F314*(N314*1)*(H314*0.35+J314*0.35+L314*0.3)</f>
        <v/>
      </c>
      <c r="AF314">
        <f>(AE314-$AJ$16)/$AK$16</f>
        <v/>
      </c>
      <c r="AG314">
        <f>IF(AF314&gt;0.7,"High",IF(AF314&gt;0.3,"Moderate",IF(AF314&gt;0.15,"Low","No Impact")))</f>
        <v/>
      </c>
    </row>
    <row r="315">
      <c r="A315" t="n">
        <v>404748</v>
      </c>
      <c r="B315" t="inlineStr">
        <is>
          <t>BD404748</t>
        </is>
      </c>
      <c r="C315" t="inlineStr">
        <is>
          <t>Khulna</t>
        </is>
      </c>
      <c r="D315" t="inlineStr">
        <is>
          <t>Khan Jahan Ali</t>
        </is>
      </c>
      <c r="E315" s="3" t="n">
        <v>6</v>
      </c>
      <c r="F315" s="4">
        <f>(E315-$AJ$5)/$AK$5</f>
        <v/>
      </c>
      <c r="G315" t="n">
        <v>125.213256</v>
      </c>
      <c r="H315">
        <f>(G315-$AJ$6)/$AK$6</f>
        <v/>
      </c>
      <c r="I315" t="n">
        <v>46.3</v>
      </c>
      <c r="J315" s="4">
        <f>(I315-$AJ$7)/$AK$7</f>
        <v/>
      </c>
      <c r="K315" t="n">
        <v>0</v>
      </c>
      <c r="L315" s="4">
        <f>(K315-$AJ$8)/$AK$8</f>
        <v/>
      </c>
      <c r="M315" t="n">
        <v>12622</v>
      </c>
      <c r="N315">
        <f>(M315-$AJ$9)/$AK$9</f>
        <v/>
      </c>
      <c r="O315" t="n">
        <v>0.6529628709999999</v>
      </c>
      <c r="P315">
        <f>(O315-$AJ$11)/$AK$11</f>
        <v/>
      </c>
      <c r="Q315" t="n">
        <v>0.2263</v>
      </c>
      <c r="R315">
        <f>(Q315-$AJ$12)/$AK$12</f>
        <v/>
      </c>
      <c r="S315">
        <f>F315*(R315*0.5+P315*0.5)*(H315*0.35+J315*0.35+L315*0.3)</f>
        <v/>
      </c>
      <c r="T315" s="14">
        <f>(S315-$AJ$10)/$AK$10</f>
        <v/>
      </c>
      <c r="U315">
        <f>IF(T315&gt;0.7,"High",IF(T315&gt;0.3,"Moderate",IF(T315&gt;0.15,"Low","No Impact")))</f>
        <v/>
      </c>
      <c r="V315">
        <f>F315*(R315*1)*(H315*0.35+J315*0.35+L315*0.3)</f>
        <v/>
      </c>
      <c r="W315">
        <f>(V315-$AJ$13)/$AK$13</f>
        <v/>
      </c>
      <c r="X315">
        <f>IF(W315&gt;0.7,"High",IF(W315&gt;0.3,"Moderate",IF(W315&gt;0.15,"Low","No Impact")))</f>
        <v/>
      </c>
      <c r="Y315">
        <f>F315*(P315*1)*(H315*0.35+J315*0.35+L315*0.3)</f>
        <v/>
      </c>
      <c r="Z315">
        <f>(Y315-$AJ$14)/$AK$14</f>
        <v/>
      </c>
      <c r="AA315">
        <f>IF(Z315&gt;0.7,"High",IF(Z315&gt;0.3,"Moderate",IF(Z315&gt;0.15,"Low","No Impact")))</f>
        <v/>
      </c>
      <c r="AB315">
        <f>F315*(R315*0.35+P315*0.3+N315*0.35)*(H315*0.35+J315*0.35+L315*0.3)</f>
        <v/>
      </c>
      <c r="AC315">
        <f>(AB315-$AJ$15)/$AK$15</f>
        <v/>
      </c>
      <c r="AD315">
        <f>IF(AC315&gt;0.7,"High",IF(AC315&gt;0.3,"Moderate",IF(AC315&gt;0.15,"Low","No Impact")))</f>
        <v/>
      </c>
      <c r="AE315">
        <f>F315*(N315*1)*(H315*0.35+J315*0.35+L315*0.3)</f>
        <v/>
      </c>
      <c r="AF315">
        <f>(AE315-$AJ$16)/$AK$16</f>
        <v/>
      </c>
      <c r="AG315">
        <f>IF(AF315&gt;0.7,"High",IF(AF315&gt;0.3,"Moderate",IF(AF315&gt;0.15,"Low","No Impact")))</f>
        <v/>
      </c>
    </row>
    <row r="316">
      <c r="A316" t="n">
        <v>404751</v>
      </c>
      <c r="B316" t="inlineStr">
        <is>
          <t>BD404751</t>
        </is>
      </c>
      <c r="C316" t="inlineStr">
        <is>
          <t>Khulna</t>
        </is>
      </c>
      <c r="D316" t="inlineStr">
        <is>
          <t>Khulna Sadar</t>
        </is>
      </c>
      <c r="E316" s="3" t="n">
        <v>6.9</v>
      </c>
      <c r="F316" s="4">
        <f>(E316-$AJ$5)/$AK$5</f>
        <v/>
      </c>
      <c r="G316" t="n">
        <v>129.432006</v>
      </c>
      <c r="H316">
        <f>(G316-$AJ$6)/$AK$6</f>
        <v/>
      </c>
      <c r="I316" t="n">
        <v>50.99999999999999</v>
      </c>
      <c r="J316" s="4">
        <f>(I316-$AJ$7)/$AK$7</f>
        <v/>
      </c>
      <c r="K316" t="n">
        <v>0</v>
      </c>
      <c r="L316" s="4">
        <f>(K316-$AJ$8)/$AK$8</f>
        <v/>
      </c>
      <c r="M316" t="n">
        <v>21594</v>
      </c>
      <c r="N316">
        <f>(M316-$AJ$9)/$AK$9</f>
        <v/>
      </c>
      <c r="O316" t="n">
        <v>0.724644123</v>
      </c>
      <c r="P316">
        <f>(O316-$AJ$11)/$AK$11</f>
        <v/>
      </c>
      <c r="Q316" t="n">
        <v>0.146</v>
      </c>
      <c r="R316">
        <f>(Q316-$AJ$12)/$AK$12</f>
        <v/>
      </c>
      <c r="S316">
        <f>F316*(R316*0.5+P316*0.5)*(H316*0.35+J316*0.35+L316*0.3)</f>
        <v/>
      </c>
      <c r="T316" s="14">
        <f>(S316-$AJ$10)/$AK$10</f>
        <v/>
      </c>
      <c r="U316">
        <f>IF(T316&gt;0.7,"High",IF(T316&gt;0.3,"Moderate",IF(T316&gt;0.15,"Low","No Impact")))</f>
        <v/>
      </c>
      <c r="V316">
        <f>F316*(R316*1)*(H316*0.35+J316*0.35+L316*0.3)</f>
        <v/>
      </c>
      <c r="W316">
        <f>(V316-$AJ$13)/$AK$13</f>
        <v/>
      </c>
      <c r="X316">
        <f>IF(W316&gt;0.7,"High",IF(W316&gt;0.3,"Moderate",IF(W316&gt;0.15,"Low","No Impact")))</f>
        <v/>
      </c>
      <c r="Y316">
        <f>F316*(P316*1)*(H316*0.35+J316*0.35+L316*0.3)</f>
        <v/>
      </c>
      <c r="Z316">
        <f>(Y316-$AJ$14)/$AK$14</f>
        <v/>
      </c>
      <c r="AA316">
        <f>IF(Z316&gt;0.7,"High",IF(Z316&gt;0.3,"Moderate",IF(Z316&gt;0.15,"Low","No Impact")))</f>
        <v/>
      </c>
      <c r="AB316">
        <f>F316*(R316*0.35+P316*0.3+N316*0.35)*(H316*0.35+J316*0.35+L316*0.3)</f>
        <v/>
      </c>
      <c r="AC316">
        <f>(AB316-$AJ$15)/$AK$15</f>
        <v/>
      </c>
      <c r="AD316">
        <f>IF(AC316&gt;0.7,"High",IF(AC316&gt;0.3,"Moderate",IF(AC316&gt;0.15,"Low","No Impact")))</f>
        <v/>
      </c>
      <c r="AE316">
        <f>F316*(N316*1)*(H316*0.35+J316*0.35+L316*0.3)</f>
        <v/>
      </c>
      <c r="AF316">
        <f>(AE316-$AJ$16)/$AK$16</f>
        <v/>
      </c>
      <c r="AG316">
        <f>IF(AF316&gt;0.7,"High",IF(AF316&gt;0.3,"Moderate",IF(AF316&gt;0.15,"Low","No Impact")))</f>
        <v/>
      </c>
    </row>
    <row r="317">
      <c r="A317" t="n">
        <v>404753</v>
      </c>
      <c r="B317" t="inlineStr">
        <is>
          <t>BD404753</t>
        </is>
      </c>
      <c r="C317" t="inlineStr">
        <is>
          <t>Khulna</t>
        </is>
      </c>
      <c r="D317" t="inlineStr">
        <is>
          <t>Koyra</t>
        </is>
      </c>
      <c r="E317" s="3" t="n">
        <v>6.9</v>
      </c>
      <c r="F317" s="4">
        <f>(E317-$AJ$5)/$AK$5</f>
        <v/>
      </c>
      <c r="G317" t="n">
        <v>161.0060652</v>
      </c>
      <c r="H317">
        <f>(G317-$AJ$6)/$AK$6</f>
        <v/>
      </c>
      <c r="I317" t="n">
        <v>65.89999999999999</v>
      </c>
      <c r="J317" s="4">
        <f>(I317-$AJ$7)/$AK$7</f>
        <v/>
      </c>
      <c r="K317" t="n">
        <v>1.2</v>
      </c>
      <c r="L317" s="4">
        <f>(K317-$AJ$8)/$AK$8</f>
        <v/>
      </c>
      <c r="M317" t="n">
        <v>26404</v>
      </c>
      <c r="N317">
        <f>(M317-$AJ$9)/$AK$9</f>
        <v/>
      </c>
      <c r="O317" t="n">
        <v>0.614989524</v>
      </c>
      <c r="P317">
        <f>(O317-$AJ$11)/$AK$11</f>
        <v/>
      </c>
      <c r="Q317" t="n">
        <v>0.2643</v>
      </c>
      <c r="R317">
        <f>(Q317-$AJ$12)/$AK$12</f>
        <v/>
      </c>
      <c r="S317">
        <f>F317*(R317*0.5+P317*0.5)*(H317*0.35+J317*0.35+L317*0.3)</f>
        <v/>
      </c>
      <c r="T317" s="14">
        <f>(S317-$AJ$10)/$AK$10</f>
        <v/>
      </c>
      <c r="U317">
        <f>IF(T317&gt;0.7,"High",IF(T317&gt;0.3,"Moderate",IF(T317&gt;0.15,"Low","No Impact")))</f>
        <v/>
      </c>
      <c r="V317">
        <f>F317*(R317*1)*(H317*0.35+J317*0.35+L317*0.3)</f>
        <v/>
      </c>
      <c r="W317">
        <f>(V317-$AJ$13)/$AK$13</f>
        <v/>
      </c>
      <c r="X317">
        <f>IF(W317&gt;0.7,"High",IF(W317&gt;0.3,"Moderate",IF(W317&gt;0.15,"Low","No Impact")))</f>
        <v/>
      </c>
      <c r="Y317">
        <f>F317*(P317*1)*(H317*0.35+J317*0.35+L317*0.3)</f>
        <v/>
      </c>
      <c r="Z317">
        <f>(Y317-$AJ$14)/$AK$14</f>
        <v/>
      </c>
      <c r="AA317">
        <f>IF(Z317&gt;0.7,"High",IF(Z317&gt;0.3,"Moderate",IF(Z317&gt;0.15,"Low","No Impact")))</f>
        <v/>
      </c>
      <c r="AB317">
        <f>F317*(R317*0.35+P317*0.3+N317*0.35)*(H317*0.35+J317*0.35+L317*0.3)</f>
        <v/>
      </c>
      <c r="AC317">
        <f>(AB317-$AJ$15)/$AK$15</f>
        <v/>
      </c>
      <c r="AD317">
        <f>IF(AC317&gt;0.7,"High",IF(AC317&gt;0.3,"Moderate",IF(AC317&gt;0.15,"Low","No Impact")))</f>
        <v/>
      </c>
      <c r="AE317">
        <f>F317*(N317*1)*(H317*0.35+J317*0.35+L317*0.3)</f>
        <v/>
      </c>
      <c r="AF317">
        <f>(AE317-$AJ$16)/$AK$16</f>
        <v/>
      </c>
      <c r="AG317">
        <f>IF(AF317&gt;0.7,"High",IF(AF317&gt;0.3,"Moderate",IF(AF317&gt;0.15,"Low","No Impact")))</f>
        <v/>
      </c>
    </row>
    <row r="318">
      <c r="A318" t="n">
        <v>404764</v>
      </c>
      <c r="B318" t="inlineStr">
        <is>
          <t>BD404764</t>
        </is>
      </c>
      <c r="C318" t="inlineStr">
        <is>
          <t>Khulna</t>
        </is>
      </c>
      <c r="D318" t="inlineStr">
        <is>
          <t>Paikgachha</t>
        </is>
      </c>
      <c r="E318" s="3" t="n">
        <v>6.9</v>
      </c>
      <c r="F318" s="4">
        <f>(E318-$AJ$5)/$AK$5</f>
        <v/>
      </c>
      <c r="G318" t="n">
        <v>139.7011464</v>
      </c>
      <c r="H318">
        <f>(G318-$AJ$6)/$AK$6</f>
        <v/>
      </c>
      <c r="I318" t="n">
        <v>47.8</v>
      </c>
      <c r="J318" s="4">
        <f>(I318-$AJ$7)/$AK$7</f>
        <v/>
      </c>
      <c r="K318" t="n">
        <v>1.2</v>
      </c>
      <c r="L318" s="4">
        <f>(K318-$AJ$8)/$AK$8</f>
        <v/>
      </c>
      <c r="M318" t="n">
        <v>42872</v>
      </c>
      <c r="N318">
        <f>(M318-$AJ$9)/$AK$9</f>
        <v/>
      </c>
      <c r="O318" t="n">
        <v>0.708138717</v>
      </c>
      <c r="P318">
        <f>(O318-$AJ$11)/$AK$11</f>
        <v/>
      </c>
      <c r="Q318" t="n">
        <v>0.2094</v>
      </c>
      <c r="R318">
        <f>(Q318-$AJ$12)/$AK$12</f>
        <v/>
      </c>
      <c r="S318">
        <f>F318*(R318*0.5+P318*0.5)*(H318*0.35+J318*0.35+L318*0.3)</f>
        <v/>
      </c>
      <c r="T318" s="14">
        <f>(S318-$AJ$10)/$AK$10</f>
        <v/>
      </c>
      <c r="U318">
        <f>IF(T318&gt;0.7,"High",IF(T318&gt;0.3,"Moderate",IF(T318&gt;0.15,"Low","No Impact")))</f>
        <v/>
      </c>
      <c r="V318">
        <f>F318*(R318*1)*(H318*0.35+J318*0.35+L318*0.3)</f>
        <v/>
      </c>
      <c r="W318">
        <f>(V318-$AJ$13)/$AK$13</f>
        <v/>
      </c>
      <c r="X318">
        <f>IF(W318&gt;0.7,"High",IF(W318&gt;0.3,"Moderate",IF(W318&gt;0.15,"Low","No Impact")))</f>
        <v/>
      </c>
      <c r="Y318">
        <f>F318*(P318*1)*(H318*0.35+J318*0.35+L318*0.3)</f>
        <v/>
      </c>
      <c r="Z318">
        <f>(Y318-$AJ$14)/$AK$14</f>
        <v/>
      </c>
      <c r="AA318">
        <f>IF(Z318&gt;0.7,"High",IF(Z318&gt;0.3,"Moderate",IF(Z318&gt;0.15,"Low","No Impact")))</f>
        <v/>
      </c>
      <c r="AB318">
        <f>F318*(R318*0.35+P318*0.3+N318*0.35)*(H318*0.35+J318*0.35+L318*0.3)</f>
        <v/>
      </c>
      <c r="AC318">
        <f>(AB318-$AJ$15)/$AK$15</f>
        <v/>
      </c>
      <c r="AD318">
        <f>IF(AC318&gt;0.7,"High",IF(AC318&gt;0.3,"Moderate",IF(AC318&gt;0.15,"Low","No Impact")))</f>
        <v/>
      </c>
      <c r="AE318">
        <f>F318*(N318*1)*(H318*0.35+J318*0.35+L318*0.3)</f>
        <v/>
      </c>
      <c r="AF318">
        <f>(AE318-$AJ$16)/$AK$16</f>
        <v/>
      </c>
      <c r="AG318">
        <f>IF(AF318&gt;0.7,"High",IF(AF318&gt;0.3,"Moderate",IF(AF318&gt;0.15,"Low","No Impact")))</f>
        <v/>
      </c>
    </row>
    <row r="319">
      <c r="A319" t="n">
        <v>404769</v>
      </c>
      <c r="B319" t="inlineStr">
        <is>
          <t>BD404769</t>
        </is>
      </c>
      <c r="C319" t="inlineStr">
        <is>
          <t>Khulna</t>
        </is>
      </c>
      <c r="D319" t="inlineStr">
        <is>
          <t>Phultala</t>
        </is>
      </c>
      <c r="E319" s="3" t="n">
        <v>6.9</v>
      </c>
      <c r="F319" s="4">
        <f>(E319-$AJ$5)/$AK$5</f>
        <v/>
      </c>
      <c r="G319" t="n">
        <v>125.213256</v>
      </c>
      <c r="H319">
        <f>(G319-$AJ$6)/$AK$6</f>
        <v/>
      </c>
      <c r="I319" t="n">
        <v>46.3</v>
      </c>
      <c r="J319" s="4">
        <f>(I319-$AJ$7)/$AK$7</f>
        <v/>
      </c>
      <c r="K319" t="n">
        <v>0</v>
      </c>
      <c r="L319" s="4">
        <f>(K319-$AJ$8)/$AK$8</f>
        <v/>
      </c>
      <c r="M319" t="n">
        <v>16829</v>
      </c>
      <c r="N319">
        <f>(M319-$AJ$9)/$AK$9</f>
        <v/>
      </c>
      <c r="O319" t="n">
        <v>0.630005456</v>
      </c>
      <c r="P319">
        <f>(O319-$AJ$11)/$AK$11</f>
        <v/>
      </c>
      <c r="Q319" t="n">
        <v>0.2572</v>
      </c>
      <c r="R319">
        <f>(Q319-$AJ$12)/$AK$12</f>
        <v/>
      </c>
      <c r="S319">
        <f>F319*(R319*0.5+P319*0.5)*(H319*0.35+J319*0.35+L319*0.3)</f>
        <v/>
      </c>
      <c r="T319" s="14">
        <f>(S319-$AJ$10)/$AK$10</f>
        <v/>
      </c>
      <c r="U319">
        <f>IF(T319&gt;0.7,"High",IF(T319&gt;0.3,"Moderate",IF(T319&gt;0.15,"Low","No Impact")))</f>
        <v/>
      </c>
      <c r="V319">
        <f>F319*(R319*1)*(H319*0.35+J319*0.35+L319*0.3)</f>
        <v/>
      </c>
      <c r="W319">
        <f>(V319-$AJ$13)/$AK$13</f>
        <v/>
      </c>
      <c r="X319">
        <f>IF(W319&gt;0.7,"High",IF(W319&gt;0.3,"Moderate",IF(W319&gt;0.15,"Low","No Impact")))</f>
        <v/>
      </c>
      <c r="Y319">
        <f>F319*(P319*1)*(H319*0.35+J319*0.35+L319*0.3)</f>
        <v/>
      </c>
      <c r="Z319">
        <f>(Y319-$AJ$14)/$AK$14</f>
        <v/>
      </c>
      <c r="AA319">
        <f>IF(Z319&gt;0.7,"High",IF(Z319&gt;0.3,"Moderate",IF(Z319&gt;0.15,"Low","No Impact")))</f>
        <v/>
      </c>
      <c r="AB319">
        <f>F319*(R319*0.35+P319*0.3+N319*0.35)*(H319*0.35+J319*0.35+L319*0.3)</f>
        <v/>
      </c>
      <c r="AC319">
        <f>(AB319-$AJ$15)/$AK$15</f>
        <v/>
      </c>
      <c r="AD319">
        <f>IF(AC319&gt;0.7,"High",IF(AC319&gt;0.3,"Moderate",IF(AC319&gt;0.15,"Low","No Impact")))</f>
        <v/>
      </c>
      <c r="AE319">
        <f>F319*(N319*1)*(H319*0.35+J319*0.35+L319*0.3)</f>
        <v/>
      </c>
      <c r="AF319">
        <f>(AE319-$AJ$16)/$AK$16</f>
        <v/>
      </c>
      <c r="AG319">
        <f>IF(AF319&gt;0.7,"High",IF(AF319&gt;0.3,"Moderate",IF(AF319&gt;0.15,"Low","No Impact")))</f>
        <v/>
      </c>
    </row>
    <row r="320">
      <c r="A320" t="n">
        <v>404775</v>
      </c>
      <c r="B320" t="inlineStr">
        <is>
          <t>BD404775</t>
        </is>
      </c>
      <c r="C320" t="inlineStr">
        <is>
          <t>Khulna</t>
        </is>
      </c>
      <c r="D320" t="inlineStr">
        <is>
          <t>Rupsa</t>
        </is>
      </c>
      <c r="E320" s="3" t="n">
        <v>6.4</v>
      </c>
      <c r="F320" s="4">
        <f>(E320-$AJ$5)/$AK$5</f>
        <v/>
      </c>
      <c r="G320" t="n">
        <v>129.432006</v>
      </c>
      <c r="H320">
        <f>(G320-$AJ$6)/$AK$6</f>
        <v/>
      </c>
      <c r="I320" t="n">
        <v>43.8</v>
      </c>
      <c r="J320" s="4">
        <f>(I320-$AJ$7)/$AK$7</f>
        <v/>
      </c>
      <c r="K320" t="n">
        <v>0</v>
      </c>
      <c r="L320" s="4">
        <f>(K320-$AJ$8)/$AK$8</f>
        <v/>
      </c>
      <c r="M320" t="n">
        <v>27731</v>
      </c>
      <c r="N320">
        <f>(M320-$AJ$9)/$AK$9</f>
        <v/>
      </c>
      <c r="O320" t="n">
        <v>0.56979338</v>
      </c>
      <c r="P320">
        <f>(O320-$AJ$11)/$AK$11</f>
        <v/>
      </c>
      <c r="Q320" t="n">
        <v>0.226</v>
      </c>
      <c r="R320">
        <f>(Q320-$AJ$12)/$AK$12</f>
        <v/>
      </c>
      <c r="S320">
        <f>F320*(R320*0.5+P320*0.5)*(H320*0.35+J320*0.35+L320*0.3)</f>
        <v/>
      </c>
      <c r="T320" s="14">
        <f>(S320-$AJ$10)/$AK$10</f>
        <v/>
      </c>
      <c r="U320">
        <f>IF(T320&gt;0.7,"High",IF(T320&gt;0.3,"Moderate",IF(T320&gt;0.15,"Low","No Impact")))</f>
        <v/>
      </c>
      <c r="V320">
        <f>F320*(R320*1)*(H320*0.35+J320*0.35+L320*0.3)</f>
        <v/>
      </c>
      <c r="W320">
        <f>(V320-$AJ$13)/$AK$13</f>
        <v/>
      </c>
      <c r="X320">
        <f>IF(W320&gt;0.7,"High",IF(W320&gt;0.3,"Moderate",IF(W320&gt;0.15,"Low","No Impact")))</f>
        <v/>
      </c>
      <c r="Y320">
        <f>F320*(P320*1)*(H320*0.35+J320*0.35+L320*0.3)</f>
        <v/>
      </c>
      <c r="Z320">
        <f>(Y320-$AJ$14)/$AK$14</f>
        <v/>
      </c>
      <c r="AA320">
        <f>IF(Z320&gt;0.7,"High",IF(Z320&gt;0.3,"Moderate",IF(Z320&gt;0.15,"Low","No Impact")))</f>
        <v/>
      </c>
      <c r="AB320">
        <f>F320*(R320*0.35+P320*0.3+N320*0.35)*(H320*0.35+J320*0.35+L320*0.3)</f>
        <v/>
      </c>
      <c r="AC320">
        <f>(AB320-$AJ$15)/$AK$15</f>
        <v/>
      </c>
      <c r="AD320">
        <f>IF(AC320&gt;0.7,"High",IF(AC320&gt;0.3,"Moderate",IF(AC320&gt;0.15,"Low","No Impact")))</f>
        <v/>
      </c>
      <c r="AE320">
        <f>F320*(N320*1)*(H320*0.35+J320*0.35+L320*0.3)</f>
        <v/>
      </c>
      <c r="AF320">
        <f>(AE320-$AJ$16)/$AK$16</f>
        <v/>
      </c>
      <c r="AG320">
        <f>IF(AF320&gt;0.7,"High",IF(AF320&gt;0.3,"Moderate",IF(AF320&gt;0.15,"Low","No Impact")))</f>
        <v/>
      </c>
    </row>
    <row r="321">
      <c r="A321" t="n">
        <v>404785</v>
      </c>
      <c r="B321" t="inlineStr">
        <is>
          <t>BD404785</t>
        </is>
      </c>
      <c r="C321" t="inlineStr">
        <is>
          <t>Khulna</t>
        </is>
      </c>
      <c r="D321" t="inlineStr">
        <is>
          <t>Sonadanga</t>
        </is>
      </c>
      <c r="E321" s="3" t="n">
        <v>6.9</v>
      </c>
      <c r="F321" s="4">
        <f>(E321-$AJ$5)/$AK$5</f>
        <v/>
      </c>
      <c r="G321" t="n">
        <v>129.432006</v>
      </c>
      <c r="H321">
        <f>(G321-$AJ$6)/$AK$6</f>
        <v/>
      </c>
      <c r="I321" t="n">
        <v>50.99999999999999</v>
      </c>
      <c r="J321" s="4">
        <f>(I321-$AJ$7)/$AK$7</f>
        <v/>
      </c>
      <c r="K321" t="n">
        <v>0</v>
      </c>
      <c r="L321" s="4">
        <f>(K321-$AJ$8)/$AK$8</f>
        <v/>
      </c>
      <c r="M321" t="n">
        <v>16022</v>
      </c>
      <c r="N321">
        <f>(M321-$AJ$9)/$AK$9</f>
        <v/>
      </c>
      <c r="O321" t="n">
        <v>0.454001773</v>
      </c>
      <c r="P321">
        <f>(O321-$AJ$11)/$AK$11</f>
        <v/>
      </c>
      <c r="Q321" t="n">
        <v>0.1839</v>
      </c>
      <c r="R321">
        <f>(Q321-$AJ$12)/$AK$12</f>
        <v/>
      </c>
      <c r="S321">
        <f>F321*(R321*0.5+P321*0.5)*(H321*0.35+J321*0.35+L321*0.3)</f>
        <v/>
      </c>
      <c r="T321" s="14">
        <f>(S321-$AJ$10)/$AK$10</f>
        <v/>
      </c>
      <c r="U321">
        <f>IF(T321&gt;0.7,"High",IF(T321&gt;0.3,"Moderate",IF(T321&gt;0.15,"Low","No Impact")))</f>
        <v/>
      </c>
      <c r="V321">
        <f>F321*(R321*1)*(H321*0.35+J321*0.35+L321*0.3)</f>
        <v/>
      </c>
      <c r="W321">
        <f>(V321-$AJ$13)/$AK$13</f>
        <v/>
      </c>
      <c r="X321">
        <f>IF(W321&gt;0.7,"High",IF(W321&gt;0.3,"Moderate",IF(W321&gt;0.15,"Low","No Impact")))</f>
        <v/>
      </c>
      <c r="Y321">
        <f>F321*(P321*1)*(H321*0.35+J321*0.35+L321*0.3)</f>
        <v/>
      </c>
      <c r="Z321">
        <f>(Y321-$AJ$14)/$AK$14</f>
        <v/>
      </c>
      <c r="AA321">
        <f>IF(Z321&gt;0.7,"High",IF(Z321&gt;0.3,"Moderate",IF(Z321&gt;0.15,"Low","No Impact")))</f>
        <v/>
      </c>
      <c r="AB321">
        <f>F321*(R321*0.35+P321*0.3+N321*0.35)*(H321*0.35+J321*0.35+L321*0.3)</f>
        <v/>
      </c>
      <c r="AC321">
        <f>(AB321-$AJ$15)/$AK$15</f>
        <v/>
      </c>
      <c r="AD321">
        <f>IF(AC321&gt;0.7,"High",IF(AC321&gt;0.3,"Moderate",IF(AC321&gt;0.15,"Low","No Impact")))</f>
        <v/>
      </c>
      <c r="AE321">
        <f>F321*(N321*1)*(H321*0.35+J321*0.35+L321*0.3)</f>
        <v/>
      </c>
      <c r="AF321">
        <f>(AE321-$AJ$16)/$AK$16</f>
        <v/>
      </c>
      <c r="AG321">
        <f>IF(AF321&gt;0.7,"High",IF(AF321&gt;0.3,"Moderate",IF(AF321&gt;0.15,"Low","No Impact")))</f>
        <v/>
      </c>
    </row>
    <row r="322">
      <c r="A322" t="n">
        <v>404794</v>
      </c>
      <c r="B322" t="inlineStr">
        <is>
          <t>BD404794</t>
        </is>
      </c>
      <c r="C322" t="inlineStr">
        <is>
          <t>Khulna</t>
        </is>
      </c>
      <c r="D322" t="inlineStr">
        <is>
          <t>Terokhada</t>
        </is>
      </c>
      <c r="E322" s="3" t="n">
        <v>6.9</v>
      </c>
      <c r="F322" s="4">
        <f>(E322-$AJ$5)/$AK$5</f>
        <v/>
      </c>
      <c r="G322" t="n">
        <v>129.432006</v>
      </c>
      <c r="H322">
        <f>(G322-$AJ$6)/$AK$6</f>
        <v/>
      </c>
      <c r="I322" t="n">
        <v>44.4</v>
      </c>
      <c r="J322" s="4">
        <f>(I322-$AJ$7)/$AK$7</f>
        <v/>
      </c>
      <c r="K322" t="n">
        <v>0</v>
      </c>
      <c r="L322" s="4">
        <f>(K322-$AJ$8)/$AK$8</f>
        <v/>
      </c>
      <c r="M322" t="n">
        <v>14270</v>
      </c>
      <c r="N322">
        <f>(M322-$AJ$9)/$AK$9</f>
        <v/>
      </c>
      <c r="O322" t="n">
        <v>0.719546883</v>
      </c>
      <c r="P322">
        <f>(O322-$AJ$11)/$AK$11</f>
        <v/>
      </c>
      <c r="Q322" t="n">
        <v>0.2146</v>
      </c>
      <c r="R322">
        <f>(Q322-$AJ$12)/$AK$12</f>
        <v/>
      </c>
      <c r="S322">
        <f>F322*(R322*0.5+P322*0.5)*(H322*0.35+J322*0.35+L322*0.3)</f>
        <v/>
      </c>
      <c r="T322" s="14">
        <f>(S322-$AJ$10)/$AK$10</f>
        <v/>
      </c>
      <c r="U322">
        <f>IF(T322&gt;0.7,"High",IF(T322&gt;0.3,"Moderate",IF(T322&gt;0.15,"Low","No Impact")))</f>
        <v/>
      </c>
      <c r="V322">
        <f>F322*(R322*1)*(H322*0.35+J322*0.35+L322*0.3)</f>
        <v/>
      </c>
      <c r="W322">
        <f>(V322-$AJ$13)/$AK$13</f>
        <v/>
      </c>
      <c r="X322">
        <f>IF(W322&gt;0.7,"High",IF(W322&gt;0.3,"Moderate",IF(W322&gt;0.15,"Low","No Impact")))</f>
        <v/>
      </c>
      <c r="Y322">
        <f>F322*(P322*1)*(H322*0.35+J322*0.35+L322*0.3)</f>
        <v/>
      </c>
      <c r="Z322">
        <f>(Y322-$AJ$14)/$AK$14</f>
        <v/>
      </c>
      <c r="AA322">
        <f>IF(Z322&gt;0.7,"High",IF(Z322&gt;0.3,"Moderate",IF(Z322&gt;0.15,"Low","No Impact")))</f>
        <v/>
      </c>
      <c r="AB322">
        <f>F322*(R322*0.35+P322*0.3+N322*0.35)*(H322*0.35+J322*0.35+L322*0.3)</f>
        <v/>
      </c>
      <c r="AC322">
        <f>(AB322-$AJ$15)/$AK$15</f>
        <v/>
      </c>
      <c r="AD322">
        <f>IF(AC322&gt;0.7,"High",IF(AC322&gt;0.3,"Moderate",IF(AC322&gt;0.15,"Low","No Impact")))</f>
        <v/>
      </c>
      <c r="AE322">
        <f>F322*(N322*1)*(H322*0.35+J322*0.35+L322*0.3)</f>
        <v/>
      </c>
      <c r="AF322">
        <f>(AE322-$AJ$16)/$AK$16</f>
        <v/>
      </c>
      <c r="AG322">
        <f>IF(AF322&gt;0.7,"High",IF(AF322&gt;0.3,"Moderate",IF(AF322&gt;0.15,"Low","No Impact")))</f>
        <v/>
      </c>
    </row>
    <row r="323">
      <c r="A323" t="n">
        <v>405015</v>
      </c>
      <c r="B323" t="inlineStr">
        <is>
          <t>BD405015</t>
        </is>
      </c>
      <c r="C323" t="inlineStr">
        <is>
          <t>Kushtia</t>
        </is>
      </c>
      <c r="D323" t="inlineStr">
        <is>
          <t>Bheramara</t>
        </is>
      </c>
      <c r="E323" s="3" t="n">
        <v>5.6</v>
      </c>
      <c r="F323" s="4">
        <f>(E323-$AJ$5)/$AK$5</f>
        <v/>
      </c>
      <c r="G323" t="n">
        <v>80.5366944</v>
      </c>
      <c r="H323">
        <f>(G323-$AJ$6)/$AK$6</f>
        <v/>
      </c>
      <c r="I323" t="n">
        <v>8.6</v>
      </c>
      <c r="J323" s="4">
        <f>(I323-$AJ$7)/$AK$7</f>
        <v/>
      </c>
      <c r="K323" t="n">
        <v>0</v>
      </c>
      <c r="L323" s="4">
        <f>(K323-$AJ$8)/$AK$8</f>
        <v/>
      </c>
      <c r="M323" t="n">
        <v>38100</v>
      </c>
      <c r="N323">
        <f>(M323-$AJ$9)/$AK$9</f>
        <v/>
      </c>
      <c r="O323" t="n">
        <v>0.78116169</v>
      </c>
      <c r="P323">
        <f>(O323-$AJ$11)/$AK$11</f>
        <v/>
      </c>
      <c r="Q323" t="n">
        <v>0.2219</v>
      </c>
      <c r="R323">
        <f>(Q323-$AJ$12)/$AK$12</f>
        <v/>
      </c>
      <c r="S323">
        <f>F323*(R323*0.5+P323*0.5)*(H323*0.35+J323*0.35+L323*0.3)</f>
        <v/>
      </c>
      <c r="T323" s="14">
        <f>(S323-$AJ$10)/$AK$10</f>
        <v/>
      </c>
      <c r="U323">
        <f>IF(T323&gt;0.7,"High",IF(T323&gt;0.3,"Moderate",IF(T323&gt;0.15,"Low","No Impact")))</f>
        <v/>
      </c>
      <c r="V323">
        <f>F323*(R323*1)*(H323*0.35+J323*0.35+L323*0.3)</f>
        <v/>
      </c>
      <c r="W323">
        <f>(V323-$AJ$13)/$AK$13</f>
        <v/>
      </c>
      <c r="X323">
        <f>IF(W323&gt;0.7,"High",IF(W323&gt;0.3,"Moderate",IF(W323&gt;0.15,"Low","No Impact")))</f>
        <v/>
      </c>
      <c r="Y323">
        <f>F323*(P323*1)*(H323*0.35+J323*0.35+L323*0.3)</f>
        <v/>
      </c>
      <c r="Z323">
        <f>(Y323-$AJ$14)/$AK$14</f>
        <v/>
      </c>
      <c r="AA323">
        <f>IF(Z323&gt;0.7,"High",IF(Z323&gt;0.3,"Moderate",IF(Z323&gt;0.15,"Low","No Impact")))</f>
        <v/>
      </c>
      <c r="AB323">
        <f>F323*(R323*0.35+P323*0.3+N323*0.35)*(H323*0.35+J323*0.35+L323*0.3)</f>
        <v/>
      </c>
      <c r="AC323">
        <f>(AB323-$AJ$15)/$AK$15</f>
        <v/>
      </c>
      <c r="AD323">
        <f>IF(AC323&gt;0.7,"High",IF(AC323&gt;0.3,"Moderate",IF(AC323&gt;0.15,"Low","No Impact")))</f>
        <v/>
      </c>
      <c r="AE323">
        <f>F323*(N323*1)*(H323*0.35+J323*0.35+L323*0.3)</f>
        <v/>
      </c>
      <c r="AF323">
        <f>(AE323-$AJ$16)/$AK$16</f>
        <v/>
      </c>
      <c r="AG323">
        <f>IF(AF323&gt;0.7,"High",IF(AF323&gt;0.3,"Moderate",IF(AF323&gt;0.15,"Low","No Impact")))</f>
        <v/>
      </c>
    </row>
    <row r="324">
      <c r="A324" t="n">
        <v>405039</v>
      </c>
      <c r="B324" t="inlineStr">
        <is>
          <t>BD405039</t>
        </is>
      </c>
      <c r="C324" t="inlineStr">
        <is>
          <t>Manikganj</t>
        </is>
      </c>
      <c r="D324" t="inlineStr">
        <is>
          <t>Daulatpur</t>
        </is>
      </c>
      <c r="E324" s="3" t="n">
        <v>5.5</v>
      </c>
      <c r="F324" s="4">
        <f>(E324-$AJ$5)/$AK$5</f>
        <v/>
      </c>
      <c r="G324" t="n">
        <v>95.79098880000001</v>
      </c>
      <c r="H324">
        <f>(G324-$AJ$6)/$AK$6</f>
        <v/>
      </c>
      <c r="I324" t="n">
        <v>10.2</v>
      </c>
      <c r="J324" s="4">
        <f>(I324-$AJ$7)/$AK$7</f>
        <v/>
      </c>
      <c r="K324" t="n">
        <v>0</v>
      </c>
      <c r="L324" s="4">
        <f>(K324-$AJ$8)/$AK$8</f>
        <v/>
      </c>
      <c r="M324" t="n">
        <v>80319</v>
      </c>
      <c r="N324">
        <f>(M324-$AJ$9)/$AK$9</f>
        <v/>
      </c>
      <c r="O324" t="n">
        <v>0.640216721</v>
      </c>
      <c r="P324">
        <f>(O324-$AJ$11)/$AK$11</f>
        <v/>
      </c>
      <c r="Q324" t="n">
        <v>0.225</v>
      </c>
      <c r="R324">
        <f>(Q324-$AJ$12)/$AK$12</f>
        <v/>
      </c>
      <c r="S324">
        <f>F324*(R324*0.5+P324*0.5)*(H324*0.35+J324*0.35+L324*0.3)</f>
        <v/>
      </c>
      <c r="T324" s="14">
        <f>(S324-$AJ$10)/$AK$10</f>
        <v/>
      </c>
      <c r="U324">
        <f>IF(T324&gt;0.7,"High",IF(T324&gt;0.3,"Moderate",IF(T324&gt;0.15,"Low","No Impact")))</f>
        <v/>
      </c>
      <c r="V324">
        <f>F324*(R324*1)*(H324*0.35+J324*0.35+L324*0.3)</f>
        <v/>
      </c>
      <c r="W324">
        <f>(V324-$AJ$13)/$AK$13</f>
        <v/>
      </c>
      <c r="X324">
        <f>IF(W324&gt;0.7,"High",IF(W324&gt;0.3,"Moderate",IF(W324&gt;0.15,"Low","No Impact")))</f>
        <v/>
      </c>
      <c r="Y324">
        <f>F324*(P324*1)*(H324*0.35+J324*0.35+L324*0.3)</f>
        <v/>
      </c>
      <c r="Z324">
        <f>(Y324-$AJ$14)/$AK$14</f>
        <v/>
      </c>
      <c r="AA324">
        <f>IF(Z324&gt;0.7,"High",IF(Z324&gt;0.3,"Moderate",IF(Z324&gt;0.15,"Low","No Impact")))</f>
        <v/>
      </c>
      <c r="AB324">
        <f>F324*(R324*0.35+P324*0.3+N324*0.35)*(H324*0.35+J324*0.35+L324*0.3)</f>
        <v/>
      </c>
      <c r="AC324">
        <f>(AB324-$AJ$15)/$AK$15</f>
        <v/>
      </c>
      <c r="AD324">
        <f>IF(AC324&gt;0.7,"High",IF(AC324&gt;0.3,"Moderate",IF(AC324&gt;0.15,"Low","No Impact")))</f>
        <v/>
      </c>
      <c r="AE324">
        <f>F324*(N324*1)*(H324*0.35+J324*0.35+L324*0.3)</f>
        <v/>
      </c>
      <c r="AF324">
        <f>(AE324-$AJ$16)/$AK$16</f>
        <v/>
      </c>
      <c r="AG324">
        <f>IF(AF324&gt;0.7,"High",IF(AF324&gt;0.3,"Moderate",IF(AF324&gt;0.15,"Low","No Impact")))</f>
        <v/>
      </c>
    </row>
    <row r="325">
      <c r="A325" t="n">
        <v>405063</v>
      </c>
      <c r="B325" t="inlineStr">
        <is>
          <t>BD405063</t>
        </is>
      </c>
      <c r="C325" t="inlineStr">
        <is>
          <t>Kushtia</t>
        </is>
      </c>
      <c r="D325" t="inlineStr">
        <is>
          <t>Khoksa</t>
        </is>
      </c>
      <c r="E325" s="3" t="n">
        <v>5.5</v>
      </c>
      <c r="F325" s="4">
        <f>(E325-$AJ$5)/$AK$5</f>
        <v/>
      </c>
      <c r="G325" t="n">
        <v>91.5230196</v>
      </c>
      <c r="H325">
        <f>(G325-$AJ$6)/$AK$6</f>
        <v/>
      </c>
      <c r="I325" t="n">
        <v>13.9</v>
      </c>
      <c r="J325" s="4">
        <f>(I325-$AJ$7)/$AK$7</f>
        <v/>
      </c>
      <c r="K325" t="n">
        <v>0</v>
      </c>
      <c r="L325" s="4">
        <f>(K325-$AJ$8)/$AK$8</f>
        <v/>
      </c>
      <c r="M325" t="n">
        <v>11398</v>
      </c>
      <c r="N325">
        <f>(M325-$AJ$9)/$AK$9</f>
        <v/>
      </c>
      <c r="O325" t="n">
        <v>0.420172808</v>
      </c>
      <c r="P325">
        <f>(O325-$AJ$11)/$AK$11</f>
        <v/>
      </c>
      <c r="Q325" t="n">
        <v>0.2765</v>
      </c>
      <c r="R325">
        <f>(Q325-$AJ$12)/$AK$12</f>
        <v/>
      </c>
      <c r="S325">
        <f>F325*(R325*0.5+P325*0.5)*(H325*0.35+J325*0.35+L325*0.3)</f>
        <v/>
      </c>
      <c r="T325" s="14">
        <f>(S325-$AJ$10)/$AK$10</f>
        <v/>
      </c>
      <c r="U325">
        <f>IF(T325&gt;0.7,"High",IF(T325&gt;0.3,"Moderate",IF(T325&gt;0.15,"Low","No Impact")))</f>
        <v/>
      </c>
      <c r="V325">
        <f>F325*(R325*1)*(H325*0.35+J325*0.35+L325*0.3)</f>
        <v/>
      </c>
      <c r="W325">
        <f>(V325-$AJ$13)/$AK$13</f>
        <v/>
      </c>
      <c r="X325">
        <f>IF(W325&gt;0.7,"High",IF(W325&gt;0.3,"Moderate",IF(W325&gt;0.15,"Low","No Impact")))</f>
        <v/>
      </c>
      <c r="Y325">
        <f>F325*(P325*1)*(H325*0.35+J325*0.35+L325*0.3)</f>
        <v/>
      </c>
      <c r="Z325">
        <f>(Y325-$AJ$14)/$AK$14</f>
        <v/>
      </c>
      <c r="AA325">
        <f>IF(Z325&gt;0.7,"High",IF(Z325&gt;0.3,"Moderate",IF(Z325&gt;0.15,"Low","No Impact")))</f>
        <v/>
      </c>
      <c r="AB325">
        <f>F325*(R325*0.35+P325*0.3+N325*0.35)*(H325*0.35+J325*0.35+L325*0.3)</f>
        <v/>
      </c>
      <c r="AC325">
        <f>(AB325-$AJ$15)/$AK$15</f>
        <v/>
      </c>
      <c r="AD325">
        <f>IF(AC325&gt;0.7,"High",IF(AC325&gt;0.3,"Moderate",IF(AC325&gt;0.15,"Low","No Impact")))</f>
        <v/>
      </c>
      <c r="AE325">
        <f>F325*(N325*1)*(H325*0.35+J325*0.35+L325*0.3)</f>
        <v/>
      </c>
      <c r="AF325">
        <f>(AE325-$AJ$16)/$AK$16</f>
        <v/>
      </c>
      <c r="AG325">
        <f>IF(AF325&gt;0.7,"High",IF(AF325&gt;0.3,"Moderate",IF(AF325&gt;0.15,"Low","No Impact")))</f>
        <v/>
      </c>
    </row>
    <row r="326">
      <c r="A326" t="n">
        <v>405071</v>
      </c>
      <c r="B326" t="inlineStr">
        <is>
          <t>BD405071</t>
        </is>
      </c>
      <c r="C326" t="inlineStr">
        <is>
          <t>Kushtia</t>
        </is>
      </c>
      <c r="D326" t="inlineStr">
        <is>
          <t>Kumarkhali</t>
        </is>
      </c>
      <c r="E326" s="3" t="n">
        <v>5.5</v>
      </c>
      <c r="F326" s="4">
        <f>(E326-$AJ$5)/$AK$5</f>
        <v/>
      </c>
      <c r="G326" t="n">
        <v>91.5230196</v>
      </c>
      <c r="H326">
        <f>(G326-$AJ$6)/$AK$6</f>
        <v/>
      </c>
      <c r="I326" t="n">
        <v>13.9</v>
      </c>
      <c r="J326" s="4">
        <f>(I326-$AJ$7)/$AK$7</f>
        <v/>
      </c>
      <c r="K326" t="n">
        <v>0</v>
      </c>
      <c r="L326" s="4">
        <f>(K326-$AJ$8)/$AK$8</f>
        <v/>
      </c>
      <c r="M326" t="n">
        <v>32093</v>
      </c>
      <c r="N326">
        <f>(M326-$AJ$9)/$AK$9</f>
        <v/>
      </c>
      <c r="O326" t="n">
        <v>0.267531949</v>
      </c>
      <c r="P326">
        <f>(O326-$AJ$11)/$AK$11</f>
        <v/>
      </c>
      <c r="Q326" t="n">
        <v>0.2463</v>
      </c>
      <c r="R326">
        <f>(Q326-$AJ$12)/$AK$12</f>
        <v/>
      </c>
      <c r="S326">
        <f>F326*(R326*0.5+P326*0.5)*(H326*0.35+J326*0.35+L326*0.3)</f>
        <v/>
      </c>
      <c r="T326" s="14">
        <f>(S326-$AJ$10)/$AK$10</f>
        <v/>
      </c>
      <c r="U326">
        <f>IF(T326&gt;0.7,"High",IF(T326&gt;0.3,"Moderate",IF(T326&gt;0.15,"Low","No Impact")))</f>
        <v/>
      </c>
      <c r="V326">
        <f>F326*(R326*1)*(H326*0.35+J326*0.35+L326*0.3)</f>
        <v/>
      </c>
      <c r="W326">
        <f>(V326-$AJ$13)/$AK$13</f>
        <v/>
      </c>
      <c r="X326">
        <f>IF(W326&gt;0.7,"High",IF(W326&gt;0.3,"Moderate",IF(W326&gt;0.15,"Low","No Impact")))</f>
        <v/>
      </c>
      <c r="Y326">
        <f>F326*(P326*1)*(H326*0.35+J326*0.35+L326*0.3)</f>
        <v/>
      </c>
      <c r="Z326">
        <f>(Y326-$AJ$14)/$AK$14</f>
        <v/>
      </c>
      <c r="AA326">
        <f>IF(Z326&gt;0.7,"High",IF(Z326&gt;0.3,"Moderate",IF(Z326&gt;0.15,"Low","No Impact")))</f>
        <v/>
      </c>
      <c r="AB326">
        <f>F326*(R326*0.35+P326*0.3+N326*0.35)*(H326*0.35+J326*0.35+L326*0.3)</f>
        <v/>
      </c>
      <c r="AC326">
        <f>(AB326-$AJ$15)/$AK$15</f>
        <v/>
      </c>
      <c r="AD326">
        <f>IF(AC326&gt;0.7,"High",IF(AC326&gt;0.3,"Moderate",IF(AC326&gt;0.15,"Low","No Impact")))</f>
        <v/>
      </c>
      <c r="AE326">
        <f>F326*(N326*1)*(H326*0.35+J326*0.35+L326*0.3)</f>
        <v/>
      </c>
      <c r="AF326">
        <f>(AE326-$AJ$16)/$AK$16</f>
        <v/>
      </c>
      <c r="AG326">
        <f>IF(AF326&gt;0.7,"High",IF(AF326&gt;0.3,"Moderate",IF(AF326&gt;0.15,"Low","No Impact")))</f>
        <v/>
      </c>
    </row>
    <row r="327">
      <c r="A327" t="n">
        <v>405079</v>
      </c>
      <c r="B327" t="inlineStr">
        <is>
          <t>BD405079</t>
        </is>
      </c>
      <c r="C327" t="inlineStr">
        <is>
          <t>Kushtia</t>
        </is>
      </c>
      <c r="D327" t="inlineStr">
        <is>
          <t>Kushtia Sadar</t>
        </is>
      </c>
      <c r="E327" s="3" t="n">
        <v>5.5</v>
      </c>
      <c r="F327" s="4">
        <f>(E327-$AJ$5)/$AK$5</f>
        <v/>
      </c>
      <c r="G327" t="n">
        <v>95.569506</v>
      </c>
      <c r="H327">
        <f>(G327-$AJ$6)/$AK$6</f>
        <v/>
      </c>
      <c r="I327" t="n">
        <v>15.7</v>
      </c>
      <c r="J327" s="4">
        <f>(I327-$AJ$7)/$AK$7</f>
        <v/>
      </c>
      <c r="K327" t="n">
        <v>0</v>
      </c>
      <c r="L327" s="4">
        <f>(K327-$AJ$8)/$AK$8</f>
        <v/>
      </c>
      <c r="M327" t="n">
        <v>55212</v>
      </c>
      <c r="N327">
        <f>(M327-$AJ$9)/$AK$9</f>
        <v/>
      </c>
      <c r="O327" t="n">
        <v>0.372812751</v>
      </c>
      <c r="P327">
        <f>(O327-$AJ$11)/$AK$11</f>
        <v/>
      </c>
      <c r="Q327" t="n">
        <v>0.2406</v>
      </c>
      <c r="R327">
        <f>(Q327-$AJ$12)/$AK$12</f>
        <v/>
      </c>
      <c r="S327">
        <f>F327*(R327*0.5+P327*0.5)*(H327*0.35+J327*0.35+L327*0.3)</f>
        <v/>
      </c>
      <c r="T327" s="14">
        <f>(S327-$AJ$10)/$AK$10</f>
        <v/>
      </c>
      <c r="U327">
        <f>IF(T327&gt;0.7,"High",IF(T327&gt;0.3,"Moderate",IF(T327&gt;0.15,"Low","No Impact")))</f>
        <v/>
      </c>
      <c r="V327">
        <f>F327*(R327*1)*(H327*0.35+J327*0.35+L327*0.3)</f>
        <v/>
      </c>
      <c r="W327">
        <f>(V327-$AJ$13)/$AK$13</f>
        <v/>
      </c>
      <c r="X327">
        <f>IF(W327&gt;0.7,"High",IF(W327&gt;0.3,"Moderate",IF(W327&gt;0.15,"Low","No Impact")))</f>
        <v/>
      </c>
      <c r="Y327">
        <f>F327*(P327*1)*(H327*0.35+J327*0.35+L327*0.3)</f>
        <v/>
      </c>
      <c r="Z327">
        <f>(Y327-$AJ$14)/$AK$14</f>
        <v/>
      </c>
      <c r="AA327">
        <f>IF(Z327&gt;0.7,"High",IF(Z327&gt;0.3,"Moderate",IF(Z327&gt;0.15,"Low","No Impact")))</f>
        <v/>
      </c>
      <c r="AB327">
        <f>F327*(R327*0.35+P327*0.3+N327*0.35)*(H327*0.35+J327*0.35+L327*0.3)</f>
        <v/>
      </c>
      <c r="AC327">
        <f>(AB327-$AJ$15)/$AK$15</f>
        <v/>
      </c>
      <c r="AD327">
        <f>IF(AC327&gt;0.7,"High",IF(AC327&gt;0.3,"Moderate",IF(AC327&gt;0.15,"Low","No Impact")))</f>
        <v/>
      </c>
      <c r="AE327">
        <f>F327*(N327*1)*(H327*0.35+J327*0.35+L327*0.3)</f>
        <v/>
      </c>
      <c r="AF327">
        <f>(AE327-$AJ$16)/$AK$16</f>
        <v/>
      </c>
      <c r="AG327">
        <f>IF(AF327&gt;0.7,"High",IF(AF327&gt;0.3,"Moderate",IF(AF327&gt;0.15,"Low","No Impact")))</f>
        <v/>
      </c>
    </row>
    <row r="328">
      <c r="A328" t="n">
        <v>405094</v>
      </c>
      <c r="B328" t="inlineStr">
        <is>
          <t>BD405094</t>
        </is>
      </c>
      <c r="C328" t="inlineStr">
        <is>
          <t>Kushtia</t>
        </is>
      </c>
      <c r="D328" t="inlineStr">
        <is>
          <t>Mirpur</t>
        </is>
      </c>
      <c r="E328" s="3" t="n">
        <v>5.2</v>
      </c>
      <c r="F328" s="4">
        <f>(E328-$AJ$5)/$AK$5</f>
        <v/>
      </c>
      <c r="G328" t="n">
        <v>95.79098880000001</v>
      </c>
      <c r="H328">
        <f>(G328-$AJ$6)/$AK$6</f>
        <v/>
      </c>
      <c r="I328" t="n">
        <v>18</v>
      </c>
      <c r="J328" s="4">
        <f>(I328-$AJ$7)/$AK$7</f>
        <v/>
      </c>
      <c r="K328" t="n">
        <v>0</v>
      </c>
      <c r="L328" s="4">
        <f>(K328-$AJ$8)/$AK$8</f>
        <v/>
      </c>
      <c r="M328" t="n">
        <v>51537</v>
      </c>
      <c r="N328">
        <f>(M328-$AJ$9)/$AK$9</f>
        <v/>
      </c>
      <c r="O328" t="n">
        <v>0.340813701</v>
      </c>
      <c r="P328">
        <f>(O328-$AJ$11)/$AK$11</f>
        <v/>
      </c>
      <c r="Q328" t="n">
        <v>0.2406</v>
      </c>
      <c r="R328">
        <f>(Q328-$AJ$12)/$AK$12</f>
        <v/>
      </c>
      <c r="S328">
        <f>F328*(R328*0.5+P328*0.5)*(H328*0.35+J328*0.35+L328*0.3)</f>
        <v/>
      </c>
      <c r="T328" s="14">
        <f>(S328-$AJ$10)/$AK$10</f>
        <v/>
      </c>
      <c r="U328">
        <f>IF(T328&gt;0.7,"High",IF(T328&gt;0.3,"Moderate",IF(T328&gt;0.15,"Low","No Impact")))</f>
        <v/>
      </c>
      <c r="V328">
        <f>F328*(R328*1)*(H328*0.35+J328*0.35+L328*0.3)</f>
        <v/>
      </c>
      <c r="W328">
        <f>(V328-$AJ$13)/$AK$13</f>
        <v/>
      </c>
      <c r="X328">
        <f>IF(W328&gt;0.7,"High",IF(W328&gt;0.3,"Moderate",IF(W328&gt;0.15,"Low","No Impact")))</f>
        <v/>
      </c>
      <c r="Y328">
        <f>F328*(P328*1)*(H328*0.35+J328*0.35+L328*0.3)</f>
        <v/>
      </c>
      <c r="Z328">
        <f>(Y328-$AJ$14)/$AK$14</f>
        <v/>
      </c>
      <c r="AA328">
        <f>IF(Z328&gt;0.7,"High",IF(Z328&gt;0.3,"Moderate",IF(Z328&gt;0.15,"Low","No Impact")))</f>
        <v/>
      </c>
      <c r="AB328">
        <f>F328*(R328*0.35+P328*0.3+N328*0.35)*(H328*0.35+J328*0.35+L328*0.3)</f>
        <v/>
      </c>
      <c r="AC328">
        <f>(AB328-$AJ$15)/$AK$15</f>
        <v/>
      </c>
      <c r="AD328">
        <f>IF(AC328&gt;0.7,"High",IF(AC328&gt;0.3,"Moderate",IF(AC328&gt;0.15,"Low","No Impact")))</f>
        <v/>
      </c>
      <c r="AE328">
        <f>F328*(N328*1)*(H328*0.35+J328*0.35+L328*0.3)</f>
        <v/>
      </c>
      <c r="AF328">
        <f>(AE328-$AJ$16)/$AK$16</f>
        <v/>
      </c>
      <c r="AG328">
        <f>IF(AF328&gt;0.7,"High",IF(AF328&gt;0.3,"Moderate",IF(AF328&gt;0.15,"Low","No Impact")))</f>
        <v/>
      </c>
    </row>
    <row r="329">
      <c r="A329" t="n">
        <v>405557</v>
      </c>
      <c r="B329" t="inlineStr">
        <is>
          <t>BD405557</t>
        </is>
      </c>
      <c r="C329" t="inlineStr">
        <is>
          <t>Magura</t>
        </is>
      </c>
      <c r="D329" t="inlineStr">
        <is>
          <t>Magura Sadar</t>
        </is>
      </c>
      <c r="E329" s="3" t="n">
        <v>4.9</v>
      </c>
      <c r="F329" s="4">
        <f>(E329-$AJ$5)/$AK$5</f>
        <v/>
      </c>
      <c r="G329" t="n">
        <v>118.484352</v>
      </c>
      <c r="H329">
        <f>(G329-$AJ$6)/$AK$6</f>
        <v/>
      </c>
      <c r="I329" t="n">
        <v>31.5</v>
      </c>
      <c r="J329" s="4">
        <f>(I329-$AJ$7)/$AK$7</f>
        <v/>
      </c>
      <c r="K329" t="n">
        <v>0</v>
      </c>
      <c r="L329" s="4">
        <f>(K329-$AJ$8)/$AK$8</f>
        <v/>
      </c>
      <c r="M329" t="n">
        <v>51857</v>
      </c>
      <c r="N329">
        <f>(M329-$AJ$9)/$AK$9</f>
        <v/>
      </c>
      <c r="O329" t="n">
        <v>0.5016485000000001</v>
      </c>
      <c r="P329">
        <f>(O329-$AJ$11)/$AK$11</f>
        <v/>
      </c>
      <c r="Q329" t="n">
        <v>0.2842</v>
      </c>
      <c r="R329">
        <f>(Q329-$AJ$12)/$AK$12</f>
        <v/>
      </c>
      <c r="S329">
        <f>F329*(R329*0.5+P329*0.5)*(H329*0.35+J329*0.35+L329*0.3)</f>
        <v/>
      </c>
      <c r="T329" s="14">
        <f>(S329-$AJ$10)/$AK$10</f>
        <v/>
      </c>
      <c r="U329">
        <f>IF(T329&gt;0.7,"High",IF(T329&gt;0.3,"Moderate",IF(T329&gt;0.15,"Low","No Impact")))</f>
        <v/>
      </c>
      <c r="V329">
        <f>F329*(R329*1)*(H329*0.35+J329*0.35+L329*0.3)</f>
        <v/>
      </c>
      <c r="W329">
        <f>(V329-$AJ$13)/$AK$13</f>
        <v/>
      </c>
      <c r="X329">
        <f>IF(W329&gt;0.7,"High",IF(W329&gt;0.3,"Moderate",IF(W329&gt;0.15,"Low","No Impact")))</f>
        <v/>
      </c>
      <c r="Y329">
        <f>F329*(P329*1)*(H329*0.35+J329*0.35+L329*0.3)</f>
        <v/>
      </c>
      <c r="Z329">
        <f>(Y329-$AJ$14)/$AK$14</f>
        <v/>
      </c>
      <c r="AA329">
        <f>IF(Z329&gt;0.7,"High",IF(Z329&gt;0.3,"Moderate",IF(Z329&gt;0.15,"Low","No Impact")))</f>
        <v/>
      </c>
      <c r="AB329">
        <f>F329*(R329*0.35+P329*0.3+N329*0.35)*(H329*0.35+J329*0.35+L329*0.3)</f>
        <v/>
      </c>
      <c r="AC329">
        <f>(AB329-$AJ$15)/$AK$15</f>
        <v/>
      </c>
      <c r="AD329">
        <f>IF(AC329&gt;0.7,"High",IF(AC329&gt;0.3,"Moderate",IF(AC329&gt;0.15,"Low","No Impact")))</f>
        <v/>
      </c>
      <c r="AE329">
        <f>F329*(N329*1)*(H329*0.35+J329*0.35+L329*0.3)</f>
        <v/>
      </c>
      <c r="AF329">
        <f>(AE329-$AJ$16)/$AK$16</f>
        <v/>
      </c>
      <c r="AG329">
        <f>IF(AF329&gt;0.7,"High",IF(AF329&gt;0.3,"Moderate",IF(AF329&gt;0.15,"Low","No Impact")))</f>
        <v/>
      </c>
    </row>
    <row r="330">
      <c r="A330" t="n">
        <v>405566</v>
      </c>
      <c r="B330" t="inlineStr">
        <is>
          <t>BD405566</t>
        </is>
      </c>
      <c r="C330" t="inlineStr">
        <is>
          <t>Magura</t>
        </is>
      </c>
      <c r="D330" t="inlineStr">
        <is>
          <t>Mohammadpur</t>
        </is>
      </c>
      <c r="E330" s="3" t="n">
        <v>4.8</v>
      </c>
      <c r="F330" s="4">
        <f>(E330-$AJ$5)/$AK$5</f>
        <v/>
      </c>
      <c r="G330" t="n">
        <v>118.484352</v>
      </c>
      <c r="H330">
        <f>(G330-$AJ$6)/$AK$6</f>
        <v/>
      </c>
      <c r="I330" t="n">
        <v>32.6</v>
      </c>
      <c r="J330" s="4">
        <f>(I330-$AJ$7)/$AK$7</f>
        <v/>
      </c>
      <c r="K330" t="n">
        <v>0</v>
      </c>
      <c r="L330" s="4">
        <f>(K330-$AJ$8)/$AK$8</f>
        <v/>
      </c>
      <c r="M330" t="n">
        <v>16134</v>
      </c>
      <c r="N330">
        <f>(M330-$AJ$9)/$AK$9</f>
        <v/>
      </c>
      <c r="O330" t="n">
        <v>0.59765024</v>
      </c>
      <c r="P330">
        <f>(O330-$AJ$11)/$AK$11</f>
        <v/>
      </c>
      <c r="Q330" t="n">
        <v>0.3145</v>
      </c>
      <c r="R330">
        <f>(Q330-$AJ$12)/$AK$12</f>
        <v/>
      </c>
      <c r="S330">
        <f>F330*(R330*0.5+P330*0.5)*(H330*0.35+J330*0.35+L330*0.3)</f>
        <v/>
      </c>
      <c r="T330" s="14">
        <f>(S330-$AJ$10)/$AK$10</f>
        <v/>
      </c>
      <c r="U330">
        <f>IF(T330&gt;0.7,"High",IF(T330&gt;0.3,"Moderate",IF(T330&gt;0.15,"Low","No Impact")))</f>
        <v/>
      </c>
      <c r="V330">
        <f>F330*(R330*1)*(H330*0.35+J330*0.35+L330*0.3)</f>
        <v/>
      </c>
      <c r="W330">
        <f>(V330-$AJ$13)/$AK$13</f>
        <v/>
      </c>
      <c r="X330">
        <f>IF(W330&gt;0.7,"High",IF(W330&gt;0.3,"Moderate",IF(W330&gt;0.15,"Low","No Impact")))</f>
        <v/>
      </c>
      <c r="Y330">
        <f>F330*(P330*1)*(H330*0.35+J330*0.35+L330*0.3)</f>
        <v/>
      </c>
      <c r="Z330">
        <f>(Y330-$AJ$14)/$AK$14</f>
        <v/>
      </c>
      <c r="AA330">
        <f>IF(Z330&gt;0.7,"High",IF(Z330&gt;0.3,"Moderate",IF(Z330&gt;0.15,"Low","No Impact")))</f>
        <v/>
      </c>
      <c r="AB330">
        <f>F330*(R330*0.35+P330*0.3+N330*0.35)*(H330*0.35+J330*0.35+L330*0.3)</f>
        <v/>
      </c>
      <c r="AC330">
        <f>(AB330-$AJ$15)/$AK$15</f>
        <v/>
      </c>
      <c r="AD330">
        <f>IF(AC330&gt;0.7,"High",IF(AC330&gt;0.3,"Moderate",IF(AC330&gt;0.15,"Low","No Impact")))</f>
        <v/>
      </c>
      <c r="AE330">
        <f>F330*(N330*1)*(H330*0.35+J330*0.35+L330*0.3)</f>
        <v/>
      </c>
      <c r="AF330">
        <f>(AE330-$AJ$16)/$AK$16</f>
        <v/>
      </c>
      <c r="AG330">
        <f>IF(AF330&gt;0.7,"High",IF(AF330&gt;0.3,"Moderate",IF(AF330&gt;0.15,"Low","No Impact")))</f>
        <v/>
      </c>
    </row>
    <row r="331">
      <c r="A331" t="n">
        <v>405585</v>
      </c>
      <c r="B331" t="inlineStr">
        <is>
          <t>BD405585</t>
        </is>
      </c>
      <c r="C331" t="inlineStr">
        <is>
          <t>Magura</t>
        </is>
      </c>
      <c r="D331" t="inlineStr">
        <is>
          <t>Shalikha</t>
        </is>
      </c>
      <c r="E331" s="3" t="n">
        <v>4.9</v>
      </c>
      <c r="F331" s="4">
        <f>(E331-$AJ$5)/$AK$5</f>
        <v/>
      </c>
      <c r="G331" t="n">
        <v>126.03591</v>
      </c>
      <c r="H331">
        <f>(G331-$AJ$6)/$AK$6</f>
        <v/>
      </c>
      <c r="I331" t="n">
        <v>34.3</v>
      </c>
      <c r="J331" s="4">
        <f>(I331-$AJ$7)/$AK$7</f>
        <v/>
      </c>
      <c r="K331" t="n">
        <v>0</v>
      </c>
      <c r="L331" s="4">
        <f>(K331-$AJ$8)/$AK$8</f>
        <v/>
      </c>
      <c r="M331" t="n">
        <v>23104</v>
      </c>
      <c r="N331">
        <f>(M331-$AJ$9)/$AK$9</f>
        <v/>
      </c>
      <c r="O331" t="n">
        <v>0.225407078</v>
      </c>
      <c r="P331">
        <f>(O331-$AJ$11)/$AK$11</f>
        <v/>
      </c>
      <c r="Q331" t="n">
        <v>0.2592</v>
      </c>
      <c r="R331">
        <f>(Q331-$AJ$12)/$AK$12</f>
        <v/>
      </c>
      <c r="S331">
        <f>F331*(R331*0.5+P331*0.5)*(H331*0.35+J331*0.35+L331*0.3)</f>
        <v/>
      </c>
      <c r="T331" s="14">
        <f>(S331-$AJ$10)/$AK$10</f>
        <v/>
      </c>
      <c r="U331">
        <f>IF(T331&gt;0.7,"High",IF(T331&gt;0.3,"Moderate",IF(T331&gt;0.15,"Low","No Impact")))</f>
        <v/>
      </c>
      <c r="V331">
        <f>F331*(R331*1)*(H331*0.35+J331*0.35+L331*0.3)</f>
        <v/>
      </c>
      <c r="W331">
        <f>(V331-$AJ$13)/$AK$13</f>
        <v/>
      </c>
      <c r="X331">
        <f>IF(W331&gt;0.7,"High",IF(W331&gt;0.3,"Moderate",IF(W331&gt;0.15,"Low","No Impact")))</f>
        <v/>
      </c>
      <c r="Y331">
        <f>F331*(P331*1)*(H331*0.35+J331*0.35+L331*0.3)</f>
        <v/>
      </c>
      <c r="Z331">
        <f>(Y331-$AJ$14)/$AK$14</f>
        <v/>
      </c>
      <c r="AA331">
        <f>IF(Z331&gt;0.7,"High",IF(Z331&gt;0.3,"Moderate",IF(Z331&gt;0.15,"Low","No Impact")))</f>
        <v/>
      </c>
      <c r="AB331">
        <f>F331*(R331*0.35+P331*0.3+N331*0.35)*(H331*0.35+J331*0.35+L331*0.3)</f>
        <v/>
      </c>
      <c r="AC331">
        <f>(AB331-$AJ$15)/$AK$15</f>
        <v/>
      </c>
      <c r="AD331">
        <f>IF(AC331&gt;0.7,"High",IF(AC331&gt;0.3,"Moderate",IF(AC331&gt;0.15,"Low","No Impact")))</f>
        <v/>
      </c>
      <c r="AE331">
        <f>F331*(N331*1)*(H331*0.35+J331*0.35+L331*0.3)</f>
        <v/>
      </c>
      <c r="AF331">
        <f>(AE331-$AJ$16)/$AK$16</f>
        <v/>
      </c>
      <c r="AG331">
        <f>IF(AF331&gt;0.7,"High",IF(AF331&gt;0.3,"Moderate",IF(AF331&gt;0.15,"Low","No Impact")))</f>
        <v/>
      </c>
    </row>
    <row r="332">
      <c r="A332" t="n">
        <v>405595</v>
      </c>
      <c r="B332" t="inlineStr">
        <is>
          <t>BD405595</t>
        </is>
      </c>
      <c r="C332" t="inlineStr">
        <is>
          <t>Magura</t>
        </is>
      </c>
      <c r="D332" t="inlineStr">
        <is>
          <t>Sreepur</t>
        </is>
      </c>
      <c r="E332" s="3" t="n">
        <v>3.8</v>
      </c>
      <c r="F332" s="4">
        <f>(E332-$AJ$5)/$AK$5</f>
        <v/>
      </c>
      <c r="G332" t="n">
        <v>107.775756</v>
      </c>
      <c r="H332">
        <f>(G332-$AJ$6)/$AK$6</f>
        <v/>
      </c>
      <c r="I332" t="n">
        <v>22.70000000000001</v>
      </c>
      <c r="J332" s="4">
        <f>(I332-$AJ$7)/$AK$7</f>
        <v/>
      </c>
      <c r="K332" t="n">
        <v>0</v>
      </c>
      <c r="L332" s="4">
        <f>(K332-$AJ$8)/$AK$8</f>
        <v/>
      </c>
      <c r="M332" t="n">
        <v>24428</v>
      </c>
      <c r="N332">
        <f>(M332-$AJ$9)/$AK$9</f>
        <v/>
      </c>
      <c r="O332" t="n">
        <v>0.206885326</v>
      </c>
      <c r="P332">
        <f>(O332-$AJ$11)/$AK$11</f>
        <v/>
      </c>
      <c r="Q332" t="n">
        <v>0.2908</v>
      </c>
      <c r="R332">
        <f>(Q332-$AJ$12)/$AK$12</f>
        <v/>
      </c>
      <c r="S332">
        <f>F332*(R332*0.5+P332*0.5)*(H332*0.35+J332*0.35+L332*0.3)</f>
        <v/>
      </c>
      <c r="T332" s="14">
        <f>(S332-$AJ$10)/$AK$10</f>
        <v/>
      </c>
      <c r="U332">
        <f>IF(T332&gt;0.7,"High",IF(T332&gt;0.3,"Moderate",IF(T332&gt;0.15,"Low","No Impact")))</f>
        <v/>
      </c>
      <c r="V332">
        <f>F332*(R332*1)*(H332*0.35+J332*0.35+L332*0.3)</f>
        <v/>
      </c>
      <c r="W332">
        <f>(V332-$AJ$13)/$AK$13</f>
        <v/>
      </c>
      <c r="X332">
        <f>IF(W332&gt;0.7,"High",IF(W332&gt;0.3,"Moderate",IF(W332&gt;0.15,"Low","No Impact")))</f>
        <v/>
      </c>
      <c r="Y332">
        <f>F332*(P332*1)*(H332*0.35+J332*0.35+L332*0.3)</f>
        <v/>
      </c>
      <c r="Z332">
        <f>(Y332-$AJ$14)/$AK$14</f>
        <v/>
      </c>
      <c r="AA332">
        <f>IF(Z332&gt;0.7,"High",IF(Z332&gt;0.3,"Moderate",IF(Z332&gt;0.15,"Low","No Impact")))</f>
        <v/>
      </c>
      <c r="AB332">
        <f>F332*(R332*0.35+P332*0.3+N332*0.35)*(H332*0.35+J332*0.35+L332*0.3)</f>
        <v/>
      </c>
      <c r="AC332">
        <f>(AB332-$AJ$15)/$AK$15</f>
        <v/>
      </c>
      <c r="AD332">
        <f>IF(AC332&gt;0.7,"High",IF(AC332&gt;0.3,"Moderate",IF(AC332&gt;0.15,"Low","No Impact")))</f>
        <v/>
      </c>
      <c r="AE332">
        <f>F332*(N332*1)*(H332*0.35+J332*0.35+L332*0.3)</f>
        <v/>
      </c>
      <c r="AF332">
        <f>(AE332-$AJ$16)/$AK$16</f>
        <v/>
      </c>
      <c r="AG332">
        <f>IF(AF332&gt;0.7,"High",IF(AF332&gt;0.3,"Moderate",IF(AF332&gt;0.15,"Low","No Impact")))</f>
        <v/>
      </c>
    </row>
    <row r="333">
      <c r="A333" t="n">
        <v>405747</v>
      </c>
      <c r="B333" t="inlineStr">
        <is>
          <t>BD405747</t>
        </is>
      </c>
      <c r="C333" t="inlineStr">
        <is>
          <t>Meherpur</t>
        </is>
      </c>
      <c r="D333" t="inlineStr">
        <is>
          <t>Gangni</t>
        </is>
      </c>
      <c r="E333" s="3" t="n">
        <v>4.9</v>
      </c>
      <c r="F333" s="4">
        <f>(E333-$AJ$5)/$AK$5</f>
        <v/>
      </c>
      <c r="G333" t="n">
        <v>95.79098880000001</v>
      </c>
      <c r="H333">
        <f>(G333-$AJ$6)/$AK$6</f>
        <v/>
      </c>
      <c r="I333" t="n">
        <v>16.5</v>
      </c>
      <c r="J333" s="4">
        <f>(I333-$AJ$7)/$AK$7</f>
        <v/>
      </c>
      <c r="K333" t="n">
        <v>0</v>
      </c>
      <c r="L333" s="4">
        <f>(K333-$AJ$8)/$AK$8</f>
        <v/>
      </c>
      <c r="M333" t="n">
        <v>56017</v>
      </c>
      <c r="N333">
        <f>(M333-$AJ$9)/$AK$9</f>
        <v/>
      </c>
      <c r="O333" t="n">
        <v>0.212554406</v>
      </c>
      <c r="P333">
        <f>(O333-$AJ$11)/$AK$11</f>
        <v/>
      </c>
      <c r="Q333" t="n">
        <v>0.2174</v>
      </c>
      <c r="R333">
        <f>(Q333-$AJ$12)/$AK$12</f>
        <v/>
      </c>
      <c r="S333">
        <f>F333*(R333*0.5+P333*0.5)*(H333*0.35+J333*0.35+L333*0.3)</f>
        <v/>
      </c>
      <c r="T333" s="14">
        <f>(S333-$AJ$10)/$AK$10</f>
        <v/>
      </c>
      <c r="U333">
        <f>IF(T333&gt;0.7,"High",IF(T333&gt;0.3,"Moderate",IF(T333&gt;0.15,"Low","No Impact")))</f>
        <v/>
      </c>
      <c r="V333">
        <f>F333*(R333*1)*(H333*0.35+J333*0.35+L333*0.3)</f>
        <v/>
      </c>
      <c r="W333">
        <f>(V333-$AJ$13)/$AK$13</f>
        <v/>
      </c>
      <c r="X333">
        <f>IF(W333&gt;0.7,"High",IF(W333&gt;0.3,"Moderate",IF(W333&gt;0.15,"Low","No Impact")))</f>
        <v/>
      </c>
      <c r="Y333">
        <f>F333*(P333*1)*(H333*0.35+J333*0.35+L333*0.3)</f>
        <v/>
      </c>
      <c r="Z333">
        <f>(Y333-$AJ$14)/$AK$14</f>
        <v/>
      </c>
      <c r="AA333">
        <f>IF(Z333&gt;0.7,"High",IF(Z333&gt;0.3,"Moderate",IF(Z333&gt;0.15,"Low","No Impact")))</f>
        <v/>
      </c>
      <c r="AB333">
        <f>F333*(R333*0.35+P333*0.3+N333*0.35)*(H333*0.35+J333*0.35+L333*0.3)</f>
        <v/>
      </c>
      <c r="AC333">
        <f>(AB333-$AJ$15)/$AK$15</f>
        <v/>
      </c>
      <c r="AD333">
        <f>IF(AC333&gt;0.7,"High",IF(AC333&gt;0.3,"Moderate",IF(AC333&gt;0.15,"Low","No Impact")))</f>
        <v/>
      </c>
      <c r="AE333">
        <f>F333*(N333*1)*(H333*0.35+J333*0.35+L333*0.3)</f>
        <v/>
      </c>
      <c r="AF333">
        <f>(AE333-$AJ$16)/$AK$16</f>
        <v/>
      </c>
      <c r="AG333">
        <f>IF(AF333&gt;0.7,"High",IF(AF333&gt;0.3,"Moderate",IF(AF333&gt;0.15,"Low","No Impact")))</f>
        <v/>
      </c>
    </row>
    <row r="334">
      <c r="A334" t="n">
        <v>405760</v>
      </c>
      <c r="B334" t="inlineStr">
        <is>
          <t>BD405760</t>
        </is>
      </c>
      <c r="C334" t="inlineStr">
        <is>
          <t>Meherpur</t>
        </is>
      </c>
      <c r="D334" t="inlineStr">
        <is>
          <t>Meherpur Sadar</t>
        </is>
      </c>
      <c r="E334" s="3" t="n">
        <v>5.4</v>
      </c>
      <c r="F334" s="4">
        <f>(E334-$AJ$5)/$AK$5</f>
        <v/>
      </c>
      <c r="G334" t="n">
        <v>112.5077868</v>
      </c>
      <c r="H334">
        <f>(G334-$AJ$6)/$AK$6</f>
        <v/>
      </c>
      <c r="I334" t="n">
        <v>23.2</v>
      </c>
      <c r="J334" s="4">
        <f>(I334-$AJ$7)/$AK$7</f>
        <v/>
      </c>
      <c r="K334" t="n">
        <v>0</v>
      </c>
      <c r="L334" s="4">
        <f>(K334-$AJ$8)/$AK$8</f>
        <v/>
      </c>
      <c r="M334" t="n">
        <v>60437</v>
      </c>
      <c r="N334">
        <f>(M334-$AJ$9)/$AK$9</f>
        <v/>
      </c>
      <c r="O334" t="n">
        <v>0.201500995</v>
      </c>
      <c r="P334">
        <f>(O334-$AJ$11)/$AK$11</f>
        <v/>
      </c>
      <c r="Q334" t="n">
        <v>0.2246</v>
      </c>
      <c r="R334">
        <f>(Q334-$AJ$12)/$AK$12</f>
        <v/>
      </c>
      <c r="S334">
        <f>F334*(R334*0.5+P334*0.5)*(H334*0.35+J334*0.35+L334*0.3)</f>
        <v/>
      </c>
      <c r="T334" s="14">
        <f>(S334-$AJ$10)/$AK$10</f>
        <v/>
      </c>
      <c r="U334">
        <f>IF(T334&gt;0.7,"High",IF(T334&gt;0.3,"Moderate",IF(T334&gt;0.15,"Low","No Impact")))</f>
        <v/>
      </c>
      <c r="V334">
        <f>F334*(R334*1)*(H334*0.35+J334*0.35+L334*0.3)</f>
        <v/>
      </c>
      <c r="W334">
        <f>(V334-$AJ$13)/$AK$13</f>
        <v/>
      </c>
      <c r="X334">
        <f>IF(W334&gt;0.7,"High",IF(W334&gt;0.3,"Moderate",IF(W334&gt;0.15,"Low","No Impact")))</f>
        <v/>
      </c>
      <c r="Y334">
        <f>F334*(P334*1)*(H334*0.35+J334*0.35+L334*0.3)</f>
        <v/>
      </c>
      <c r="Z334">
        <f>(Y334-$AJ$14)/$AK$14</f>
        <v/>
      </c>
      <c r="AA334">
        <f>IF(Z334&gt;0.7,"High",IF(Z334&gt;0.3,"Moderate",IF(Z334&gt;0.15,"Low","No Impact")))</f>
        <v/>
      </c>
      <c r="AB334">
        <f>F334*(R334*0.35+P334*0.3+N334*0.35)*(H334*0.35+J334*0.35+L334*0.3)</f>
        <v/>
      </c>
      <c r="AC334">
        <f>(AB334-$AJ$15)/$AK$15</f>
        <v/>
      </c>
      <c r="AD334">
        <f>IF(AC334&gt;0.7,"High",IF(AC334&gt;0.3,"Moderate",IF(AC334&gt;0.15,"Low","No Impact")))</f>
        <v/>
      </c>
      <c r="AE334">
        <f>F334*(N334*1)*(H334*0.35+J334*0.35+L334*0.3)</f>
        <v/>
      </c>
      <c r="AF334">
        <f>(AE334-$AJ$16)/$AK$16</f>
        <v/>
      </c>
      <c r="AG334">
        <f>IF(AF334&gt;0.7,"High",IF(AF334&gt;0.3,"Moderate",IF(AF334&gt;0.15,"Low","No Impact")))</f>
        <v/>
      </c>
    </row>
    <row r="335">
      <c r="A335" t="n">
        <v>405787</v>
      </c>
      <c r="B335" t="inlineStr">
        <is>
          <t>BD405787</t>
        </is>
      </c>
      <c r="C335" t="inlineStr">
        <is>
          <t>Meherpur</t>
        </is>
      </c>
      <c r="D335" t="inlineStr">
        <is>
          <t>Mujib Nagar</t>
        </is>
      </c>
      <c r="E335" s="3" t="n">
        <v>5.4</v>
      </c>
      <c r="F335" s="4">
        <f>(E335-$AJ$5)/$AK$5</f>
        <v/>
      </c>
      <c r="G335" t="n">
        <v>95.79098880000001</v>
      </c>
      <c r="H335">
        <f>(G335-$AJ$6)/$AK$6</f>
        <v/>
      </c>
      <c r="I335" t="n">
        <v>14.5</v>
      </c>
      <c r="J335" s="4">
        <f>(I335-$AJ$7)/$AK$7</f>
        <v/>
      </c>
      <c r="K335" t="n">
        <v>0</v>
      </c>
      <c r="L335" s="4">
        <f>(K335-$AJ$8)/$AK$8</f>
        <v/>
      </c>
      <c r="M335" t="n">
        <v>21638</v>
      </c>
      <c r="N335">
        <f>(M335-$AJ$9)/$AK$9</f>
        <v/>
      </c>
      <c r="O335" t="n">
        <v>0.354616853</v>
      </c>
      <c r="P335">
        <f>(O335-$AJ$11)/$AK$11</f>
        <v/>
      </c>
      <c r="Q335" t="n">
        <v>0.2569</v>
      </c>
      <c r="R335">
        <f>(Q335-$AJ$12)/$AK$12</f>
        <v/>
      </c>
      <c r="S335">
        <f>F335*(R335*0.5+P335*0.5)*(H335*0.35+J335*0.35+L335*0.3)</f>
        <v/>
      </c>
      <c r="T335" s="14">
        <f>(S335-$AJ$10)/$AK$10</f>
        <v/>
      </c>
      <c r="U335">
        <f>IF(T335&gt;0.7,"High",IF(T335&gt;0.3,"Moderate",IF(T335&gt;0.15,"Low","No Impact")))</f>
        <v/>
      </c>
      <c r="V335">
        <f>F335*(R335*1)*(H335*0.35+J335*0.35+L335*0.3)</f>
        <v/>
      </c>
      <c r="W335">
        <f>(V335-$AJ$13)/$AK$13</f>
        <v/>
      </c>
      <c r="X335">
        <f>IF(W335&gt;0.7,"High",IF(W335&gt;0.3,"Moderate",IF(W335&gt;0.15,"Low","No Impact")))</f>
        <v/>
      </c>
      <c r="Y335">
        <f>F335*(P335*1)*(H335*0.35+J335*0.35+L335*0.3)</f>
        <v/>
      </c>
      <c r="Z335">
        <f>(Y335-$AJ$14)/$AK$14</f>
        <v/>
      </c>
      <c r="AA335">
        <f>IF(Z335&gt;0.7,"High",IF(Z335&gt;0.3,"Moderate",IF(Z335&gt;0.15,"Low","No Impact")))</f>
        <v/>
      </c>
      <c r="AB335">
        <f>F335*(R335*0.35+P335*0.3+N335*0.35)*(H335*0.35+J335*0.35+L335*0.3)</f>
        <v/>
      </c>
      <c r="AC335">
        <f>(AB335-$AJ$15)/$AK$15</f>
        <v/>
      </c>
      <c r="AD335">
        <f>IF(AC335&gt;0.7,"High",IF(AC335&gt;0.3,"Moderate",IF(AC335&gt;0.15,"Low","No Impact")))</f>
        <v/>
      </c>
      <c r="AE335">
        <f>F335*(N335*1)*(H335*0.35+J335*0.35+L335*0.3)</f>
        <v/>
      </c>
      <c r="AF335">
        <f>(AE335-$AJ$16)/$AK$16</f>
        <v/>
      </c>
      <c r="AG335">
        <f>IF(AF335&gt;0.7,"High",IF(AF335&gt;0.3,"Moderate",IF(AF335&gt;0.15,"Low","No Impact")))</f>
        <v/>
      </c>
    </row>
    <row r="336">
      <c r="A336" t="n">
        <v>406528</v>
      </c>
      <c r="B336" t="inlineStr">
        <is>
          <t>BD406528</t>
        </is>
      </c>
      <c r="C336" t="inlineStr">
        <is>
          <t>Narail</t>
        </is>
      </c>
      <c r="D336" t="inlineStr">
        <is>
          <t>Kalia</t>
        </is>
      </c>
      <c r="E336" s="3" t="n">
        <v>5.5</v>
      </c>
      <c r="F336" s="4">
        <f>(E336-$AJ$5)/$AK$5</f>
        <v/>
      </c>
      <c r="G336" t="n">
        <v>125.213256</v>
      </c>
      <c r="H336">
        <f>(G336-$AJ$6)/$AK$6</f>
        <v/>
      </c>
      <c r="I336" t="n">
        <v>41.7</v>
      </c>
      <c r="J336" s="4">
        <f>(I336-$AJ$7)/$AK$7</f>
        <v/>
      </c>
      <c r="K336" t="n">
        <v>0</v>
      </c>
      <c r="L336" s="4">
        <f>(K336-$AJ$8)/$AK$8</f>
        <v/>
      </c>
      <c r="M336" t="n">
        <v>44158</v>
      </c>
      <c r="N336">
        <f>(M336-$AJ$9)/$AK$9</f>
        <v/>
      </c>
      <c r="O336" t="n">
        <v>0.373096734</v>
      </c>
      <c r="P336">
        <f>(O336-$AJ$11)/$AK$11</f>
        <v/>
      </c>
      <c r="Q336" t="n">
        <v>0.2235</v>
      </c>
      <c r="R336">
        <f>(Q336-$AJ$12)/$AK$12</f>
        <v/>
      </c>
      <c r="S336">
        <f>F336*(R336*0.5+P336*0.5)*(H336*0.35+J336*0.35+L336*0.3)</f>
        <v/>
      </c>
      <c r="T336" s="14">
        <f>(S336-$AJ$10)/$AK$10</f>
        <v/>
      </c>
      <c r="U336">
        <f>IF(T336&gt;0.7,"High",IF(T336&gt;0.3,"Moderate",IF(T336&gt;0.15,"Low","No Impact")))</f>
        <v/>
      </c>
      <c r="V336">
        <f>F336*(R336*1)*(H336*0.35+J336*0.35+L336*0.3)</f>
        <v/>
      </c>
      <c r="W336">
        <f>(V336-$AJ$13)/$AK$13</f>
        <v/>
      </c>
      <c r="X336">
        <f>IF(W336&gt;0.7,"High",IF(W336&gt;0.3,"Moderate",IF(W336&gt;0.15,"Low","No Impact")))</f>
        <v/>
      </c>
      <c r="Y336">
        <f>F336*(P336*1)*(H336*0.35+J336*0.35+L336*0.3)</f>
        <v/>
      </c>
      <c r="Z336">
        <f>(Y336-$AJ$14)/$AK$14</f>
        <v/>
      </c>
      <c r="AA336">
        <f>IF(Z336&gt;0.7,"High",IF(Z336&gt;0.3,"Moderate",IF(Z336&gt;0.15,"Low","No Impact")))</f>
        <v/>
      </c>
      <c r="AB336">
        <f>F336*(R336*0.35+P336*0.3+N336*0.35)*(H336*0.35+J336*0.35+L336*0.3)</f>
        <v/>
      </c>
      <c r="AC336">
        <f>(AB336-$AJ$15)/$AK$15</f>
        <v/>
      </c>
      <c r="AD336">
        <f>IF(AC336&gt;0.7,"High",IF(AC336&gt;0.3,"Moderate",IF(AC336&gt;0.15,"Low","No Impact")))</f>
        <v/>
      </c>
      <c r="AE336">
        <f>F336*(N336*1)*(H336*0.35+J336*0.35+L336*0.3)</f>
        <v/>
      </c>
      <c r="AF336">
        <f>(AE336-$AJ$16)/$AK$16</f>
        <v/>
      </c>
      <c r="AG336">
        <f>IF(AF336&gt;0.7,"High",IF(AF336&gt;0.3,"Moderate",IF(AF336&gt;0.15,"Low","No Impact")))</f>
        <v/>
      </c>
    </row>
    <row r="337">
      <c r="A337" t="n">
        <v>406552</v>
      </c>
      <c r="B337" t="inlineStr">
        <is>
          <t>BD406552</t>
        </is>
      </c>
      <c r="C337" t="inlineStr">
        <is>
          <t>Narail</t>
        </is>
      </c>
      <c r="D337" t="inlineStr">
        <is>
          <t>Lohagara</t>
        </is>
      </c>
      <c r="E337" s="3" t="n">
        <v>5.4</v>
      </c>
      <c r="F337" s="4">
        <f>(E337-$AJ$5)/$AK$5</f>
        <v/>
      </c>
      <c r="G337" t="n">
        <v>125.213256</v>
      </c>
      <c r="H337">
        <f>(G337-$AJ$6)/$AK$6</f>
        <v/>
      </c>
      <c r="I337" t="n">
        <v>38.8</v>
      </c>
      <c r="J337" s="4">
        <f>(I337-$AJ$7)/$AK$7</f>
        <v/>
      </c>
      <c r="K337" t="n">
        <v>0</v>
      </c>
      <c r="L337" s="4">
        <f>(K337-$AJ$8)/$AK$8</f>
        <v/>
      </c>
      <c r="M337" t="n">
        <v>38864</v>
      </c>
      <c r="N337">
        <f>(M337-$AJ$9)/$AK$9</f>
        <v/>
      </c>
      <c r="O337" t="n">
        <v>0.493462503</v>
      </c>
      <c r="P337">
        <f>(O337-$AJ$11)/$AK$11</f>
        <v/>
      </c>
      <c r="Q337" t="n">
        <v>0.2776</v>
      </c>
      <c r="R337">
        <f>(Q337-$AJ$12)/$AK$12</f>
        <v/>
      </c>
      <c r="S337">
        <f>F337*(R337*0.5+P337*0.5)*(H337*0.35+J337*0.35+L337*0.3)</f>
        <v/>
      </c>
      <c r="T337" s="14">
        <f>(S337-$AJ$10)/$AK$10</f>
        <v/>
      </c>
      <c r="U337">
        <f>IF(T337&gt;0.7,"High",IF(T337&gt;0.3,"Moderate",IF(T337&gt;0.15,"Low","No Impact")))</f>
        <v/>
      </c>
      <c r="V337">
        <f>F337*(R337*1)*(H337*0.35+J337*0.35+L337*0.3)</f>
        <v/>
      </c>
      <c r="W337">
        <f>(V337-$AJ$13)/$AK$13</f>
        <v/>
      </c>
      <c r="X337">
        <f>IF(W337&gt;0.7,"High",IF(W337&gt;0.3,"Moderate",IF(W337&gt;0.15,"Low","No Impact")))</f>
        <v/>
      </c>
      <c r="Y337">
        <f>F337*(P337*1)*(H337*0.35+J337*0.35+L337*0.3)</f>
        <v/>
      </c>
      <c r="Z337">
        <f>(Y337-$AJ$14)/$AK$14</f>
        <v/>
      </c>
      <c r="AA337">
        <f>IF(Z337&gt;0.7,"High",IF(Z337&gt;0.3,"Moderate",IF(Z337&gt;0.15,"Low","No Impact")))</f>
        <v/>
      </c>
      <c r="AB337">
        <f>F337*(R337*0.35+P337*0.3+N337*0.35)*(H337*0.35+J337*0.35+L337*0.3)</f>
        <v/>
      </c>
      <c r="AC337">
        <f>(AB337-$AJ$15)/$AK$15</f>
        <v/>
      </c>
      <c r="AD337">
        <f>IF(AC337&gt;0.7,"High",IF(AC337&gt;0.3,"Moderate",IF(AC337&gt;0.15,"Low","No Impact")))</f>
        <v/>
      </c>
      <c r="AE337">
        <f>F337*(N337*1)*(H337*0.35+J337*0.35+L337*0.3)</f>
        <v/>
      </c>
      <c r="AF337">
        <f>(AE337-$AJ$16)/$AK$16</f>
        <v/>
      </c>
      <c r="AG337">
        <f>IF(AF337&gt;0.7,"High",IF(AF337&gt;0.3,"Moderate",IF(AF337&gt;0.15,"Low","No Impact")))</f>
        <v/>
      </c>
    </row>
    <row r="338">
      <c r="A338" t="n">
        <v>406576</v>
      </c>
      <c r="B338" t="inlineStr">
        <is>
          <t>BD406576</t>
        </is>
      </c>
      <c r="C338" t="inlineStr">
        <is>
          <t>Narail</t>
        </is>
      </c>
      <c r="D338" t="inlineStr">
        <is>
          <t>Narail Sadar</t>
        </is>
      </c>
      <c r="E338" s="3" t="n">
        <v>5.5</v>
      </c>
      <c r="F338" s="4">
        <f>(E338-$AJ$5)/$AK$5</f>
        <v/>
      </c>
      <c r="G338" t="n">
        <v>125.213256</v>
      </c>
      <c r="H338">
        <f>(G338-$AJ$6)/$AK$6</f>
        <v/>
      </c>
      <c r="I338" t="n">
        <v>42.49999999999999</v>
      </c>
      <c r="J338" s="4">
        <f>(I338-$AJ$7)/$AK$7</f>
        <v/>
      </c>
      <c r="K338" t="n">
        <v>0</v>
      </c>
      <c r="L338" s="4">
        <f>(K338-$AJ$8)/$AK$8</f>
        <v/>
      </c>
      <c r="M338" t="n">
        <v>41242</v>
      </c>
      <c r="N338">
        <f>(M338-$AJ$9)/$AK$9</f>
        <v/>
      </c>
      <c r="O338" t="n">
        <v>0.445470268</v>
      </c>
      <c r="P338">
        <f>(O338-$AJ$11)/$AK$11</f>
        <v/>
      </c>
      <c r="Q338" t="n">
        <v>0.2584</v>
      </c>
      <c r="R338">
        <f>(Q338-$AJ$12)/$AK$12</f>
        <v/>
      </c>
      <c r="S338">
        <f>F338*(R338*0.5+P338*0.5)*(H338*0.35+J338*0.35+L338*0.3)</f>
        <v/>
      </c>
      <c r="T338" s="14">
        <f>(S338-$AJ$10)/$AK$10</f>
        <v/>
      </c>
      <c r="U338">
        <f>IF(T338&gt;0.7,"High",IF(T338&gt;0.3,"Moderate",IF(T338&gt;0.15,"Low","No Impact")))</f>
        <v/>
      </c>
      <c r="V338">
        <f>F338*(R338*1)*(H338*0.35+J338*0.35+L338*0.3)</f>
        <v/>
      </c>
      <c r="W338">
        <f>(V338-$AJ$13)/$AK$13</f>
        <v/>
      </c>
      <c r="X338">
        <f>IF(W338&gt;0.7,"High",IF(W338&gt;0.3,"Moderate",IF(W338&gt;0.15,"Low","No Impact")))</f>
        <v/>
      </c>
      <c r="Y338">
        <f>F338*(P338*1)*(H338*0.35+J338*0.35+L338*0.3)</f>
        <v/>
      </c>
      <c r="Z338">
        <f>(Y338-$AJ$14)/$AK$14</f>
        <v/>
      </c>
      <c r="AA338">
        <f>IF(Z338&gt;0.7,"High",IF(Z338&gt;0.3,"Moderate",IF(Z338&gt;0.15,"Low","No Impact")))</f>
        <v/>
      </c>
      <c r="AB338">
        <f>F338*(R338*0.35+P338*0.3+N338*0.35)*(H338*0.35+J338*0.35+L338*0.3)</f>
        <v/>
      </c>
      <c r="AC338">
        <f>(AB338-$AJ$15)/$AK$15</f>
        <v/>
      </c>
      <c r="AD338">
        <f>IF(AC338&gt;0.7,"High",IF(AC338&gt;0.3,"Moderate",IF(AC338&gt;0.15,"Low","No Impact")))</f>
        <v/>
      </c>
      <c r="AE338">
        <f>F338*(N338*1)*(H338*0.35+J338*0.35+L338*0.3)</f>
        <v/>
      </c>
      <c r="AF338">
        <f>(AE338-$AJ$16)/$AK$16</f>
        <v/>
      </c>
      <c r="AG338">
        <f>IF(AF338&gt;0.7,"High",IF(AF338&gt;0.3,"Moderate",IF(AF338&gt;0.15,"Low","No Impact")))</f>
        <v/>
      </c>
    </row>
    <row r="339">
      <c r="A339" t="n">
        <v>408704</v>
      </c>
      <c r="B339" t="inlineStr">
        <is>
          <t>BD408704</t>
        </is>
      </c>
      <c r="C339" t="inlineStr">
        <is>
          <t>Satkhira</t>
        </is>
      </c>
      <c r="D339" t="inlineStr">
        <is>
          <t>Assasuni</t>
        </is>
      </c>
      <c r="E339" s="3" t="n">
        <v>6.9</v>
      </c>
      <c r="F339" s="4">
        <f>(E339-$AJ$5)/$AK$5</f>
        <v/>
      </c>
      <c r="G339" t="n">
        <v>139.7011464</v>
      </c>
      <c r="H339">
        <f>(G339-$AJ$6)/$AK$6</f>
        <v/>
      </c>
      <c r="I339" t="n">
        <v>37.20000000000001</v>
      </c>
      <c r="J339" s="4">
        <f>(I339-$AJ$7)/$AK$7</f>
        <v/>
      </c>
      <c r="K339" t="n">
        <v>1</v>
      </c>
      <c r="L339" s="4">
        <f>(K339-$AJ$8)/$AK$8</f>
        <v/>
      </c>
      <c r="M339" t="n">
        <v>39423</v>
      </c>
      <c r="N339">
        <f>(M339-$AJ$9)/$AK$9</f>
        <v/>
      </c>
      <c r="O339" t="n">
        <v>0.281990011</v>
      </c>
      <c r="P339">
        <f>(O339-$AJ$11)/$AK$11</f>
        <v/>
      </c>
      <c r="Q339" t="n">
        <v>0.1522</v>
      </c>
      <c r="R339">
        <f>(Q339-$AJ$12)/$AK$12</f>
        <v/>
      </c>
      <c r="S339">
        <f>F339*(R339*0.5+P339*0.5)*(H339*0.35+J339*0.35+L339*0.3)</f>
        <v/>
      </c>
      <c r="T339" s="14">
        <f>(S339-$AJ$10)/$AK$10</f>
        <v/>
      </c>
      <c r="U339">
        <f>IF(T339&gt;0.7,"High",IF(T339&gt;0.3,"Moderate",IF(T339&gt;0.15,"Low","No Impact")))</f>
        <v/>
      </c>
      <c r="V339">
        <f>F339*(R339*1)*(H339*0.35+J339*0.35+L339*0.3)</f>
        <v/>
      </c>
      <c r="W339">
        <f>(V339-$AJ$13)/$AK$13</f>
        <v/>
      </c>
      <c r="X339">
        <f>IF(W339&gt;0.7,"High",IF(W339&gt;0.3,"Moderate",IF(W339&gt;0.15,"Low","No Impact")))</f>
        <v/>
      </c>
      <c r="Y339">
        <f>F339*(P339*1)*(H339*0.35+J339*0.35+L339*0.3)</f>
        <v/>
      </c>
      <c r="Z339">
        <f>(Y339-$AJ$14)/$AK$14</f>
        <v/>
      </c>
      <c r="AA339">
        <f>IF(Z339&gt;0.7,"High",IF(Z339&gt;0.3,"Moderate",IF(Z339&gt;0.15,"Low","No Impact")))</f>
        <v/>
      </c>
      <c r="AB339">
        <f>F339*(R339*0.35+P339*0.3+N339*0.35)*(H339*0.35+J339*0.35+L339*0.3)</f>
        <v/>
      </c>
      <c r="AC339">
        <f>(AB339-$AJ$15)/$AK$15</f>
        <v/>
      </c>
      <c r="AD339">
        <f>IF(AC339&gt;0.7,"High",IF(AC339&gt;0.3,"Moderate",IF(AC339&gt;0.15,"Low","No Impact")))</f>
        <v/>
      </c>
      <c r="AE339">
        <f>F339*(N339*1)*(H339*0.35+J339*0.35+L339*0.3)</f>
        <v/>
      </c>
      <c r="AF339">
        <f>(AE339-$AJ$16)/$AK$16</f>
        <v/>
      </c>
      <c r="AG339">
        <f>IF(AF339&gt;0.7,"High",IF(AF339&gt;0.3,"Moderate",IF(AF339&gt;0.15,"Low","No Impact")))</f>
        <v/>
      </c>
    </row>
    <row r="340">
      <c r="A340" t="n">
        <v>408725</v>
      </c>
      <c r="B340" t="inlineStr">
        <is>
          <t>BD408725</t>
        </is>
      </c>
      <c r="C340" t="inlineStr">
        <is>
          <t>Satkhira</t>
        </is>
      </c>
      <c r="D340" t="inlineStr">
        <is>
          <t>Debhata</t>
        </is>
      </c>
      <c r="E340" s="3" t="n">
        <v>6.7</v>
      </c>
      <c r="F340" s="4">
        <f>(E340-$AJ$5)/$AK$5</f>
        <v/>
      </c>
      <c r="G340" t="n">
        <v>133.1726292</v>
      </c>
      <c r="H340">
        <f>(G340-$AJ$6)/$AK$6</f>
        <v/>
      </c>
      <c r="I340" t="n">
        <v>14.6</v>
      </c>
      <c r="J340" s="4">
        <f>(I340-$AJ$7)/$AK$7</f>
        <v/>
      </c>
      <c r="K340" t="n">
        <v>0</v>
      </c>
      <c r="L340" s="4">
        <f>(K340-$AJ$8)/$AK$8</f>
        <v/>
      </c>
      <c r="M340" t="n">
        <v>18680</v>
      </c>
      <c r="N340">
        <f>(M340-$AJ$9)/$AK$9</f>
        <v/>
      </c>
      <c r="O340" t="n">
        <v>0.294554975</v>
      </c>
      <c r="P340">
        <f>(O340-$AJ$11)/$AK$11</f>
        <v/>
      </c>
      <c r="Q340" t="n">
        <v>0.2032</v>
      </c>
      <c r="R340">
        <f>(Q340-$AJ$12)/$AK$12</f>
        <v/>
      </c>
      <c r="S340">
        <f>F340*(R340*0.5+P340*0.5)*(H340*0.35+J340*0.35+L340*0.3)</f>
        <v/>
      </c>
      <c r="T340" s="14">
        <f>(S340-$AJ$10)/$AK$10</f>
        <v/>
      </c>
      <c r="U340">
        <f>IF(T340&gt;0.7,"High",IF(T340&gt;0.3,"Moderate",IF(T340&gt;0.15,"Low","No Impact")))</f>
        <v/>
      </c>
      <c r="V340">
        <f>F340*(R340*1)*(H340*0.35+J340*0.35+L340*0.3)</f>
        <v/>
      </c>
      <c r="W340">
        <f>(V340-$AJ$13)/$AK$13</f>
        <v/>
      </c>
      <c r="X340">
        <f>IF(W340&gt;0.7,"High",IF(W340&gt;0.3,"Moderate",IF(W340&gt;0.15,"Low","No Impact")))</f>
        <v/>
      </c>
      <c r="Y340">
        <f>F340*(P340*1)*(H340*0.35+J340*0.35+L340*0.3)</f>
        <v/>
      </c>
      <c r="Z340">
        <f>(Y340-$AJ$14)/$AK$14</f>
        <v/>
      </c>
      <c r="AA340">
        <f>IF(Z340&gt;0.7,"High",IF(Z340&gt;0.3,"Moderate",IF(Z340&gt;0.15,"Low","No Impact")))</f>
        <v/>
      </c>
      <c r="AB340">
        <f>F340*(R340*0.35+P340*0.3+N340*0.35)*(H340*0.35+J340*0.35+L340*0.3)</f>
        <v/>
      </c>
      <c r="AC340">
        <f>(AB340-$AJ$15)/$AK$15</f>
        <v/>
      </c>
      <c r="AD340">
        <f>IF(AC340&gt;0.7,"High",IF(AC340&gt;0.3,"Moderate",IF(AC340&gt;0.15,"Low","No Impact")))</f>
        <v/>
      </c>
      <c r="AE340">
        <f>F340*(N340*1)*(H340*0.35+J340*0.35+L340*0.3)</f>
        <v/>
      </c>
      <c r="AF340">
        <f>(AE340-$AJ$16)/$AK$16</f>
        <v/>
      </c>
      <c r="AG340">
        <f>IF(AF340&gt;0.7,"High",IF(AF340&gt;0.3,"Moderate",IF(AF340&gt;0.15,"Low","No Impact")))</f>
        <v/>
      </c>
    </row>
    <row r="341">
      <c r="A341" t="n">
        <v>408743</v>
      </c>
      <c r="B341" t="inlineStr">
        <is>
          <t>BD408743</t>
        </is>
      </c>
      <c r="C341" t="inlineStr">
        <is>
          <t>Satkhira</t>
        </is>
      </c>
      <c r="D341" t="inlineStr">
        <is>
          <t>Kalaroa</t>
        </is>
      </c>
      <c r="E341" s="3" t="n">
        <v>6.5</v>
      </c>
      <c r="F341" s="4">
        <f>(E341-$AJ$5)/$AK$5</f>
        <v/>
      </c>
      <c r="G341" t="n">
        <v>139.7011464</v>
      </c>
      <c r="H341">
        <f>(G341-$AJ$6)/$AK$6</f>
        <v/>
      </c>
      <c r="I341" t="n">
        <v>39.3</v>
      </c>
      <c r="J341" s="4">
        <f>(I341-$AJ$7)/$AK$7</f>
        <v/>
      </c>
      <c r="K341" t="n">
        <v>0</v>
      </c>
      <c r="L341" s="4">
        <f>(K341-$AJ$8)/$AK$8</f>
        <v/>
      </c>
      <c r="M341" t="n">
        <v>48599</v>
      </c>
      <c r="N341">
        <f>(M341-$AJ$9)/$AK$9</f>
        <v/>
      </c>
      <c r="O341" t="n">
        <v>0.521395427</v>
      </c>
      <c r="P341">
        <f>(O341-$AJ$11)/$AK$11</f>
        <v/>
      </c>
      <c r="Q341" t="n">
        <v>0.2661</v>
      </c>
      <c r="R341">
        <f>(Q341-$AJ$12)/$AK$12</f>
        <v/>
      </c>
      <c r="S341">
        <f>F341*(R341*0.5+P341*0.5)*(H341*0.35+J341*0.35+L341*0.3)</f>
        <v/>
      </c>
      <c r="T341" s="14">
        <f>(S341-$AJ$10)/$AK$10</f>
        <v/>
      </c>
      <c r="U341">
        <f>IF(T341&gt;0.7,"High",IF(T341&gt;0.3,"Moderate",IF(T341&gt;0.15,"Low","No Impact")))</f>
        <v/>
      </c>
      <c r="V341">
        <f>F341*(R341*1)*(H341*0.35+J341*0.35+L341*0.3)</f>
        <v/>
      </c>
      <c r="W341">
        <f>(V341-$AJ$13)/$AK$13</f>
        <v/>
      </c>
      <c r="X341">
        <f>IF(W341&gt;0.7,"High",IF(W341&gt;0.3,"Moderate",IF(W341&gt;0.15,"Low","No Impact")))</f>
        <v/>
      </c>
      <c r="Y341">
        <f>F341*(P341*1)*(H341*0.35+J341*0.35+L341*0.3)</f>
        <v/>
      </c>
      <c r="Z341">
        <f>(Y341-$AJ$14)/$AK$14</f>
        <v/>
      </c>
      <c r="AA341">
        <f>IF(Z341&gt;0.7,"High",IF(Z341&gt;0.3,"Moderate",IF(Z341&gt;0.15,"Low","No Impact")))</f>
        <v/>
      </c>
      <c r="AB341">
        <f>F341*(R341*0.35+P341*0.3+N341*0.35)*(H341*0.35+J341*0.35+L341*0.3)</f>
        <v/>
      </c>
      <c r="AC341">
        <f>(AB341-$AJ$15)/$AK$15</f>
        <v/>
      </c>
      <c r="AD341">
        <f>IF(AC341&gt;0.7,"High",IF(AC341&gt;0.3,"Moderate",IF(AC341&gt;0.15,"Low","No Impact")))</f>
        <v/>
      </c>
      <c r="AE341">
        <f>F341*(N341*1)*(H341*0.35+J341*0.35+L341*0.3)</f>
        <v/>
      </c>
      <c r="AF341">
        <f>(AE341-$AJ$16)/$AK$16</f>
        <v/>
      </c>
      <c r="AG341">
        <f>IF(AF341&gt;0.7,"High",IF(AF341&gt;0.3,"Moderate",IF(AF341&gt;0.15,"Low","No Impact")))</f>
        <v/>
      </c>
    </row>
    <row r="342">
      <c r="A342" t="n">
        <v>408747</v>
      </c>
      <c r="B342" t="inlineStr">
        <is>
          <t>BD408747</t>
        </is>
      </c>
      <c r="C342" t="inlineStr">
        <is>
          <t>Lalmonirhat</t>
        </is>
      </c>
      <c r="D342" t="inlineStr">
        <is>
          <t>Kaliganj</t>
        </is>
      </c>
      <c r="E342" s="3" t="n">
        <v>6.9</v>
      </c>
      <c r="F342" s="4">
        <f>(E342-$AJ$5)/$AK$5</f>
        <v/>
      </c>
      <c r="G342" t="n">
        <v>137.8449</v>
      </c>
      <c r="H342">
        <f>(G342-$AJ$6)/$AK$6</f>
        <v/>
      </c>
      <c r="I342" t="n">
        <v>25.50000000000001</v>
      </c>
      <c r="J342" s="4">
        <f>(I342-$AJ$7)/$AK$7</f>
        <v/>
      </c>
      <c r="K342" t="n">
        <v>1</v>
      </c>
      <c r="L342" s="4">
        <f>(K342-$AJ$8)/$AK$8</f>
        <v/>
      </c>
      <c r="M342" t="n">
        <v>39782</v>
      </c>
      <c r="N342">
        <f>(M342-$AJ$9)/$AK$9</f>
        <v/>
      </c>
      <c r="O342" t="n">
        <v>0.482829982</v>
      </c>
      <c r="P342">
        <f>(O342-$AJ$11)/$AK$11</f>
        <v/>
      </c>
      <c r="Q342" t="n">
        <v>0.2636</v>
      </c>
      <c r="R342">
        <f>(Q342-$AJ$12)/$AK$12</f>
        <v/>
      </c>
      <c r="S342">
        <f>F342*(R342*0.5+P342*0.5)*(H342*0.35+J342*0.35+L342*0.3)</f>
        <v/>
      </c>
      <c r="T342" s="14">
        <f>(S342-$AJ$10)/$AK$10</f>
        <v/>
      </c>
      <c r="U342">
        <f>IF(T342&gt;0.7,"High",IF(T342&gt;0.3,"Moderate",IF(T342&gt;0.15,"Low","No Impact")))</f>
        <v/>
      </c>
      <c r="V342">
        <f>F342*(R342*1)*(H342*0.35+J342*0.35+L342*0.3)</f>
        <v/>
      </c>
      <c r="W342">
        <f>(V342-$AJ$13)/$AK$13</f>
        <v/>
      </c>
      <c r="X342">
        <f>IF(W342&gt;0.7,"High",IF(W342&gt;0.3,"Moderate",IF(W342&gt;0.15,"Low","No Impact")))</f>
        <v/>
      </c>
      <c r="Y342">
        <f>F342*(P342*1)*(H342*0.35+J342*0.35+L342*0.3)</f>
        <v/>
      </c>
      <c r="Z342">
        <f>(Y342-$AJ$14)/$AK$14</f>
        <v/>
      </c>
      <c r="AA342">
        <f>IF(Z342&gt;0.7,"High",IF(Z342&gt;0.3,"Moderate",IF(Z342&gt;0.15,"Low","No Impact")))</f>
        <v/>
      </c>
      <c r="AB342">
        <f>F342*(R342*0.35+P342*0.3+N342*0.35)*(H342*0.35+J342*0.35+L342*0.3)</f>
        <v/>
      </c>
      <c r="AC342">
        <f>(AB342-$AJ$15)/$AK$15</f>
        <v/>
      </c>
      <c r="AD342">
        <f>IF(AC342&gt;0.7,"High",IF(AC342&gt;0.3,"Moderate",IF(AC342&gt;0.15,"Low","No Impact")))</f>
        <v/>
      </c>
      <c r="AE342">
        <f>F342*(N342*1)*(H342*0.35+J342*0.35+L342*0.3)</f>
        <v/>
      </c>
      <c r="AF342">
        <f>(AE342-$AJ$16)/$AK$16</f>
        <v/>
      </c>
      <c r="AG342">
        <f>IF(AF342&gt;0.7,"High",IF(AF342&gt;0.3,"Moderate",IF(AF342&gt;0.15,"Low","No Impact")))</f>
        <v/>
      </c>
    </row>
    <row r="343">
      <c r="A343" t="n">
        <v>408782</v>
      </c>
      <c r="B343" t="inlineStr">
        <is>
          <t>BD408782</t>
        </is>
      </c>
      <c r="C343" t="inlineStr">
        <is>
          <t>Satkhira</t>
        </is>
      </c>
      <c r="D343" t="inlineStr">
        <is>
          <t>Satkhira Sadar</t>
        </is>
      </c>
      <c r="E343" s="3" t="n">
        <v>7</v>
      </c>
      <c r="F343" s="4">
        <f>(E343-$AJ$5)/$AK$5</f>
        <v/>
      </c>
      <c r="G343" t="n">
        <v>139.7011464</v>
      </c>
      <c r="H343">
        <f>(G343-$AJ$6)/$AK$6</f>
        <v/>
      </c>
      <c r="I343" t="n">
        <v>30.2</v>
      </c>
      <c r="J343" s="4">
        <f>(I343-$AJ$7)/$AK$7</f>
        <v/>
      </c>
      <c r="K343" t="n">
        <v>0</v>
      </c>
      <c r="L343" s="4">
        <f>(K343-$AJ$8)/$AK$8</f>
        <v/>
      </c>
      <c r="M343" t="n">
        <v>45523</v>
      </c>
      <c r="N343">
        <f>(M343-$AJ$9)/$AK$9</f>
        <v/>
      </c>
      <c r="O343" t="n">
        <v>0.343135628</v>
      </c>
      <c r="P343">
        <f>(O343-$AJ$11)/$AK$11</f>
        <v/>
      </c>
      <c r="Q343" t="n">
        <v>0.2171</v>
      </c>
      <c r="R343">
        <f>(Q343-$AJ$12)/$AK$12</f>
        <v/>
      </c>
      <c r="S343">
        <f>F343*(R343*0.5+P343*0.5)*(H343*0.35+J343*0.35+L343*0.3)</f>
        <v/>
      </c>
      <c r="T343" s="14">
        <f>(S343-$AJ$10)/$AK$10</f>
        <v/>
      </c>
      <c r="U343">
        <f>IF(T343&gt;0.7,"High",IF(T343&gt;0.3,"Moderate",IF(T343&gt;0.15,"Low","No Impact")))</f>
        <v/>
      </c>
      <c r="V343">
        <f>F343*(R343*1)*(H343*0.35+J343*0.35+L343*0.3)</f>
        <v/>
      </c>
      <c r="W343">
        <f>(V343-$AJ$13)/$AK$13</f>
        <v/>
      </c>
      <c r="X343">
        <f>IF(W343&gt;0.7,"High",IF(W343&gt;0.3,"Moderate",IF(W343&gt;0.15,"Low","No Impact")))</f>
        <v/>
      </c>
      <c r="Y343">
        <f>F343*(P343*1)*(H343*0.35+J343*0.35+L343*0.3)</f>
        <v/>
      </c>
      <c r="Z343">
        <f>(Y343-$AJ$14)/$AK$14</f>
        <v/>
      </c>
      <c r="AA343">
        <f>IF(Z343&gt;0.7,"High",IF(Z343&gt;0.3,"Moderate",IF(Z343&gt;0.15,"Low","No Impact")))</f>
        <v/>
      </c>
      <c r="AB343">
        <f>F343*(R343*0.35+P343*0.3+N343*0.35)*(H343*0.35+J343*0.35+L343*0.3)</f>
        <v/>
      </c>
      <c r="AC343">
        <f>(AB343-$AJ$15)/$AK$15</f>
        <v/>
      </c>
      <c r="AD343">
        <f>IF(AC343&gt;0.7,"High",IF(AC343&gt;0.3,"Moderate",IF(AC343&gt;0.15,"Low","No Impact")))</f>
        <v/>
      </c>
      <c r="AE343">
        <f>F343*(N343*1)*(H343*0.35+J343*0.35+L343*0.3)</f>
        <v/>
      </c>
      <c r="AF343">
        <f>(AE343-$AJ$16)/$AK$16</f>
        <v/>
      </c>
      <c r="AG343">
        <f>IF(AF343&gt;0.7,"High",IF(AF343&gt;0.3,"Moderate",IF(AF343&gt;0.15,"Low","No Impact")))</f>
        <v/>
      </c>
    </row>
    <row r="344">
      <c r="A344" t="n">
        <v>408786</v>
      </c>
      <c r="B344" t="inlineStr">
        <is>
          <t>BD408786</t>
        </is>
      </c>
      <c r="C344" t="inlineStr">
        <is>
          <t>Satkhira</t>
        </is>
      </c>
      <c r="D344" t="inlineStr">
        <is>
          <t>Shyamnagar</t>
        </is>
      </c>
      <c r="E344" s="3" t="n">
        <v>6.9</v>
      </c>
      <c r="F344" s="4">
        <f>(E344-$AJ$5)/$AK$5</f>
        <v/>
      </c>
      <c r="G344" t="n">
        <v>151.148016</v>
      </c>
      <c r="H344">
        <f>(G344-$AJ$6)/$AK$6</f>
        <v/>
      </c>
      <c r="I344" t="n">
        <v>43.3</v>
      </c>
      <c r="J344" s="4">
        <f>(I344-$AJ$7)/$AK$7</f>
        <v/>
      </c>
      <c r="K344" t="n">
        <v>1</v>
      </c>
      <c r="L344" s="4">
        <f>(K344-$AJ$8)/$AK$8</f>
        <v/>
      </c>
      <c r="M344" t="n">
        <v>55956</v>
      </c>
      <c r="N344">
        <f>(M344-$AJ$9)/$AK$9</f>
        <v/>
      </c>
      <c r="O344" t="n">
        <v>0.408756658</v>
      </c>
      <c r="P344">
        <f>(O344-$AJ$11)/$AK$11</f>
        <v/>
      </c>
      <c r="Q344" t="n">
        <v>0.2243</v>
      </c>
      <c r="R344">
        <f>(Q344-$AJ$12)/$AK$12</f>
        <v/>
      </c>
      <c r="S344">
        <f>F344*(R344*0.5+P344*0.5)*(H344*0.35+J344*0.35+L344*0.3)</f>
        <v/>
      </c>
      <c r="T344" s="14">
        <f>(S344-$AJ$10)/$AK$10</f>
        <v/>
      </c>
      <c r="U344">
        <f>IF(T344&gt;0.7,"High",IF(T344&gt;0.3,"Moderate",IF(T344&gt;0.15,"Low","No Impact")))</f>
        <v/>
      </c>
      <c r="V344">
        <f>F344*(R344*1)*(H344*0.35+J344*0.35+L344*0.3)</f>
        <v/>
      </c>
      <c r="W344">
        <f>(V344-$AJ$13)/$AK$13</f>
        <v/>
      </c>
      <c r="X344">
        <f>IF(W344&gt;0.7,"High",IF(W344&gt;0.3,"Moderate",IF(W344&gt;0.15,"Low","No Impact")))</f>
        <v/>
      </c>
      <c r="Y344">
        <f>F344*(P344*1)*(H344*0.35+J344*0.35+L344*0.3)</f>
        <v/>
      </c>
      <c r="Z344">
        <f>(Y344-$AJ$14)/$AK$14</f>
        <v/>
      </c>
      <c r="AA344">
        <f>IF(Z344&gt;0.7,"High",IF(Z344&gt;0.3,"Moderate",IF(Z344&gt;0.15,"Low","No Impact")))</f>
        <v/>
      </c>
      <c r="AB344">
        <f>F344*(R344*0.35+P344*0.3+N344*0.35)*(H344*0.35+J344*0.35+L344*0.3)</f>
        <v/>
      </c>
      <c r="AC344">
        <f>(AB344-$AJ$15)/$AK$15</f>
        <v/>
      </c>
      <c r="AD344">
        <f>IF(AC344&gt;0.7,"High",IF(AC344&gt;0.3,"Moderate",IF(AC344&gt;0.15,"Low","No Impact")))</f>
        <v/>
      </c>
      <c r="AE344">
        <f>F344*(N344*1)*(H344*0.35+J344*0.35+L344*0.3)</f>
        <v/>
      </c>
      <c r="AF344">
        <f>(AE344-$AJ$16)/$AK$16</f>
        <v/>
      </c>
      <c r="AG344">
        <f>IF(AF344&gt;0.7,"High",IF(AF344&gt;0.3,"Moderate",IF(AF344&gt;0.15,"Low","No Impact")))</f>
        <v/>
      </c>
    </row>
    <row r="345">
      <c r="A345" t="n">
        <v>408790</v>
      </c>
      <c r="B345" t="inlineStr">
        <is>
          <t>BD408790</t>
        </is>
      </c>
      <c r="C345" t="inlineStr">
        <is>
          <t>Satkhira</t>
        </is>
      </c>
      <c r="D345" t="inlineStr">
        <is>
          <t>Tala</t>
        </is>
      </c>
      <c r="E345" s="3" t="n">
        <v>7</v>
      </c>
      <c r="F345" s="4">
        <f>(E345-$AJ$5)/$AK$5</f>
        <v/>
      </c>
      <c r="G345" t="n">
        <v>139.7011464</v>
      </c>
      <c r="H345">
        <f>(G345-$AJ$6)/$AK$6</f>
        <v/>
      </c>
      <c r="I345" t="n">
        <v>38.40000000000001</v>
      </c>
      <c r="J345" s="4">
        <f>(I345-$AJ$7)/$AK$7</f>
        <v/>
      </c>
      <c r="K345" t="n">
        <v>0</v>
      </c>
      <c r="L345" s="4">
        <f>(K345-$AJ$8)/$AK$8</f>
        <v/>
      </c>
      <c r="M345" t="n">
        <v>36530</v>
      </c>
      <c r="N345">
        <f>(M345-$AJ$9)/$AK$9</f>
        <v/>
      </c>
      <c r="O345" t="n">
        <v>0.398325994</v>
      </c>
      <c r="P345">
        <f>(O345-$AJ$11)/$AK$11</f>
        <v/>
      </c>
      <c r="Q345" t="n">
        <v>0.2296</v>
      </c>
      <c r="R345">
        <f>(Q345-$AJ$12)/$AK$12</f>
        <v/>
      </c>
      <c r="S345">
        <f>F345*(R345*0.5+P345*0.5)*(H345*0.35+J345*0.35+L345*0.3)</f>
        <v/>
      </c>
      <c r="T345" s="14">
        <f>(S345-$AJ$10)/$AK$10</f>
        <v/>
      </c>
      <c r="U345">
        <f>IF(T345&gt;0.7,"High",IF(T345&gt;0.3,"Moderate",IF(T345&gt;0.15,"Low","No Impact")))</f>
        <v/>
      </c>
      <c r="V345">
        <f>F345*(R345*1)*(H345*0.35+J345*0.35+L345*0.3)</f>
        <v/>
      </c>
      <c r="W345">
        <f>(V345-$AJ$13)/$AK$13</f>
        <v/>
      </c>
      <c r="X345">
        <f>IF(W345&gt;0.7,"High",IF(W345&gt;0.3,"Moderate",IF(W345&gt;0.15,"Low","No Impact")))</f>
        <v/>
      </c>
      <c r="Y345">
        <f>F345*(P345*1)*(H345*0.35+J345*0.35+L345*0.3)</f>
        <v/>
      </c>
      <c r="Z345">
        <f>(Y345-$AJ$14)/$AK$14</f>
        <v/>
      </c>
      <c r="AA345">
        <f>IF(Z345&gt;0.7,"High",IF(Z345&gt;0.3,"Moderate",IF(Z345&gt;0.15,"Low","No Impact")))</f>
        <v/>
      </c>
      <c r="AB345">
        <f>F345*(R345*0.35+P345*0.3+N345*0.35)*(H345*0.35+J345*0.35+L345*0.3)</f>
        <v/>
      </c>
      <c r="AC345">
        <f>(AB345-$AJ$15)/$AK$15</f>
        <v/>
      </c>
      <c r="AD345">
        <f>IF(AC345&gt;0.7,"High",IF(AC345&gt;0.3,"Moderate",IF(AC345&gt;0.15,"Low","No Impact")))</f>
        <v/>
      </c>
      <c r="AE345">
        <f>F345*(N345*1)*(H345*0.35+J345*0.35+L345*0.3)</f>
        <v/>
      </c>
      <c r="AF345">
        <f>(AE345-$AJ$16)/$AK$16</f>
        <v/>
      </c>
      <c r="AG345">
        <f>IF(AF345&gt;0.7,"High",IF(AF345&gt;0.3,"Moderate",IF(AF345&gt;0.15,"Low","No Impact")))</f>
        <v/>
      </c>
    </row>
    <row r="346">
      <c r="A346" t="n">
        <v>453907</v>
      </c>
      <c r="B346" t="inlineStr">
        <is>
          <t>BD453907</t>
        </is>
      </c>
      <c r="C346" t="inlineStr">
        <is>
          <t>Jamalpur</t>
        </is>
      </c>
      <c r="D346" t="inlineStr">
        <is>
          <t>Bakshiganj</t>
        </is>
      </c>
      <c r="E346" s="3" t="n">
        <v>6.7</v>
      </c>
      <c r="F346" s="4">
        <f>(E346-$AJ$5)/$AK$5</f>
        <v/>
      </c>
      <c r="G346" t="n">
        <v>37.4632524</v>
      </c>
      <c r="H346">
        <f>(G346-$AJ$6)/$AK$6</f>
        <v/>
      </c>
      <c r="I346" t="n">
        <v>0</v>
      </c>
      <c r="J346" s="4">
        <f>(I346-$AJ$7)/$AK$7</f>
        <v/>
      </c>
      <c r="K346" t="n">
        <v>0</v>
      </c>
      <c r="L346" s="4">
        <f>(K346-$AJ$8)/$AK$8</f>
        <v/>
      </c>
      <c r="M346" t="n">
        <v>31094</v>
      </c>
      <c r="N346">
        <f>(M346-$AJ$9)/$AK$9</f>
        <v/>
      </c>
      <c r="O346" t="n">
        <v>0.445906889</v>
      </c>
      <c r="P346">
        <f>(O346-$AJ$11)/$AK$11</f>
        <v/>
      </c>
      <c r="Q346" t="n">
        <v>0.2597</v>
      </c>
      <c r="R346">
        <f>(Q346-$AJ$12)/$AK$12</f>
        <v/>
      </c>
      <c r="S346">
        <f>F346*(R346*0.5+P346*0.5)*(H346*0.35+J346*0.35+L346*0.3)</f>
        <v/>
      </c>
      <c r="T346" s="14">
        <f>(S346-$AJ$10)/$AK$10</f>
        <v/>
      </c>
      <c r="U346">
        <f>IF(T346&gt;0.7,"High",IF(T346&gt;0.3,"Moderate",IF(T346&gt;0.15,"Low","No Impact")))</f>
        <v/>
      </c>
      <c r="V346">
        <f>F346*(R346*1)*(H346*0.35+J346*0.35+L346*0.3)</f>
        <v/>
      </c>
      <c r="W346">
        <f>(V346-$AJ$13)/$AK$13</f>
        <v/>
      </c>
      <c r="X346">
        <f>IF(W346&gt;0.7,"High",IF(W346&gt;0.3,"Moderate",IF(W346&gt;0.15,"Low","No Impact")))</f>
        <v/>
      </c>
      <c r="Y346">
        <f>F346*(P346*1)*(H346*0.35+J346*0.35+L346*0.3)</f>
        <v/>
      </c>
      <c r="Z346">
        <f>(Y346-$AJ$14)/$AK$14</f>
        <v/>
      </c>
      <c r="AA346">
        <f>IF(Z346&gt;0.7,"High",IF(Z346&gt;0.3,"Moderate",IF(Z346&gt;0.15,"Low","No Impact")))</f>
        <v/>
      </c>
      <c r="AB346">
        <f>F346*(R346*0.35+P346*0.3+N346*0.35)*(H346*0.35+J346*0.35+L346*0.3)</f>
        <v/>
      </c>
      <c r="AC346">
        <f>(AB346-$AJ$15)/$AK$15</f>
        <v/>
      </c>
      <c r="AD346">
        <f>IF(AC346&gt;0.7,"High",IF(AC346&gt;0.3,"Moderate",IF(AC346&gt;0.15,"Low","No Impact")))</f>
        <v/>
      </c>
      <c r="AE346">
        <f>F346*(N346*1)*(H346*0.35+J346*0.35+L346*0.3)</f>
        <v/>
      </c>
      <c r="AF346">
        <f>(AE346-$AJ$16)/$AK$16</f>
        <v/>
      </c>
      <c r="AG346">
        <f>IF(AF346&gt;0.7,"High",IF(AF346&gt;0.3,"Moderate",IF(AF346&gt;0.15,"Low","No Impact")))</f>
        <v/>
      </c>
    </row>
    <row r="347">
      <c r="A347" t="n">
        <v>453915</v>
      </c>
      <c r="B347" t="inlineStr">
        <is>
          <t>BD453915</t>
        </is>
      </c>
      <c r="C347" t="inlineStr">
        <is>
          <t>Jamalpur</t>
        </is>
      </c>
      <c r="D347" t="inlineStr">
        <is>
          <t>Dewanganj</t>
        </is>
      </c>
      <c r="E347" s="3" t="n">
        <v>6.7</v>
      </c>
      <c r="F347" s="4">
        <f>(E347-$AJ$5)/$AK$5</f>
        <v/>
      </c>
      <c r="G347" t="n">
        <v>37.4632524</v>
      </c>
      <c r="H347">
        <f>(G347-$AJ$6)/$AK$6</f>
        <v/>
      </c>
      <c r="I347" t="n">
        <v>0</v>
      </c>
      <c r="J347" s="4">
        <f>(I347-$AJ$7)/$AK$7</f>
        <v/>
      </c>
      <c r="K347" t="n">
        <v>0</v>
      </c>
      <c r="L347" s="4">
        <f>(K347-$AJ$8)/$AK$8</f>
        <v/>
      </c>
      <c r="M347" t="n">
        <v>33936</v>
      </c>
      <c r="N347">
        <f>(M347-$AJ$9)/$AK$9</f>
        <v/>
      </c>
      <c r="O347" t="n">
        <v>0.587248595</v>
      </c>
      <c r="P347">
        <f>(O347-$AJ$11)/$AK$11</f>
        <v/>
      </c>
      <c r="Q347" t="n">
        <v>0.2368</v>
      </c>
      <c r="R347">
        <f>(Q347-$AJ$12)/$AK$12</f>
        <v/>
      </c>
      <c r="S347">
        <f>F347*(R347*0.5+P347*0.5)*(H347*0.35+J347*0.35+L347*0.3)</f>
        <v/>
      </c>
      <c r="T347" s="14">
        <f>(S347-$AJ$10)/$AK$10</f>
        <v/>
      </c>
      <c r="U347">
        <f>IF(T347&gt;0.7,"High",IF(T347&gt;0.3,"Moderate",IF(T347&gt;0.15,"Low","No Impact")))</f>
        <v/>
      </c>
      <c r="V347">
        <f>F347*(R347*1)*(H347*0.35+J347*0.35+L347*0.3)</f>
        <v/>
      </c>
      <c r="W347">
        <f>(V347-$AJ$13)/$AK$13</f>
        <v/>
      </c>
      <c r="X347">
        <f>IF(W347&gt;0.7,"High",IF(W347&gt;0.3,"Moderate",IF(W347&gt;0.15,"Low","No Impact")))</f>
        <v/>
      </c>
      <c r="Y347">
        <f>F347*(P347*1)*(H347*0.35+J347*0.35+L347*0.3)</f>
        <v/>
      </c>
      <c r="Z347">
        <f>(Y347-$AJ$14)/$AK$14</f>
        <v/>
      </c>
      <c r="AA347">
        <f>IF(Z347&gt;0.7,"High",IF(Z347&gt;0.3,"Moderate",IF(Z347&gt;0.15,"Low","No Impact")))</f>
        <v/>
      </c>
      <c r="AB347">
        <f>F347*(R347*0.35+P347*0.3+N347*0.35)*(H347*0.35+J347*0.35+L347*0.3)</f>
        <v/>
      </c>
      <c r="AC347">
        <f>(AB347-$AJ$15)/$AK$15</f>
        <v/>
      </c>
      <c r="AD347">
        <f>IF(AC347&gt;0.7,"High",IF(AC347&gt;0.3,"Moderate",IF(AC347&gt;0.15,"Low","No Impact")))</f>
        <v/>
      </c>
      <c r="AE347">
        <f>F347*(N347*1)*(H347*0.35+J347*0.35+L347*0.3)</f>
        <v/>
      </c>
      <c r="AF347">
        <f>(AE347-$AJ$16)/$AK$16</f>
        <v/>
      </c>
      <c r="AG347">
        <f>IF(AF347&gt;0.7,"High",IF(AF347&gt;0.3,"Moderate",IF(AF347&gt;0.15,"Low","No Impact")))</f>
        <v/>
      </c>
    </row>
    <row r="348">
      <c r="A348" t="n">
        <v>453929</v>
      </c>
      <c r="B348" t="inlineStr">
        <is>
          <t>BD453929</t>
        </is>
      </c>
      <c r="C348" t="inlineStr">
        <is>
          <t>Jamalpur</t>
        </is>
      </c>
      <c r="D348" t="inlineStr">
        <is>
          <t>Islampur</t>
        </is>
      </c>
      <c r="E348" s="3" t="n">
        <v>6.7</v>
      </c>
      <c r="F348" s="4">
        <f>(E348-$AJ$5)/$AK$5</f>
        <v/>
      </c>
      <c r="G348" t="n">
        <v>37.4632524</v>
      </c>
      <c r="H348">
        <f>(G348-$AJ$6)/$AK$6</f>
        <v/>
      </c>
      <c r="I348" t="n">
        <v>0</v>
      </c>
      <c r="J348" s="4">
        <f>(I348-$AJ$7)/$AK$7</f>
        <v/>
      </c>
      <c r="K348" t="n">
        <v>0</v>
      </c>
      <c r="L348" s="4">
        <f>(K348-$AJ$8)/$AK$8</f>
        <v/>
      </c>
      <c r="M348" t="n">
        <v>49714</v>
      </c>
      <c r="N348">
        <f>(M348-$AJ$9)/$AK$9</f>
        <v/>
      </c>
      <c r="O348" t="n">
        <v>0.442992603</v>
      </c>
      <c r="P348">
        <f>(O348-$AJ$11)/$AK$11</f>
        <v/>
      </c>
      <c r="Q348" t="n">
        <v>0.219</v>
      </c>
      <c r="R348">
        <f>(Q348-$AJ$12)/$AK$12</f>
        <v/>
      </c>
      <c r="S348">
        <f>F348*(R348*0.5+P348*0.5)*(H348*0.35+J348*0.35+L348*0.3)</f>
        <v/>
      </c>
      <c r="T348" s="14">
        <f>(S348-$AJ$10)/$AK$10</f>
        <v/>
      </c>
      <c r="U348">
        <f>IF(T348&gt;0.7,"High",IF(T348&gt;0.3,"Moderate",IF(T348&gt;0.15,"Low","No Impact")))</f>
        <v/>
      </c>
      <c r="V348">
        <f>F348*(R348*1)*(H348*0.35+J348*0.35+L348*0.3)</f>
        <v/>
      </c>
      <c r="W348">
        <f>(V348-$AJ$13)/$AK$13</f>
        <v/>
      </c>
      <c r="X348">
        <f>IF(W348&gt;0.7,"High",IF(W348&gt;0.3,"Moderate",IF(W348&gt;0.15,"Low","No Impact")))</f>
        <v/>
      </c>
      <c r="Y348">
        <f>F348*(P348*1)*(H348*0.35+J348*0.35+L348*0.3)</f>
        <v/>
      </c>
      <c r="Z348">
        <f>(Y348-$AJ$14)/$AK$14</f>
        <v/>
      </c>
      <c r="AA348">
        <f>IF(Z348&gt;0.7,"High",IF(Z348&gt;0.3,"Moderate",IF(Z348&gt;0.15,"Low","No Impact")))</f>
        <v/>
      </c>
      <c r="AB348">
        <f>F348*(R348*0.35+P348*0.3+N348*0.35)*(H348*0.35+J348*0.35+L348*0.3)</f>
        <v/>
      </c>
      <c r="AC348">
        <f>(AB348-$AJ$15)/$AK$15</f>
        <v/>
      </c>
      <c r="AD348">
        <f>IF(AC348&gt;0.7,"High",IF(AC348&gt;0.3,"Moderate",IF(AC348&gt;0.15,"Low","No Impact")))</f>
        <v/>
      </c>
      <c r="AE348">
        <f>F348*(N348*1)*(H348*0.35+J348*0.35+L348*0.3)</f>
        <v/>
      </c>
      <c r="AF348">
        <f>(AE348-$AJ$16)/$AK$16</f>
        <v/>
      </c>
      <c r="AG348">
        <f>IF(AF348&gt;0.7,"High",IF(AF348&gt;0.3,"Moderate",IF(AF348&gt;0.15,"Low","No Impact")))</f>
        <v/>
      </c>
    </row>
    <row r="349">
      <c r="A349" t="n">
        <v>453936</v>
      </c>
      <c r="B349" t="inlineStr">
        <is>
          <t>BD453936</t>
        </is>
      </c>
      <c r="C349" t="inlineStr">
        <is>
          <t>Jamalpur</t>
        </is>
      </c>
      <c r="D349" t="inlineStr">
        <is>
          <t>Jamalpur Sadar</t>
        </is>
      </c>
      <c r="E349" s="3" t="n">
        <v>6.7</v>
      </c>
      <c r="F349" s="4">
        <f>(E349-$AJ$5)/$AK$5</f>
        <v/>
      </c>
      <c r="G349" t="n">
        <v>51.2412264</v>
      </c>
      <c r="H349">
        <f>(G349-$AJ$6)/$AK$6</f>
        <v/>
      </c>
      <c r="I349" t="n">
        <v>0</v>
      </c>
      <c r="J349" s="4">
        <f>(I349-$AJ$7)/$AK$7</f>
        <v/>
      </c>
      <c r="K349" t="n">
        <v>0</v>
      </c>
      <c r="L349" s="4">
        <f>(K349-$AJ$8)/$AK$8</f>
        <v/>
      </c>
      <c r="M349" t="n">
        <v>72151</v>
      </c>
      <c r="N349">
        <f>(M349-$AJ$9)/$AK$9</f>
        <v/>
      </c>
      <c r="O349" t="n">
        <v>0.494318946</v>
      </c>
      <c r="P349">
        <f>(O349-$AJ$11)/$AK$11</f>
        <v/>
      </c>
      <c r="Q349" t="n">
        <v>0.2408</v>
      </c>
      <c r="R349">
        <f>(Q349-$AJ$12)/$AK$12</f>
        <v/>
      </c>
      <c r="S349">
        <f>F349*(R349*0.5+P349*0.5)*(H349*0.35+J349*0.35+L349*0.3)</f>
        <v/>
      </c>
      <c r="T349" s="14">
        <f>(S349-$AJ$10)/$AK$10</f>
        <v/>
      </c>
      <c r="U349">
        <f>IF(T349&gt;0.7,"High",IF(T349&gt;0.3,"Moderate",IF(T349&gt;0.15,"Low","No Impact")))</f>
        <v/>
      </c>
      <c r="V349">
        <f>F349*(R349*1)*(H349*0.35+J349*0.35+L349*0.3)</f>
        <v/>
      </c>
      <c r="W349">
        <f>(V349-$AJ$13)/$AK$13</f>
        <v/>
      </c>
      <c r="X349">
        <f>IF(W349&gt;0.7,"High",IF(W349&gt;0.3,"Moderate",IF(W349&gt;0.15,"Low","No Impact")))</f>
        <v/>
      </c>
      <c r="Y349">
        <f>F349*(P349*1)*(H349*0.35+J349*0.35+L349*0.3)</f>
        <v/>
      </c>
      <c r="Z349">
        <f>(Y349-$AJ$14)/$AK$14</f>
        <v/>
      </c>
      <c r="AA349">
        <f>IF(Z349&gt;0.7,"High",IF(Z349&gt;0.3,"Moderate",IF(Z349&gt;0.15,"Low","No Impact")))</f>
        <v/>
      </c>
      <c r="AB349">
        <f>F349*(R349*0.35+P349*0.3+N349*0.35)*(H349*0.35+J349*0.35+L349*0.3)</f>
        <v/>
      </c>
      <c r="AC349">
        <f>(AB349-$AJ$15)/$AK$15</f>
        <v/>
      </c>
      <c r="AD349">
        <f>IF(AC349&gt;0.7,"High",IF(AC349&gt;0.3,"Moderate",IF(AC349&gt;0.15,"Low","No Impact")))</f>
        <v/>
      </c>
      <c r="AE349">
        <f>F349*(N349*1)*(H349*0.35+J349*0.35+L349*0.3)</f>
        <v/>
      </c>
      <c r="AF349">
        <f>(AE349-$AJ$16)/$AK$16</f>
        <v/>
      </c>
      <c r="AG349">
        <f>IF(AF349&gt;0.7,"High",IF(AF349&gt;0.3,"Moderate",IF(AF349&gt;0.15,"Low","No Impact")))</f>
        <v/>
      </c>
    </row>
    <row r="350">
      <c r="A350" t="n">
        <v>453958</v>
      </c>
      <c r="B350" t="inlineStr">
        <is>
          <t>BD453958</t>
        </is>
      </c>
      <c r="C350" t="inlineStr">
        <is>
          <t>Jamalpur</t>
        </is>
      </c>
      <c r="D350" t="inlineStr">
        <is>
          <t>Madarganj</t>
        </is>
      </c>
      <c r="E350" s="3" t="n">
        <v>5.7</v>
      </c>
      <c r="F350" s="4">
        <f>(E350-$AJ$5)/$AK$5</f>
        <v/>
      </c>
      <c r="G350" t="n">
        <v>51.2412264</v>
      </c>
      <c r="H350">
        <f>(G350-$AJ$6)/$AK$6</f>
        <v/>
      </c>
      <c r="I350" t="n">
        <v>0</v>
      </c>
      <c r="J350" s="4">
        <f>(I350-$AJ$7)/$AK$7</f>
        <v/>
      </c>
      <c r="K350" t="n">
        <v>0</v>
      </c>
      <c r="L350" s="4">
        <f>(K350-$AJ$8)/$AK$8</f>
        <v/>
      </c>
      <c r="M350" t="n">
        <v>42481</v>
      </c>
      <c r="N350">
        <f>(M350-$AJ$9)/$AK$9</f>
        <v/>
      </c>
      <c r="O350" t="n">
        <v>0.708189588</v>
      </c>
      <c r="P350">
        <f>(O350-$AJ$11)/$AK$11</f>
        <v/>
      </c>
      <c r="Q350" t="n">
        <v>0.2491</v>
      </c>
      <c r="R350">
        <f>(Q350-$AJ$12)/$AK$12</f>
        <v/>
      </c>
      <c r="S350">
        <f>F350*(R350*0.5+P350*0.5)*(H350*0.35+J350*0.35+L350*0.3)</f>
        <v/>
      </c>
      <c r="T350" s="14">
        <f>(S350-$AJ$10)/$AK$10</f>
        <v/>
      </c>
      <c r="U350">
        <f>IF(T350&gt;0.7,"High",IF(T350&gt;0.3,"Moderate",IF(T350&gt;0.15,"Low","No Impact")))</f>
        <v/>
      </c>
      <c r="V350">
        <f>F350*(R350*1)*(H350*0.35+J350*0.35+L350*0.3)</f>
        <v/>
      </c>
      <c r="W350">
        <f>(V350-$AJ$13)/$AK$13</f>
        <v/>
      </c>
      <c r="X350">
        <f>IF(W350&gt;0.7,"High",IF(W350&gt;0.3,"Moderate",IF(W350&gt;0.15,"Low","No Impact")))</f>
        <v/>
      </c>
      <c r="Y350">
        <f>F350*(P350*1)*(H350*0.35+J350*0.35+L350*0.3)</f>
        <v/>
      </c>
      <c r="Z350">
        <f>(Y350-$AJ$14)/$AK$14</f>
        <v/>
      </c>
      <c r="AA350">
        <f>IF(Z350&gt;0.7,"High",IF(Z350&gt;0.3,"Moderate",IF(Z350&gt;0.15,"Low","No Impact")))</f>
        <v/>
      </c>
      <c r="AB350">
        <f>F350*(R350*0.35+P350*0.3+N350*0.35)*(H350*0.35+J350*0.35+L350*0.3)</f>
        <v/>
      </c>
      <c r="AC350">
        <f>(AB350-$AJ$15)/$AK$15</f>
        <v/>
      </c>
      <c r="AD350">
        <f>IF(AC350&gt;0.7,"High",IF(AC350&gt;0.3,"Moderate",IF(AC350&gt;0.15,"Low","No Impact")))</f>
        <v/>
      </c>
      <c r="AE350">
        <f>F350*(N350*1)*(H350*0.35+J350*0.35+L350*0.3)</f>
        <v/>
      </c>
      <c r="AF350">
        <f>(AE350-$AJ$16)/$AK$16</f>
        <v/>
      </c>
      <c r="AG350">
        <f>IF(AF350&gt;0.7,"High",IF(AF350&gt;0.3,"Moderate",IF(AF350&gt;0.15,"Low","No Impact")))</f>
        <v/>
      </c>
    </row>
    <row r="351">
      <c r="A351" t="n">
        <v>453961</v>
      </c>
      <c r="B351" t="inlineStr">
        <is>
          <t>BD453961</t>
        </is>
      </c>
      <c r="C351" t="inlineStr">
        <is>
          <t>Jamalpur</t>
        </is>
      </c>
      <c r="D351" t="inlineStr">
        <is>
          <t>Melandaha</t>
        </is>
      </c>
      <c r="E351" s="3" t="n">
        <v>5.9</v>
      </c>
      <c r="F351" s="4">
        <f>(E351-$AJ$5)/$AK$5</f>
        <v/>
      </c>
      <c r="G351" t="n">
        <v>51.2412264</v>
      </c>
      <c r="H351">
        <f>(G351-$AJ$6)/$AK$6</f>
        <v/>
      </c>
      <c r="I351" t="n">
        <v>0</v>
      </c>
      <c r="J351" s="4">
        <f>(I351-$AJ$7)/$AK$7</f>
        <v/>
      </c>
      <c r="K351" t="n">
        <v>0</v>
      </c>
      <c r="L351" s="4">
        <f>(K351-$AJ$8)/$AK$8</f>
        <v/>
      </c>
      <c r="M351" t="n">
        <v>49997</v>
      </c>
      <c r="N351">
        <f>(M351-$AJ$9)/$AK$9</f>
        <v/>
      </c>
      <c r="O351" t="n">
        <v>0.573693286</v>
      </c>
      <c r="P351">
        <f>(O351-$AJ$11)/$AK$11</f>
        <v/>
      </c>
      <c r="Q351" t="n">
        <v>0.2329</v>
      </c>
      <c r="R351">
        <f>(Q351-$AJ$12)/$AK$12</f>
        <v/>
      </c>
      <c r="S351">
        <f>F351*(R351*0.5+P351*0.5)*(H351*0.35+J351*0.35+L351*0.3)</f>
        <v/>
      </c>
      <c r="T351" s="14">
        <f>(S351-$AJ$10)/$AK$10</f>
        <v/>
      </c>
      <c r="U351">
        <f>IF(T351&gt;0.7,"High",IF(T351&gt;0.3,"Moderate",IF(T351&gt;0.15,"Low","No Impact")))</f>
        <v/>
      </c>
      <c r="V351">
        <f>F351*(R351*1)*(H351*0.35+J351*0.35+L351*0.3)</f>
        <v/>
      </c>
      <c r="W351">
        <f>(V351-$AJ$13)/$AK$13</f>
        <v/>
      </c>
      <c r="X351">
        <f>IF(W351&gt;0.7,"High",IF(W351&gt;0.3,"Moderate",IF(W351&gt;0.15,"Low","No Impact")))</f>
        <v/>
      </c>
      <c r="Y351">
        <f>F351*(P351*1)*(H351*0.35+J351*0.35+L351*0.3)</f>
        <v/>
      </c>
      <c r="Z351">
        <f>(Y351-$AJ$14)/$AK$14</f>
        <v/>
      </c>
      <c r="AA351">
        <f>IF(Z351&gt;0.7,"High",IF(Z351&gt;0.3,"Moderate",IF(Z351&gt;0.15,"Low","No Impact")))</f>
        <v/>
      </c>
      <c r="AB351">
        <f>F351*(R351*0.35+P351*0.3+N351*0.35)*(H351*0.35+J351*0.35+L351*0.3)</f>
        <v/>
      </c>
      <c r="AC351">
        <f>(AB351-$AJ$15)/$AK$15</f>
        <v/>
      </c>
      <c r="AD351">
        <f>IF(AC351&gt;0.7,"High",IF(AC351&gt;0.3,"Moderate",IF(AC351&gt;0.15,"Low","No Impact")))</f>
        <v/>
      </c>
      <c r="AE351">
        <f>F351*(N351*1)*(H351*0.35+J351*0.35+L351*0.3)</f>
        <v/>
      </c>
      <c r="AF351">
        <f>(AE351-$AJ$16)/$AK$16</f>
        <v/>
      </c>
      <c r="AG351">
        <f>IF(AF351&gt;0.7,"High",IF(AF351&gt;0.3,"Moderate",IF(AF351&gt;0.15,"Low","No Impact")))</f>
        <v/>
      </c>
    </row>
    <row r="352">
      <c r="A352" t="n">
        <v>453985</v>
      </c>
      <c r="B352" t="inlineStr">
        <is>
          <t>BD453985</t>
        </is>
      </c>
      <c r="C352" t="inlineStr">
        <is>
          <t>Jamalpur</t>
        </is>
      </c>
      <c r="D352" t="inlineStr">
        <is>
          <t>Sarishabari</t>
        </is>
      </c>
      <c r="E352" s="3" t="n">
        <v>6.7</v>
      </c>
      <c r="F352" s="4">
        <f>(E352-$AJ$5)/$AK$5</f>
        <v/>
      </c>
      <c r="G352" t="n">
        <v>52.0636428</v>
      </c>
      <c r="H352">
        <f>(G352-$AJ$6)/$AK$6</f>
        <v/>
      </c>
      <c r="I352" t="n">
        <v>0</v>
      </c>
      <c r="J352" s="4">
        <f>(I352-$AJ$7)/$AK$7</f>
        <v/>
      </c>
      <c r="K352" t="n">
        <v>0</v>
      </c>
      <c r="L352" s="4">
        <f>(K352-$AJ$8)/$AK$8</f>
        <v/>
      </c>
      <c r="M352" t="n">
        <v>35824</v>
      </c>
      <c r="N352">
        <f>(M352-$AJ$9)/$AK$9</f>
        <v/>
      </c>
      <c r="O352" t="n">
        <v>0.7182870689999999</v>
      </c>
      <c r="P352">
        <f>(O352-$AJ$11)/$AK$11</f>
        <v/>
      </c>
      <c r="Q352" t="n">
        <v>0.2423</v>
      </c>
      <c r="R352">
        <f>(Q352-$AJ$12)/$AK$12</f>
        <v/>
      </c>
      <c r="S352">
        <f>F352*(R352*0.5+P352*0.5)*(H352*0.35+J352*0.35+L352*0.3)</f>
        <v/>
      </c>
      <c r="T352" s="14">
        <f>(S352-$AJ$10)/$AK$10</f>
        <v/>
      </c>
      <c r="U352">
        <f>IF(T352&gt;0.7,"High",IF(T352&gt;0.3,"Moderate",IF(T352&gt;0.15,"Low","No Impact")))</f>
        <v/>
      </c>
      <c r="V352">
        <f>F352*(R352*1)*(H352*0.35+J352*0.35+L352*0.3)</f>
        <v/>
      </c>
      <c r="W352">
        <f>(V352-$AJ$13)/$AK$13</f>
        <v/>
      </c>
      <c r="X352">
        <f>IF(W352&gt;0.7,"High",IF(W352&gt;0.3,"Moderate",IF(W352&gt;0.15,"Low","No Impact")))</f>
        <v/>
      </c>
      <c r="Y352">
        <f>F352*(P352*1)*(H352*0.35+J352*0.35+L352*0.3)</f>
        <v/>
      </c>
      <c r="Z352">
        <f>(Y352-$AJ$14)/$AK$14</f>
        <v/>
      </c>
      <c r="AA352">
        <f>IF(Z352&gt;0.7,"High",IF(Z352&gt;0.3,"Moderate",IF(Z352&gt;0.15,"Low","No Impact")))</f>
        <v/>
      </c>
      <c r="AB352">
        <f>F352*(R352*0.35+P352*0.3+N352*0.35)*(H352*0.35+J352*0.35+L352*0.3)</f>
        <v/>
      </c>
      <c r="AC352">
        <f>(AB352-$AJ$15)/$AK$15</f>
        <v/>
      </c>
      <c r="AD352">
        <f>IF(AC352&gt;0.7,"High",IF(AC352&gt;0.3,"Moderate",IF(AC352&gt;0.15,"Low","No Impact")))</f>
        <v/>
      </c>
      <c r="AE352">
        <f>F352*(N352*1)*(H352*0.35+J352*0.35+L352*0.3)</f>
        <v/>
      </c>
      <c r="AF352">
        <f>(AE352-$AJ$16)/$AK$16</f>
        <v/>
      </c>
      <c r="AG352">
        <f>IF(AF352&gt;0.7,"High",IF(AF352&gt;0.3,"Moderate",IF(AF352&gt;0.15,"Low","No Impact")))</f>
        <v/>
      </c>
    </row>
    <row r="353">
      <c r="A353" t="n">
        <v>456113</v>
      </c>
      <c r="B353" t="inlineStr">
        <is>
          <t>BD456113</t>
        </is>
      </c>
      <c r="C353" t="inlineStr">
        <is>
          <t>Mymensingh</t>
        </is>
      </c>
      <c r="D353" t="inlineStr">
        <is>
          <t>Bhaluka</t>
        </is>
      </c>
      <c r="E353" s="3" t="n">
        <v>4.4</v>
      </c>
      <c r="F353" s="4">
        <f>(E353-$AJ$5)/$AK$5</f>
        <v/>
      </c>
      <c r="G353" t="n">
        <v>51.6488004</v>
      </c>
      <c r="H353">
        <f>(G353-$AJ$6)/$AK$6</f>
        <v/>
      </c>
      <c r="I353" t="n">
        <v>0</v>
      </c>
      <c r="J353" s="4">
        <f>(I353-$AJ$7)/$AK$7</f>
        <v/>
      </c>
      <c r="K353" t="n">
        <v>0</v>
      </c>
      <c r="L353" s="4">
        <f>(K353-$AJ$8)/$AK$8</f>
        <v/>
      </c>
      <c r="M353" t="n">
        <v>67704</v>
      </c>
      <c r="N353">
        <f>(M353-$AJ$9)/$AK$9</f>
        <v/>
      </c>
      <c r="O353" t="n">
        <v>0.609887786</v>
      </c>
      <c r="P353">
        <f>(O353-$AJ$11)/$AK$11</f>
        <v/>
      </c>
      <c r="Q353" t="n">
        <v>0.2538</v>
      </c>
      <c r="R353">
        <f>(Q353-$AJ$12)/$AK$12</f>
        <v/>
      </c>
      <c r="S353">
        <f>F353*(R353*0.5+P353*0.5)*(H353*0.35+J353*0.35+L353*0.3)</f>
        <v/>
      </c>
      <c r="T353" s="14">
        <f>(S353-$AJ$10)/$AK$10</f>
        <v/>
      </c>
      <c r="U353">
        <f>IF(T353&gt;0.7,"High",IF(T353&gt;0.3,"Moderate",IF(T353&gt;0.15,"Low","No Impact")))</f>
        <v/>
      </c>
      <c r="V353">
        <f>F353*(R353*1)*(H353*0.35+J353*0.35+L353*0.3)</f>
        <v/>
      </c>
      <c r="W353">
        <f>(V353-$AJ$13)/$AK$13</f>
        <v/>
      </c>
      <c r="X353">
        <f>IF(W353&gt;0.7,"High",IF(W353&gt;0.3,"Moderate",IF(W353&gt;0.15,"Low","No Impact")))</f>
        <v/>
      </c>
      <c r="Y353">
        <f>F353*(P353*1)*(H353*0.35+J353*0.35+L353*0.3)</f>
        <v/>
      </c>
      <c r="Z353">
        <f>(Y353-$AJ$14)/$AK$14</f>
        <v/>
      </c>
      <c r="AA353">
        <f>IF(Z353&gt;0.7,"High",IF(Z353&gt;0.3,"Moderate",IF(Z353&gt;0.15,"Low","No Impact")))</f>
        <v/>
      </c>
      <c r="AB353">
        <f>F353*(R353*0.35+P353*0.3+N353*0.35)*(H353*0.35+J353*0.35+L353*0.3)</f>
        <v/>
      </c>
      <c r="AC353">
        <f>(AB353-$AJ$15)/$AK$15</f>
        <v/>
      </c>
      <c r="AD353">
        <f>IF(AC353&gt;0.7,"High",IF(AC353&gt;0.3,"Moderate",IF(AC353&gt;0.15,"Low","No Impact")))</f>
        <v/>
      </c>
      <c r="AE353">
        <f>F353*(N353*1)*(H353*0.35+J353*0.35+L353*0.3)</f>
        <v/>
      </c>
      <c r="AF353">
        <f>(AE353-$AJ$16)/$AK$16</f>
        <v/>
      </c>
      <c r="AG353">
        <f>IF(AF353&gt;0.7,"High",IF(AF353&gt;0.3,"Moderate",IF(AF353&gt;0.15,"Low","No Impact")))</f>
        <v/>
      </c>
    </row>
    <row r="354">
      <c r="A354" t="n">
        <v>456116</v>
      </c>
      <c r="B354" t="inlineStr">
        <is>
          <t>BD456116</t>
        </is>
      </c>
      <c r="C354" t="inlineStr">
        <is>
          <t>Mymensingh</t>
        </is>
      </c>
      <c r="D354" t="inlineStr">
        <is>
          <t>Dhobaura</t>
        </is>
      </c>
      <c r="E354" s="3" t="n">
        <v>5.3</v>
      </c>
      <c r="F354" s="4">
        <f>(E354-$AJ$5)/$AK$5</f>
        <v/>
      </c>
      <c r="G354" t="n">
        <v>48.2107572</v>
      </c>
      <c r="H354">
        <f>(G354-$AJ$6)/$AK$6</f>
        <v/>
      </c>
      <c r="I354" t="n">
        <v>0</v>
      </c>
      <c r="J354" s="4">
        <f>(I354-$AJ$7)/$AK$7</f>
        <v/>
      </c>
      <c r="K354" t="n">
        <v>0</v>
      </c>
      <c r="L354" s="4">
        <f>(K354-$AJ$8)/$AK$8</f>
        <v/>
      </c>
      <c r="M354" t="n">
        <v>30622</v>
      </c>
      <c r="N354">
        <f>(M354-$AJ$9)/$AK$9</f>
        <v/>
      </c>
      <c r="O354" t="n">
        <v>0.345899717</v>
      </c>
      <c r="P354">
        <f>(O354-$AJ$11)/$AK$11</f>
        <v/>
      </c>
      <c r="Q354" t="n">
        <v>0.1865</v>
      </c>
      <c r="R354">
        <f>(Q354-$AJ$12)/$AK$12</f>
        <v/>
      </c>
      <c r="S354">
        <f>F354*(R354*0.5+P354*0.5)*(H354*0.35+J354*0.35+L354*0.3)</f>
        <v/>
      </c>
      <c r="T354" s="14">
        <f>(S354-$AJ$10)/$AK$10</f>
        <v/>
      </c>
      <c r="U354">
        <f>IF(T354&gt;0.7,"High",IF(T354&gt;0.3,"Moderate",IF(T354&gt;0.15,"Low","No Impact")))</f>
        <v/>
      </c>
      <c r="V354">
        <f>F354*(R354*1)*(H354*0.35+J354*0.35+L354*0.3)</f>
        <v/>
      </c>
      <c r="W354">
        <f>(V354-$AJ$13)/$AK$13</f>
        <v/>
      </c>
      <c r="X354">
        <f>IF(W354&gt;0.7,"High",IF(W354&gt;0.3,"Moderate",IF(W354&gt;0.15,"Low","No Impact")))</f>
        <v/>
      </c>
      <c r="Y354">
        <f>F354*(P354*1)*(H354*0.35+J354*0.35+L354*0.3)</f>
        <v/>
      </c>
      <c r="Z354">
        <f>(Y354-$AJ$14)/$AK$14</f>
        <v/>
      </c>
      <c r="AA354">
        <f>IF(Z354&gt;0.7,"High",IF(Z354&gt;0.3,"Moderate",IF(Z354&gt;0.15,"Low","No Impact")))</f>
        <v/>
      </c>
      <c r="AB354">
        <f>F354*(R354*0.35+P354*0.3+N354*0.35)*(H354*0.35+J354*0.35+L354*0.3)</f>
        <v/>
      </c>
      <c r="AC354">
        <f>(AB354-$AJ$15)/$AK$15</f>
        <v/>
      </c>
      <c r="AD354">
        <f>IF(AC354&gt;0.7,"High",IF(AC354&gt;0.3,"Moderate",IF(AC354&gt;0.15,"Low","No Impact")))</f>
        <v/>
      </c>
      <c r="AE354">
        <f>F354*(N354*1)*(H354*0.35+J354*0.35+L354*0.3)</f>
        <v/>
      </c>
      <c r="AF354">
        <f>(AE354-$AJ$16)/$AK$16</f>
        <v/>
      </c>
      <c r="AG354">
        <f>IF(AF354&gt;0.7,"High",IF(AF354&gt;0.3,"Moderate",IF(AF354&gt;0.15,"Low","No Impact")))</f>
        <v/>
      </c>
    </row>
    <row r="355">
      <c r="A355" t="n">
        <v>456120</v>
      </c>
      <c r="B355" t="inlineStr">
        <is>
          <t>BD456120</t>
        </is>
      </c>
      <c r="C355" t="inlineStr">
        <is>
          <t>Mymensingh</t>
        </is>
      </c>
      <c r="D355" t="inlineStr">
        <is>
          <t>Fulbaria</t>
        </is>
      </c>
      <c r="E355" s="3" t="n">
        <v>5.4</v>
      </c>
      <c r="F355" s="4">
        <f>(E355-$AJ$5)/$AK$5</f>
        <v/>
      </c>
      <c r="G355" t="n">
        <v>52.5874716</v>
      </c>
      <c r="H355">
        <f>(G355-$AJ$6)/$AK$6</f>
        <v/>
      </c>
      <c r="I355" t="n">
        <v>0</v>
      </c>
      <c r="J355" s="4">
        <f>(I355-$AJ$7)/$AK$7</f>
        <v/>
      </c>
      <c r="K355" t="n">
        <v>0</v>
      </c>
      <c r="L355" s="4">
        <f>(K355-$AJ$8)/$AK$8</f>
        <v/>
      </c>
      <c r="M355" t="n">
        <v>47760</v>
      </c>
      <c r="N355">
        <f>(M355-$AJ$9)/$AK$9</f>
        <v/>
      </c>
      <c r="O355" t="n">
        <v>0.411564399</v>
      </c>
      <c r="P355">
        <f>(O355-$AJ$11)/$AK$11</f>
        <v/>
      </c>
      <c r="Q355" t="n">
        <v>0.2421</v>
      </c>
      <c r="R355">
        <f>(Q355-$AJ$12)/$AK$12</f>
        <v/>
      </c>
      <c r="S355">
        <f>F355*(R355*0.5+P355*0.5)*(H355*0.35+J355*0.35+L355*0.3)</f>
        <v/>
      </c>
      <c r="T355" s="14">
        <f>(S355-$AJ$10)/$AK$10</f>
        <v/>
      </c>
      <c r="U355">
        <f>IF(T355&gt;0.7,"High",IF(T355&gt;0.3,"Moderate",IF(T355&gt;0.15,"Low","No Impact")))</f>
        <v/>
      </c>
      <c r="V355">
        <f>F355*(R355*1)*(H355*0.35+J355*0.35+L355*0.3)</f>
        <v/>
      </c>
      <c r="W355">
        <f>(V355-$AJ$13)/$AK$13</f>
        <v/>
      </c>
      <c r="X355">
        <f>IF(W355&gt;0.7,"High",IF(W355&gt;0.3,"Moderate",IF(W355&gt;0.15,"Low","No Impact")))</f>
        <v/>
      </c>
      <c r="Y355">
        <f>F355*(P355*1)*(H355*0.35+J355*0.35+L355*0.3)</f>
        <v/>
      </c>
      <c r="Z355">
        <f>(Y355-$AJ$14)/$AK$14</f>
        <v/>
      </c>
      <c r="AA355">
        <f>IF(Z355&gt;0.7,"High",IF(Z355&gt;0.3,"Moderate",IF(Z355&gt;0.15,"Low","No Impact")))</f>
        <v/>
      </c>
      <c r="AB355">
        <f>F355*(R355*0.35+P355*0.3+N355*0.35)*(H355*0.35+J355*0.35+L355*0.3)</f>
        <v/>
      </c>
      <c r="AC355">
        <f>(AB355-$AJ$15)/$AK$15</f>
        <v/>
      </c>
      <c r="AD355">
        <f>IF(AC355&gt;0.7,"High",IF(AC355&gt;0.3,"Moderate",IF(AC355&gt;0.15,"Low","No Impact")))</f>
        <v/>
      </c>
      <c r="AE355">
        <f>F355*(N355*1)*(H355*0.35+J355*0.35+L355*0.3)</f>
        <v/>
      </c>
      <c r="AF355">
        <f>(AE355-$AJ$16)/$AK$16</f>
        <v/>
      </c>
      <c r="AG355">
        <f>IF(AF355&gt;0.7,"High",IF(AF355&gt;0.3,"Moderate",IF(AF355&gt;0.15,"Low","No Impact")))</f>
        <v/>
      </c>
    </row>
    <row r="356">
      <c r="A356" t="n">
        <v>456122</v>
      </c>
      <c r="B356" t="inlineStr">
        <is>
          <t>BD456122</t>
        </is>
      </c>
      <c r="C356" t="inlineStr">
        <is>
          <t>Mymensingh</t>
        </is>
      </c>
      <c r="D356" t="inlineStr">
        <is>
          <t>Gaffargaon</t>
        </is>
      </c>
      <c r="E356" s="3" t="n">
        <v>5.3</v>
      </c>
      <c r="F356" s="4">
        <f>(E356-$AJ$5)/$AK$5</f>
        <v/>
      </c>
      <c r="G356" t="n">
        <v>48.9136428</v>
      </c>
      <c r="H356">
        <f>(G356-$AJ$6)/$AK$6</f>
        <v/>
      </c>
      <c r="I356" t="n">
        <v>0.1000000000000003</v>
      </c>
      <c r="J356" s="4">
        <f>(I356-$AJ$7)/$AK$7</f>
        <v/>
      </c>
      <c r="K356" t="n">
        <v>0</v>
      </c>
      <c r="L356" s="4">
        <f>(K356-$AJ$8)/$AK$8</f>
        <v/>
      </c>
      <c r="M356" t="n">
        <v>46008</v>
      </c>
      <c r="N356">
        <f>(M356-$AJ$9)/$AK$9</f>
        <v/>
      </c>
      <c r="O356" t="n">
        <v>0.368054248</v>
      </c>
      <c r="P356">
        <f>(O356-$AJ$11)/$AK$11</f>
        <v/>
      </c>
      <c r="Q356" t="n">
        <v>0.2351</v>
      </c>
      <c r="R356">
        <f>(Q356-$AJ$12)/$AK$12</f>
        <v/>
      </c>
      <c r="S356">
        <f>F356*(R356*0.5+P356*0.5)*(H356*0.35+J356*0.35+L356*0.3)</f>
        <v/>
      </c>
      <c r="T356" s="14">
        <f>(S356-$AJ$10)/$AK$10</f>
        <v/>
      </c>
      <c r="U356">
        <f>IF(T356&gt;0.7,"High",IF(T356&gt;0.3,"Moderate",IF(T356&gt;0.15,"Low","No Impact")))</f>
        <v/>
      </c>
      <c r="V356">
        <f>F356*(R356*1)*(H356*0.35+J356*0.35+L356*0.3)</f>
        <v/>
      </c>
      <c r="W356">
        <f>(V356-$AJ$13)/$AK$13</f>
        <v/>
      </c>
      <c r="X356">
        <f>IF(W356&gt;0.7,"High",IF(W356&gt;0.3,"Moderate",IF(W356&gt;0.15,"Low","No Impact")))</f>
        <v/>
      </c>
      <c r="Y356">
        <f>F356*(P356*1)*(H356*0.35+J356*0.35+L356*0.3)</f>
        <v/>
      </c>
      <c r="Z356">
        <f>(Y356-$AJ$14)/$AK$14</f>
        <v/>
      </c>
      <c r="AA356">
        <f>IF(Z356&gt;0.7,"High",IF(Z356&gt;0.3,"Moderate",IF(Z356&gt;0.15,"Low","No Impact")))</f>
        <v/>
      </c>
      <c r="AB356">
        <f>F356*(R356*0.35+P356*0.3+N356*0.35)*(H356*0.35+J356*0.35+L356*0.3)</f>
        <v/>
      </c>
      <c r="AC356">
        <f>(AB356-$AJ$15)/$AK$15</f>
        <v/>
      </c>
      <c r="AD356">
        <f>IF(AC356&gt;0.7,"High",IF(AC356&gt;0.3,"Moderate",IF(AC356&gt;0.15,"Low","No Impact")))</f>
        <v/>
      </c>
      <c r="AE356">
        <f>F356*(N356*1)*(H356*0.35+J356*0.35+L356*0.3)</f>
        <v/>
      </c>
      <c r="AF356">
        <f>(AE356-$AJ$16)/$AK$16</f>
        <v/>
      </c>
      <c r="AG356">
        <f>IF(AF356&gt;0.7,"High",IF(AF356&gt;0.3,"Moderate",IF(AF356&gt;0.15,"Low","No Impact")))</f>
        <v/>
      </c>
    </row>
    <row r="357">
      <c r="A357" t="n">
        <v>456123</v>
      </c>
      <c r="B357" t="inlineStr">
        <is>
          <t>BD456123</t>
        </is>
      </c>
      <c r="C357" t="inlineStr">
        <is>
          <t>Mymensingh</t>
        </is>
      </c>
      <c r="D357" t="inlineStr">
        <is>
          <t>Gauripur</t>
        </is>
      </c>
      <c r="E357" s="3" t="n">
        <v>5.4</v>
      </c>
      <c r="F357" s="4">
        <f>(E357-$AJ$5)/$AK$5</f>
        <v/>
      </c>
      <c r="G357" t="n">
        <v>48.2107572</v>
      </c>
      <c r="H357">
        <f>(G357-$AJ$6)/$AK$6</f>
        <v/>
      </c>
      <c r="I357" t="n">
        <v>0</v>
      </c>
      <c r="J357" s="4">
        <f>(I357-$AJ$7)/$AK$7</f>
        <v/>
      </c>
      <c r="K357" t="n">
        <v>0</v>
      </c>
      <c r="L357" s="4">
        <f>(K357-$AJ$8)/$AK$8</f>
        <v/>
      </c>
      <c r="M357" t="n">
        <v>52514</v>
      </c>
      <c r="N357">
        <f>(M357-$AJ$9)/$AK$9</f>
        <v/>
      </c>
      <c r="O357" t="n">
        <v>0.351222629</v>
      </c>
      <c r="P357">
        <f>(O357-$AJ$11)/$AK$11</f>
        <v/>
      </c>
      <c r="Q357" t="n">
        <v>0.2263</v>
      </c>
      <c r="R357">
        <f>(Q357-$AJ$12)/$AK$12</f>
        <v/>
      </c>
      <c r="S357">
        <f>F357*(R357*0.5+P357*0.5)*(H357*0.35+J357*0.35+L357*0.3)</f>
        <v/>
      </c>
      <c r="T357" s="14">
        <f>(S357-$AJ$10)/$AK$10</f>
        <v/>
      </c>
      <c r="U357">
        <f>IF(T357&gt;0.7,"High",IF(T357&gt;0.3,"Moderate",IF(T357&gt;0.15,"Low","No Impact")))</f>
        <v/>
      </c>
      <c r="V357">
        <f>F357*(R357*1)*(H357*0.35+J357*0.35+L357*0.3)</f>
        <v/>
      </c>
      <c r="W357">
        <f>(V357-$AJ$13)/$AK$13</f>
        <v/>
      </c>
      <c r="X357">
        <f>IF(W357&gt;0.7,"High",IF(W357&gt;0.3,"Moderate",IF(W357&gt;0.15,"Low","No Impact")))</f>
        <v/>
      </c>
      <c r="Y357">
        <f>F357*(P357*1)*(H357*0.35+J357*0.35+L357*0.3)</f>
        <v/>
      </c>
      <c r="Z357">
        <f>(Y357-$AJ$14)/$AK$14</f>
        <v/>
      </c>
      <c r="AA357">
        <f>IF(Z357&gt;0.7,"High",IF(Z357&gt;0.3,"Moderate",IF(Z357&gt;0.15,"Low","No Impact")))</f>
        <v/>
      </c>
      <c r="AB357">
        <f>F357*(R357*0.35+P357*0.3+N357*0.35)*(H357*0.35+J357*0.35+L357*0.3)</f>
        <v/>
      </c>
      <c r="AC357">
        <f>(AB357-$AJ$15)/$AK$15</f>
        <v/>
      </c>
      <c r="AD357">
        <f>IF(AC357&gt;0.7,"High",IF(AC357&gt;0.3,"Moderate",IF(AC357&gt;0.15,"Low","No Impact")))</f>
        <v/>
      </c>
      <c r="AE357">
        <f>F357*(N357*1)*(H357*0.35+J357*0.35+L357*0.3)</f>
        <v/>
      </c>
      <c r="AF357">
        <f>(AE357-$AJ$16)/$AK$16</f>
        <v/>
      </c>
      <c r="AG357">
        <f>IF(AF357&gt;0.7,"High",IF(AF357&gt;0.3,"Moderate",IF(AF357&gt;0.15,"Low","No Impact")))</f>
        <v/>
      </c>
    </row>
    <row r="358">
      <c r="A358" t="n">
        <v>456124</v>
      </c>
      <c r="B358" t="inlineStr">
        <is>
          <t>BD456124</t>
        </is>
      </c>
      <c r="C358" t="inlineStr">
        <is>
          <t>Mymensingh</t>
        </is>
      </c>
      <c r="D358" t="inlineStr">
        <is>
          <t>Haluaghat</t>
        </is>
      </c>
      <c r="E358" s="3" t="n">
        <v>5.4</v>
      </c>
      <c r="F358" s="4">
        <f>(E358-$AJ$5)/$AK$5</f>
        <v/>
      </c>
      <c r="G358" t="n">
        <v>48.2107572</v>
      </c>
      <c r="H358">
        <f>(G358-$AJ$6)/$AK$6</f>
        <v/>
      </c>
      <c r="I358" t="n">
        <v>0</v>
      </c>
      <c r="J358" s="4">
        <f>(I358-$AJ$7)/$AK$7</f>
        <v/>
      </c>
      <c r="K358" t="n">
        <v>0</v>
      </c>
      <c r="L358" s="4">
        <f>(K358-$AJ$8)/$AK$8</f>
        <v/>
      </c>
      <c r="M358" t="n">
        <v>39702</v>
      </c>
      <c r="N358">
        <f>(M358-$AJ$9)/$AK$9</f>
        <v/>
      </c>
      <c r="O358" t="n">
        <v>0.361626435</v>
      </c>
      <c r="P358">
        <f>(O358-$AJ$11)/$AK$11</f>
        <v/>
      </c>
      <c r="Q358" t="n">
        <v>0.1945</v>
      </c>
      <c r="R358">
        <f>(Q358-$AJ$12)/$AK$12</f>
        <v/>
      </c>
      <c r="S358">
        <f>F358*(R358*0.5+P358*0.5)*(H358*0.35+J358*0.35+L358*0.3)</f>
        <v/>
      </c>
      <c r="T358" s="14">
        <f>(S358-$AJ$10)/$AK$10</f>
        <v/>
      </c>
      <c r="U358">
        <f>IF(T358&gt;0.7,"High",IF(T358&gt;0.3,"Moderate",IF(T358&gt;0.15,"Low","No Impact")))</f>
        <v/>
      </c>
      <c r="V358">
        <f>F358*(R358*1)*(H358*0.35+J358*0.35+L358*0.3)</f>
        <v/>
      </c>
      <c r="W358">
        <f>(V358-$AJ$13)/$AK$13</f>
        <v/>
      </c>
      <c r="X358">
        <f>IF(W358&gt;0.7,"High",IF(W358&gt;0.3,"Moderate",IF(W358&gt;0.15,"Low","No Impact")))</f>
        <v/>
      </c>
      <c r="Y358">
        <f>F358*(P358*1)*(H358*0.35+J358*0.35+L358*0.3)</f>
        <v/>
      </c>
      <c r="Z358">
        <f>(Y358-$AJ$14)/$AK$14</f>
        <v/>
      </c>
      <c r="AA358">
        <f>IF(Z358&gt;0.7,"High",IF(Z358&gt;0.3,"Moderate",IF(Z358&gt;0.15,"Low","No Impact")))</f>
        <v/>
      </c>
      <c r="AB358">
        <f>F358*(R358*0.35+P358*0.3+N358*0.35)*(H358*0.35+J358*0.35+L358*0.3)</f>
        <v/>
      </c>
      <c r="AC358">
        <f>(AB358-$AJ$15)/$AK$15</f>
        <v/>
      </c>
      <c r="AD358">
        <f>IF(AC358&gt;0.7,"High",IF(AC358&gt;0.3,"Moderate",IF(AC358&gt;0.15,"Low","No Impact")))</f>
        <v/>
      </c>
      <c r="AE358">
        <f>F358*(N358*1)*(H358*0.35+J358*0.35+L358*0.3)</f>
        <v/>
      </c>
      <c r="AF358">
        <f>(AE358-$AJ$16)/$AK$16</f>
        <v/>
      </c>
      <c r="AG358">
        <f>IF(AF358&gt;0.7,"High",IF(AF358&gt;0.3,"Moderate",IF(AF358&gt;0.15,"Low","No Impact")))</f>
        <v/>
      </c>
    </row>
    <row r="359">
      <c r="A359" t="n">
        <v>456131</v>
      </c>
      <c r="B359" t="inlineStr">
        <is>
          <t>BD456131</t>
        </is>
      </c>
      <c r="C359" t="inlineStr">
        <is>
          <t>Mymensingh</t>
        </is>
      </c>
      <c r="D359" t="inlineStr">
        <is>
          <t>Ishwarganj</t>
        </is>
      </c>
      <c r="E359" s="3" t="n">
        <v>5.4</v>
      </c>
      <c r="F359" s="4">
        <f>(E359-$AJ$5)/$AK$5</f>
        <v/>
      </c>
      <c r="G359" t="n">
        <v>46.8340164</v>
      </c>
      <c r="H359">
        <f>(G359-$AJ$6)/$AK$6</f>
        <v/>
      </c>
      <c r="I359" t="n">
        <v>0</v>
      </c>
      <c r="J359" s="4">
        <f>(I359-$AJ$7)/$AK$7</f>
        <v/>
      </c>
      <c r="K359" t="n">
        <v>0</v>
      </c>
      <c r="L359" s="4">
        <f>(K359-$AJ$8)/$AK$8</f>
        <v/>
      </c>
      <c r="M359" t="n">
        <v>55685</v>
      </c>
      <c r="N359">
        <f>(M359-$AJ$9)/$AK$9</f>
        <v/>
      </c>
      <c r="O359" t="n">
        <v>0.57984759</v>
      </c>
      <c r="P359">
        <f>(O359-$AJ$11)/$AK$11</f>
        <v/>
      </c>
      <c r="Q359" t="n">
        <v>0.2308</v>
      </c>
      <c r="R359">
        <f>(Q359-$AJ$12)/$AK$12</f>
        <v/>
      </c>
      <c r="S359">
        <f>F359*(R359*0.5+P359*0.5)*(H359*0.35+J359*0.35+L359*0.3)</f>
        <v/>
      </c>
      <c r="T359" s="14">
        <f>(S359-$AJ$10)/$AK$10</f>
        <v/>
      </c>
      <c r="U359">
        <f>IF(T359&gt;0.7,"High",IF(T359&gt;0.3,"Moderate",IF(T359&gt;0.15,"Low","No Impact")))</f>
        <v/>
      </c>
      <c r="V359">
        <f>F359*(R359*1)*(H359*0.35+J359*0.35+L359*0.3)</f>
        <v/>
      </c>
      <c r="W359">
        <f>(V359-$AJ$13)/$AK$13</f>
        <v/>
      </c>
      <c r="X359">
        <f>IF(W359&gt;0.7,"High",IF(W359&gt;0.3,"Moderate",IF(W359&gt;0.15,"Low","No Impact")))</f>
        <v/>
      </c>
      <c r="Y359">
        <f>F359*(P359*1)*(H359*0.35+J359*0.35+L359*0.3)</f>
        <v/>
      </c>
      <c r="Z359">
        <f>(Y359-$AJ$14)/$AK$14</f>
        <v/>
      </c>
      <c r="AA359">
        <f>IF(Z359&gt;0.7,"High",IF(Z359&gt;0.3,"Moderate",IF(Z359&gt;0.15,"Low","No Impact")))</f>
        <v/>
      </c>
      <c r="AB359">
        <f>F359*(R359*0.35+P359*0.3+N359*0.35)*(H359*0.35+J359*0.35+L359*0.3)</f>
        <v/>
      </c>
      <c r="AC359">
        <f>(AB359-$AJ$15)/$AK$15</f>
        <v/>
      </c>
      <c r="AD359">
        <f>IF(AC359&gt;0.7,"High",IF(AC359&gt;0.3,"Moderate",IF(AC359&gt;0.15,"Low","No Impact")))</f>
        <v/>
      </c>
      <c r="AE359">
        <f>F359*(N359*1)*(H359*0.35+J359*0.35+L359*0.3)</f>
        <v/>
      </c>
      <c r="AF359">
        <f>(AE359-$AJ$16)/$AK$16</f>
        <v/>
      </c>
      <c r="AG359">
        <f>IF(AF359&gt;0.7,"High",IF(AF359&gt;0.3,"Moderate",IF(AF359&gt;0.15,"Low","No Impact")))</f>
        <v/>
      </c>
    </row>
    <row r="360">
      <c r="A360" t="n">
        <v>456152</v>
      </c>
      <c r="B360" t="inlineStr">
        <is>
          <t>BD456152</t>
        </is>
      </c>
      <c r="C360" t="inlineStr">
        <is>
          <t>Mymensingh</t>
        </is>
      </c>
      <c r="D360" t="inlineStr">
        <is>
          <t>Mymensingh Sadar</t>
        </is>
      </c>
      <c r="E360" s="3" t="n">
        <v>5.3</v>
      </c>
      <c r="F360" s="4">
        <f>(E360-$AJ$5)/$AK$5</f>
        <v/>
      </c>
      <c r="G360" t="n">
        <v>50.0262048</v>
      </c>
      <c r="H360">
        <f>(G360-$AJ$6)/$AK$6</f>
        <v/>
      </c>
      <c r="I360" t="n">
        <v>0</v>
      </c>
      <c r="J360" s="4">
        <f>(I360-$AJ$7)/$AK$7</f>
        <v/>
      </c>
      <c r="K360" t="n">
        <v>0</v>
      </c>
      <c r="L360" s="4">
        <f>(K360-$AJ$8)/$AK$8</f>
        <v/>
      </c>
      <c r="M360" t="n">
        <v>87952</v>
      </c>
      <c r="N360">
        <f>(M360-$AJ$9)/$AK$9</f>
        <v/>
      </c>
      <c r="O360" t="n">
        <v>0.257031162</v>
      </c>
      <c r="P360">
        <f>(O360-$AJ$11)/$AK$11</f>
        <v/>
      </c>
      <c r="Q360" t="n">
        <v>0.2293</v>
      </c>
      <c r="R360">
        <f>(Q360-$AJ$12)/$AK$12</f>
        <v/>
      </c>
      <c r="S360">
        <f>F360*(R360*0.5+P360*0.5)*(H360*0.35+J360*0.35+L360*0.3)</f>
        <v/>
      </c>
      <c r="T360" s="14">
        <f>(S360-$AJ$10)/$AK$10</f>
        <v/>
      </c>
      <c r="U360">
        <f>IF(T360&gt;0.7,"High",IF(T360&gt;0.3,"Moderate",IF(T360&gt;0.15,"Low","No Impact")))</f>
        <v/>
      </c>
      <c r="V360">
        <f>F360*(R360*1)*(H360*0.35+J360*0.35+L360*0.3)</f>
        <v/>
      </c>
      <c r="W360">
        <f>(V360-$AJ$13)/$AK$13</f>
        <v/>
      </c>
      <c r="X360">
        <f>IF(W360&gt;0.7,"High",IF(W360&gt;0.3,"Moderate",IF(W360&gt;0.15,"Low","No Impact")))</f>
        <v/>
      </c>
      <c r="Y360">
        <f>F360*(P360*1)*(H360*0.35+J360*0.35+L360*0.3)</f>
        <v/>
      </c>
      <c r="Z360">
        <f>(Y360-$AJ$14)/$AK$14</f>
        <v/>
      </c>
      <c r="AA360">
        <f>IF(Z360&gt;0.7,"High",IF(Z360&gt;0.3,"Moderate",IF(Z360&gt;0.15,"Low","No Impact")))</f>
        <v/>
      </c>
      <c r="AB360">
        <f>F360*(R360*0.35+P360*0.3+N360*0.35)*(H360*0.35+J360*0.35+L360*0.3)</f>
        <v/>
      </c>
      <c r="AC360">
        <f>(AB360-$AJ$15)/$AK$15</f>
        <v/>
      </c>
      <c r="AD360">
        <f>IF(AC360&gt;0.7,"High",IF(AC360&gt;0.3,"Moderate",IF(AC360&gt;0.15,"Low","No Impact")))</f>
        <v/>
      </c>
      <c r="AE360">
        <f>F360*(N360*1)*(H360*0.35+J360*0.35+L360*0.3)</f>
        <v/>
      </c>
      <c r="AF360">
        <f>(AE360-$AJ$16)/$AK$16</f>
        <v/>
      </c>
      <c r="AG360">
        <f>IF(AF360&gt;0.7,"High",IF(AF360&gt;0.3,"Moderate",IF(AF360&gt;0.15,"Low","No Impact")))</f>
        <v/>
      </c>
    </row>
    <row r="361">
      <c r="A361" t="n">
        <v>456165</v>
      </c>
      <c r="B361" t="inlineStr">
        <is>
          <t>BD456165</t>
        </is>
      </c>
      <c r="C361" t="inlineStr">
        <is>
          <t>Mymensingh</t>
        </is>
      </c>
      <c r="D361" t="inlineStr">
        <is>
          <t>Muktagachha</t>
        </is>
      </c>
      <c r="E361" s="3" t="n">
        <v>5.3</v>
      </c>
      <c r="F361" s="4">
        <f>(E361-$AJ$5)/$AK$5</f>
        <v/>
      </c>
      <c r="G361" t="n">
        <v>50.0262048</v>
      </c>
      <c r="H361">
        <f>(G361-$AJ$6)/$AK$6</f>
        <v/>
      </c>
      <c r="I361" t="n">
        <v>0.1000000000000003</v>
      </c>
      <c r="J361" s="4">
        <f>(I361-$AJ$7)/$AK$7</f>
        <v/>
      </c>
      <c r="K361" t="n">
        <v>0</v>
      </c>
      <c r="L361" s="4">
        <f>(K361-$AJ$8)/$AK$8</f>
        <v/>
      </c>
      <c r="M361" t="n">
        <v>36359</v>
      </c>
      <c r="N361">
        <f>(M361-$AJ$9)/$AK$9</f>
        <v/>
      </c>
      <c r="O361" t="n">
        <v>0.349991589</v>
      </c>
      <c r="P361">
        <f>(O361-$AJ$11)/$AK$11</f>
        <v/>
      </c>
      <c r="Q361" t="n">
        <v>0.2323</v>
      </c>
      <c r="R361">
        <f>(Q361-$AJ$12)/$AK$12</f>
        <v/>
      </c>
      <c r="S361">
        <f>F361*(R361*0.5+P361*0.5)*(H361*0.35+J361*0.35+L361*0.3)</f>
        <v/>
      </c>
      <c r="T361" s="14">
        <f>(S361-$AJ$10)/$AK$10</f>
        <v/>
      </c>
      <c r="U361">
        <f>IF(T361&gt;0.7,"High",IF(T361&gt;0.3,"Moderate",IF(T361&gt;0.15,"Low","No Impact")))</f>
        <v/>
      </c>
      <c r="V361">
        <f>F361*(R361*1)*(H361*0.35+J361*0.35+L361*0.3)</f>
        <v/>
      </c>
      <c r="W361">
        <f>(V361-$AJ$13)/$AK$13</f>
        <v/>
      </c>
      <c r="X361">
        <f>IF(W361&gt;0.7,"High",IF(W361&gt;0.3,"Moderate",IF(W361&gt;0.15,"Low","No Impact")))</f>
        <v/>
      </c>
      <c r="Y361">
        <f>F361*(P361*1)*(H361*0.35+J361*0.35+L361*0.3)</f>
        <v/>
      </c>
      <c r="Z361">
        <f>(Y361-$AJ$14)/$AK$14</f>
        <v/>
      </c>
      <c r="AA361">
        <f>IF(Z361&gt;0.7,"High",IF(Z361&gt;0.3,"Moderate",IF(Z361&gt;0.15,"Low","No Impact")))</f>
        <v/>
      </c>
      <c r="AB361">
        <f>F361*(R361*0.35+P361*0.3+N361*0.35)*(H361*0.35+J361*0.35+L361*0.3)</f>
        <v/>
      </c>
      <c r="AC361">
        <f>(AB361-$AJ$15)/$AK$15</f>
        <v/>
      </c>
      <c r="AD361">
        <f>IF(AC361&gt;0.7,"High",IF(AC361&gt;0.3,"Moderate",IF(AC361&gt;0.15,"Low","No Impact")))</f>
        <v/>
      </c>
      <c r="AE361">
        <f>F361*(N361*1)*(H361*0.35+J361*0.35+L361*0.3)</f>
        <v/>
      </c>
      <c r="AF361">
        <f>(AE361-$AJ$16)/$AK$16</f>
        <v/>
      </c>
      <c r="AG361">
        <f>IF(AF361&gt;0.7,"High",IF(AF361&gt;0.3,"Moderate",IF(AF361&gt;0.15,"Low","No Impact")))</f>
        <v/>
      </c>
    </row>
    <row r="362">
      <c r="A362" t="n">
        <v>456172</v>
      </c>
      <c r="B362" t="inlineStr">
        <is>
          <t>BD456172</t>
        </is>
      </c>
      <c r="C362" t="inlineStr">
        <is>
          <t>Mymensingh</t>
        </is>
      </c>
      <c r="D362" t="inlineStr">
        <is>
          <t>Nandail</t>
        </is>
      </c>
      <c r="E362" s="3" t="n">
        <v>5.4</v>
      </c>
      <c r="F362" s="4">
        <f>(E362-$AJ$5)/$AK$5</f>
        <v/>
      </c>
      <c r="G362" t="n">
        <v>46.431612</v>
      </c>
      <c r="H362">
        <f>(G362-$AJ$6)/$AK$6</f>
        <v/>
      </c>
      <c r="I362" t="n">
        <v>0</v>
      </c>
      <c r="J362" s="4">
        <f>(I362-$AJ$7)/$AK$7</f>
        <v/>
      </c>
      <c r="K362" t="n">
        <v>0</v>
      </c>
      <c r="L362" s="4">
        <f>(K362-$AJ$8)/$AK$8</f>
        <v/>
      </c>
      <c r="M362" t="n">
        <v>50033</v>
      </c>
      <c r="N362">
        <f>(M362-$AJ$9)/$AK$9</f>
        <v/>
      </c>
      <c r="O362" t="n">
        <v>0.431926358</v>
      </c>
      <c r="P362">
        <f>(O362-$AJ$11)/$AK$11</f>
        <v/>
      </c>
      <c r="Q362" t="n">
        <v>0.2302</v>
      </c>
      <c r="R362">
        <f>(Q362-$AJ$12)/$AK$12</f>
        <v/>
      </c>
      <c r="S362">
        <f>F362*(R362*0.5+P362*0.5)*(H362*0.35+J362*0.35+L362*0.3)</f>
        <v/>
      </c>
      <c r="T362" s="14">
        <f>(S362-$AJ$10)/$AK$10</f>
        <v/>
      </c>
      <c r="U362">
        <f>IF(T362&gt;0.7,"High",IF(T362&gt;0.3,"Moderate",IF(T362&gt;0.15,"Low","No Impact")))</f>
        <v/>
      </c>
      <c r="V362">
        <f>F362*(R362*1)*(H362*0.35+J362*0.35+L362*0.3)</f>
        <v/>
      </c>
      <c r="W362">
        <f>(V362-$AJ$13)/$AK$13</f>
        <v/>
      </c>
      <c r="X362">
        <f>IF(W362&gt;0.7,"High",IF(W362&gt;0.3,"Moderate",IF(W362&gt;0.15,"Low","No Impact")))</f>
        <v/>
      </c>
      <c r="Y362">
        <f>F362*(P362*1)*(H362*0.35+J362*0.35+L362*0.3)</f>
        <v/>
      </c>
      <c r="Z362">
        <f>(Y362-$AJ$14)/$AK$14</f>
        <v/>
      </c>
      <c r="AA362">
        <f>IF(Z362&gt;0.7,"High",IF(Z362&gt;0.3,"Moderate",IF(Z362&gt;0.15,"Low","No Impact")))</f>
        <v/>
      </c>
      <c r="AB362">
        <f>F362*(R362*0.35+P362*0.3+N362*0.35)*(H362*0.35+J362*0.35+L362*0.3)</f>
        <v/>
      </c>
      <c r="AC362">
        <f>(AB362-$AJ$15)/$AK$15</f>
        <v/>
      </c>
      <c r="AD362">
        <f>IF(AC362&gt;0.7,"High",IF(AC362&gt;0.3,"Moderate",IF(AC362&gt;0.15,"Low","No Impact")))</f>
        <v/>
      </c>
      <c r="AE362">
        <f>F362*(N362*1)*(H362*0.35+J362*0.35+L362*0.3)</f>
        <v/>
      </c>
      <c r="AF362">
        <f>(AE362-$AJ$16)/$AK$16</f>
        <v/>
      </c>
      <c r="AG362">
        <f>IF(AF362&gt;0.7,"High",IF(AF362&gt;0.3,"Moderate",IF(AF362&gt;0.15,"Low","No Impact")))</f>
        <v/>
      </c>
    </row>
    <row r="363">
      <c r="A363" t="n">
        <v>456181</v>
      </c>
      <c r="B363" t="inlineStr">
        <is>
          <t>BD456181</t>
        </is>
      </c>
      <c r="C363" t="inlineStr">
        <is>
          <t>Mymensingh</t>
        </is>
      </c>
      <c r="D363" t="inlineStr">
        <is>
          <t>Phulpur</t>
        </is>
      </c>
      <c r="E363" s="3" t="n">
        <v>5.4</v>
      </c>
      <c r="F363" s="4">
        <f>(E363-$AJ$5)/$AK$5</f>
        <v/>
      </c>
      <c r="G363" t="n">
        <v>50.0262048</v>
      </c>
      <c r="H363">
        <f>(G363-$AJ$6)/$AK$6</f>
        <v/>
      </c>
      <c r="I363" t="n">
        <v>0</v>
      </c>
      <c r="J363" s="4">
        <f>(I363-$AJ$7)/$AK$7</f>
        <v/>
      </c>
      <c r="K363" t="n">
        <v>0</v>
      </c>
      <c r="L363" s="4">
        <f>(K363-$AJ$8)/$AK$8</f>
        <v/>
      </c>
      <c r="M363" t="n">
        <v>71423</v>
      </c>
      <c r="N363">
        <f>(M363-$AJ$9)/$AK$9</f>
        <v/>
      </c>
      <c r="O363" t="n">
        <v>0.189658904</v>
      </c>
      <c r="P363">
        <f>(O363-$AJ$11)/$AK$11</f>
        <v/>
      </c>
      <c r="Q363" t="n">
        <v>0.2083</v>
      </c>
      <c r="R363">
        <f>(Q363-$AJ$12)/$AK$12</f>
        <v/>
      </c>
      <c r="S363">
        <f>F363*(R363*0.5+P363*0.5)*(H363*0.35+J363*0.35+L363*0.3)</f>
        <v/>
      </c>
      <c r="T363" s="14">
        <f>(S363-$AJ$10)/$AK$10</f>
        <v/>
      </c>
      <c r="U363">
        <f>IF(T363&gt;0.7,"High",IF(T363&gt;0.3,"Moderate",IF(T363&gt;0.15,"Low","No Impact")))</f>
        <v/>
      </c>
      <c r="V363">
        <f>F363*(R363*1)*(H363*0.35+J363*0.35+L363*0.3)</f>
        <v/>
      </c>
      <c r="W363">
        <f>(V363-$AJ$13)/$AK$13</f>
        <v/>
      </c>
      <c r="X363">
        <f>IF(W363&gt;0.7,"High",IF(W363&gt;0.3,"Moderate",IF(W363&gt;0.15,"Low","No Impact")))</f>
        <v/>
      </c>
      <c r="Y363">
        <f>F363*(P363*1)*(H363*0.35+J363*0.35+L363*0.3)</f>
        <v/>
      </c>
      <c r="Z363">
        <f>(Y363-$AJ$14)/$AK$14</f>
        <v/>
      </c>
      <c r="AA363">
        <f>IF(Z363&gt;0.7,"High",IF(Z363&gt;0.3,"Moderate",IF(Z363&gt;0.15,"Low","No Impact")))</f>
        <v/>
      </c>
      <c r="AB363">
        <f>F363*(R363*0.35+P363*0.3+N363*0.35)*(H363*0.35+J363*0.35+L363*0.3)</f>
        <v/>
      </c>
      <c r="AC363">
        <f>(AB363-$AJ$15)/$AK$15</f>
        <v/>
      </c>
      <c r="AD363">
        <f>IF(AC363&gt;0.7,"High",IF(AC363&gt;0.3,"Moderate",IF(AC363&gt;0.15,"Low","No Impact")))</f>
        <v/>
      </c>
      <c r="AE363">
        <f>F363*(N363*1)*(H363*0.35+J363*0.35+L363*0.3)</f>
        <v/>
      </c>
      <c r="AF363">
        <f>(AE363-$AJ$16)/$AK$16</f>
        <v/>
      </c>
      <c r="AG363">
        <f>IF(AF363&gt;0.7,"High",IF(AF363&gt;0.3,"Moderate",IF(AF363&gt;0.15,"Low","No Impact")))</f>
        <v/>
      </c>
    </row>
    <row r="364">
      <c r="A364" t="n">
        <v>456194</v>
      </c>
      <c r="B364" t="inlineStr">
        <is>
          <t>BD456194</t>
        </is>
      </c>
      <c r="C364" t="inlineStr">
        <is>
          <t>Mymensingh</t>
        </is>
      </c>
      <c r="D364" t="inlineStr">
        <is>
          <t>Trishal</t>
        </is>
      </c>
      <c r="E364" s="3" t="n">
        <v>5.3</v>
      </c>
      <c r="F364" s="4">
        <f>(E364-$AJ$5)/$AK$5</f>
        <v/>
      </c>
      <c r="G364" t="n">
        <v>50.0262048</v>
      </c>
      <c r="H364">
        <f>(G364-$AJ$6)/$AK$6</f>
        <v/>
      </c>
      <c r="I364" t="n">
        <v>0</v>
      </c>
      <c r="J364" s="4">
        <f>(I364-$AJ$7)/$AK$7</f>
        <v/>
      </c>
      <c r="K364" t="n">
        <v>0</v>
      </c>
      <c r="L364" s="4">
        <f>(K364-$AJ$8)/$AK$8</f>
        <v/>
      </c>
      <c r="M364" t="n">
        <v>46016</v>
      </c>
      <c r="N364">
        <f>(M364-$AJ$9)/$AK$9</f>
        <v/>
      </c>
      <c r="O364" t="n">
        <v>0.460182964</v>
      </c>
      <c r="P364">
        <f>(O364-$AJ$11)/$AK$11</f>
        <v/>
      </c>
      <c r="Q364" t="n">
        <v>0.2204</v>
      </c>
      <c r="R364">
        <f>(Q364-$AJ$12)/$AK$12</f>
        <v/>
      </c>
      <c r="S364">
        <f>F364*(R364*0.5+P364*0.5)*(H364*0.35+J364*0.35+L364*0.3)</f>
        <v/>
      </c>
      <c r="T364" s="14">
        <f>(S364-$AJ$10)/$AK$10</f>
        <v/>
      </c>
      <c r="U364">
        <f>IF(T364&gt;0.7,"High",IF(T364&gt;0.3,"Moderate",IF(T364&gt;0.15,"Low","No Impact")))</f>
        <v/>
      </c>
      <c r="V364">
        <f>F364*(R364*1)*(H364*0.35+J364*0.35+L364*0.3)</f>
        <v/>
      </c>
      <c r="W364">
        <f>(V364-$AJ$13)/$AK$13</f>
        <v/>
      </c>
      <c r="X364">
        <f>IF(W364&gt;0.7,"High",IF(W364&gt;0.3,"Moderate",IF(W364&gt;0.15,"Low","No Impact")))</f>
        <v/>
      </c>
      <c r="Y364">
        <f>F364*(P364*1)*(H364*0.35+J364*0.35+L364*0.3)</f>
        <v/>
      </c>
      <c r="Z364">
        <f>(Y364-$AJ$14)/$AK$14</f>
        <v/>
      </c>
      <c r="AA364">
        <f>IF(Z364&gt;0.7,"High",IF(Z364&gt;0.3,"Moderate",IF(Z364&gt;0.15,"Low","No Impact")))</f>
        <v/>
      </c>
      <c r="AB364">
        <f>F364*(R364*0.35+P364*0.3+N364*0.35)*(H364*0.35+J364*0.35+L364*0.3)</f>
        <v/>
      </c>
      <c r="AC364">
        <f>(AB364-$AJ$15)/$AK$15</f>
        <v/>
      </c>
      <c r="AD364">
        <f>IF(AC364&gt;0.7,"High",IF(AC364&gt;0.3,"Moderate",IF(AC364&gt;0.15,"Low","No Impact")))</f>
        <v/>
      </c>
      <c r="AE364">
        <f>F364*(N364*1)*(H364*0.35+J364*0.35+L364*0.3)</f>
        <v/>
      </c>
      <c r="AF364">
        <f>(AE364-$AJ$16)/$AK$16</f>
        <v/>
      </c>
      <c r="AG364">
        <f>IF(AF364&gt;0.7,"High",IF(AF364&gt;0.3,"Moderate",IF(AF364&gt;0.15,"Low","No Impact")))</f>
        <v/>
      </c>
    </row>
    <row r="365">
      <c r="A365" t="n">
        <v>457204</v>
      </c>
      <c r="B365" t="inlineStr">
        <is>
          <t>BD457204</t>
        </is>
      </c>
      <c r="C365" t="inlineStr">
        <is>
          <t>Netrakona</t>
        </is>
      </c>
      <c r="D365" t="inlineStr">
        <is>
          <t>Atpara</t>
        </is>
      </c>
      <c r="E365" s="3" t="n">
        <v>5.7</v>
      </c>
      <c r="F365" s="4">
        <f>(E365-$AJ$5)/$AK$5</f>
        <v/>
      </c>
      <c r="G365" t="n">
        <v>46.4437836</v>
      </c>
      <c r="H365">
        <f>(G365-$AJ$6)/$AK$6</f>
        <v/>
      </c>
      <c r="I365" t="n">
        <v>0</v>
      </c>
      <c r="J365" s="4">
        <f>(I365-$AJ$7)/$AK$7</f>
        <v/>
      </c>
      <c r="K365" t="n">
        <v>0</v>
      </c>
      <c r="L365" s="4">
        <f>(K365-$AJ$8)/$AK$8</f>
        <v/>
      </c>
      <c r="M365" t="n">
        <v>26281</v>
      </c>
      <c r="N365">
        <f>(M365-$AJ$9)/$AK$9</f>
        <v/>
      </c>
      <c r="O365" t="n">
        <v>0.24351577</v>
      </c>
      <c r="P365">
        <f>(O365-$AJ$11)/$AK$11</f>
        <v/>
      </c>
      <c r="Q365" t="n">
        <v>0.1845</v>
      </c>
      <c r="R365">
        <f>(Q365-$AJ$12)/$AK$12</f>
        <v/>
      </c>
      <c r="S365">
        <f>F365*(R365*0.5+P365*0.5)*(H365*0.35+J365*0.35+L365*0.3)</f>
        <v/>
      </c>
      <c r="T365" s="14">
        <f>(S365-$AJ$10)/$AK$10</f>
        <v/>
      </c>
      <c r="U365">
        <f>IF(T365&gt;0.7,"High",IF(T365&gt;0.3,"Moderate",IF(T365&gt;0.15,"Low","No Impact")))</f>
        <v/>
      </c>
      <c r="V365">
        <f>F365*(R365*1)*(H365*0.35+J365*0.35+L365*0.3)</f>
        <v/>
      </c>
      <c r="W365">
        <f>(V365-$AJ$13)/$AK$13</f>
        <v/>
      </c>
      <c r="X365">
        <f>IF(W365&gt;0.7,"High",IF(W365&gt;0.3,"Moderate",IF(W365&gt;0.15,"Low","No Impact")))</f>
        <v/>
      </c>
      <c r="Y365">
        <f>F365*(P365*1)*(H365*0.35+J365*0.35+L365*0.3)</f>
        <v/>
      </c>
      <c r="Z365">
        <f>(Y365-$AJ$14)/$AK$14</f>
        <v/>
      </c>
      <c r="AA365">
        <f>IF(Z365&gt;0.7,"High",IF(Z365&gt;0.3,"Moderate",IF(Z365&gt;0.15,"Low","No Impact")))</f>
        <v/>
      </c>
      <c r="AB365">
        <f>F365*(R365*0.35+P365*0.3+N365*0.35)*(H365*0.35+J365*0.35+L365*0.3)</f>
        <v/>
      </c>
      <c r="AC365">
        <f>(AB365-$AJ$15)/$AK$15</f>
        <v/>
      </c>
      <c r="AD365">
        <f>IF(AC365&gt;0.7,"High",IF(AC365&gt;0.3,"Moderate",IF(AC365&gt;0.15,"Low","No Impact")))</f>
        <v/>
      </c>
      <c r="AE365">
        <f>F365*(N365*1)*(H365*0.35+J365*0.35+L365*0.3)</f>
        <v/>
      </c>
      <c r="AF365">
        <f>(AE365-$AJ$16)/$AK$16</f>
        <v/>
      </c>
      <c r="AG365">
        <f>IF(AF365&gt;0.7,"High",IF(AF365&gt;0.3,"Moderate",IF(AF365&gt;0.15,"Low","No Impact")))</f>
        <v/>
      </c>
    </row>
    <row r="366">
      <c r="A366" t="n">
        <v>457209</v>
      </c>
      <c r="B366" t="inlineStr">
        <is>
          <t>BD457209</t>
        </is>
      </c>
      <c r="C366" t="inlineStr">
        <is>
          <t>Netrakona</t>
        </is>
      </c>
      <c r="D366" t="inlineStr">
        <is>
          <t>Barhatta</t>
        </is>
      </c>
      <c r="E366" s="3" t="n">
        <v>5.5</v>
      </c>
      <c r="F366" s="4">
        <f>(E366-$AJ$5)/$AK$5</f>
        <v/>
      </c>
      <c r="G366" t="n">
        <v>46.4437836</v>
      </c>
      <c r="H366">
        <f>(G366-$AJ$6)/$AK$6</f>
        <v/>
      </c>
      <c r="I366" t="n">
        <v>0</v>
      </c>
      <c r="J366" s="4">
        <f>(I366-$AJ$7)/$AK$7</f>
        <v/>
      </c>
      <c r="K366" t="n">
        <v>0</v>
      </c>
      <c r="L366" s="4">
        <f>(K366-$AJ$8)/$AK$8</f>
        <v/>
      </c>
      <c r="M366" t="n">
        <v>31977</v>
      </c>
      <c r="N366">
        <f>(M366-$AJ$9)/$AK$9</f>
        <v/>
      </c>
      <c r="O366" t="n">
        <v>0.390210975</v>
      </c>
      <c r="P366">
        <f>(O366-$AJ$11)/$AK$11</f>
        <v/>
      </c>
      <c r="Q366" t="n">
        <v>0.1864</v>
      </c>
      <c r="R366">
        <f>(Q366-$AJ$12)/$AK$12</f>
        <v/>
      </c>
      <c r="S366">
        <f>F366*(R366*0.5+P366*0.5)*(H366*0.35+J366*0.35+L366*0.3)</f>
        <v/>
      </c>
      <c r="T366" s="14">
        <f>(S366-$AJ$10)/$AK$10</f>
        <v/>
      </c>
      <c r="U366">
        <f>IF(T366&gt;0.7,"High",IF(T366&gt;0.3,"Moderate",IF(T366&gt;0.15,"Low","No Impact")))</f>
        <v/>
      </c>
      <c r="V366">
        <f>F366*(R366*1)*(H366*0.35+J366*0.35+L366*0.3)</f>
        <v/>
      </c>
      <c r="W366">
        <f>(V366-$AJ$13)/$AK$13</f>
        <v/>
      </c>
      <c r="X366">
        <f>IF(W366&gt;0.7,"High",IF(W366&gt;0.3,"Moderate",IF(W366&gt;0.15,"Low","No Impact")))</f>
        <v/>
      </c>
      <c r="Y366">
        <f>F366*(P366*1)*(H366*0.35+J366*0.35+L366*0.3)</f>
        <v/>
      </c>
      <c r="Z366">
        <f>(Y366-$AJ$14)/$AK$14</f>
        <v/>
      </c>
      <c r="AA366">
        <f>IF(Z366&gt;0.7,"High",IF(Z366&gt;0.3,"Moderate",IF(Z366&gt;0.15,"Low","No Impact")))</f>
        <v/>
      </c>
      <c r="AB366">
        <f>F366*(R366*0.35+P366*0.3+N366*0.35)*(H366*0.35+J366*0.35+L366*0.3)</f>
        <v/>
      </c>
      <c r="AC366">
        <f>(AB366-$AJ$15)/$AK$15</f>
        <v/>
      </c>
      <c r="AD366">
        <f>IF(AC366&gt;0.7,"High",IF(AC366&gt;0.3,"Moderate",IF(AC366&gt;0.15,"Low","No Impact")))</f>
        <v/>
      </c>
      <c r="AE366">
        <f>F366*(N366*1)*(H366*0.35+J366*0.35+L366*0.3)</f>
        <v/>
      </c>
      <c r="AF366">
        <f>(AE366-$AJ$16)/$AK$16</f>
        <v/>
      </c>
      <c r="AG366">
        <f>IF(AF366&gt;0.7,"High",IF(AF366&gt;0.3,"Moderate",IF(AF366&gt;0.15,"Low","No Impact")))</f>
        <v/>
      </c>
    </row>
    <row r="367">
      <c r="A367" t="n">
        <v>457218</v>
      </c>
      <c r="B367" t="inlineStr">
        <is>
          <t>BD457218</t>
        </is>
      </c>
      <c r="C367" t="inlineStr">
        <is>
          <t>Netrakona</t>
        </is>
      </c>
      <c r="D367" t="inlineStr">
        <is>
          <t>Durgapur</t>
        </is>
      </c>
      <c r="E367" s="3" t="n">
        <v>5.7</v>
      </c>
      <c r="F367" s="4">
        <f>(E367-$AJ$5)/$AK$5</f>
        <v/>
      </c>
      <c r="G367" t="n">
        <v>48.2107572</v>
      </c>
      <c r="H367">
        <f>(G367-$AJ$6)/$AK$6</f>
        <v/>
      </c>
      <c r="I367" t="n">
        <v>0</v>
      </c>
      <c r="J367" s="4">
        <f>(I367-$AJ$7)/$AK$7</f>
        <v/>
      </c>
      <c r="K367" t="n">
        <v>0</v>
      </c>
      <c r="L367" s="4">
        <f>(K367-$AJ$8)/$AK$8</f>
        <v/>
      </c>
      <c r="M367" t="n">
        <v>33559</v>
      </c>
      <c r="N367">
        <f>(M367-$AJ$9)/$AK$9</f>
        <v/>
      </c>
      <c r="O367" t="n">
        <v>0.677509765</v>
      </c>
      <c r="P367">
        <f>(O367-$AJ$11)/$AK$11</f>
        <v/>
      </c>
      <c r="Q367" t="n">
        <v>0.2004</v>
      </c>
      <c r="R367">
        <f>(Q367-$AJ$12)/$AK$12</f>
        <v/>
      </c>
      <c r="S367">
        <f>F367*(R367*0.5+P367*0.5)*(H367*0.35+J367*0.35+L367*0.3)</f>
        <v/>
      </c>
      <c r="T367" s="14">
        <f>(S367-$AJ$10)/$AK$10</f>
        <v/>
      </c>
      <c r="U367">
        <f>IF(T367&gt;0.7,"High",IF(T367&gt;0.3,"Moderate",IF(T367&gt;0.15,"Low","No Impact")))</f>
        <v/>
      </c>
      <c r="V367">
        <f>F367*(R367*1)*(H367*0.35+J367*0.35+L367*0.3)</f>
        <v/>
      </c>
      <c r="W367">
        <f>(V367-$AJ$13)/$AK$13</f>
        <v/>
      </c>
      <c r="X367">
        <f>IF(W367&gt;0.7,"High",IF(W367&gt;0.3,"Moderate",IF(W367&gt;0.15,"Low","No Impact")))</f>
        <v/>
      </c>
      <c r="Y367">
        <f>F367*(P367*1)*(H367*0.35+J367*0.35+L367*0.3)</f>
        <v/>
      </c>
      <c r="Z367">
        <f>(Y367-$AJ$14)/$AK$14</f>
        <v/>
      </c>
      <c r="AA367">
        <f>IF(Z367&gt;0.7,"High",IF(Z367&gt;0.3,"Moderate",IF(Z367&gt;0.15,"Low","No Impact")))</f>
        <v/>
      </c>
      <c r="AB367">
        <f>F367*(R367*0.35+P367*0.3+N367*0.35)*(H367*0.35+J367*0.35+L367*0.3)</f>
        <v/>
      </c>
      <c r="AC367">
        <f>(AB367-$AJ$15)/$AK$15</f>
        <v/>
      </c>
      <c r="AD367">
        <f>IF(AC367&gt;0.7,"High",IF(AC367&gt;0.3,"Moderate",IF(AC367&gt;0.15,"Low","No Impact")))</f>
        <v/>
      </c>
      <c r="AE367">
        <f>F367*(N367*1)*(H367*0.35+J367*0.35+L367*0.3)</f>
        <v/>
      </c>
      <c r="AF367">
        <f>(AE367-$AJ$16)/$AK$16</f>
        <v/>
      </c>
      <c r="AG367">
        <f>IF(AF367&gt;0.7,"High",IF(AF367&gt;0.3,"Moderate",IF(AF367&gt;0.15,"Low","No Impact")))</f>
        <v/>
      </c>
    </row>
    <row r="368">
      <c r="A368" t="n">
        <v>457238</v>
      </c>
      <c r="B368" t="inlineStr">
        <is>
          <t>BD457238</t>
        </is>
      </c>
      <c r="C368" t="inlineStr">
        <is>
          <t>Netrakona</t>
        </is>
      </c>
      <c r="D368" t="inlineStr">
        <is>
          <t>Khaliajuri</t>
        </is>
      </c>
      <c r="E368" s="3" t="n">
        <v>5.7</v>
      </c>
      <c r="F368" s="4">
        <f>(E368-$AJ$5)/$AK$5</f>
        <v/>
      </c>
      <c r="G368" t="n">
        <v>48.4054992</v>
      </c>
      <c r="H368">
        <f>(G368-$AJ$6)/$AK$6</f>
        <v/>
      </c>
      <c r="I368" t="n">
        <v>0</v>
      </c>
      <c r="J368" s="4">
        <f>(I368-$AJ$7)/$AK$7</f>
        <v/>
      </c>
      <c r="K368" t="n">
        <v>0</v>
      </c>
      <c r="L368" s="4">
        <f>(K368-$AJ$8)/$AK$8</f>
        <v/>
      </c>
      <c r="M368" t="n">
        <v>1928</v>
      </c>
      <c r="N368">
        <f>(M368-$AJ$9)/$AK$9</f>
        <v/>
      </c>
      <c r="O368" t="n">
        <v>0.467738575</v>
      </c>
      <c r="P368">
        <f>(O368-$AJ$11)/$AK$11</f>
        <v/>
      </c>
      <c r="Q368" t="n">
        <v>0.1561</v>
      </c>
      <c r="R368">
        <f>(Q368-$AJ$12)/$AK$12</f>
        <v/>
      </c>
      <c r="S368">
        <f>F368*(R368*0.5+P368*0.5)*(H368*0.35+J368*0.35+L368*0.3)</f>
        <v/>
      </c>
      <c r="T368" s="14">
        <f>(S368-$AJ$10)/$AK$10</f>
        <v/>
      </c>
      <c r="U368">
        <f>IF(T368&gt;0.7,"High",IF(T368&gt;0.3,"Moderate",IF(T368&gt;0.15,"Low","No Impact")))</f>
        <v/>
      </c>
      <c r="V368">
        <f>F368*(R368*1)*(H368*0.35+J368*0.35+L368*0.3)</f>
        <v/>
      </c>
      <c r="W368">
        <f>(V368-$AJ$13)/$AK$13</f>
        <v/>
      </c>
      <c r="X368">
        <f>IF(W368&gt;0.7,"High",IF(W368&gt;0.3,"Moderate",IF(W368&gt;0.15,"Low","No Impact")))</f>
        <v/>
      </c>
      <c r="Y368">
        <f>F368*(P368*1)*(H368*0.35+J368*0.35+L368*0.3)</f>
        <v/>
      </c>
      <c r="Z368">
        <f>(Y368-$AJ$14)/$AK$14</f>
        <v/>
      </c>
      <c r="AA368">
        <f>IF(Z368&gt;0.7,"High",IF(Z368&gt;0.3,"Moderate",IF(Z368&gt;0.15,"Low","No Impact")))</f>
        <v/>
      </c>
      <c r="AB368">
        <f>F368*(R368*0.35+P368*0.3+N368*0.35)*(H368*0.35+J368*0.35+L368*0.3)</f>
        <v/>
      </c>
      <c r="AC368">
        <f>(AB368-$AJ$15)/$AK$15</f>
        <v/>
      </c>
      <c r="AD368">
        <f>IF(AC368&gt;0.7,"High",IF(AC368&gt;0.3,"Moderate",IF(AC368&gt;0.15,"Low","No Impact")))</f>
        <v/>
      </c>
      <c r="AE368">
        <f>F368*(N368*1)*(H368*0.35+J368*0.35+L368*0.3)</f>
        <v/>
      </c>
      <c r="AF368">
        <f>(AE368-$AJ$16)/$AK$16</f>
        <v/>
      </c>
      <c r="AG368">
        <f>IF(AF368&gt;0.7,"High",IF(AF368&gt;0.3,"Moderate",IF(AF368&gt;0.15,"Low","No Impact")))</f>
        <v/>
      </c>
    </row>
    <row r="369">
      <c r="A369" t="n">
        <v>457240</v>
      </c>
      <c r="B369" t="inlineStr">
        <is>
          <t>BD457240</t>
        </is>
      </c>
      <c r="C369" t="inlineStr">
        <is>
          <t>Netrakona</t>
        </is>
      </c>
      <c r="D369" t="inlineStr">
        <is>
          <t>Kalmakanda</t>
        </is>
      </c>
      <c r="E369" s="3" t="n">
        <v>5.7</v>
      </c>
      <c r="F369" s="4">
        <f>(E369-$AJ$5)/$AK$5</f>
        <v/>
      </c>
      <c r="G369" t="n">
        <v>40.1423976</v>
      </c>
      <c r="H369">
        <f>(G369-$AJ$6)/$AK$6</f>
        <v/>
      </c>
      <c r="I369" t="n">
        <v>0</v>
      </c>
      <c r="J369" s="4">
        <f>(I369-$AJ$7)/$AK$7</f>
        <v/>
      </c>
      <c r="K369" t="n">
        <v>0</v>
      </c>
      <c r="L369" s="4">
        <f>(K369-$AJ$8)/$AK$8</f>
        <v/>
      </c>
      <c r="M369" t="n">
        <v>27627</v>
      </c>
      <c r="N369">
        <f>(M369-$AJ$9)/$AK$9</f>
        <v/>
      </c>
      <c r="O369" t="n">
        <v>0.364426245</v>
      </c>
      <c r="P369">
        <f>(O369-$AJ$11)/$AK$11</f>
        <v/>
      </c>
      <c r="Q369" t="n">
        <v>0.1957</v>
      </c>
      <c r="R369">
        <f>(Q369-$AJ$12)/$AK$12</f>
        <v/>
      </c>
      <c r="S369">
        <f>F369*(R369*0.5+P369*0.5)*(H369*0.35+J369*0.35+L369*0.3)</f>
        <v/>
      </c>
      <c r="T369" s="14">
        <f>(S369-$AJ$10)/$AK$10</f>
        <v/>
      </c>
      <c r="U369">
        <f>IF(T369&gt;0.7,"High",IF(T369&gt;0.3,"Moderate",IF(T369&gt;0.15,"Low","No Impact")))</f>
        <v/>
      </c>
      <c r="V369">
        <f>F369*(R369*1)*(H369*0.35+J369*0.35+L369*0.3)</f>
        <v/>
      </c>
      <c r="W369">
        <f>(V369-$AJ$13)/$AK$13</f>
        <v/>
      </c>
      <c r="X369">
        <f>IF(W369&gt;0.7,"High",IF(W369&gt;0.3,"Moderate",IF(W369&gt;0.15,"Low","No Impact")))</f>
        <v/>
      </c>
      <c r="Y369">
        <f>F369*(P369*1)*(H369*0.35+J369*0.35+L369*0.3)</f>
        <v/>
      </c>
      <c r="Z369">
        <f>(Y369-$AJ$14)/$AK$14</f>
        <v/>
      </c>
      <c r="AA369">
        <f>IF(Z369&gt;0.7,"High",IF(Z369&gt;0.3,"Moderate",IF(Z369&gt;0.15,"Low","No Impact")))</f>
        <v/>
      </c>
      <c r="AB369">
        <f>F369*(R369*0.35+P369*0.3+N369*0.35)*(H369*0.35+J369*0.35+L369*0.3)</f>
        <v/>
      </c>
      <c r="AC369">
        <f>(AB369-$AJ$15)/$AK$15</f>
        <v/>
      </c>
      <c r="AD369">
        <f>IF(AC369&gt;0.7,"High",IF(AC369&gt;0.3,"Moderate",IF(AC369&gt;0.15,"Low","No Impact")))</f>
        <v/>
      </c>
      <c r="AE369">
        <f>F369*(N369*1)*(H369*0.35+J369*0.35+L369*0.3)</f>
        <v/>
      </c>
      <c r="AF369">
        <f>(AE369-$AJ$16)/$AK$16</f>
        <v/>
      </c>
      <c r="AG369">
        <f>IF(AF369&gt;0.7,"High",IF(AF369&gt;0.3,"Moderate",IF(AF369&gt;0.15,"Low","No Impact")))</f>
        <v/>
      </c>
    </row>
    <row r="370">
      <c r="A370" t="n">
        <v>457247</v>
      </c>
      <c r="B370" t="inlineStr">
        <is>
          <t>BD457247</t>
        </is>
      </c>
      <c r="C370" t="inlineStr">
        <is>
          <t>Netrakona</t>
        </is>
      </c>
      <c r="D370" t="inlineStr">
        <is>
          <t>Kendua</t>
        </is>
      </c>
      <c r="E370" s="3" t="n">
        <v>5.7</v>
      </c>
      <c r="F370" s="4">
        <f>(E370-$AJ$5)/$AK$5</f>
        <v/>
      </c>
      <c r="G370" t="n">
        <v>48.4054992</v>
      </c>
      <c r="H370">
        <f>(G370-$AJ$6)/$AK$6</f>
        <v/>
      </c>
      <c r="I370" t="n">
        <v>0</v>
      </c>
      <c r="J370" s="4">
        <f>(I370-$AJ$7)/$AK$7</f>
        <v/>
      </c>
      <c r="K370" t="n">
        <v>0</v>
      </c>
      <c r="L370" s="4">
        <f>(K370-$AJ$8)/$AK$8</f>
        <v/>
      </c>
      <c r="M370" t="n">
        <v>54514</v>
      </c>
      <c r="N370">
        <f>(M370-$AJ$9)/$AK$9</f>
        <v/>
      </c>
      <c r="O370" t="n">
        <v>0.427565011</v>
      </c>
      <c r="P370">
        <f>(O370-$AJ$11)/$AK$11</f>
        <v/>
      </c>
      <c r="Q370" t="n">
        <v>0.2121</v>
      </c>
      <c r="R370">
        <f>(Q370-$AJ$12)/$AK$12</f>
        <v/>
      </c>
      <c r="S370">
        <f>F370*(R370*0.5+P370*0.5)*(H370*0.35+J370*0.35+L370*0.3)</f>
        <v/>
      </c>
      <c r="T370" s="14">
        <f>(S370-$AJ$10)/$AK$10</f>
        <v/>
      </c>
      <c r="U370">
        <f>IF(T370&gt;0.7,"High",IF(T370&gt;0.3,"Moderate",IF(T370&gt;0.15,"Low","No Impact")))</f>
        <v/>
      </c>
      <c r="V370">
        <f>F370*(R370*1)*(H370*0.35+J370*0.35+L370*0.3)</f>
        <v/>
      </c>
      <c r="W370">
        <f>(V370-$AJ$13)/$AK$13</f>
        <v/>
      </c>
      <c r="X370">
        <f>IF(W370&gt;0.7,"High",IF(W370&gt;0.3,"Moderate",IF(W370&gt;0.15,"Low","No Impact")))</f>
        <v/>
      </c>
      <c r="Y370">
        <f>F370*(P370*1)*(H370*0.35+J370*0.35+L370*0.3)</f>
        <v/>
      </c>
      <c r="Z370">
        <f>(Y370-$AJ$14)/$AK$14</f>
        <v/>
      </c>
      <c r="AA370">
        <f>IF(Z370&gt;0.7,"High",IF(Z370&gt;0.3,"Moderate",IF(Z370&gt;0.15,"Low","No Impact")))</f>
        <v/>
      </c>
      <c r="AB370">
        <f>F370*(R370*0.35+P370*0.3+N370*0.35)*(H370*0.35+J370*0.35+L370*0.3)</f>
        <v/>
      </c>
      <c r="AC370">
        <f>(AB370-$AJ$15)/$AK$15</f>
        <v/>
      </c>
      <c r="AD370">
        <f>IF(AC370&gt;0.7,"High",IF(AC370&gt;0.3,"Moderate",IF(AC370&gt;0.15,"Low","No Impact")))</f>
        <v/>
      </c>
      <c r="AE370">
        <f>F370*(N370*1)*(H370*0.35+J370*0.35+L370*0.3)</f>
        <v/>
      </c>
      <c r="AF370">
        <f>(AE370-$AJ$16)/$AK$16</f>
        <v/>
      </c>
      <c r="AG370">
        <f>IF(AF370&gt;0.7,"High",IF(AF370&gt;0.3,"Moderate",IF(AF370&gt;0.15,"Low","No Impact")))</f>
        <v/>
      </c>
    </row>
    <row r="371">
      <c r="A371" t="n">
        <v>457256</v>
      </c>
      <c r="B371" t="inlineStr">
        <is>
          <t>BD457256</t>
        </is>
      </c>
      <c r="C371" t="inlineStr">
        <is>
          <t>Netrakona</t>
        </is>
      </c>
      <c r="D371" t="inlineStr">
        <is>
          <t>Madan</t>
        </is>
      </c>
      <c r="E371" s="3" t="n">
        <v>5.8</v>
      </c>
      <c r="F371" s="4">
        <f>(E371-$AJ$5)/$AK$5</f>
        <v/>
      </c>
      <c r="G371" t="n">
        <v>48.4054992</v>
      </c>
      <c r="H371">
        <f>(G371-$AJ$6)/$AK$6</f>
        <v/>
      </c>
      <c r="I371" t="n">
        <v>0</v>
      </c>
      <c r="J371" s="4">
        <f>(I371-$AJ$7)/$AK$7</f>
        <v/>
      </c>
      <c r="K371" t="n">
        <v>0</v>
      </c>
      <c r="L371" s="4">
        <f>(K371-$AJ$8)/$AK$8</f>
        <v/>
      </c>
      <c r="M371" t="n">
        <v>20648</v>
      </c>
      <c r="N371">
        <f>(M371-$AJ$9)/$AK$9</f>
        <v/>
      </c>
      <c r="O371" t="n">
        <v>0.254385293</v>
      </c>
      <c r="P371">
        <f>(O371-$AJ$11)/$AK$11</f>
        <v/>
      </c>
      <c r="Q371" t="n">
        <v>0.1691</v>
      </c>
      <c r="R371">
        <f>(Q371-$AJ$12)/$AK$12</f>
        <v/>
      </c>
      <c r="S371">
        <f>F371*(R371*0.5+P371*0.5)*(H371*0.35+J371*0.35+L371*0.3)</f>
        <v/>
      </c>
      <c r="T371" s="14">
        <f>(S371-$AJ$10)/$AK$10</f>
        <v/>
      </c>
      <c r="U371">
        <f>IF(T371&gt;0.7,"High",IF(T371&gt;0.3,"Moderate",IF(T371&gt;0.15,"Low","No Impact")))</f>
        <v/>
      </c>
      <c r="V371">
        <f>F371*(R371*1)*(H371*0.35+J371*0.35+L371*0.3)</f>
        <v/>
      </c>
      <c r="W371">
        <f>(V371-$AJ$13)/$AK$13</f>
        <v/>
      </c>
      <c r="X371">
        <f>IF(W371&gt;0.7,"High",IF(W371&gt;0.3,"Moderate",IF(W371&gt;0.15,"Low","No Impact")))</f>
        <v/>
      </c>
      <c r="Y371">
        <f>F371*(P371*1)*(H371*0.35+J371*0.35+L371*0.3)</f>
        <v/>
      </c>
      <c r="Z371">
        <f>(Y371-$AJ$14)/$AK$14</f>
        <v/>
      </c>
      <c r="AA371">
        <f>IF(Z371&gt;0.7,"High",IF(Z371&gt;0.3,"Moderate",IF(Z371&gt;0.15,"Low","No Impact")))</f>
        <v/>
      </c>
      <c r="AB371">
        <f>F371*(R371*0.35+P371*0.3+N371*0.35)*(H371*0.35+J371*0.35+L371*0.3)</f>
        <v/>
      </c>
      <c r="AC371">
        <f>(AB371-$AJ$15)/$AK$15</f>
        <v/>
      </c>
      <c r="AD371">
        <f>IF(AC371&gt;0.7,"High",IF(AC371&gt;0.3,"Moderate",IF(AC371&gt;0.15,"Low","No Impact")))</f>
        <v/>
      </c>
      <c r="AE371">
        <f>F371*(N371*1)*(H371*0.35+J371*0.35+L371*0.3)</f>
        <v/>
      </c>
      <c r="AF371">
        <f>(AE371-$AJ$16)/$AK$16</f>
        <v/>
      </c>
      <c r="AG371">
        <f>IF(AF371&gt;0.7,"High",IF(AF371&gt;0.3,"Moderate",IF(AF371&gt;0.15,"Low","No Impact")))</f>
        <v/>
      </c>
    </row>
    <row r="372">
      <c r="A372" t="n">
        <v>457263</v>
      </c>
      <c r="B372" t="inlineStr">
        <is>
          <t>BD457263</t>
        </is>
      </c>
      <c r="C372" t="inlineStr">
        <is>
          <t>Netrakona</t>
        </is>
      </c>
      <c r="D372" t="inlineStr">
        <is>
          <t>Mohanganj</t>
        </is>
      </c>
      <c r="E372" s="3" t="n">
        <v>5.8</v>
      </c>
      <c r="F372" s="4">
        <f>(E372-$AJ$5)/$AK$5</f>
        <v/>
      </c>
      <c r="G372" t="n">
        <v>46.4437836</v>
      </c>
      <c r="H372">
        <f>(G372-$AJ$6)/$AK$6</f>
        <v/>
      </c>
      <c r="I372" t="n">
        <v>0</v>
      </c>
      <c r="J372" s="4">
        <f>(I372-$AJ$7)/$AK$7</f>
        <v/>
      </c>
      <c r="K372" t="n">
        <v>0</v>
      </c>
      <c r="L372" s="4">
        <f>(K372-$AJ$8)/$AK$8</f>
        <v/>
      </c>
      <c r="M372" t="n">
        <v>14378</v>
      </c>
      <c r="N372">
        <f>(M372-$AJ$9)/$AK$9</f>
        <v/>
      </c>
      <c r="O372" t="n">
        <v>0.27473238</v>
      </c>
      <c r="P372">
        <f>(O372-$AJ$11)/$AK$11</f>
        <v/>
      </c>
      <c r="Q372" t="n">
        <v>0.174</v>
      </c>
      <c r="R372">
        <f>(Q372-$AJ$12)/$AK$12</f>
        <v/>
      </c>
      <c r="S372">
        <f>F372*(R372*0.5+P372*0.5)*(H372*0.35+J372*0.35+L372*0.3)</f>
        <v/>
      </c>
      <c r="T372" s="14">
        <f>(S372-$AJ$10)/$AK$10</f>
        <v/>
      </c>
      <c r="U372">
        <f>IF(T372&gt;0.7,"High",IF(T372&gt;0.3,"Moderate",IF(T372&gt;0.15,"Low","No Impact")))</f>
        <v/>
      </c>
      <c r="V372">
        <f>F372*(R372*1)*(H372*0.35+J372*0.35+L372*0.3)</f>
        <v/>
      </c>
      <c r="W372">
        <f>(V372-$AJ$13)/$AK$13</f>
        <v/>
      </c>
      <c r="X372">
        <f>IF(W372&gt;0.7,"High",IF(W372&gt;0.3,"Moderate",IF(W372&gt;0.15,"Low","No Impact")))</f>
        <v/>
      </c>
      <c r="Y372">
        <f>F372*(P372*1)*(H372*0.35+J372*0.35+L372*0.3)</f>
        <v/>
      </c>
      <c r="Z372">
        <f>(Y372-$AJ$14)/$AK$14</f>
        <v/>
      </c>
      <c r="AA372">
        <f>IF(Z372&gt;0.7,"High",IF(Z372&gt;0.3,"Moderate",IF(Z372&gt;0.15,"Low","No Impact")))</f>
        <v/>
      </c>
      <c r="AB372">
        <f>F372*(R372*0.35+P372*0.3+N372*0.35)*(H372*0.35+J372*0.35+L372*0.3)</f>
        <v/>
      </c>
      <c r="AC372">
        <f>(AB372-$AJ$15)/$AK$15</f>
        <v/>
      </c>
      <c r="AD372">
        <f>IF(AC372&gt;0.7,"High",IF(AC372&gt;0.3,"Moderate",IF(AC372&gt;0.15,"Low","No Impact")))</f>
        <v/>
      </c>
      <c r="AE372">
        <f>F372*(N372*1)*(H372*0.35+J372*0.35+L372*0.3)</f>
        <v/>
      </c>
      <c r="AF372">
        <f>(AE372-$AJ$16)/$AK$16</f>
        <v/>
      </c>
      <c r="AG372">
        <f>IF(AF372&gt;0.7,"High",IF(AF372&gt;0.3,"Moderate",IF(AF372&gt;0.15,"Low","No Impact")))</f>
        <v/>
      </c>
    </row>
    <row r="373">
      <c r="A373" t="n">
        <v>457274</v>
      </c>
      <c r="B373" t="inlineStr">
        <is>
          <t>BD457274</t>
        </is>
      </c>
      <c r="C373" t="inlineStr">
        <is>
          <t>Netrakona</t>
        </is>
      </c>
      <c r="D373" t="inlineStr">
        <is>
          <t>Netrokona Sadar</t>
        </is>
      </c>
      <c r="E373" s="3" t="n">
        <v>5.8</v>
      </c>
      <c r="F373" s="4">
        <f>(E373-$AJ$5)/$AK$5</f>
        <v/>
      </c>
      <c r="G373" t="n">
        <v>45.01292400000001</v>
      </c>
      <c r="H373">
        <f>(G373-$AJ$6)/$AK$6</f>
        <v/>
      </c>
      <c r="I373" t="n">
        <v>0</v>
      </c>
      <c r="J373" s="4">
        <f>(I373-$AJ$7)/$AK$7</f>
        <v/>
      </c>
      <c r="K373" t="n">
        <v>0</v>
      </c>
      <c r="L373" s="4">
        <f>(K373-$AJ$8)/$AK$8</f>
        <v/>
      </c>
      <c r="M373" t="n">
        <v>65362</v>
      </c>
      <c r="N373">
        <f>(M373-$AJ$9)/$AK$9</f>
        <v/>
      </c>
      <c r="O373" t="n">
        <v>0.546634045</v>
      </c>
      <c r="P373">
        <f>(O373-$AJ$11)/$AK$11</f>
        <v/>
      </c>
      <c r="Q373" t="n">
        <v>0.196</v>
      </c>
      <c r="R373">
        <f>(Q373-$AJ$12)/$AK$12</f>
        <v/>
      </c>
      <c r="S373">
        <f>F373*(R373*0.5+P373*0.5)*(H373*0.35+J373*0.35+L373*0.3)</f>
        <v/>
      </c>
      <c r="T373" s="14">
        <f>(S373-$AJ$10)/$AK$10</f>
        <v/>
      </c>
      <c r="U373">
        <f>IF(T373&gt;0.7,"High",IF(T373&gt;0.3,"Moderate",IF(T373&gt;0.15,"Low","No Impact")))</f>
        <v/>
      </c>
      <c r="V373">
        <f>F373*(R373*1)*(H373*0.35+J373*0.35+L373*0.3)</f>
        <v/>
      </c>
      <c r="W373">
        <f>(V373-$AJ$13)/$AK$13</f>
        <v/>
      </c>
      <c r="X373">
        <f>IF(W373&gt;0.7,"High",IF(W373&gt;0.3,"Moderate",IF(W373&gt;0.15,"Low","No Impact")))</f>
        <v/>
      </c>
      <c r="Y373">
        <f>F373*(P373*1)*(H373*0.35+J373*0.35+L373*0.3)</f>
        <v/>
      </c>
      <c r="Z373">
        <f>(Y373-$AJ$14)/$AK$14</f>
        <v/>
      </c>
      <c r="AA373">
        <f>IF(Z373&gt;0.7,"High",IF(Z373&gt;0.3,"Moderate",IF(Z373&gt;0.15,"Low","No Impact")))</f>
        <v/>
      </c>
      <c r="AB373">
        <f>F373*(R373*0.35+P373*0.3+N373*0.35)*(H373*0.35+J373*0.35+L373*0.3)</f>
        <v/>
      </c>
      <c r="AC373">
        <f>(AB373-$AJ$15)/$AK$15</f>
        <v/>
      </c>
      <c r="AD373">
        <f>IF(AC373&gt;0.7,"High",IF(AC373&gt;0.3,"Moderate",IF(AC373&gt;0.15,"Low","No Impact")))</f>
        <v/>
      </c>
      <c r="AE373">
        <f>F373*(N373*1)*(H373*0.35+J373*0.35+L373*0.3)</f>
        <v/>
      </c>
      <c r="AF373">
        <f>(AE373-$AJ$16)/$AK$16</f>
        <v/>
      </c>
      <c r="AG373">
        <f>IF(AF373&gt;0.7,"High",IF(AF373&gt;0.3,"Moderate",IF(AF373&gt;0.15,"Low","No Impact")))</f>
        <v/>
      </c>
    </row>
    <row r="374">
      <c r="A374" t="n">
        <v>457283</v>
      </c>
      <c r="B374" t="inlineStr">
        <is>
          <t>BD457283</t>
        </is>
      </c>
      <c r="C374" t="inlineStr">
        <is>
          <t>Netrakona</t>
        </is>
      </c>
      <c r="D374" t="inlineStr">
        <is>
          <t>Purbadhala</t>
        </is>
      </c>
      <c r="E374" s="3" t="n">
        <v>5.3</v>
      </c>
      <c r="F374" s="4">
        <f>(E374-$AJ$5)/$AK$5</f>
        <v/>
      </c>
      <c r="G374" t="n">
        <v>48.2107572</v>
      </c>
      <c r="H374">
        <f>(G374-$AJ$6)/$AK$6</f>
        <v/>
      </c>
      <c r="I374" t="n">
        <v>0</v>
      </c>
      <c r="J374" s="4">
        <f>(I374-$AJ$7)/$AK$7</f>
        <v/>
      </c>
      <c r="K374" t="n">
        <v>0</v>
      </c>
      <c r="L374" s="4">
        <f>(K374-$AJ$8)/$AK$8</f>
        <v/>
      </c>
      <c r="M374" t="n">
        <v>51043</v>
      </c>
      <c r="N374">
        <f>(M374-$AJ$9)/$AK$9</f>
        <v/>
      </c>
      <c r="O374" t="n">
        <v>0.391753423</v>
      </c>
      <c r="P374">
        <f>(O374-$AJ$11)/$AK$11</f>
        <v/>
      </c>
      <c r="Q374" t="n">
        <v>0.1948</v>
      </c>
      <c r="R374">
        <f>(Q374-$AJ$12)/$AK$12</f>
        <v/>
      </c>
      <c r="S374">
        <f>F374*(R374*0.5+P374*0.5)*(H374*0.35+J374*0.35+L374*0.3)</f>
        <v/>
      </c>
      <c r="T374" s="14">
        <f>(S374-$AJ$10)/$AK$10</f>
        <v/>
      </c>
      <c r="U374">
        <f>IF(T374&gt;0.7,"High",IF(T374&gt;0.3,"Moderate",IF(T374&gt;0.15,"Low","No Impact")))</f>
        <v/>
      </c>
      <c r="V374">
        <f>F374*(R374*1)*(H374*0.35+J374*0.35+L374*0.3)</f>
        <v/>
      </c>
      <c r="W374">
        <f>(V374-$AJ$13)/$AK$13</f>
        <v/>
      </c>
      <c r="X374">
        <f>IF(W374&gt;0.7,"High",IF(W374&gt;0.3,"Moderate",IF(W374&gt;0.15,"Low","No Impact")))</f>
        <v/>
      </c>
      <c r="Y374">
        <f>F374*(P374*1)*(H374*0.35+J374*0.35+L374*0.3)</f>
        <v/>
      </c>
      <c r="Z374">
        <f>(Y374-$AJ$14)/$AK$14</f>
        <v/>
      </c>
      <c r="AA374">
        <f>IF(Z374&gt;0.7,"High",IF(Z374&gt;0.3,"Moderate",IF(Z374&gt;0.15,"Low","No Impact")))</f>
        <v/>
      </c>
      <c r="AB374">
        <f>F374*(R374*0.35+P374*0.3+N374*0.35)*(H374*0.35+J374*0.35+L374*0.3)</f>
        <v/>
      </c>
      <c r="AC374">
        <f>(AB374-$AJ$15)/$AK$15</f>
        <v/>
      </c>
      <c r="AD374">
        <f>IF(AC374&gt;0.7,"High",IF(AC374&gt;0.3,"Moderate",IF(AC374&gt;0.15,"Low","No Impact")))</f>
        <v/>
      </c>
      <c r="AE374">
        <f>F374*(N374*1)*(H374*0.35+J374*0.35+L374*0.3)</f>
        <v/>
      </c>
      <c r="AF374">
        <f>(AE374-$AJ$16)/$AK$16</f>
        <v/>
      </c>
      <c r="AG374">
        <f>IF(AF374&gt;0.7,"High",IF(AF374&gt;0.3,"Moderate",IF(AF374&gt;0.15,"Low","No Impact")))</f>
        <v/>
      </c>
    </row>
    <row r="375">
      <c r="A375" t="n">
        <v>458937</v>
      </c>
      <c r="B375" t="inlineStr">
        <is>
          <t>BD458937</t>
        </is>
      </c>
      <c r="C375" t="inlineStr">
        <is>
          <t>Sherpur</t>
        </is>
      </c>
      <c r="D375" t="inlineStr">
        <is>
          <t>Jhenaigati</t>
        </is>
      </c>
      <c r="E375" s="3" t="n">
        <v>4.7</v>
      </c>
      <c r="F375" s="4">
        <f>(E375-$AJ$5)/$AK$5</f>
        <v/>
      </c>
      <c r="G375" t="n">
        <v>37.32286680000001</v>
      </c>
      <c r="H375">
        <f>(G375-$AJ$6)/$AK$6</f>
        <v/>
      </c>
      <c r="I375" t="n">
        <v>0</v>
      </c>
      <c r="J375" s="4">
        <f>(I375-$AJ$7)/$AK$7</f>
        <v/>
      </c>
      <c r="K375" t="n">
        <v>0</v>
      </c>
      <c r="L375" s="4">
        <f>(K375-$AJ$8)/$AK$8</f>
        <v/>
      </c>
      <c r="M375" t="n">
        <v>16994</v>
      </c>
      <c r="N375">
        <f>(M375-$AJ$9)/$AK$9</f>
        <v/>
      </c>
      <c r="O375" t="n">
        <v>0.417449071</v>
      </c>
      <c r="P375">
        <f>(O375-$AJ$11)/$AK$11</f>
        <v/>
      </c>
      <c r="Q375" t="n">
        <v>0.2291</v>
      </c>
      <c r="R375">
        <f>(Q375-$AJ$12)/$AK$12</f>
        <v/>
      </c>
      <c r="S375">
        <f>F375*(R375*0.5+P375*0.5)*(H375*0.35+J375*0.35+L375*0.3)</f>
        <v/>
      </c>
      <c r="T375" s="14">
        <f>(S375-$AJ$10)/$AK$10</f>
        <v/>
      </c>
      <c r="U375">
        <f>IF(T375&gt;0.7,"High",IF(T375&gt;0.3,"Moderate",IF(T375&gt;0.15,"Low","No Impact")))</f>
        <v/>
      </c>
      <c r="V375">
        <f>F375*(R375*1)*(H375*0.35+J375*0.35+L375*0.3)</f>
        <v/>
      </c>
      <c r="W375">
        <f>(V375-$AJ$13)/$AK$13</f>
        <v/>
      </c>
      <c r="X375">
        <f>IF(W375&gt;0.7,"High",IF(W375&gt;0.3,"Moderate",IF(W375&gt;0.15,"Low","No Impact")))</f>
        <v/>
      </c>
      <c r="Y375">
        <f>F375*(P375*1)*(H375*0.35+J375*0.35+L375*0.3)</f>
        <v/>
      </c>
      <c r="Z375">
        <f>(Y375-$AJ$14)/$AK$14</f>
        <v/>
      </c>
      <c r="AA375">
        <f>IF(Z375&gt;0.7,"High",IF(Z375&gt;0.3,"Moderate",IF(Z375&gt;0.15,"Low","No Impact")))</f>
        <v/>
      </c>
      <c r="AB375">
        <f>F375*(R375*0.35+P375*0.3+N375*0.35)*(H375*0.35+J375*0.35+L375*0.3)</f>
        <v/>
      </c>
      <c r="AC375">
        <f>(AB375-$AJ$15)/$AK$15</f>
        <v/>
      </c>
      <c r="AD375">
        <f>IF(AC375&gt;0.7,"High",IF(AC375&gt;0.3,"Moderate",IF(AC375&gt;0.15,"Low","No Impact")))</f>
        <v/>
      </c>
      <c r="AE375">
        <f>F375*(N375*1)*(H375*0.35+J375*0.35+L375*0.3)</f>
        <v/>
      </c>
      <c r="AF375">
        <f>(AE375-$AJ$16)/$AK$16</f>
        <v/>
      </c>
      <c r="AG375">
        <f>IF(AF375&gt;0.7,"High",IF(AF375&gt;0.3,"Moderate",IF(AF375&gt;0.15,"Low","No Impact")))</f>
        <v/>
      </c>
    </row>
    <row r="376">
      <c r="A376" t="n">
        <v>458967</v>
      </c>
      <c r="B376" t="inlineStr">
        <is>
          <t>BD458967</t>
        </is>
      </c>
      <c r="C376" t="inlineStr">
        <is>
          <t>Sherpur</t>
        </is>
      </c>
      <c r="D376" t="inlineStr">
        <is>
          <t>Nakla</t>
        </is>
      </c>
      <c r="E376" s="3" t="n">
        <v>5.8</v>
      </c>
      <c r="F376" s="4">
        <f>(E376-$AJ$5)/$AK$5</f>
        <v/>
      </c>
      <c r="G376" t="n">
        <v>45.4896648</v>
      </c>
      <c r="H376">
        <f>(G376-$AJ$6)/$AK$6</f>
        <v/>
      </c>
      <c r="I376" t="n">
        <v>0</v>
      </c>
      <c r="J376" s="4">
        <f>(I376-$AJ$7)/$AK$7</f>
        <v/>
      </c>
      <c r="K376" t="n">
        <v>0</v>
      </c>
      <c r="L376" s="4">
        <f>(K376-$AJ$8)/$AK$8</f>
        <v/>
      </c>
      <c r="M376" t="n">
        <v>17930</v>
      </c>
      <c r="N376">
        <f>(M376-$AJ$9)/$AK$9</f>
        <v/>
      </c>
      <c r="O376" t="n">
        <v>0.8586382420000001</v>
      </c>
      <c r="P376">
        <f>(O376-$AJ$11)/$AK$11</f>
        <v/>
      </c>
      <c r="Q376" t="n">
        <v>0.2182</v>
      </c>
      <c r="R376">
        <f>(Q376-$AJ$12)/$AK$12</f>
        <v/>
      </c>
      <c r="S376">
        <f>F376*(R376*0.5+P376*0.5)*(H376*0.35+J376*0.35+L376*0.3)</f>
        <v/>
      </c>
      <c r="T376" s="14">
        <f>(S376-$AJ$10)/$AK$10</f>
        <v/>
      </c>
      <c r="U376">
        <f>IF(T376&gt;0.7,"High",IF(T376&gt;0.3,"Moderate",IF(T376&gt;0.15,"Low","No Impact")))</f>
        <v/>
      </c>
      <c r="V376">
        <f>F376*(R376*1)*(H376*0.35+J376*0.35+L376*0.3)</f>
        <v/>
      </c>
      <c r="W376">
        <f>(V376-$AJ$13)/$AK$13</f>
        <v/>
      </c>
      <c r="X376">
        <f>IF(W376&gt;0.7,"High",IF(W376&gt;0.3,"Moderate",IF(W376&gt;0.15,"Low","No Impact")))</f>
        <v/>
      </c>
      <c r="Y376">
        <f>F376*(P376*1)*(H376*0.35+J376*0.35+L376*0.3)</f>
        <v/>
      </c>
      <c r="Z376">
        <f>(Y376-$AJ$14)/$AK$14</f>
        <v/>
      </c>
      <c r="AA376">
        <f>IF(Z376&gt;0.7,"High",IF(Z376&gt;0.3,"Moderate",IF(Z376&gt;0.15,"Low","No Impact")))</f>
        <v/>
      </c>
      <c r="AB376">
        <f>F376*(R376*0.35+P376*0.3+N376*0.35)*(H376*0.35+J376*0.35+L376*0.3)</f>
        <v/>
      </c>
      <c r="AC376">
        <f>(AB376-$AJ$15)/$AK$15</f>
        <v/>
      </c>
      <c r="AD376">
        <f>IF(AC376&gt;0.7,"High",IF(AC376&gt;0.3,"Moderate",IF(AC376&gt;0.15,"Low","No Impact")))</f>
        <v/>
      </c>
      <c r="AE376">
        <f>F376*(N376*1)*(H376*0.35+J376*0.35+L376*0.3)</f>
        <v/>
      </c>
      <c r="AF376">
        <f>(AE376-$AJ$16)/$AK$16</f>
        <v/>
      </c>
      <c r="AG376">
        <f>IF(AF376&gt;0.7,"High",IF(AF376&gt;0.3,"Moderate",IF(AF376&gt;0.15,"Low","No Impact")))</f>
        <v/>
      </c>
    </row>
    <row r="377">
      <c r="A377" t="n">
        <v>458970</v>
      </c>
      <c r="B377" t="inlineStr">
        <is>
          <t>BD458970</t>
        </is>
      </c>
      <c r="C377" t="inlineStr">
        <is>
          <t>Sherpur</t>
        </is>
      </c>
      <c r="D377" t="inlineStr">
        <is>
          <t>Nalitabari</t>
        </is>
      </c>
      <c r="E377" s="3" t="n">
        <v>5.8</v>
      </c>
      <c r="F377" s="4">
        <f>(E377-$AJ$5)/$AK$5</f>
        <v/>
      </c>
      <c r="G377" t="n">
        <v>45.4896648</v>
      </c>
      <c r="H377">
        <f>(G377-$AJ$6)/$AK$6</f>
        <v/>
      </c>
      <c r="I377" t="n">
        <v>0</v>
      </c>
      <c r="J377" s="4">
        <f>(I377-$AJ$7)/$AK$7</f>
        <v/>
      </c>
      <c r="K377" t="n">
        <v>0</v>
      </c>
      <c r="L377" s="4">
        <f>(K377-$AJ$8)/$AK$8</f>
        <v/>
      </c>
      <c r="M377" t="n">
        <v>28699</v>
      </c>
      <c r="N377">
        <f>(M377-$AJ$9)/$AK$9</f>
        <v/>
      </c>
      <c r="O377" t="n">
        <v>0.6153402610000001</v>
      </c>
      <c r="P377">
        <f>(O377-$AJ$11)/$AK$11</f>
        <v/>
      </c>
      <c r="Q377" t="n">
        <v>0.207</v>
      </c>
      <c r="R377">
        <f>(Q377-$AJ$12)/$AK$12</f>
        <v/>
      </c>
      <c r="S377">
        <f>F377*(R377*0.5+P377*0.5)*(H377*0.35+J377*0.35+L377*0.3)</f>
        <v/>
      </c>
      <c r="T377" s="14">
        <f>(S377-$AJ$10)/$AK$10</f>
        <v/>
      </c>
      <c r="U377">
        <f>IF(T377&gt;0.7,"High",IF(T377&gt;0.3,"Moderate",IF(T377&gt;0.15,"Low","No Impact")))</f>
        <v/>
      </c>
      <c r="V377">
        <f>F377*(R377*1)*(H377*0.35+J377*0.35+L377*0.3)</f>
        <v/>
      </c>
      <c r="W377">
        <f>(V377-$AJ$13)/$AK$13</f>
        <v/>
      </c>
      <c r="X377">
        <f>IF(W377&gt;0.7,"High",IF(W377&gt;0.3,"Moderate",IF(W377&gt;0.15,"Low","No Impact")))</f>
        <v/>
      </c>
      <c r="Y377">
        <f>F377*(P377*1)*(H377*0.35+J377*0.35+L377*0.3)</f>
        <v/>
      </c>
      <c r="Z377">
        <f>(Y377-$AJ$14)/$AK$14</f>
        <v/>
      </c>
      <c r="AA377">
        <f>IF(Z377&gt;0.7,"High",IF(Z377&gt;0.3,"Moderate",IF(Z377&gt;0.15,"Low","No Impact")))</f>
        <v/>
      </c>
      <c r="AB377">
        <f>F377*(R377*0.35+P377*0.3+N377*0.35)*(H377*0.35+J377*0.35+L377*0.3)</f>
        <v/>
      </c>
      <c r="AC377">
        <f>(AB377-$AJ$15)/$AK$15</f>
        <v/>
      </c>
      <c r="AD377">
        <f>IF(AC377&gt;0.7,"High",IF(AC377&gt;0.3,"Moderate",IF(AC377&gt;0.15,"Low","No Impact")))</f>
        <v/>
      </c>
      <c r="AE377">
        <f>F377*(N377*1)*(H377*0.35+J377*0.35+L377*0.3)</f>
        <v/>
      </c>
      <c r="AF377">
        <f>(AE377-$AJ$16)/$AK$16</f>
        <v/>
      </c>
      <c r="AG377">
        <f>IF(AF377&gt;0.7,"High",IF(AF377&gt;0.3,"Moderate",IF(AF377&gt;0.15,"Low","No Impact")))</f>
        <v/>
      </c>
    </row>
    <row r="378">
      <c r="A378" t="n">
        <v>458988</v>
      </c>
      <c r="B378" t="inlineStr">
        <is>
          <t>BD458988</t>
        </is>
      </c>
      <c r="C378" t="inlineStr">
        <is>
          <t>Sherpur</t>
        </is>
      </c>
      <c r="D378" t="inlineStr">
        <is>
          <t>Sherpur Sadar</t>
        </is>
      </c>
      <c r="E378" s="3" t="n">
        <v>5.8</v>
      </c>
      <c r="F378" s="4">
        <f>(E378-$AJ$5)/$AK$5</f>
        <v/>
      </c>
      <c r="G378" t="n">
        <v>45.4896648</v>
      </c>
      <c r="H378">
        <f>(G378-$AJ$6)/$AK$6</f>
        <v/>
      </c>
      <c r="I378" t="n">
        <v>0</v>
      </c>
      <c r="J378" s="4">
        <f>(I378-$AJ$7)/$AK$7</f>
        <v/>
      </c>
      <c r="K378" t="n">
        <v>0</v>
      </c>
      <c r="L378" s="4">
        <f>(K378-$AJ$8)/$AK$8</f>
        <v/>
      </c>
      <c r="M378" t="n">
        <v>54612</v>
      </c>
      <c r="N378">
        <f>(M378-$AJ$9)/$AK$9</f>
        <v/>
      </c>
      <c r="O378" t="n">
        <v>0.695712666</v>
      </c>
      <c r="P378">
        <f>(O378-$AJ$11)/$AK$11</f>
        <v/>
      </c>
      <c r="Q378" t="n">
        <v>0.2292</v>
      </c>
      <c r="R378">
        <f>(Q378-$AJ$12)/$AK$12</f>
        <v/>
      </c>
      <c r="S378">
        <f>F378*(R378*0.5+P378*0.5)*(H378*0.35+J378*0.35+L378*0.3)</f>
        <v/>
      </c>
      <c r="T378" s="14">
        <f>(S378-$AJ$10)/$AK$10</f>
        <v/>
      </c>
      <c r="U378">
        <f>IF(T378&gt;0.7,"High",IF(T378&gt;0.3,"Moderate",IF(T378&gt;0.15,"Low","No Impact")))</f>
        <v/>
      </c>
      <c r="V378">
        <f>F378*(R378*1)*(H378*0.35+J378*0.35+L378*0.3)</f>
        <v/>
      </c>
      <c r="W378">
        <f>(V378-$AJ$13)/$AK$13</f>
        <v/>
      </c>
      <c r="X378">
        <f>IF(W378&gt;0.7,"High",IF(W378&gt;0.3,"Moderate",IF(W378&gt;0.15,"Low","No Impact")))</f>
        <v/>
      </c>
      <c r="Y378">
        <f>F378*(P378*1)*(H378*0.35+J378*0.35+L378*0.3)</f>
        <v/>
      </c>
      <c r="Z378">
        <f>(Y378-$AJ$14)/$AK$14</f>
        <v/>
      </c>
      <c r="AA378">
        <f>IF(Z378&gt;0.7,"High",IF(Z378&gt;0.3,"Moderate",IF(Z378&gt;0.15,"Low","No Impact")))</f>
        <v/>
      </c>
      <c r="AB378">
        <f>F378*(R378*0.35+P378*0.3+N378*0.35)*(H378*0.35+J378*0.35+L378*0.3)</f>
        <v/>
      </c>
      <c r="AC378">
        <f>(AB378-$AJ$15)/$AK$15</f>
        <v/>
      </c>
      <c r="AD378">
        <f>IF(AC378&gt;0.7,"High",IF(AC378&gt;0.3,"Moderate",IF(AC378&gt;0.15,"Low","No Impact")))</f>
        <v/>
      </c>
      <c r="AE378">
        <f>F378*(N378*1)*(H378*0.35+J378*0.35+L378*0.3)</f>
        <v/>
      </c>
      <c r="AF378">
        <f>(AE378-$AJ$16)/$AK$16</f>
        <v/>
      </c>
      <c r="AG378">
        <f>IF(AF378&gt;0.7,"High",IF(AF378&gt;0.3,"Moderate",IF(AF378&gt;0.15,"Low","No Impact")))</f>
        <v/>
      </c>
    </row>
    <row r="379">
      <c r="A379" t="n">
        <v>458990</v>
      </c>
      <c r="B379" t="inlineStr">
        <is>
          <t>BD458990</t>
        </is>
      </c>
      <c r="C379" t="inlineStr">
        <is>
          <t>Sherpur</t>
        </is>
      </c>
      <c r="D379" t="inlineStr">
        <is>
          <t>Sreebardi</t>
        </is>
      </c>
      <c r="E379" s="3" t="n">
        <v>5.8</v>
      </c>
      <c r="F379" s="4">
        <f>(E379-$AJ$5)/$AK$5</f>
        <v/>
      </c>
      <c r="G379" t="n">
        <v>37.32286680000001</v>
      </c>
      <c r="H379">
        <f>(G379-$AJ$6)/$AK$6</f>
        <v/>
      </c>
      <c r="I379" t="n">
        <v>0</v>
      </c>
      <c r="J379" s="4">
        <f>(I379-$AJ$7)/$AK$7</f>
        <v/>
      </c>
      <c r="K379" t="n">
        <v>0</v>
      </c>
      <c r="L379" s="4">
        <f>(K379-$AJ$8)/$AK$8</f>
        <v/>
      </c>
      <c r="M379" t="n">
        <v>22103</v>
      </c>
      <c r="N379">
        <f>(M379-$AJ$9)/$AK$9</f>
        <v/>
      </c>
      <c r="O379" t="n">
        <v>0.701393317</v>
      </c>
      <c r="P379">
        <f>(O379-$AJ$11)/$AK$11</f>
        <v/>
      </c>
      <c r="Q379" t="n">
        <v>0.2491</v>
      </c>
      <c r="R379">
        <f>(Q379-$AJ$12)/$AK$12</f>
        <v/>
      </c>
      <c r="S379">
        <f>F379*(R379*0.5+P379*0.5)*(H379*0.35+J379*0.35+L379*0.3)</f>
        <v/>
      </c>
      <c r="T379" s="14">
        <f>(S379-$AJ$10)/$AK$10</f>
        <v/>
      </c>
      <c r="U379">
        <f>IF(T379&gt;0.7,"High",IF(T379&gt;0.3,"Moderate",IF(T379&gt;0.15,"Low","No Impact")))</f>
        <v/>
      </c>
      <c r="V379">
        <f>F379*(R379*1)*(H379*0.35+J379*0.35+L379*0.3)</f>
        <v/>
      </c>
      <c r="W379">
        <f>(V379-$AJ$13)/$AK$13</f>
        <v/>
      </c>
      <c r="X379">
        <f>IF(W379&gt;0.7,"High",IF(W379&gt;0.3,"Moderate",IF(W379&gt;0.15,"Low","No Impact")))</f>
        <v/>
      </c>
      <c r="Y379">
        <f>F379*(P379*1)*(H379*0.35+J379*0.35+L379*0.3)</f>
        <v/>
      </c>
      <c r="Z379">
        <f>(Y379-$AJ$14)/$AK$14</f>
        <v/>
      </c>
      <c r="AA379">
        <f>IF(Z379&gt;0.7,"High",IF(Z379&gt;0.3,"Moderate",IF(Z379&gt;0.15,"Low","No Impact")))</f>
        <v/>
      </c>
      <c r="AB379">
        <f>F379*(R379*0.35+P379*0.3+N379*0.35)*(H379*0.35+J379*0.35+L379*0.3)</f>
        <v/>
      </c>
      <c r="AC379">
        <f>(AB379-$AJ$15)/$AK$15</f>
        <v/>
      </c>
      <c r="AD379">
        <f>IF(AC379&gt;0.7,"High",IF(AC379&gt;0.3,"Moderate",IF(AC379&gt;0.15,"Low","No Impact")))</f>
        <v/>
      </c>
      <c r="AE379">
        <f>F379*(N379*1)*(H379*0.35+J379*0.35+L379*0.3)</f>
        <v/>
      </c>
      <c r="AF379">
        <f>(AE379-$AJ$16)/$AK$16</f>
        <v/>
      </c>
      <c r="AG379">
        <f>IF(AF379&gt;0.7,"High",IF(AF379&gt;0.3,"Moderate",IF(AF379&gt;0.15,"Low","No Impact")))</f>
        <v/>
      </c>
    </row>
    <row r="380">
      <c r="A380" t="n">
        <v>501006</v>
      </c>
      <c r="B380" t="inlineStr">
        <is>
          <t>BD501006</t>
        </is>
      </c>
      <c r="C380" t="inlineStr">
        <is>
          <t>Bogra</t>
        </is>
      </c>
      <c r="D380" t="inlineStr">
        <is>
          <t>Adamdighi</t>
        </is>
      </c>
      <c r="E380" s="3" t="n">
        <v>6.2</v>
      </c>
      <c r="F380" s="4">
        <f>(E380-$AJ$5)/$AK$5</f>
        <v/>
      </c>
      <c r="G380" t="n">
        <v>55.5863004</v>
      </c>
      <c r="H380">
        <f>(G380-$AJ$6)/$AK$6</f>
        <v/>
      </c>
      <c r="I380" t="n">
        <v>0</v>
      </c>
      <c r="J380" s="4">
        <f>(I380-$AJ$7)/$AK$7</f>
        <v/>
      </c>
      <c r="K380" t="n">
        <v>0</v>
      </c>
      <c r="L380" s="4">
        <f>(K380-$AJ$8)/$AK$8</f>
        <v/>
      </c>
      <c r="M380" t="n">
        <v>21874</v>
      </c>
      <c r="N380">
        <f>(M380-$AJ$9)/$AK$9</f>
        <v/>
      </c>
      <c r="O380" t="n">
        <v>0.764407284</v>
      </c>
      <c r="P380">
        <f>(O380-$AJ$11)/$AK$11</f>
        <v/>
      </c>
      <c r="Q380" t="n">
        <v>0.2336</v>
      </c>
      <c r="R380">
        <f>(Q380-$AJ$12)/$AK$12</f>
        <v/>
      </c>
      <c r="S380">
        <f>F380*(R380*0.5+P380*0.5)*(H380*0.35+J380*0.35+L380*0.3)</f>
        <v/>
      </c>
      <c r="T380" s="14">
        <f>(S380-$AJ$10)/$AK$10</f>
        <v/>
      </c>
      <c r="U380">
        <f>IF(T380&gt;0.7,"High",IF(T380&gt;0.3,"Moderate",IF(T380&gt;0.15,"Low","No Impact")))</f>
        <v/>
      </c>
      <c r="V380">
        <f>F380*(R380*1)*(H380*0.35+J380*0.35+L380*0.3)</f>
        <v/>
      </c>
      <c r="W380">
        <f>(V380-$AJ$13)/$AK$13</f>
        <v/>
      </c>
      <c r="X380">
        <f>IF(W380&gt;0.7,"High",IF(W380&gt;0.3,"Moderate",IF(W380&gt;0.15,"Low","No Impact")))</f>
        <v/>
      </c>
      <c r="Y380">
        <f>F380*(P380*1)*(H380*0.35+J380*0.35+L380*0.3)</f>
        <v/>
      </c>
      <c r="Z380">
        <f>(Y380-$AJ$14)/$AK$14</f>
        <v/>
      </c>
      <c r="AA380">
        <f>IF(Z380&gt;0.7,"High",IF(Z380&gt;0.3,"Moderate",IF(Z380&gt;0.15,"Low","No Impact")))</f>
        <v/>
      </c>
      <c r="AB380">
        <f>F380*(R380*0.35+P380*0.3+N380*0.35)*(H380*0.35+J380*0.35+L380*0.3)</f>
        <v/>
      </c>
      <c r="AC380">
        <f>(AB380-$AJ$15)/$AK$15</f>
        <v/>
      </c>
      <c r="AD380">
        <f>IF(AC380&gt;0.7,"High",IF(AC380&gt;0.3,"Moderate",IF(AC380&gt;0.15,"Low","No Impact")))</f>
        <v/>
      </c>
      <c r="AE380">
        <f>F380*(N380*1)*(H380*0.35+J380*0.35+L380*0.3)</f>
        <v/>
      </c>
      <c r="AF380">
        <f>(AE380-$AJ$16)/$AK$16</f>
        <v/>
      </c>
      <c r="AG380">
        <f>IF(AF380&gt;0.7,"High",IF(AF380&gt;0.3,"Moderate",IF(AF380&gt;0.15,"Low","No Impact")))</f>
        <v/>
      </c>
    </row>
    <row r="381">
      <c r="A381" t="n">
        <v>501020</v>
      </c>
      <c r="B381" t="inlineStr">
        <is>
          <t>BD501020</t>
        </is>
      </c>
      <c r="C381" t="inlineStr">
        <is>
          <t>Bogra</t>
        </is>
      </c>
      <c r="D381" t="inlineStr">
        <is>
          <t>Bogra Sadar</t>
        </is>
      </c>
      <c r="E381" s="3" t="n">
        <v>6.1</v>
      </c>
      <c r="F381" s="4">
        <f>(E381-$AJ$5)/$AK$5</f>
        <v/>
      </c>
      <c r="G381" t="n">
        <v>53.5437216</v>
      </c>
      <c r="H381">
        <f>(G381-$AJ$6)/$AK$6</f>
        <v/>
      </c>
      <c r="I381" t="n">
        <v>0</v>
      </c>
      <c r="J381" s="4">
        <f>(I381-$AJ$7)/$AK$7</f>
        <v/>
      </c>
      <c r="K381" t="n">
        <v>0</v>
      </c>
      <c r="L381" s="4">
        <f>(K381-$AJ$8)/$AK$8</f>
        <v/>
      </c>
      <c r="M381" t="n">
        <v>69668</v>
      </c>
      <c r="N381">
        <f>(M381-$AJ$9)/$AK$9</f>
        <v/>
      </c>
      <c r="O381" t="n">
        <v>0.879821791</v>
      </c>
      <c r="P381">
        <f>(O381-$AJ$11)/$AK$11</f>
        <v/>
      </c>
      <c r="Q381" t="n">
        <v>0.2625</v>
      </c>
      <c r="R381">
        <f>(Q381-$AJ$12)/$AK$12</f>
        <v/>
      </c>
      <c r="S381">
        <f>F381*(R381*0.5+P381*0.5)*(H381*0.35+J381*0.35+L381*0.3)</f>
        <v/>
      </c>
      <c r="T381" s="14">
        <f>(S381-$AJ$10)/$AK$10</f>
        <v/>
      </c>
      <c r="U381">
        <f>IF(T381&gt;0.7,"High",IF(T381&gt;0.3,"Moderate",IF(T381&gt;0.15,"Low","No Impact")))</f>
        <v/>
      </c>
      <c r="V381">
        <f>F381*(R381*1)*(H381*0.35+J381*0.35+L381*0.3)</f>
        <v/>
      </c>
      <c r="W381">
        <f>(V381-$AJ$13)/$AK$13</f>
        <v/>
      </c>
      <c r="X381">
        <f>IF(W381&gt;0.7,"High",IF(W381&gt;0.3,"Moderate",IF(W381&gt;0.15,"Low","No Impact")))</f>
        <v/>
      </c>
      <c r="Y381">
        <f>F381*(P381*1)*(H381*0.35+J381*0.35+L381*0.3)</f>
        <v/>
      </c>
      <c r="Z381">
        <f>(Y381-$AJ$14)/$AK$14</f>
        <v/>
      </c>
      <c r="AA381">
        <f>IF(Z381&gt;0.7,"High",IF(Z381&gt;0.3,"Moderate",IF(Z381&gt;0.15,"Low","No Impact")))</f>
        <v/>
      </c>
      <c r="AB381">
        <f>F381*(R381*0.35+P381*0.3+N381*0.35)*(H381*0.35+J381*0.35+L381*0.3)</f>
        <v/>
      </c>
      <c r="AC381">
        <f>(AB381-$AJ$15)/$AK$15</f>
        <v/>
      </c>
      <c r="AD381">
        <f>IF(AC381&gt;0.7,"High",IF(AC381&gt;0.3,"Moderate",IF(AC381&gt;0.15,"Low","No Impact")))</f>
        <v/>
      </c>
      <c r="AE381">
        <f>F381*(N381*1)*(H381*0.35+J381*0.35+L381*0.3)</f>
        <v/>
      </c>
      <c r="AF381">
        <f>(AE381-$AJ$16)/$AK$16</f>
        <v/>
      </c>
      <c r="AG381">
        <f>IF(AF381&gt;0.7,"High",IF(AF381&gt;0.3,"Moderate",IF(AF381&gt;0.15,"Low","No Impact")))</f>
        <v/>
      </c>
    </row>
    <row r="382">
      <c r="A382" t="n">
        <v>501027</v>
      </c>
      <c r="B382" t="inlineStr">
        <is>
          <t>BD501027</t>
        </is>
      </c>
      <c r="C382" t="inlineStr">
        <is>
          <t>Bogra</t>
        </is>
      </c>
      <c r="D382" t="inlineStr">
        <is>
          <t>Dhunat</t>
        </is>
      </c>
      <c r="E382" s="3" t="n">
        <v>4.8</v>
      </c>
      <c r="F382" s="4">
        <f>(E382-$AJ$5)/$AK$5</f>
        <v/>
      </c>
      <c r="G382" t="n">
        <v>57.621852</v>
      </c>
      <c r="H382">
        <f>(G382-$AJ$6)/$AK$6</f>
        <v/>
      </c>
      <c r="I382" t="n">
        <v>0</v>
      </c>
      <c r="J382" s="4">
        <f>(I382-$AJ$7)/$AK$7</f>
        <v/>
      </c>
      <c r="K382" t="n">
        <v>0</v>
      </c>
      <c r="L382" s="4">
        <f>(K382-$AJ$8)/$AK$8</f>
        <v/>
      </c>
      <c r="M382" t="n">
        <v>18408</v>
      </c>
      <c r="N382">
        <f>(M382-$AJ$9)/$AK$9</f>
        <v/>
      </c>
      <c r="O382" t="n">
        <v>0.847729446</v>
      </c>
      <c r="P382">
        <f>(O382-$AJ$11)/$AK$11</f>
        <v/>
      </c>
      <c r="Q382" t="n">
        <v>0.2495</v>
      </c>
      <c r="R382">
        <f>(Q382-$AJ$12)/$AK$12</f>
        <v/>
      </c>
      <c r="S382">
        <f>F382*(R382*0.5+P382*0.5)*(H382*0.35+J382*0.35+L382*0.3)</f>
        <v/>
      </c>
      <c r="T382" s="14">
        <f>(S382-$AJ$10)/$AK$10</f>
        <v/>
      </c>
      <c r="U382">
        <f>IF(T382&gt;0.7,"High",IF(T382&gt;0.3,"Moderate",IF(T382&gt;0.15,"Low","No Impact")))</f>
        <v/>
      </c>
      <c r="V382">
        <f>F382*(R382*1)*(H382*0.35+J382*0.35+L382*0.3)</f>
        <v/>
      </c>
      <c r="W382">
        <f>(V382-$AJ$13)/$AK$13</f>
        <v/>
      </c>
      <c r="X382">
        <f>IF(W382&gt;0.7,"High",IF(W382&gt;0.3,"Moderate",IF(W382&gt;0.15,"Low","No Impact")))</f>
        <v/>
      </c>
      <c r="Y382">
        <f>F382*(P382*1)*(H382*0.35+J382*0.35+L382*0.3)</f>
        <v/>
      </c>
      <c r="Z382">
        <f>(Y382-$AJ$14)/$AK$14</f>
        <v/>
      </c>
      <c r="AA382">
        <f>IF(Z382&gt;0.7,"High",IF(Z382&gt;0.3,"Moderate",IF(Z382&gt;0.15,"Low","No Impact")))</f>
        <v/>
      </c>
      <c r="AB382">
        <f>F382*(R382*0.35+P382*0.3+N382*0.35)*(H382*0.35+J382*0.35+L382*0.3)</f>
        <v/>
      </c>
      <c r="AC382">
        <f>(AB382-$AJ$15)/$AK$15</f>
        <v/>
      </c>
      <c r="AD382">
        <f>IF(AC382&gt;0.7,"High",IF(AC382&gt;0.3,"Moderate",IF(AC382&gt;0.15,"Low","No Impact")))</f>
        <v/>
      </c>
      <c r="AE382">
        <f>F382*(N382*1)*(H382*0.35+J382*0.35+L382*0.3)</f>
        <v/>
      </c>
      <c r="AF382">
        <f>(AE382-$AJ$16)/$AK$16</f>
        <v/>
      </c>
      <c r="AG382">
        <f>IF(AF382&gt;0.7,"High",IF(AF382&gt;0.3,"Moderate",IF(AF382&gt;0.15,"Low","No Impact")))</f>
        <v/>
      </c>
    </row>
    <row r="383">
      <c r="A383" t="n">
        <v>501033</v>
      </c>
      <c r="B383" t="inlineStr">
        <is>
          <t>BD501033</t>
        </is>
      </c>
      <c r="C383" t="inlineStr">
        <is>
          <t>Bogra</t>
        </is>
      </c>
      <c r="D383" t="inlineStr">
        <is>
          <t>Dhupchanchia</t>
        </is>
      </c>
      <c r="E383" s="3" t="n">
        <v>6.1</v>
      </c>
      <c r="F383" s="4">
        <f>(E383-$AJ$5)/$AK$5</f>
        <v/>
      </c>
      <c r="G383" t="n">
        <v>55.5863004</v>
      </c>
      <c r="H383">
        <f>(G383-$AJ$6)/$AK$6</f>
        <v/>
      </c>
      <c r="I383" t="n">
        <v>0</v>
      </c>
      <c r="J383" s="4">
        <f>(I383-$AJ$7)/$AK$7</f>
        <v/>
      </c>
      <c r="K383" t="n">
        <v>0</v>
      </c>
      <c r="L383" s="4">
        <f>(K383-$AJ$8)/$AK$8</f>
        <v/>
      </c>
      <c r="M383" t="n">
        <v>19139</v>
      </c>
      <c r="N383">
        <f>(M383-$AJ$9)/$AK$9</f>
        <v/>
      </c>
      <c r="O383" t="n">
        <v>0.665113557</v>
      </c>
      <c r="P383">
        <f>(O383-$AJ$11)/$AK$11</f>
        <v/>
      </c>
      <c r="Q383" t="n">
        <v>0.25</v>
      </c>
      <c r="R383">
        <f>(Q383-$AJ$12)/$AK$12</f>
        <v/>
      </c>
      <c r="S383">
        <f>F383*(R383*0.5+P383*0.5)*(H383*0.35+J383*0.35+L383*0.3)</f>
        <v/>
      </c>
      <c r="T383" s="14">
        <f>(S383-$AJ$10)/$AK$10</f>
        <v/>
      </c>
      <c r="U383">
        <f>IF(T383&gt;0.7,"High",IF(T383&gt;0.3,"Moderate",IF(T383&gt;0.15,"Low","No Impact")))</f>
        <v/>
      </c>
      <c r="V383">
        <f>F383*(R383*1)*(H383*0.35+J383*0.35+L383*0.3)</f>
        <v/>
      </c>
      <c r="W383">
        <f>(V383-$AJ$13)/$AK$13</f>
        <v/>
      </c>
      <c r="X383">
        <f>IF(W383&gt;0.7,"High",IF(W383&gt;0.3,"Moderate",IF(W383&gt;0.15,"Low","No Impact")))</f>
        <v/>
      </c>
      <c r="Y383">
        <f>F383*(P383*1)*(H383*0.35+J383*0.35+L383*0.3)</f>
        <v/>
      </c>
      <c r="Z383">
        <f>(Y383-$AJ$14)/$AK$14</f>
        <v/>
      </c>
      <c r="AA383">
        <f>IF(Z383&gt;0.7,"High",IF(Z383&gt;0.3,"Moderate",IF(Z383&gt;0.15,"Low","No Impact")))</f>
        <v/>
      </c>
      <c r="AB383">
        <f>F383*(R383*0.35+P383*0.3+N383*0.35)*(H383*0.35+J383*0.35+L383*0.3)</f>
        <v/>
      </c>
      <c r="AC383">
        <f>(AB383-$AJ$15)/$AK$15</f>
        <v/>
      </c>
      <c r="AD383">
        <f>IF(AC383&gt;0.7,"High",IF(AC383&gt;0.3,"Moderate",IF(AC383&gt;0.15,"Low","No Impact")))</f>
        <v/>
      </c>
      <c r="AE383">
        <f>F383*(N383*1)*(H383*0.35+J383*0.35+L383*0.3)</f>
        <v/>
      </c>
      <c r="AF383">
        <f>(AE383-$AJ$16)/$AK$16</f>
        <v/>
      </c>
      <c r="AG383">
        <f>IF(AF383&gt;0.7,"High",IF(AF383&gt;0.3,"Moderate",IF(AF383&gt;0.15,"Low","No Impact")))</f>
        <v/>
      </c>
    </row>
    <row r="384">
      <c r="A384" t="n">
        <v>501040</v>
      </c>
      <c r="B384" t="inlineStr">
        <is>
          <t>BD501040</t>
        </is>
      </c>
      <c r="C384" t="inlineStr">
        <is>
          <t>Bogra</t>
        </is>
      </c>
      <c r="D384" t="inlineStr">
        <is>
          <t>Gabtali</t>
        </is>
      </c>
      <c r="E384" s="3" t="n">
        <v>6.1</v>
      </c>
      <c r="F384" s="4">
        <f>(E384-$AJ$5)/$AK$5</f>
        <v/>
      </c>
      <c r="G384" t="n">
        <v>51.0089544</v>
      </c>
      <c r="H384">
        <f>(G384-$AJ$6)/$AK$6</f>
        <v/>
      </c>
      <c r="I384" t="n">
        <v>0</v>
      </c>
      <c r="J384" s="4">
        <f>(I384-$AJ$7)/$AK$7</f>
        <v/>
      </c>
      <c r="K384" t="n">
        <v>0</v>
      </c>
      <c r="L384" s="4">
        <f>(K384-$AJ$8)/$AK$8</f>
        <v/>
      </c>
      <c r="M384" t="n">
        <v>26980</v>
      </c>
      <c r="N384">
        <f>(M384-$AJ$9)/$AK$9</f>
        <v/>
      </c>
      <c r="O384" t="n">
        <v>0.871531181</v>
      </c>
      <c r="P384">
        <f>(O384-$AJ$11)/$AK$11</f>
        <v/>
      </c>
      <c r="Q384" t="n">
        <v>0.2438</v>
      </c>
      <c r="R384">
        <f>(Q384-$AJ$12)/$AK$12</f>
        <v/>
      </c>
      <c r="S384">
        <f>F384*(R384*0.5+P384*0.5)*(H384*0.35+J384*0.35+L384*0.3)</f>
        <v/>
      </c>
      <c r="T384" s="14">
        <f>(S384-$AJ$10)/$AK$10</f>
        <v/>
      </c>
      <c r="U384">
        <f>IF(T384&gt;0.7,"High",IF(T384&gt;0.3,"Moderate",IF(T384&gt;0.15,"Low","No Impact")))</f>
        <v/>
      </c>
      <c r="V384">
        <f>F384*(R384*1)*(H384*0.35+J384*0.35+L384*0.3)</f>
        <v/>
      </c>
      <c r="W384">
        <f>(V384-$AJ$13)/$AK$13</f>
        <v/>
      </c>
      <c r="X384">
        <f>IF(W384&gt;0.7,"High",IF(W384&gt;0.3,"Moderate",IF(W384&gt;0.15,"Low","No Impact")))</f>
        <v/>
      </c>
      <c r="Y384">
        <f>F384*(P384*1)*(H384*0.35+J384*0.35+L384*0.3)</f>
        <v/>
      </c>
      <c r="Z384">
        <f>(Y384-$AJ$14)/$AK$14</f>
        <v/>
      </c>
      <c r="AA384">
        <f>IF(Z384&gt;0.7,"High",IF(Z384&gt;0.3,"Moderate",IF(Z384&gt;0.15,"Low","No Impact")))</f>
        <v/>
      </c>
      <c r="AB384">
        <f>F384*(R384*0.35+P384*0.3+N384*0.35)*(H384*0.35+J384*0.35+L384*0.3)</f>
        <v/>
      </c>
      <c r="AC384">
        <f>(AB384-$AJ$15)/$AK$15</f>
        <v/>
      </c>
      <c r="AD384">
        <f>IF(AC384&gt;0.7,"High",IF(AC384&gt;0.3,"Moderate",IF(AC384&gt;0.15,"Low","No Impact")))</f>
        <v/>
      </c>
      <c r="AE384">
        <f>F384*(N384*1)*(H384*0.35+J384*0.35+L384*0.3)</f>
        <v/>
      </c>
      <c r="AF384">
        <f>(AE384-$AJ$16)/$AK$16</f>
        <v/>
      </c>
      <c r="AG384">
        <f>IF(AF384&gt;0.7,"High",IF(AF384&gt;0.3,"Moderate",IF(AF384&gt;0.15,"Low","No Impact")))</f>
        <v/>
      </c>
    </row>
    <row r="385">
      <c r="A385" t="n">
        <v>501054</v>
      </c>
      <c r="B385" t="inlineStr">
        <is>
          <t>BD501054</t>
        </is>
      </c>
      <c r="C385" t="inlineStr">
        <is>
          <t>Bogra</t>
        </is>
      </c>
      <c r="D385" t="inlineStr">
        <is>
          <t>Kahaloo</t>
        </is>
      </c>
      <c r="E385" s="3" t="n">
        <v>5.9</v>
      </c>
      <c r="F385" s="4">
        <f>(E385-$AJ$5)/$AK$5</f>
        <v/>
      </c>
      <c r="G385" t="n">
        <v>53.5437216</v>
      </c>
      <c r="H385">
        <f>(G385-$AJ$6)/$AK$6</f>
        <v/>
      </c>
      <c r="I385" t="n">
        <v>0</v>
      </c>
      <c r="J385" s="4">
        <f>(I385-$AJ$7)/$AK$7</f>
        <v/>
      </c>
      <c r="K385" t="n">
        <v>0</v>
      </c>
      <c r="L385" s="4">
        <f>(K385-$AJ$8)/$AK$8</f>
        <v/>
      </c>
      <c r="M385" t="n">
        <v>34433</v>
      </c>
      <c r="N385">
        <f>(M385-$AJ$9)/$AK$9</f>
        <v/>
      </c>
      <c r="O385" t="n">
        <v>0.853631448</v>
      </c>
      <c r="P385">
        <f>(O385-$AJ$11)/$AK$11</f>
        <v/>
      </c>
      <c r="Q385" t="n">
        <v>0.2506</v>
      </c>
      <c r="R385">
        <f>(Q385-$AJ$12)/$AK$12</f>
        <v/>
      </c>
      <c r="S385">
        <f>F385*(R385*0.5+P385*0.5)*(H385*0.35+J385*0.35+L385*0.3)</f>
        <v/>
      </c>
      <c r="T385" s="14">
        <f>(S385-$AJ$10)/$AK$10</f>
        <v/>
      </c>
      <c r="U385">
        <f>IF(T385&gt;0.7,"High",IF(T385&gt;0.3,"Moderate",IF(T385&gt;0.15,"Low","No Impact")))</f>
        <v/>
      </c>
      <c r="V385">
        <f>F385*(R385*1)*(H385*0.35+J385*0.35+L385*0.3)</f>
        <v/>
      </c>
      <c r="W385">
        <f>(V385-$AJ$13)/$AK$13</f>
        <v/>
      </c>
      <c r="X385">
        <f>IF(W385&gt;0.7,"High",IF(W385&gt;0.3,"Moderate",IF(W385&gt;0.15,"Low","No Impact")))</f>
        <v/>
      </c>
      <c r="Y385">
        <f>F385*(P385*1)*(H385*0.35+J385*0.35+L385*0.3)</f>
        <v/>
      </c>
      <c r="Z385">
        <f>(Y385-$AJ$14)/$AK$14</f>
        <v/>
      </c>
      <c r="AA385">
        <f>IF(Z385&gt;0.7,"High",IF(Z385&gt;0.3,"Moderate",IF(Z385&gt;0.15,"Low","No Impact")))</f>
        <v/>
      </c>
      <c r="AB385">
        <f>F385*(R385*0.35+P385*0.3+N385*0.35)*(H385*0.35+J385*0.35+L385*0.3)</f>
        <v/>
      </c>
      <c r="AC385">
        <f>(AB385-$AJ$15)/$AK$15</f>
        <v/>
      </c>
      <c r="AD385">
        <f>IF(AC385&gt;0.7,"High",IF(AC385&gt;0.3,"Moderate",IF(AC385&gt;0.15,"Low","No Impact")))</f>
        <v/>
      </c>
      <c r="AE385">
        <f>F385*(N385*1)*(H385*0.35+J385*0.35+L385*0.3)</f>
        <v/>
      </c>
      <c r="AF385">
        <f>(AE385-$AJ$16)/$AK$16</f>
        <v/>
      </c>
      <c r="AG385">
        <f>IF(AF385&gt;0.7,"High",IF(AF385&gt;0.3,"Moderate",IF(AF385&gt;0.15,"Low","No Impact")))</f>
        <v/>
      </c>
    </row>
    <row r="386">
      <c r="A386" t="n">
        <v>501067</v>
      </c>
      <c r="B386" t="inlineStr">
        <is>
          <t>BD501067</t>
        </is>
      </c>
      <c r="C386" t="inlineStr">
        <is>
          <t>Bogra</t>
        </is>
      </c>
      <c r="D386" t="inlineStr">
        <is>
          <t>Nandigram</t>
        </is>
      </c>
      <c r="E386" s="3" t="n">
        <v>6.2</v>
      </c>
      <c r="F386" s="4">
        <f>(E386-$AJ$5)/$AK$5</f>
        <v/>
      </c>
      <c r="G386" t="n">
        <v>60.2128656</v>
      </c>
      <c r="H386">
        <f>(G386-$AJ$6)/$AK$6</f>
        <v/>
      </c>
      <c r="I386" t="n">
        <v>0</v>
      </c>
      <c r="J386" s="4">
        <f>(I386-$AJ$7)/$AK$7</f>
        <v/>
      </c>
      <c r="K386" t="n">
        <v>0</v>
      </c>
      <c r="L386" s="4">
        <f>(K386-$AJ$8)/$AK$8</f>
        <v/>
      </c>
      <c r="M386" t="n">
        <v>24547</v>
      </c>
      <c r="N386">
        <f>(M386-$AJ$9)/$AK$9</f>
        <v/>
      </c>
      <c r="O386" t="n">
        <v>0.894113551</v>
      </c>
      <c r="P386">
        <f>(O386-$AJ$11)/$AK$11</f>
        <v/>
      </c>
      <c r="Q386" t="n">
        <v>0.2221</v>
      </c>
      <c r="R386">
        <f>(Q386-$AJ$12)/$AK$12</f>
        <v/>
      </c>
      <c r="S386">
        <f>F386*(R386*0.5+P386*0.5)*(H386*0.35+J386*0.35+L386*0.3)</f>
        <v/>
      </c>
      <c r="T386" s="14">
        <f>(S386-$AJ$10)/$AK$10</f>
        <v/>
      </c>
      <c r="U386">
        <f>IF(T386&gt;0.7,"High",IF(T386&gt;0.3,"Moderate",IF(T386&gt;0.15,"Low","No Impact")))</f>
        <v/>
      </c>
      <c r="V386">
        <f>F386*(R386*1)*(H386*0.35+J386*0.35+L386*0.3)</f>
        <v/>
      </c>
      <c r="W386">
        <f>(V386-$AJ$13)/$AK$13</f>
        <v/>
      </c>
      <c r="X386">
        <f>IF(W386&gt;0.7,"High",IF(W386&gt;0.3,"Moderate",IF(W386&gt;0.15,"Low","No Impact")))</f>
        <v/>
      </c>
      <c r="Y386">
        <f>F386*(P386*1)*(H386*0.35+J386*0.35+L386*0.3)</f>
        <v/>
      </c>
      <c r="Z386">
        <f>(Y386-$AJ$14)/$AK$14</f>
        <v/>
      </c>
      <c r="AA386">
        <f>IF(Z386&gt;0.7,"High",IF(Z386&gt;0.3,"Moderate",IF(Z386&gt;0.15,"Low","No Impact")))</f>
        <v/>
      </c>
      <c r="AB386">
        <f>F386*(R386*0.35+P386*0.3+N386*0.35)*(H386*0.35+J386*0.35+L386*0.3)</f>
        <v/>
      </c>
      <c r="AC386">
        <f>(AB386-$AJ$15)/$AK$15</f>
        <v/>
      </c>
      <c r="AD386">
        <f>IF(AC386&gt;0.7,"High",IF(AC386&gt;0.3,"Moderate",IF(AC386&gt;0.15,"Low","No Impact")))</f>
        <v/>
      </c>
      <c r="AE386">
        <f>F386*(N386*1)*(H386*0.35+J386*0.35+L386*0.3)</f>
        <v/>
      </c>
      <c r="AF386">
        <f>(AE386-$AJ$16)/$AK$16</f>
        <v/>
      </c>
      <c r="AG386">
        <f>IF(AF386&gt;0.7,"High",IF(AF386&gt;0.3,"Moderate",IF(AF386&gt;0.15,"Low","No Impact")))</f>
        <v/>
      </c>
    </row>
    <row r="387">
      <c r="A387" t="n">
        <v>501081</v>
      </c>
      <c r="B387" t="inlineStr">
        <is>
          <t>BD501081</t>
        </is>
      </c>
      <c r="C387" t="inlineStr">
        <is>
          <t>Bogra</t>
        </is>
      </c>
      <c r="D387" t="inlineStr">
        <is>
          <t>Sariakandi</t>
        </is>
      </c>
      <c r="E387" s="3" t="n">
        <v>6.2</v>
      </c>
      <c r="F387" s="4">
        <f>(E387-$AJ$5)/$AK$5</f>
        <v/>
      </c>
      <c r="G387" t="n">
        <v>51.2412264</v>
      </c>
      <c r="H387">
        <f>(G387-$AJ$6)/$AK$6</f>
        <v/>
      </c>
      <c r="I387" t="n">
        <v>0</v>
      </c>
      <c r="J387" s="4">
        <f>(I387-$AJ$7)/$AK$7</f>
        <v/>
      </c>
      <c r="K387" t="n">
        <v>0</v>
      </c>
      <c r="L387" s="4">
        <f>(K387-$AJ$8)/$AK$8</f>
        <v/>
      </c>
      <c r="M387" t="n">
        <v>19425</v>
      </c>
      <c r="N387">
        <f>(M387-$AJ$9)/$AK$9</f>
        <v/>
      </c>
      <c r="O387" t="n">
        <v>0.873254761</v>
      </c>
      <c r="P387">
        <f>(O387-$AJ$11)/$AK$11</f>
        <v/>
      </c>
      <c r="Q387" t="n">
        <v>0.216</v>
      </c>
      <c r="R387">
        <f>(Q387-$AJ$12)/$AK$12</f>
        <v/>
      </c>
      <c r="S387">
        <f>F387*(R387*0.5+P387*0.5)*(H387*0.35+J387*0.35+L387*0.3)</f>
        <v/>
      </c>
      <c r="T387" s="14">
        <f>(S387-$AJ$10)/$AK$10</f>
        <v/>
      </c>
      <c r="U387">
        <f>IF(T387&gt;0.7,"High",IF(T387&gt;0.3,"Moderate",IF(T387&gt;0.15,"Low","No Impact")))</f>
        <v/>
      </c>
      <c r="V387">
        <f>F387*(R387*1)*(H387*0.35+J387*0.35+L387*0.3)</f>
        <v/>
      </c>
      <c r="W387">
        <f>(V387-$AJ$13)/$AK$13</f>
        <v/>
      </c>
      <c r="X387">
        <f>IF(W387&gt;0.7,"High",IF(W387&gt;0.3,"Moderate",IF(W387&gt;0.15,"Low","No Impact")))</f>
        <v/>
      </c>
      <c r="Y387">
        <f>F387*(P387*1)*(H387*0.35+J387*0.35+L387*0.3)</f>
        <v/>
      </c>
      <c r="Z387">
        <f>(Y387-$AJ$14)/$AK$14</f>
        <v/>
      </c>
      <c r="AA387">
        <f>IF(Z387&gt;0.7,"High",IF(Z387&gt;0.3,"Moderate",IF(Z387&gt;0.15,"Low","No Impact")))</f>
        <v/>
      </c>
      <c r="AB387">
        <f>F387*(R387*0.35+P387*0.3+N387*0.35)*(H387*0.35+J387*0.35+L387*0.3)</f>
        <v/>
      </c>
      <c r="AC387">
        <f>(AB387-$AJ$15)/$AK$15</f>
        <v/>
      </c>
      <c r="AD387">
        <f>IF(AC387&gt;0.7,"High",IF(AC387&gt;0.3,"Moderate",IF(AC387&gt;0.15,"Low","No Impact")))</f>
        <v/>
      </c>
      <c r="AE387">
        <f>F387*(N387*1)*(H387*0.35+J387*0.35+L387*0.3)</f>
        <v/>
      </c>
      <c r="AF387">
        <f>(AE387-$AJ$16)/$AK$16</f>
        <v/>
      </c>
      <c r="AG387">
        <f>IF(AF387&gt;0.7,"High",IF(AF387&gt;0.3,"Moderate",IF(AF387&gt;0.15,"Low","No Impact")))</f>
        <v/>
      </c>
    </row>
    <row r="388">
      <c r="A388" t="n">
        <v>501085</v>
      </c>
      <c r="B388" t="inlineStr">
        <is>
          <t>BD501085</t>
        </is>
      </c>
      <c r="C388" t="inlineStr">
        <is>
          <t>Bogra</t>
        </is>
      </c>
      <c r="D388" t="inlineStr">
        <is>
          <t>Shajahanpur</t>
        </is>
      </c>
      <c r="E388" s="3" t="n">
        <v>6.1</v>
      </c>
      <c r="F388" s="4">
        <f>(E388-$AJ$5)/$AK$5</f>
        <v/>
      </c>
      <c r="G388" t="n">
        <v>53.5437216</v>
      </c>
      <c r="H388">
        <f>(G388-$AJ$6)/$AK$6</f>
        <v/>
      </c>
      <c r="I388" t="n">
        <v>0</v>
      </c>
      <c r="J388" s="4">
        <f>(I388-$AJ$7)/$AK$7</f>
        <v/>
      </c>
      <c r="K388" t="n">
        <v>0</v>
      </c>
      <c r="L388" s="4">
        <f>(K388-$AJ$8)/$AK$8</f>
        <v/>
      </c>
      <c r="M388" t="n">
        <v>37871</v>
      </c>
      <c r="N388">
        <f>(M388-$AJ$9)/$AK$9</f>
        <v/>
      </c>
      <c r="O388" t="n">
        <v>0.493239301</v>
      </c>
      <c r="P388">
        <f>(O388-$AJ$11)/$AK$11</f>
        <v/>
      </c>
      <c r="Q388" t="n">
        <v>0.2575</v>
      </c>
      <c r="R388">
        <f>(Q388-$AJ$12)/$AK$12</f>
        <v/>
      </c>
      <c r="S388">
        <f>F388*(R388*0.5+P388*0.5)*(H388*0.35+J388*0.35+L388*0.3)</f>
        <v/>
      </c>
      <c r="T388" s="14">
        <f>(S388-$AJ$10)/$AK$10</f>
        <v/>
      </c>
      <c r="U388">
        <f>IF(T388&gt;0.7,"High",IF(T388&gt;0.3,"Moderate",IF(T388&gt;0.15,"Low","No Impact")))</f>
        <v/>
      </c>
      <c r="V388">
        <f>F388*(R388*1)*(H388*0.35+J388*0.35+L388*0.3)</f>
        <v/>
      </c>
      <c r="W388">
        <f>(V388-$AJ$13)/$AK$13</f>
        <v/>
      </c>
      <c r="X388">
        <f>IF(W388&gt;0.7,"High",IF(W388&gt;0.3,"Moderate",IF(W388&gt;0.15,"Low","No Impact")))</f>
        <v/>
      </c>
      <c r="Y388">
        <f>F388*(P388*1)*(H388*0.35+J388*0.35+L388*0.3)</f>
        <v/>
      </c>
      <c r="Z388">
        <f>(Y388-$AJ$14)/$AK$14</f>
        <v/>
      </c>
      <c r="AA388">
        <f>IF(Z388&gt;0.7,"High",IF(Z388&gt;0.3,"Moderate",IF(Z388&gt;0.15,"Low","No Impact")))</f>
        <v/>
      </c>
      <c r="AB388">
        <f>F388*(R388*0.35+P388*0.3+N388*0.35)*(H388*0.35+J388*0.35+L388*0.3)</f>
        <v/>
      </c>
      <c r="AC388">
        <f>(AB388-$AJ$15)/$AK$15</f>
        <v/>
      </c>
      <c r="AD388">
        <f>IF(AC388&gt;0.7,"High",IF(AC388&gt;0.3,"Moderate",IF(AC388&gt;0.15,"Low","No Impact")))</f>
        <v/>
      </c>
      <c r="AE388">
        <f>F388*(N388*1)*(H388*0.35+J388*0.35+L388*0.3)</f>
        <v/>
      </c>
      <c r="AF388">
        <f>(AE388-$AJ$16)/$AK$16</f>
        <v/>
      </c>
      <c r="AG388">
        <f>IF(AF388&gt;0.7,"High",IF(AF388&gt;0.3,"Moderate",IF(AF388&gt;0.15,"Low","No Impact")))</f>
        <v/>
      </c>
    </row>
    <row r="389">
      <c r="A389" t="n">
        <v>501088</v>
      </c>
      <c r="B389" t="inlineStr">
        <is>
          <t>BD501088</t>
        </is>
      </c>
      <c r="C389" t="inlineStr">
        <is>
          <t>Bogra</t>
        </is>
      </c>
      <c r="D389" t="inlineStr">
        <is>
          <t>Sherpur</t>
        </is>
      </c>
      <c r="E389" s="3" t="n">
        <v>6.2</v>
      </c>
      <c r="F389" s="4">
        <f>(E389-$AJ$5)/$AK$5</f>
        <v/>
      </c>
      <c r="G389" t="n">
        <v>60.2128656</v>
      </c>
      <c r="H389">
        <f>(G389-$AJ$6)/$AK$6</f>
        <v/>
      </c>
      <c r="I389" t="n">
        <v>0.1</v>
      </c>
      <c r="J389" s="4">
        <f>(I389-$AJ$7)/$AK$7</f>
        <v/>
      </c>
      <c r="K389" t="n">
        <v>0</v>
      </c>
      <c r="L389" s="4">
        <f>(K389-$AJ$8)/$AK$8</f>
        <v/>
      </c>
      <c r="M389" t="n">
        <v>36509</v>
      </c>
      <c r="N389">
        <f>(M389-$AJ$9)/$AK$9</f>
        <v/>
      </c>
      <c r="O389" t="n">
        <v>0.8491377369999999</v>
      </c>
      <c r="P389">
        <f>(O389-$AJ$11)/$AK$11</f>
        <v/>
      </c>
      <c r="Q389" t="n">
        <v>0.2305</v>
      </c>
      <c r="R389">
        <f>(Q389-$AJ$12)/$AK$12</f>
        <v/>
      </c>
      <c r="S389">
        <f>F389*(R389*0.5+P389*0.5)*(H389*0.35+J389*0.35+L389*0.3)</f>
        <v/>
      </c>
      <c r="T389" s="14">
        <f>(S389-$AJ$10)/$AK$10</f>
        <v/>
      </c>
      <c r="U389">
        <f>IF(T389&gt;0.7,"High",IF(T389&gt;0.3,"Moderate",IF(T389&gt;0.15,"Low","No Impact")))</f>
        <v/>
      </c>
      <c r="V389">
        <f>F389*(R389*1)*(H389*0.35+J389*0.35+L389*0.3)</f>
        <v/>
      </c>
      <c r="W389">
        <f>(V389-$AJ$13)/$AK$13</f>
        <v/>
      </c>
      <c r="X389">
        <f>IF(W389&gt;0.7,"High",IF(W389&gt;0.3,"Moderate",IF(W389&gt;0.15,"Low","No Impact")))</f>
        <v/>
      </c>
      <c r="Y389">
        <f>F389*(P389*1)*(H389*0.35+J389*0.35+L389*0.3)</f>
        <v/>
      </c>
      <c r="Z389">
        <f>(Y389-$AJ$14)/$AK$14</f>
        <v/>
      </c>
      <c r="AA389">
        <f>IF(Z389&gt;0.7,"High",IF(Z389&gt;0.3,"Moderate",IF(Z389&gt;0.15,"Low","No Impact")))</f>
        <v/>
      </c>
      <c r="AB389">
        <f>F389*(R389*0.35+P389*0.3+N389*0.35)*(H389*0.35+J389*0.35+L389*0.3)</f>
        <v/>
      </c>
      <c r="AC389">
        <f>(AB389-$AJ$15)/$AK$15</f>
        <v/>
      </c>
      <c r="AD389">
        <f>IF(AC389&gt;0.7,"High",IF(AC389&gt;0.3,"Moderate",IF(AC389&gt;0.15,"Low","No Impact")))</f>
        <v/>
      </c>
      <c r="AE389">
        <f>F389*(N389*1)*(H389*0.35+J389*0.35+L389*0.3)</f>
        <v/>
      </c>
      <c r="AF389">
        <f>(AE389-$AJ$16)/$AK$16</f>
        <v/>
      </c>
      <c r="AG389">
        <f>IF(AF389&gt;0.7,"High",IF(AF389&gt;0.3,"Moderate",IF(AF389&gt;0.15,"Low","No Impact")))</f>
        <v/>
      </c>
    </row>
    <row r="390">
      <c r="A390" t="n">
        <v>501094</v>
      </c>
      <c r="B390" t="inlineStr">
        <is>
          <t>BD501094</t>
        </is>
      </c>
      <c r="C390" t="inlineStr">
        <is>
          <t>Bogra</t>
        </is>
      </c>
      <c r="D390" t="inlineStr">
        <is>
          <t>Shibganj</t>
        </is>
      </c>
      <c r="E390" s="3" t="n">
        <v>6.1</v>
      </c>
      <c r="F390" s="4">
        <f>(E390-$AJ$5)/$AK$5</f>
        <v/>
      </c>
      <c r="G390" t="n">
        <v>43.7738004</v>
      </c>
      <c r="H390">
        <f>(G390-$AJ$6)/$AK$6</f>
        <v/>
      </c>
      <c r="I390" t="n">
        <v>0</v>
      </c>
      <c r="J390" s="4">
        <f>(I390-$AJ$7)/$AK$7</f>
        <v/>
      </c>
      <c r="K390" t="n">
        <v>0</v>
      </c>
      <c r="L390" s="4">
        <f>(K390-$AJ$8)/$AK$8</f>
        <v/>
      </c>
      <c r="M390" t="n">
        <v>25068</v>
      </c>
      <c r="N390">
        <f>(M390-$AJ$9)/$AK$9</f>
        <v/>
      </c>
      <c r="O390" t="n">
        <v>0.820327702</v>
      </c>
      <c r="P390">
        <f>(O390-$AJ$11)/$AK$11</f>
        <v/>
      </c>
      <c r="Q390" t="n">
        <v>0.2714</v>
      </c>
      <c r="R390">
        <f>(Q390-$AJ$12)/$AK$12</f>
        <v/>
      </c>
      <c r="S390">
        <f>F390*(R390*0.5+P390*0.5)*(H390*0.35+J390*0.35+L390*0.3)</f>
        <v/>
      </c>
      <c r="T390" s="14">
        <f>(S390-$AJ$10)/$AK$10</f>
        <v/>
      </c>
      <c r="U390">
        <f>IF(T390&gt;0.7,"High",IF(T390&gt;0.3,"Moderate",IF(T390&gt;0.15,"Low","No Impact")))</f>
        <v/>
      </c>
      <c r="V390">
        <f>F390*(R390*1)*(H390*0.35+J390*0.35+L390*0.3)</f>
        <v/>
      </c>
      <c r="W390">
        <f>(V390-$AJ$13)/$AK$13</f>
        <v/>
      </c>
      <c r="X390">
        <f>IF(W390&gt;0.7,"High",IF(W390&gt;0.3,"Moderate",IF(W390&gt;0.15,"Low","No Impact")))</f>
        <v/>
      </c>
      <c r="Y390">
        <f>F390*(P390*1)*(H390*0.35+J390*0.35+L390*0.3)</f>
        <v/>
      </c>
      <c r="Z390">
        <f>(Y390-$AJ$14)/$AK$14</f>
        <v/>
      </c>
      <c r="AA390">
        <f>IF(Z390&gt;0.7,"High",IF(Z390&gt;0.3,"Moderate",IF(Z390&gt;0.15,"Low","No Impact")))</f>
        <v/>
      </c>
      <c r="AB390">
        <f>F390*(R390*0.35+P390*0.3+N390*0.35)*(H390*0.35+J390*0.35+L390*0.3)</f>
        <v/>
      </c>
      <c r="AC390">
        <f>(AB390-$AJ$15)/$AK$15</f>
        <v/>
      </c>
      <c r="AD390">
        <f>IF(AC390&gt;0.7,"High",IF(AC390&gt;0.3,"Moderate",IF(AC390&gt;0.15,"Low","No Impact")))</f>
        <v/>
      </c>
      <c r="AE390">
        <f>F390*(N390*1)*(H390*0.35+J390*0.35+L390*0.3)</f>
        <v/>
      </c>
      <c r="AF390">
        <f>(AE390-$AJ$16)/$AK$16</f>
        <v/>
      </c>
      <c r="AG390">
        <f>IF(AF390&gt;0.7,"High",IF(AF390&gt;0.3,"Moderate",IF(AF390&gt;0.15,"Low","No Impact")))</f>
        <v/>
      </c>
    </row>
    <row r="391">
      <c r="A391" t="n">
        <v>501095</v>
      </c>
      <c r="B391" t="inlineStr">
        <is>
          <t>BD501095</t>
        </is>
      </c>
      <c r="C391" t="inlineStr">
        <is>
          <t>Bogra</t>
        </is>
      </c>
      <c r="D391" t="inlineStr">
        <is>
          <t>Sonatola</t>
        </is>
      </c>
      <c r="E391" s="3" t="n">
        <v>6.2</v>
      </c>
      <c r="F391" s="4">
        <f>(E391-$AJ$5)/$AK$5</f>
        <v/>
      </c>
      <c r="G391" t="n">
        <v>40.2054408</v>
      </c>
      <c r="H391">
        <f>(G391-$AJ$6)/$AK$6</f>
        <v/>
      </c>
      <c r="I391" t="n">
        <v>0</v>
      </c>
      <c r="J391" s="4">
        <f>(I391-$AJ$7)/$AK$7</f>
        <v/>
      </c>
      <c r="K391" t="n">
        <v>0</v>
      </c>
      <c r="L391" s="4">
        <f>(K391-$AJ$8)/$AK$8</f>
        <v/>
      </c>
      <c r="M391" t="n">
        <v>3652</v>
      </c>
      <c r="N391">
        <f>(M391-$AJ$9)/$AK$9</f>
        <v/>
      </c>
      <c r="O391" t="n">
        <v>0.842282313</v>
      </c>
      <c r="P391">
        <f>(O391-$AJ$11)/$AK$11</f>
        <v/>
      </c>
      <c r="Q391" t="n">
        <v>0.2198</v>
      </c>
      <c r="R391">
        <f>(Q391-$AJ$12)/$AK$12</f>
        <v/>
      </c>
      <c r="S391">
        <f>F391*(R391*0.5+P391*0.5)*(H391*0.35+J391*0.35+L391*0.3)</f>
        <v/>
      </c>
      <c r="T391" s="14">
        <f>(S391-$AJ$10)/$AK$10</f>
        <v/>
      </c>
      <c r="U391">
        <f>IF(T391&gt;0.7,"High",IF(T391&gt;0.3,"Moderate",IF(T391&gt;0.15,"Low","No Impact")))</f>
        <v/>
      </c>
      <c r="V391">
        <f>F391*(R391*1)*(H391*0.35+J391*0.35+L391*0.3)</f>
        <v/>
      </c>
      <c r="W391">
        <f>(V391-$AJ$13)/$AK$13</f>
        <v/>
      </c>
      <c r="X391">
        <f>IF(W391&gt;0.7,"High",IF(W391&gt;0.3,"Moderate",IF(W391&gt;0.15,"Low","No Impact")))</f>
        <v/>
      </c>
      <c r="Y391">
        <f>F391*(P391*1)*(H391*0.35+J391*0.35+L391*0.3)</f>
        <v/>
      </c>
      <c r="Z391">
        <f>(Y391-$AJ$14)/$AK$14</f>
        <v/>
      </c>
      <c r="AA391">
        <f>IF(Z391&gt;0.7,"High",IF(Z391&gt;0.3,"Moderate",IF(Z391&gt;0.15,"Low","No Impact")))</f>
        <v/>
      </c>
      <c r="AB391">
        <f>F391*(R391*0.35+P391*0.3+N391*0.35)*(H391*0.35+J391*0.35+L391*0.3)</f>
        <v/>
      </c>
      <c r="AC391">
        <f>(AB391-$AJ$15)/$AK$15</f>
        <v/>
      </c>
      <c r="AD391">
        <f>IF(AC391&gt;0.7,"High",IF(AC391&gt;0.3,"Moderate",IF(AC391&gt;0.15,"Low","No Impact")))</f>
        <v/>
      </c>
      <c r="AE391">
        <f>F391*(N391*1)*(H391*0.35+J391*0.35+L391*0.3)</f>
        <v/>
      </c>
      <c r="AF391">
        <f>(AE391-$AJ$16)/$AK$16</f>
        <v/>
      </c>
      <c r="AG391">
        <f>IF(AF391&gt;0.7,"High",IF(AF391&gt;0.3,"Moderate",IF(AF391&gt;0.15,"Low","No Impact")))</f>
        <v/>
      </c>
    </row>
    <row r="392">
      <c r="A392" t="n">
        <v>503813</v>
      </c>
      <c r="B392" t="inlineStr">
        <is>
          <t>BD503813</t>
        </is>
      </c>
      <c r="C392" t="inlineStr">
        <is>
          <t>Joypurhat</t>
        </is>
      </c>
      <c r="D392" t="inlineStr">
        <is>
          <t>Akkelpur</t>
        </is>
      </c>
      <c r="E392" s="3" t="n">
        <v>4.9</v>
      </c>
      <c r="F392" s="4">
        <f>(E392-$AJ$5)/$AK$5</f>
        <v/>
      </c>
      <c r="G392" t="n">
        <v>55.5863004</v>
      </c>
      <c r="H392">
        <f>(G392-$AJ$6)/$AK$6</f>
        <v/>
      </c>
      <c r="I392" t="n">
        <v>0</v>
      </c>
      <c r="J392" s="4">
        <f>(I392-$AJ$7)/$AK$7</f>
        <v/>
      </c>
      <c r="K392" t="n">
        <v>0</v>
      </c>
      <c r="L392" s="4">
        <f>(K392-$AJ$8)/$AK$8</f>
        <v/>
      </c>
      <c r="M392" t="n">
        <v>9388</v>
      </c>
      <c r="N392">
        <f>(M392-$AJ$9)/$AK$9</f>
        <v/>
      </c>
      <c r="O392" t="n">
        <v>0.7838941619999999</v>
      </c>
      <c r="P392">
        <f>(O392-$AJ$11)/$AK$11</f>
        <v/>
      </c>
      <c r="Q392" t="n">
        <v>0.2481</v>
      </c>
      <c r="R392">
        <f>(Q392-$AJ$12)/$AK$12</f>
        <v/>
      </c>
      <c r="S392">
        <f>F392*(R392*0.5+P392*0.5)*(H392*0.35+J392*0.35+L392*0.3)</f>
        <v/>
      </c>
      <c r="T392" s="14">
        <f>(S392-$AJ$10)/$AK$10</f>
        <v/>
      </c>
      <c r="U392">
        <f>IF(T392&gt;0.7,"High",IF(T392&gt;0.3,"Moderate",IF(T392&gt;0.15,"Low","No Impact")))</f>
        <v/>
      </c>
      <c r="V392">
        <f>F392*(R392*1)*(H392*0.35+J392*0.35+L392*0.3)</f>
        <v/>
      </c>
      <c r="W392">
        <f>(V392-$AJ$13)/$AK$13</f>
        <v/>
      </c>
      <c r="X392">
        <f>IF(W392&gt;0.7,"High",IF(W392&gt;0.3,"Moderate",IF(W392&gt;0.15,"Low","No Impact")))</f>
        <v/>
      </c>
      <c r="Y392">
        <f>F392*(P392*1)*(H392*0.35+J392*0.35+L392*0.3)</f>
        <v/>
      </c>
      <c r="Z392">
        <f>(Y392-$AJ$14)/$AK$14</f>
        <v/>
      </c>
      <c r="AA392">
        <f>IF(Z392&gt;0.7,"High",IF(Z392&gt;0.3,"Moderate",IF(Z392&gt;0.15,"Low","No Impact")))</f>
        <v/>
      </c>
      <c r="AB392">
        <f>F392*(R392*0.35+P392*0.3+N392*0.35)*(H392*0.35+J392*0.35+L392*0.3)</f>
        <v/>
      </c>
      <c r="AC392">
        <f>(AB392-$AJ$15)/$AK$15</f>
        <v/>
      </c>
      <c r="AD392">
        <f>IF(AC392&gt;0.7,"High",IF(AC392&gt;0.3,"Moderate",IF(AC392&gt;0.15,"Low","No Impact")))</f>
        <v/>
      </c>
      <c r="AE392">
        <f>F392*(N392*1)*(H392*0.35+J392*0.35+L392*0.3)</f>
        <v/>
      </c>
      <c r="AF392">
        <f>(AE392-$AJ$16)/$AK$16</f>
        <v/>
      </c>
      <c r="AG392">
        <f>IF(AF392&gt;0.7,"High",IF(AF392&gt;0.3,"Moderate",IF(AF392&gt;0.15,"Low","No Impact")))</f>
        <v/>
      </c>
    </row>
    <row r="393">
      <c r="A393" t="n">
        <v>503847</v>
      </c>
      <c r="B393" t="inlineStr">
        <is>
          <t>BD503847</t>
        </is>
      </c>
      <c r="C393" t="inlineStr">
        <is>
          <t>Joypurhat</t>
        </is>
      </c>
      <c r="D393" t="inlineStr">
        <is>
          <t>Joypurhat Sadar</t>
        </is>
      </c>
      <c r="E393" s="3" t="n">
        <v>4.9</v>
      </c>
      <c r="F393" s="4">
        <f>(E393-$AJ$5)/$AK$5</f>
        <v/>
      </c>
      <c r="G393" t="n">
        <v>47.0468448</v>
      </c>
      <c r="H393">
        <f>(G393-$AJ$6)/$AK$6</f>
        <v/>
      </c>
      <c r="I393" t="n">
        <v>0</v>
      </c>
      <c r="J393" s="4">
        <f>(I393-$AJ$7)/$AK$7</f>
        <v/>
      </c>
      <c r="K393" t="n">
        <v>0</v>
      </c>
      <c r="L393" s="4">
        <f>(K393-$AJ$8)/$AK$8</f>
        <v/>
      </c>
      <c r="M393" t="n">
        <v>39555</v>
      </c>
      <c r="N393">
        <f>(M393-$AJ$9)/$AK$9</f>
        <v/>
      </c>
      <c r="O393" t="n">
        <v>0.884215069</v>
      </c>
      <c r="P393">
        <f>(O393-$AJ$11)/$AK$11</f>
        <v/>
      </c>
      <c r="Q393" t="n">
        <v>0.263</v>
      </c>
      <c r="R393">
        <f>(Q393-$AJ$12)/$AK$12</f>
        <v/>
      </c>
      <c r="S393">
        <f>F393*(R393*0.5+P393*0.5)*(H393*0.35+J393*0.35+L393*0.3)</f>
        <v/>
      </c>
      <c r="T393" s="14">
        <f>(S393-$AJ$10)/$AK$10</f>
        <v/>
      </c>
      <c r="U393">
        <f>IF(T393&gt;0.7,"High",IF(T393&gt;0.3,"Moderate",IF(T393&gt;0.15,"Low","No Impact")))</f>
        <v/>
      </c>
      <c r="V393">
        <f>F393*(R393*1)*(H393*0.35+J393*0.35+L393*0.3)</f>
        <v/>
      </c>
      <c r="W393">
        <f>(V393-$AJ$13)/$AK$13</f>
        <v/>
      </c>
      <c r="X393">
        <f>IF(W393&gt;0.7,"High",IF(W393&gt;0.3,"Moderate",IF(W393&gt;0.15,"Low","No Impact")))</f>
        <v/>
      </c>
      <c r="Y393">
        <f>F393*(P393*1)*(H393*0.35+J393*0.35+L393*0.3)</f>
        <v/>
      </c>
      <c r="Z393">
        <f>(Y393-$AJ$14)/$AK$14</f>
        <v/>
      </c>
      <c r="AA393">
        <f>IF(Z393&gt;0.7,"High",IF(Z393&gt;0.3,"Moderate",IF(Z393&gt;0.15,"Low","No Impact")))</f>
        <v/>
      </c>
      <c r="AB393">
        <f>F393*(R393*0.35+P393*0.3+N393*0.35)*(H393*0.35+J393*0.35+L393*0.3)</f>
        <v/>
      </c>
      <c r="AC393">
        <f>(AB393-$AJ$15)/$AK$15</f>
        <v/>
      </c>
      <c r="AD393">
        <f>IF(AC393&gt;0.7,"High",IF(AC393&gt;0.3,"Moderate",IF(AC393&gt;0.15,"Low","No Impact")))</f>
        <v/>
      </c>
      <c r="AE393">
        <f>F393*(N393*1)*(H393*0.35+J393*0.35+L393*0.3)</f>
        <v/>
      </c>
      <c r="AF393">
        <f>(AE393-$AJ$16)/$AK$16</f>
        <v/>
      </c>
      <c r="AG393">
        <f>IF(AF393&gt;0.7,"High",IF(AF393&gt;0.3,"Moderate",IF(AF393&gt;0.15,"Low","No Impact")))</f>
        <v/>
      </c>
    </row>
    <row r="394">
      <c r="A394" t="n">
        <v>503858</v>
      </c>
      <c r="B394" t="inlineStr">
        <is>
          <t>BD503858</t>
        </is>
      </c>
      <c r="C394" t="inlineStr">
        <is>
          <t>Joypurhat</t>
        </is>
      </c>
      <c r="D394" t="inlineStr">
        <is>
          <t>Kalai</t>
        </is>
      </c>
      <c r="E394" s="3" t="n">
        <v>4.8</v>
      </c>
      <c r="F394" s="4">
        <f>(E394-$AJ$5)/$AK$5</f>
        <v/>
      </c>
      <c r="G394" t="n">
        <v>43.7738004</v>
      </c>
      <c r="H394">
        <f>(G394-$AJ$6)/$AK$6</f>
        <v/>
      </c>
      <c r="I394" t="n">
        <v>0</v>
      </c>
      <c r="J394" s="4">
        <f>(I394-$AJ$7)/$AK$7</f>
        <v/>
      </c>
      <c r="K394" t="n">
        <v>0</v>
      </c>
      <c r="L394" s="4">
        <f>(K394-$AJ$8)/$AK$8</f>
        <v/>
      </c>
      <c r="M394" t="n">
        <v>15941</v>
      </c>
      <c r="N394">
        <f>(M394-$AJ$9)/$AK$9</f>
        <v/>
      </c>
      <c r="O394" t="n">
        <v>0.859428184</v>
      </c>
      <c r="P394">
        <f>(O394-$AJ$11)/$AK$11</f>
        <v/>
      </c>
      <c r="Q394" t="n">
        <v>0.293</v>
      </c>
      <c r="R394">
        <f>(Q394-$AJ$12)/$AK$12</f>
        <v/>
      </c>
      <c r="S394">
        <f>F394*(R394*0.5+P394*0.5)*(H394*0.35+J394*0.35+L394*0.3)</f>
        <v/>
      </c>
      <c r="T394" s="14">
        <f>(S394-$AJ$10)/$AK$10</f>
        <v/>
      </c>
      <c r="U394">
        <f>IF(T394&gt;0.7,"High",IF(T394&gt;0.3,"Moderate",IF(T394&gt;0.15,"Low","No Impact")))</f>
        <v/>
      </c>
      <c r="V394">
        <f>F394*(R394*1)*(H394*0.35+J394*0.35+L394*0.3)</f>
        <v/>
      </c>
      <c r="W394">
        <f>(V394-$AJ$13)/$AK$13</f>
        <v/>
      </c>
      <c r="X394">
        <f>IF(W394&gt;0.7,"High",IF(W394&gt;0.3,"Moderate",IF(W394&gt;0.15,"Low","No Impact")))</f>
        <v/>
      </c>
      <c r="Y394">
        <f>F394*(P394*1)*(H394*0.35+J394*0.35+L394*0.3)</f>
        <v/>
      </c>
      <c r="Z394">
        <f>(Y394-$AJ$14)/$AK$14</f>
        <v/>
      </c>
      <c r="AA394">
        <f>IF(Z394&gt;0.7,"High",IF(Z394&gt;0.3,"Moderate",IF(Z394&gt;0.15,"Low","No Impact")))</f>
        <v/>
      </c>
      <c r="AB394">
        <f>F394*(R394*0.35+P394*0.3+N394*0.35)*(H394*0.35+J394*0.35+L394*0.3)</f>
        <v/>
      </c>
      <c r="AC394">
        <f>(AB394-$AJ$15)/$AK$15</f>
        <v/>
      </c>
      <c r="AD394">
        <f>IF(AC394&gt;0.7,"High",IF(AC394&gt;0.3,"Moderate",IF(AC394&gt;0.15,"Low","No Impact")))</f>
        <v/>
      </c>
      <c r="AE394">
        <f>F394*(N394*1)*(H394*0.35+J394*0.35+L394*0.3)</f>
        <v/>
      </c>
      <c r="AF394">
        <f>(AE394-$AJ$16)/$AK$16</f>
        <v/>
      </c>
      <c r="AG394">
        <f>IF(AF394&gt;0.7,"High",IF(AF394&gt;0.3,"Moderate",IF(AF394&gt;0.15,"Low","No Impact")))</f>
        <v/>
      </c>
    </row>
    <row r="395">
      <c r="A395" t="n">
        <v>503861</v>
      </c>
      <c r="B395" t="inlineStr">
        <is>
          <t>BD503861</t>
        </is>
      </c>
      <c r="C395" t="inlineStr">
        <is>
          <t>Joypurhat</t>
        </is>
      </c>
      <c r="D395" t="inlineStr">
        <is>
          <t>Khetlal</t>
        </is>
      </c>
      <c r="E395" s="3" t="n">
        <v>4.9</v>
      </c>
      <c r="F395" s="4">
        <f>(E395-$AJ$5)/$AK$5</f>
        <v/>
      </c>
      <c r="G395" t="n">
        <v>47.0468448</v>
      </c>
      <c r="H395">
        <f>(G395-$AJ$6)/$AK$6</f>
        <v/>
      </c>
      <c r="I395" t="n">
        <v>0</v>
      </c>
      <c r="J395" s="4">
        <f>(I395-$AJ$7)/$AK$7</f>
        <v/>
      </c>
      <c r="K395" t="n">
        <v>0</v>
      </c>
      <c r="L395" s="4">
        <f>(K395-$AJ$8)/$AK$8</f>
        <v/>
      </c>
      <c r="M395" t="n">
        <v>16611</v>
      </c>
      <c r="N395">
        <f>(M395-$AJ$9)/$AK$9</f>
        <v/>
      </c>
      <c r="O395" t="n">
        <v>0.9019633540000001</v>
      </c>
      <c r="P395">
        <f>(O395-$AJ$11)/$AK$11</f>
        <v/>
      </c>
      <c r="Q395" t="n">
        <v>0.2623</v>
      </c>
      <c r="R395">
        <f>(Q395-$AJ$12)/$AK$12</f>
        <v/>
      </c>
      <c r="S395">
        <f>F395*(R395*0.5+P395*0.5)*(H395*0.35+J395*0.35+L395*0.3)</f>
        <v/>
      </c>
      <c r="T395" s="14">
        <f>(S395-$AJ$10)/$AK$10</f>
        <v/>
      </c>
      <c r="U395">
        <f>IF(T395&gt;0.7,"High",IF(T395&gt;0.3,"Moderate",IF(T395&gt;0.15,"Low","No Impact")))</f>
        <v/>
      </c>
      <c r="V395">
        <f>F395*(R395*1)*(H395*0.35+J395*0.35+L395*0.3)</f>
        <v/>
      </c>
      <c r="W395">
        <f>(V395-$AJ$13)/$AK$13</f>
        <v/>
      </c>
      <c r="X395">
        <f>IF(W395&gt;0.7,"High",IF(W395&gt;0.3,"Moderate",IF(W395&gt;0.15,"Low","No Impact")))</f>
        <v/>
      </c>
      <c r="Y395">
        <f>F395*(P395*1)*(H395*0.35+J395*0.35+L395*0.3)</f>
        <v/>
      </c>
      <c r="Z395">
        <f>(Y395-$AJ$14)/$AK$14</f>
        <v/>
      </c>
      <c r="AA395">
        <f>IF(Z395&gt;0.7,"High",IF(Z395&gt;0.3,"Moderate",IF(Z395&gt;0.15,"Low","No Impact")))</f>
        <v/>
      </c>
      <c r="AB395">
        <f>F395*(R395*0.35+P395*0.3+N395*0.35)*(H395*0.35+J395*0.35+L395*0.3)</f>
        <v/>
      </c>
      <c r="AC395">
        <f>(AB395-$AJ$15)/$AK$15</f>
        <v/>
      </c>
      <c r="AD395">
        <f>IF(AC395&gt;0.7,"High",IF(AC395&gt;0.3,"Moderate",IF(AC395&gt;0.15,"Low","No Impact")))</f>
        <v/>
      </c>
      <c r="AE395">
        <f>F395*(N395*1)*(H395*0.35+J395*0.35+L395*0.3)</f>
        <v/>
      </c>
      <c r="AF395">
        <f>(AE395-$AJ$16)/$AK$16</f>
        <v/>
      </c>
      <c r="AG395">
        <f>IF(AF395&gt;0.7,"High",IF(AF395&gt;0.3,"Moderate",IF(AF395&gt;0.15,"Low","No Impact")))</f>
        <v/>
      </c>
    </row>
    <row r="396">
      <c r="A396" t="n">
        <v>503874</v>
      </c>
      <c r="B396" t="inlineStr">
        <is>
          <t>BD503874</t>
        </is>
      </c>
      <c r="C396" t="inlineStr">
        <is>
          <t>Joypurhat</t>
        </is>
      </c>
      <c r="D396" t="inlineStr">
        <is>
          <t>Panchbibi</t>
        </is>
      </c>
      <c r="E396" s="3" t="n">
        <v>4.9</v>
      </c>
      <c r="F396" s="4">
        <f>(E396-$AJ$5)/$AK$5</f>
        <v/>
      </c>
      <c r="G396" t="n">
        <v>38.7410472</v>
      </c>
      <c r="H396">
        <f>(G396-$AJ$6)/$AK$6</f>
        <v/>
      </c>
      <c r="I396" t="n">
        <v>0</v>
      </c>
      <c r="J396" s="4">
        <f>(I396-$AJ$7)/$AK$7</f>
        <v/>
      </c>
      <c r="K396" t="n">
        <v>0</v>
      </c>
      <c r="L396" s="4">
        <f>(K396-$AJ$8)/$AK$8</f>
        <v/>
      </c>
      <c r="M396" t="n">
        <v>30322</v>
      </c>
      <c r="N396">
        <f>(M396-$AJ$9)/$AK$9</f>
        <v/>
      </c>
      <c r="O396" t="n">
        <v>0.894193337</v>
      </c>
      <c r="P396">
        <f>(O396-$AJ$11)/$AK$11</f>
        <v/>
      </c>
      <c r="Q396" t="n">
        <v>0.2754</v>
      </c>
      <c r="R396">
        <f>(Q396-$AJ$12)/$AK$12</f>
        <v/>
      </c>
      <c r="S396">
        <f>F396*(R396*0.5+P396*0.5)*(H396*0.35+J396*0.35+L396*0.3)</f>
        <v/>
      </c>
      <c r="T396" s="14">
        <f>(S396-$AJ$10)/$AK$10</f>
        <v/>
      </c>
      <c r="U396">
        <f>IF(T396&gt;0.7,"High",IF(T396&gt;0.3,"Moderate",IF(T396&gt;0.15,"Low","No Impact")))</f>
        <v/>
      </c>
      <c r="V396">
        <f>F396*(R396*1)*(H396*0.35+J396*0.35+L396*0.3)</f>
        <v/>
      </c>
      <c r="W396">
        <f>(V396-$AJ$13)/$AK$13</f>
        <v/>
      </c>
      <c r="X396">
        <f>IF(W396&gt;0.7,"High",IF(W396&gt;0.3,"Moderate",IF(W396&gt;0.15,"Low","No Impact")))</f>
        <v/>
      </c>
      <c r="Y396">
        <f>F396*(P396*1)*(H396*0.35+J396*0.35+L396*0.3)</f>
        <v/>
      </c>
      <c r="Z396">
        <f>(Y396-$AJ$14)/$AK$14</f>
        <v/>
      </c>
      <c r="AA396">
        <f>IF(Z396&gt;0.7,"High",IF(Z396&gt;0.3,"Moderate",IF(Z396&gt;0.15,"Low","No Impact")))</f>
        <v/>
      </c>
      <c r="AB396">
        <f>F396*(R396*0.35+P396*0.3+N396*0.35)*(H396*0.35+J396*0.35+L396*0.3)</f>
        <v/>
      </c>
      <c r="AC396">
        <f>(AB396-$AJ$15)/$AK$15</f>
        <v/>
      </c>
      <c r="AD396">
        <f>IF(AC396&gt;0.7,"High",IF(AC396&gt;0.3,"Moderate",IF(AC396&gt;0.15,"Low","No Impact")))</f>
        <v/>
      </c>
      <c r="AE396">
        <f>F396*(N396*1)*(H396*0.35+J396*0.35+L396*0.3)</f>
        <v/>
      </c>
      <c r="AF396">
        <f>(AE396-$AJ$16)/$AK$16</f>
        <v/>
      </c>
      <c r="AG396">
        <f>IF(AF396&gt;0.7,"High",IF(AF396&gt;0.3,"Moderate",IF(AF396&gt;0.15,"Low","No Impact")))</f>
        <v/>
      </c>
    </row>
    <row r="397">
      <c r="A397" t="n">
        <v>506403</v>
      </c>
      <c r="B397" t="inlineStr">
        <is>
          <t>BD506403</t>
        </is>
      </c>
      <c r="C397" t="inlineStr">
        <is>
          <t>Naogaon</t>
        </is>
      </c>
      <c r="D397" t="inlineStr">
        <is>
          <t>Atrai</t>
        </is>
      </c>
      <c r="E397" s="3" t="n">
        <v>6.3</v>
      </c>
      <c r="F397" s="4">
        <f>(E397-$AJ$5)/$AK$5</f>
        <v/>
      </c>
      <c r="G397" t="n">
        <v>60.4765368</v>
      </c>
      <c r="H397">
        <f>(G397-$AJ$6)/$AK$6</f>
        <v/>
      </c>
      <c r="I397" t="n">
        <v>0.1</v>
      </c>
      <c r="J397" s="4">
        <f>(I397-$AJ$7)/$AK$7</f>
        <v/>
      </c>
      <c r="K397" t="n">
        <v>0</v>
      </c>
      <c r="L397" s="4">
        <f>(K397-$AJ$8)/$AK$8</f>
        <v/>
      </c>
      <c r="M397" t="n">
        <v>16370</v>
      </c>
      <c r="N397">
        <f>(M397-$AJ$9)/$AK$9</f>
        <v/>
      </c>
      <c r="O397" t="n">
        <v>0.8256347080000001</v>
      </c>
      <c r="P397">
        <f>(O397-$AJ$11)/$AK$11</f>
        <v/>
      </c>
      <c r="Q397" t="n">
        <v>0.1934</v>
      </c>
      <c r="R397">
        <f>(Q397-$AJ$12)/$AK$12</f>
        <v/>
      </c>
      <c r="S397">
        <f>F397*(R397*0.5+P397*0.5)*(H397*0.35+J397*0.35+L397*0.3)</f>
        <v/>
      </c>
      <c r="T397" s="14">
        <f>(S397-$AJ$10)/$AK$10</f>
        <v/>
      </c>
      <c r="U397">
        <f>IF(T397&gt;0.7,"High",IF(T397&gt;0.3,"Moderate",IF(T397&gt;0.15,"Low","No Impact")))</f>
        <v/>
      </c>
      <c r="V397">
        <f>F397*(R397*1)*(H397*0.35+J397*0.35+L397*0.3)</f>
        <v/>
      </c>
      <c r="W397">
        <f>(V397-$AJ$13)/$AK$13</f>
        <v/>
      </c>
      <c r="X397">
        <f>IF(W397&gt;0.7,"High",IF(W397&gt;0.3,"Moderate",IF(W397&gt;0.15,"Low","No Impact")))</f>
        <v/>
      </c>
      <c r="Y397">
        <f>F397*(P397*1)*(H397*0.35+J397*0.35+L397*0.3)</f>
        <v/>
      </c>
      <c r="Z397">
        <f>(Y397-$AJ$14)/$AK$14</f>
        <v/>
      </c>
      <c r="AA397">
        <f>IF(Z397&gt;0.7,"High",IF(Z397&gt;0.3,"Moderate",IF(Z397&gt;0.15,"Low","No Impact")))</f>
        <v/>
      </c>
      <c r="AB397">
        <f>F397*(R397*0.35+P397*0.3+N397*0.35)*(H397*0.35+J397*0.35+L397*0.3)</f>
        <v/>
      </c>
      <c r="AC397">
        <f>(AB397-$AJ$15)/$AK$15</f>
        <v/>
      </c>
      <c r="AD397">
        <f>IF(AC397&gt;0.7,"High",IF(AC397&gt;0.3,"Moderate",IF(AC397&gt;0.15,"Low","No Impact")))</f>
        <v/>
      </c>
      <c r="AE397">
        <f>F397*(N397*1)*(H397*0.35+J397*0.35+L397*0.3)</f>
        <v/>
      </c>
      <c r="AF397">
        <f>(AE397-$AJ$16)/$AK$16</f>
        <v/>
      </c>
      <c r="AG397">
        <f>IF(AF397&gt;0.7,"High",IF(AF397&gt;0.3,"Moderate",IF(AF397&gt;0.15,"Low","No Impact")))</f>
        <v/>
      </c>
    </row>
    <row r="398">
      <c r="A398" t="n">
        <v>506406</v>
      </c>
      <c r="B398" t="inlineStr">
        <is>
          <t>BD506406</t>
        </is>
      </c>
      <c r="C398" t="inlineStr">
        <is>
          <t>Naogaon</t>
        </is>
      </c>
      <c r="D398" t="inlineStr">
        <is>
          <t>Badalgachhi</t>
        </is>
      </c>
      <c r="E398" s="3" t="n">
        <v>6.3</v>
      </c>
      <c r="F398" s="4">
        <f>(E398-$AJ$5)/$AK$5</f>
        <v/>
      </c>
      <c r="G398" t="n">
        <v>47.331612</v>
      </c>
      <c r="H398">
        <f>(G398-$AJ$6)/$AK$6</f>
        <v/>
      </c>
      <c r="I398" t="n">
        <v>0</v>
      </c>
      <c r="J398" s="4">
        <f>(I398-$AJ$7)/$AK$7</f>
        <v/>
      </c>
      <c r="K398" t="n">
        <v>0</v>
      </c>
      <c r="L398" s="4">
        <f>(K398-$AJ$8)/$AK$8</f>
        <v/>
      </c>
      <c r="M398" t="n">
        <v>16682</v>
      </c>
      <c r="N398">
        <f>(M398-$AJ$9)/$AK$9</f>
        <v/>
      </c>
      <c r="O398" t="n">
        <v>0.753647548</v>
      </c>
      <c r="P398">
        <f>(O398-$AJ$11)/$AK$11</f>
        <v/>
      </c>
      <c r="Q398" t="n">
        <v>0.2442</v>
      </c>
      <c r="R398">
        <f>(Q398-$AJ$12)/$AK$12</f>
        <v/>
      </c>
      <c r="S398">
        <f>F398*(R398*0.5+P398*0.5)*(H398*0.35+J398*0.35+L398*0.3)</f>
        <v/>
      </c>
      <c r="T398" s="14">
        <f>(S398-$AJ$10)/$AK$10</f>
        <v/>
      </c>
      <c r="U398">
        <f>IF(T398&gt;0.7,"High",IF(T398&gt;0.3,"Moderate",IF(T398&gt;0.15,"Low","No Impact")))</f>
        <v/>
      </c>
      <c r="V398">
        <f>F398*(R398*1)*(H398*0.35+J398*0.35+L398*0.3)</f>
        <v/>
      </c>
      <c r="W398">
        <f>(V398-$AJ$13)/$AK$13</f>
        <v/>
      </c>
      <c r="X398">
        <f>IF(W398&gt;0.7,"High",IF(W398&gt;0.3,"Moderate",IF(W398&gt;0.15,"Low","No Impact")))</f>
        <v/>
      </c>
      <c r="Y398">
        <f>F398*(P398*1)*(H398*0.35+J398*0.35+L398*0.3)</f>
        <v/>
      </c>
      <c r="Z398">
        <f>(Y398-$AJ$14)/$AK$14</f>
        <v/>
      </c>
      <c r="AA398">
        <f>IF(Z398&gt;0.7,"High",IF(Z398&gt;0.3,"Moderate",IF(Z398&gt;0.15,"Low","No Impact")))</f>
        <v/>
      </c>
      <c r="AB398">
        <f>F398*(R398*0.35+P398*0.3+N398*0.35)*(H398*0.35+J398*0.35+L398*0.3)</f>
        <v/>
      </c>
      <c r="AC398">
        <f>(AB398-$AJ$15)/$AK$15</f>
        <v/>
      </c>
      <c r="AD398">
        <f>IF(AC398&gt;0.7,"High",IF(AC398&gt;0.3,"Moderate",IF(AC398&gt;0.15,"Low","No Impact")))</f>
        <v/>
      </c>
      <c r="AE398">
        <f>F398*(N398*1)*(H398*0.35+J398*0.35+L398*0.3)</f>
        <v/>
      </c>
      <c r="AF398">
        <f>(AE398-$AJ$16)/$AK$16</f>
        <v/>
      </c>
      <c r="AG398">
        <f>IF(AF398&gt;0.7,"High",IF(AF398&gt;0.3,"Moderate",IF(AF398&gt;0.15,"Low","No Impact")))</f>
        <v/>
      </c>
    </row>
    <row r="399">
      <c r="A399" t="n">
        <v>506428</v>
      </c>
      <c r="B399" t="inlineStr">
        <is>
          <t>BD506428</t>
        </is>
      </c>
      <c r="C399" t="inlineStr">
        <is>
          <t>Naogaon</t>
        </is>
      </c>
      <c r="D399" t="inlineStr">
        <is>
          <t>Dhamoirhat</t>
        </is>
      </c>
      <c r="E399" s="3" t="n">
        <v>6.3</v>
      </c>
      <c r="F399" s="4">
        <f>(E399-$AJ$5)/$AK$5</f>
        <v/>
      </c>
      <c r="G399" t="n">
        <v>47.331612</v>
      </c>
      <c r="H399">
        <f>(G399-$AJ$6)/$AK$6</f>
        <v/>
      </c>
      <c r="I399" t="n">
        <v>0</v>
      </c>
      <c r="J399" s="4">
        <f>(I399-$AJ$7)/$AK$7</f>
        <v/>
      </c>
      <c r="K399" t="n">
        <v>0</v>
      </c>
      <c r="L399" s="4">
        <f>(K399-$AJ$8)/$AK$8</f>
        <v/>
      </c>
      <c r="M399" t="n">
        <v>18479</v>
      </c>
      <c r="N399">
        <f>(M399-$AJ$9)/$AK$9</f>
        <v/>
      </c>
      <c r="O399" t="n">
        <v>0.774114329</v>
      </c>
      <c r="P399">
        <f>(O399-$AJ$11)/$AK$11</f>
        <v/>
      </c>
      <c r="Q399" t="n">
        <v>0.2587</v>
      </c>
      <c r="R399">
        <f>(Q399-$AJ$12)/$AK$12</f>
        <v/>
      </c>
      <c r="S399">
        <f>F399*(R399*0.5+P399*0.5)*(H399*0.35+J399*0.35+L399*0.3)</f>
        <v/>
      </c>
      <c r="T399" s="14">
        <f>(S399-$AJ$10)/$AK$10</f>
        <v/>
      </c>
      <c r="U399">
        <f>IF(T399&gt;0.7,"High",IF(T399&gt;0.3,"Moderate",IF(T399&gt;0.15,"Low","No Impact")))</f>
        <v/>
      </c>
      <c r="V399">
        <f>F399*(R399*1)*(H399*0.35+J399*0.35+L399*0.3)</f>
        <v/>
      </c>
      <c r="W399">
        <f>(V399-$AJ$13)/$AK$13</f>
        <v/>
      </c>
      <c r="X399">
        <f>IF(W399&gt;0.7,"High",IF(W399&gt;0.3,"Moderate",IF(W399&gt;0.15,"Low","No Impact")))</f>
        <v/>
      </c>
      <c r="Y399">
        <f>F399*(P399*1)*(H399*0.35+J399*0.35+L399*0.3)</f>
        <v/>
      </c>
      <c r="Z399">
        <f>(Y399-$AJ$14)/$AK$14</f>
        <v/>
      </c>
      <c r="AA399">
        <f>IF(Z399&gt;0.7,"High",IF(Z399&gt;0.3,"Moderate",IF(Z399&gt;0.15,"Low","No Impact")))</f>
        <v/>
      </c>
      <c r="AB399">
        <f>F399*(R399*0.35+P399*0.3+N399*0.35)*(H399*0.35+J399*0.35+L399*0.3)</f>
        <v/>
      </c>
      <c r="AC399">
        <f>(AB399-$AJ$15)/$AK$15</f>
        <v/>
      </c>
      <c r="AD399">
        <f>IF(AC399&gt;0.7,"High",IF(AC399&gt;0.3,"Moderate",IF(AC399&gt;0.15,"Low","No Impact")))</f>
        <v/>
      </c>
      <c r="AE399">
        <f>F399*(N399*1)*(H399*0.35+J399*0.35+L399*0.3)</f>
        <v/>
      </c>
      <c r="AF399">
        <f>(AE399-$AJ$16)/$AK$16</f>
        <v/>
      </c>
      <c r="AG399">
        <f>IF(AF399&gt;0.7,"High",IF(AF399&gt;0.3,"Moderate",IF(AF399&gt;0.15,"Low","No Impact")))</f>
        <v/>
      </c>
    </row>
    <row r="400">
      <c r="A400" t="n">
        <v>506447</v>
      </c>
      <c r="B400" t="inlineStr">
        <is>
          <t>BD506447</t>
        </is>
      </c>
      <c r="C400" t="inlineStr">
        <is>
          <t>Naogaon</t>
        </is>
      </c>
      <c r="D400" t="inlineStr">
        <is>
          <t>Manda</t>
        </is>
      </c>
      <c r="E400" s="3" t="n">
        <v>6.3</v>
      </c>
      <c r="F400" s="4">
        <f>(E400-$AJ$5)/$AK$5</f>
        <v/>
      </c>
      <c r="G400" t="n">
        <v>60.8280984</v>
      </c>
      <c r="H400">
        <f>(G400-$AJ$6)/$AK$6</f>
        <v/>
      </c>
      <c r="I400" t="n">
        <v>0.1</v>
      </c>
      <c r="J400" s="4">
        <f>(I400-$AJ$7)/$AK$7</f>
        <v/>
      </c>
      <c r="K400" t="n">
        <v>0</v>
      </c>
      <c r="L400" s="4">
        <f>(K400-$AJ$8)/$AK$8</f>
        <v/>
      </c>
      <c r="M400" t="n">
        <v>23845</v>
      </c>
      <c r="N400">
        <f>(M400-$AJ$9)/$AK$9</f>
        <v/>
      </c>
      <c r="O400" t="n">
        <v>0.812616345</v>
      </c>
      <c r="P400">
        <f>(O400-$AJ$11)/$AK$11</f>
        <v/>
      </c>
      <c r="Q400" t="n">
        <v>0.2348</v>
      </c>
      <c r="R400">
        <f>(Q400-$AJ$12)/$AK$12</f>
        <v/>
      </c>
      <c r="S400">
        <f>F400*(R400*0.5+P400*0.5)*(H400*0.35+J400*0.35+L400*0.3)</f>
        <v/>
      </c>
      <c r="T400" s="14">
        <f>(S400-$AJ$10)/$AK$10</f>
        <v/>
      </c>
      <c r="U400">
        <f>IF(T400&gt;0.7,"High",IF(T400&gt;0.3,"Moderate",IF(T400&gt;0.15,"Low","No Impact")))</f>
        <v/>
      </c>
      <c r="V400">
        <f>F400*(R400*1)*(H400*0.35+J400*0.35+L400*0.3)</f>
        <v/>
      </c>
      <c r="W400">
        <f>(V400-$AJ$13)/$AK$13</f>
        <v/>
      </c>
      <c r="X400">
        <f>IF(W400&gt;0.7,"High",IF(W400&gt;0.3,"Moderate",IF(W400&gt;0.15,"Low","No Impact")))</f>
        <v/>
      </c>
      <c r="Y400">
        <f>F400*(P400*1)*(H400*0.35+J400*0.35+L400*0.3)</f>
        <v/>
      </c>
      <c r="Z400">
        <f>(Y400-$AJ$14)/$AK$14</f>
        <v/>
      </c>
      <c r="AA400">
        <f>IF(Z400&gt;0.7,"High",IF(Z400&gt;0.3,"Moderate",IF(Z400&gt;0.15,"Low","No Impact")))</f>
        <v/>
      </c>
      <c r="AB400">
        <f>F400*(R400*0.35+P400*0.3+N400*0.35)*(H400*0.35+J400*0.35+L400*0.3)</f>
        <v/>
      </c>
      <c r="AC400">
        <f>(AB400-$AJ$15)/$AK$15</f>
        <v/>
      </c>
      <c r="AD400">
        <f>IF(AC400&gt;0.7,"High",IF(AC400&gt;0.3,"Moderate",IF(AC400&gt;0.15,"Low","No Impact")))</f>
        <v/>
      </c>
      <c r="AE400">
        <f>F400*(N400*1)*(H400*0.35+J400*0.35+L400*0.3)</f>
        <v/>
      </c>
      <c r="AF400">
        <f>(AE400-$AJ$16)/$AK$16</f>
        <v/>
      </c>
      <c r="AG400">
        <f>IF(AF400&gt;0.7,"High",IF(AF400&gt;0.3,"Moderate",IF(AF400&gt;0.15,"Low","No Impact")))</f>
        <v/>
      </c>
    </row>
    <row r="401">
      <c r="A401" t="n">
        <v>506450</v>
      </c>
      <c r="B401" t="inlineStr">
        <is>
          <t>BD506450</t>
        </is>
      </c>
      <c r="C401" t="inlineStr">
        <is>
          <t>Naogaon</t>
        </is>
      </c>
      <c r="D401" t="inlineStr">
        <is>
          <t>Mahadebpur</t>
        </is>
      </c>
      <c r="E401" s="3" t="n">
        <v>6.3</v>
      </c>
      <c r="F401" s="4">
        <f>(E401-$AJ$5)/$AK$5</f>
        <v/>
      </c>
      <c r="G401" t="n">
        <v>57.1120812</v>
      </c>
      <c r="H401">
        <f>(G401-$AJ$6)/$AK$6</f>
        <v/>
      </c>
      <c r="I401" t="n">
        <v>0</v>
      </c>
      <c r="J401" s="4">
        <f>(I401-$AJ$7)/$AK$7</f>
        <v/>
      </c>
      <c r="K401" t="n">
        <v>0</v>
      </c>
      <c r="L401" s="4">
        <f>(K401-$AJ$8)/$AK$8</f>
        <v/>
      </c>
      <c r="M401" t="n">
        <v>24941</v>
      </c>
      <c r="N401">
        <f>(M401-$AJ$9)/$AK$9</f>
        <v/>
      </c>
      <c r="O401" t="n">
        <v>0.849882579</v>
      </c>
      <c r="P401">
        <f>(O401-$AJ$11)/$AK$11</f>
        <v/>
      </c>
      <c r="Q401" t="n">
        <v>0.2298</v>
      </c>
      <c r="R401">
        <f>(Q401-$AJ$12)/$AK$12</f>
        <v/>
      </c>
      <c r="S401">
        <f>F401*(R401*0.5+P401*0.5)*(H401*0.35+J401*0.35+L401*0.3)</f>
        <v/>
      </c>
      <c r="T401" s="14">
        <f>(S401-$AJ$10)/$AK$10</f>
        <v/>
      </c>
      <c r="U401">
        <f>IF(T401&gt;0.7,"High",IF(T401&gt;0.3,"Moderate",IF(T401&gt;0.15,"Low","No Impact")))</f>
        <v/>
      </c>
      <c r="V401">
        <f>F401*(R401*1)*(H401*0.35+J401*0.35+L401*0.3)</f>
        <v/>
      </c>
      <c r="W401">
        <f>(V401-$AJ$13)/$AK$13</f>
        <v/>
      </c>
      <c r="X401">
        <f>IF(W401&gt;0.7,"High",IF(W401&gt;0.3,"Moderate",IF(W401&gt;0.15,"Low","No Impact")))</f>
        <v/>
      </c>
      <c r="Y401">
        <f>F401*(P401*1)*(H401*0.35+J401*0.35+L401*0.3)</f>
        <v/>
      </c>
      <c r="Z401">
        <f>(Y401-$AJ$14)/$AK$14</f>
        <v/>
      </c>
      <c r="AA401">
        <f>IF(Z401&gt;0.7,"High",IF(Z401&gt;0.3,"Moderate",IF(Z401&gt;0.15,"Low","No Impact")))</f>
        <v/>
      </c>
      <c r="AB401">
        <f>F401*(R401*0.35+P401*0.3+N401*0.35)*(H401*0.35+J401*0.35+L401*0.3)</f>
        <v/>
      </c>
      <c r="AC401">
        <f>(AB401-$AJ$15)/$AK$15</f>
        <v/>
      </c>
      <c r="AD401">
        <f>IF(AC401&gt;0.7,"High",IF(AC401&gt;0.3,"Moderate",IF(AC401&gt;0.15,"Low","No Impact")))</f>
        <v/>
      </c>
      <c r="AE401">
        <f>F401*(N401*1)*(H401*0.35+J401*0.35+L401*0.3)</f>
        <v/>
      </c>
      <c r="AF401">
        <f>(AE401-$AJ$16)/$AK$16</f>
        <v/>
      </c>
      <c r="AG401">
        <f>IF(AF401&gt;0.7,"High",IF(AF401&gt;0.3,"Moderate",IF(AF401&gt;0.15,"Low","No Impact")))</f>
        <v/>
      </c>
    </row>
    <row r="402">
      <c r="A402" t="n">
        <v>506460</v>
      </c>
      <c r="B402" t="inlineStr">
        <is>
          <t>BD506460</t>
        </is>
      </c>
      <c r="C402" t="inlineStr">
        <is>
          <t>Naogaon</t>
        </is>
      </c>
      <c r="D402" t="inlineStr">
        <is>
          <t>Naogaon Sadar</t>
        </is>
      </c>
      <c r="E402" s="3" t="n">
        <v>6.3</v>
      </c>
      <c r="F402" s="4">
        <f>(E402-$AJ$5)/$AK$5</f>
        <v/>
      </c>
      <c r="G402" t="n">
        <v>57.1120812</v>
      </c>
      <c r="H402">
        <f>(G402-$AJ$6)/$AK$6</f>
        <v/>
      </c>
      <c r="I402" t="n">
        <v>0</v>
      </c>
      <c r="J402" s="4">
        <f>(I402-$AJ$7)/$AK$7</f>
        <v/>
      </c>
      <c r="K402" t="n">
        <v>0</v>
      </c>
      <c r="L402" s="4">
        <f>(K402-$AJ$8)/$AK$8</f>
        <v/>
      </c>
      <c r="M402" t="n">
        <v>27111</v>
      </c>
      <c r="N402">
        <f>(M402-$AJ$9)/$AK$9</f>
        <v/>
      </c>
      <c r="O402" t="n">
        <v>0.817794597</v>
      </c>
      <c r="P402">
        <f>(O402-$AJ$11)/$AK$11</f>
        <v/>
      </c>
      <c r="Q402" t="n">
        <v>0.2202</v>
      </c>
      <c r="R402">
        <f>(Q402-$AJ$12)/$AK$12</f>
        <v/>
      </c>
      <c r="S402">
        <f>F402*(R402*0.5+P402*0.5)*(H402*0.35+J402*0.35+L402*0.3)</f>
        <v/>
      </c>
      <c r="T402" s="14">
        <f>(S402-$AJ$10)/$AK$10</f>
        <v/>
      </c>
      <c r="U402">
        <f>IF(T402&gt;0.7,"High",IF(T402&gt;0.3,"Moderate",IF(T402&gt;0.15,"Low","No Impact")))</f>
        <v/>
      </c>
      <c r="V402">
        <f>F402*(R402*1)*(H402*0.35+J402*0.35+L402*0.3)</f>
        <v/>
      </c>
      <c r="W402">
        <f>(V402-$AJ$13)/$AK$13</f>
        <v/>
      </c>
      <c r="X402">
        <f>IF(W402&gt;0.7,"High",IF(W402&gt;0.3,"Moderate",IF(W402&gt;0.15,"Low","No Impact")))</f>
        <v/>
      </c>
      <c r="Y402">
        <f>F402*(P402*1)*(H402*0.35+J402*0.35+L402*0.3)</f>
        <v/>
      </c>
      <c r="Z402">
        <f>(Y402-$AJ$14)/$AK$14</f>
        <v/>
      </c>
      <c r="AA402">
        <f>IF(Z402&gt;0.7,"High",IF(Z402&gt;0.3,"Moderate",IF(Z402&gt;0.15,"Low","No Impact")))</f>
        <v/>
      </c>
      <c r="AB402">
        <f>F402*(R402*0.35+P402*0.3+N402*0.35)*(H402*0.35+J402*0.35+L402*0.3)</f>
        <v/>
      </c>
      <c r="AC402">
        <f>(AB402-$AJ$15)/$AK$15</f>
        <v/>
      </c>
      <c r="AD402">
        <f>IF(AC402&gt;0.7,"High",IF(AC402&gt;0.3,"Moderate",IF(AC402&gt;0.15,"Low","No Impact")))</f>
        <v/>
      </c>
      <c r="AE402">
        <f>F402*(N402*1)*(H402*0.35+J402*0.35+L402*0.3)</f>
        <v/>
      </c>
      <c r="AF402">
        <f>(AE402-$AJ$16)/$AK$16</f>
        <v/>
      </c>
      <c r="AG402">
        <f>IF(AF402&gt;0.7,"High",IF(AF402&gt;0.3,"Moderate",IF(AF402&gt;0.15,"Low","No Impact")))</f>
        <v/>
      </c>
    </row>
    <row r="403">
      <c r="A403" t="n">
        <v>506469</v>
      </c>
      <c r="B403" t="inlineStr">
        <is>
          <t>BD506469</t>
        </is>
      </c>
      <c r="C403" t="inlineStr">
        <is>
          <t>Naogaon</t>
        </is>
      </c>
      <c r="D403" t="inlineStr">
        <is>
          <t>Niamatpur</t>
        </is>
      </c>
      <c r="E403" s="3" t="n">
        <v>6.3</v>
      </c>
      <c r="F403" s="4">
        <f>(E403-$AJ$5)/$AK$5</f>
        <v/>
      </c>
      <c r="G403" t="n">
        <v>57.1120812</v>
      </c>
      <c r="H403">
        <f>(G403-$AJ$6)/$AK$6</f>
        <v/>
      </c>
      <c r="I403" t="n">
        <v>0</v>
      </c>
      <c r="J403" s="4">
        <f>(I403-$AJ$7)/$AK$7</f>
        <v/>
      </c>
      <c r="K403" t="n">
        <v>0</v>
      </c>
      <c r="L403" s="4">
        <f>(K403-$AJ$8)/$AK$8</f>
        <v/>
      </c>
      <c r="M403" t="n">
        <v>14414</v>
      </c>
      <c r="N403">
        <f>(M403-$AJ$9)/$AK$9</f>
        <v/>
      </c>
      <c r="O403" t="n">
        <v>0.820304547</v>
      </c>
      <c r="P403">
        <f>(O403-$AJ$11)/$AK$11</f>
        <v/>
      </c>
      <c r="Q403" t="n">
        <v>0.2201</v>
      </c>
      <c r="R403">
        <f>(Q403-$AJ$12)/$AK$12</f>
        <v/>
      </c>
      <c r="S403">
        <f>F403*(R403*0.5+P403*0.5)*(H403*0.35+J403*0.35+L403*0.3)</f>
        <v/>
      </c>
      <c r="T403" s="14">
        <f>(S403-$AJ$10)/$AK$10</f>
        <v/>
      </c>
      <c r="U403">
        <f>IF(T403&gt;0.7,"High",IF(T403&gt;0.3,"Moderate",IF(T403&gt;0.15,"Low","No Impact")))</f>
        <v/>
      </c>
      <c r="V403">
        <f>F403*(R403*1)*(H403*0.35+J403*0.35+L403*0.3)</f>
        <v/>
      </c>
      <c r="W403">
        <f>(V403-$AJ$13)/$AK$13</f>
        <v/>
      </c>
      <c r="X403">
        <f>IF(W403&gt;0.7,"High",IF(W403&gt;0.3,"Moderate",IF(W403&gt;0.15,"Low","No Impact")))</f>
        <v/>
      </c>
      <c r="Y403">
        <f>F403*(P403*1)*(H403*0.35+J403*0.35+L403*0.3)</f>
        <v/>
      </c>
      <c r="Z403">
        <f>(Y403-$AJ$14)/$AK$14</f>
        <v/>
      </c>
      <c r="AA403">
        <f>IF(Z403&gt;0.7,"High",IF(Z403&gt;0.3,"Moderate",IF(Z403&gt;0.15,"Low","No Impact")))</f>
        <v/>
      </c>
      <c r="AB403">
        <f>F403*(R403*0.35+P403*0.3+N403*0.35)*(H403*0.35+J403*0.35+L403*0.3)</f>
        <v/>
      </c>
      <c r="AC403">
        <f>(AB403-$AJ$15)/$AK$15</f>
        <v/>
      </c>
      <c r="AD403">
        <f>IF(AC403&gt;0.7,"High",IF(AC403&gt;0.3,"Moderate",IF(AC403&gt;0.15,"Low","No Impact")))</f>
        <v/>
      </c>
      <c r="AE403">
        <f>F403*(N403*1)*(H403*0.35+J403*0.35+L403*0.3)</f>
        <v/>
      </c>
      <c r="AF403">
        <f>(AE403-$AJ$16)/$AK$16</f>
        <v/>
      </c>
      <c r="AG403">
        <f>IF(AF403&gt;0.7,"High",IF(AF403&gt;0.3,"Moderate",IF(AF403&gt;0.15,"Low","No Impact")))</f>
        <v/>
      </c>
    </row>
    <row r="404">
      <c r="A404" t="n">
        <v>506475</v>
      </c>
      <c r="B404" t="inlineStr">
        <is>
          <t>BD506475</t>
        </is>
      </c>
      <c r="C404" t="inlineStr">
        <is>
          <t>Naogaon</t>
        </is>
      </c>
      <c r="D404" t="inlineStr">
        <is>
          <t>Patnitala</t>
        </is>
      </c>
      <c r="E404" s="3" t="n">
        <v>6.3</v>
      </c>
      <c r="F404" s="4">
        <f>(E404-$AJ$5)/$AK$5</f>
        <v/>
      </c>
      <c r="G404" t="n">
        <v>47.331612</v>
      </c>
      <c r="H404">
        <f>(G404-$AJ$6)/$AK$6</f>
        <v/>
      </c>
      <c r="I404" t="n">
        <v>0</v>
      </c>
      <c r="J404" s="4">
        <f>(I404-$AJ$7)/$AK$7</f>
        <v/>
      </c>
      <c r="K404" t="n">
        <v>0</v>
      </c>
      <c r="L404" s="4">
        <f>(K404-$AJ$8)/$AK$8</f>
        <v/>
      </c>
      <c r="M404" t="n">
        <v>24149</v>
      </c>
      <c r="N404">
        <f>(M404-$AJ$9)/$AK$9</f>
        <v/>
      </c>
      <c r="O404" t="n">
        <v>0.824001328</v>
      </c>
      <c r="P404">
        <f>(O404-$AJ$11)/$AK$11</f>
        <v/>
      </c>
      <c r="Q404" t="n">
        <v>0.2551</v>
      </c>
      <c r="R404">
        <f>(Q404-$AJ$12)/$AK$12</f>
        <v/>
      </c>
      <c r="S404">
        <f>F404*(R404*0.5+P404*0.5)*(H404*0.35+J404*0.35+L404*0.3)</f>
        <v/>
      </c>
      <c r="T404" s="14">
        <f>(S404-$AJ$10)/$AK$10</f>
        <v/>
      </c>
      <c r="U404">
        <f>IF(T404&gt;0.7,"High",IF(T404&gt;0.3,"Moderate",IF(T404&gt;0.15,"Low","No Impact")))</f>
        <v/>
      </c>
      <c r="V404">
        <f>F404*(R404*1)*(H404*0.35+J404*0.35+L404*0.3)</f>
        <v/>
      </c>
      <c r="W404">
        <f>(V404-$AJ$13)/$AK$13</f>
        <v/>
      </c>
      <c r="X404">
        <f>IF(W404&gt;0.7,"High",IF(W404&gt;0.3,"Moderate",IF(W404&gt;0.15,"Low","No Impact")))</f>
        <v/>
      </c>
      <c r="Y404">
        <f>F404*(P404*1)*(H404*0.35+J404*0.35+L404*0.3)</f>
        <v/>
      </c>
      <c r="Z404">
        <f>(Y404-$AJ$14)/$AK$14</f>
        <v/>
      </c>
      <c r="AA404">
        <f>IF(Z404&gt;0.7,"High",IF(Z404&gt;0.3,"Moderate",IF(Z404&gt;0.15,"Low","No Impact")))</f>
        <v/>
      </c>
      <c r="AB404">
        <f>F404*(R404*0.35+P404*0.3+N404*0.35)*(H404*0.35+J404*0.35+L404*0.3)</f>
        <v/>
      </c>
      <c r="AC404">
        <f>(AB404-$AJ$15)/$AK$15</f>
        <v/>
      </c>
      <c r="AD404">
        <f>IF(AC404&gt;0.7,"High",IF(AC404&gt;0.3,"Moderate",IF(AC404&gt;0.15,"Low","No Impact")))</f>
        <v/>
      </c>
      <c r="AE404">
        <f>F404*(N404*1)*(H404*0.35+J404*0.35+L404*0.3)</f>
        <v/>
      </c>
      <c r="AF404">
        <f>(AE404-$AJ$16)/$AK$16</f>
        <v/>
      </c>
      <c r="AG404">
        <f>IF(AF404&gt;0.7,"High",IF(AF404&gt;0.3,"Moderate",IF(AF404&gt;0.15,"Low","No Impact")))</f>
        <v/>
      </c>
    </row>
    <row r="405">
      <c r="A405" t="n">
        <v>506479</v>
      </c>
      <c r="B405" t="inlineStr">
        <is>
          <t>BD506479</t>
        </is>
      </c>
      <c r="C405" t="inlineStr">
        <is>
          <t>Naogaon</t>
        </is>
      </c>
      <c r="D405" t="inlineStr">
        <is>
          <t>Porsha</t>
        </is>
      </c>
      <c r="E405" s="3" t="n">
        <v>6.3</v>
      </c>
      <c r="F405" s="4">
        <f>(E405-$AJ$5)/$AK$5</f>
        <v/>
      </c>
      <c r="G405" t="n">
        <v>47.331612</v>
      </c>
      <c r="H405">
        <f>(G405-$AJ$6)/$AK$6</f>
        <v/>
      </c>
      <c r="I405" t="n">
        <v>0</v>
      </c>
      <c r="J405" s="4">
        <f>(I405-$AJ$7)/$AK$7</f>
        <v/>
      </c>
      <c r="K405" t="n">
        <v>0</v>
      </c>
      <c r="L405" s="4">
        <f>(K405-$AJ$8)/$AK$8</f>
        <v/>
      </c>
      <c r="M405" t="n">
        <v>11888</v>
      </c>
      <c r="N405">
        <f>(M405-$AJ$9)/$AK$9</f>
        <v/>
      </c>
      <c r="O405" t="n">
        <v>0.696209681</v>
      </c>
      <c r="P405">
        <f>(O405-$AJ$11)/$AK$11</f>
        <v/>
      </c>
      <c r="Q405" t="n">
        <v>0.2207</v>
      </c>
      <c r="R405">
        <f>(Q405-$AJ$12)/$AK$12</f>
        <v/>
      </c>
      <c r="S405">
        <f>F405*(R405*0.5+P405*0.5)*(H405*0.35+J405*0.35+L405*0.3)</f>
        <v/>
      </c>
      <c r="T405" s="14">
        <f>(S405-$AJ$10)/$AK$10</f>
        <v/>
      </c>
      <c r="U405">
        <f>IF(T405&gt;0.7,"High",IF(T405&gt;0.3,"Moderate",IF(T405&gt;0.15,"Low","No Impact")))</f>
        <v/>
      </c>
      <c r="V405">
        <f>F405*(R405*1)*(H405*0.35+J405*0.35+L405*0.3)</f>
        <v/>
      </c>
      <c r="W405">
        <f>(V405-$AJ$13)/$AK$13</f>
        <v/>
      </c>
      <c r="X405">
        <f>IF(W405&gt;0.7,"High",IF(W405&gt;0.3,"Moderate",IF(W405&gt;0.15,"Low","No Impact")))</f>
        <v/>
      </c>
      <c r="Y405">
        <f>F405*(P405*1)*(H405*0.35+J405*0.35+L405*0.3)</f>
        <v/>
      </c>
      <c r="Z405">
        <f>(Y405-$AJ$14)/$AK$14</f>
        <v/>
      </c>
      <c r="AA405">
        <f>IF(Z405&gt;0.7,"High",IF(Z405&gt;0.3,"Moderate",IF(Z405&gt;0.15,"Low","No Impact")))</f>
        <v/>
      </c>
      <c r="AB405">
        <f>F405*(R405*0.35+P405*0.3+N405*0.35)*(H405*0.35+J405*0.35+L405*0.3)</f>
        <v/>
      </c>
      <c r="AC405">
        <f>(AB405-$AJ$15)/$AK$15</f>
        <v/>
      </c>
      <c r="AD405">
        <f>IF(AC405&gt;0.7,"High",IF(AC405&gt;0.3,"Moderate",IF(AC405&gt;0.15,"Low","No Impact")))</f>
        <v/>
      </c>
      <c r="AE405">
        <f>F405*(N405*1)*(H405*0.35+J405*0.35+L405*0.3)</f>
        <v/>
      </c>
      <c r="AF405">
        <f>(AE405-$AJ$16)/$AK$16</f>
        <v/>
      </c>
      <c r="AG405">
        <f>IF(AF405&gt;0.7,"High",IF(AF405&gt;0.3,"Moderate",IF(AF405&gt;0.15,"Low","No Impact")))</f>
        <v/>
      </c>
    </row>
    <row r="406">
      <c r="A406" t="n">
        <v>506485</v>
      </c>
      <c r="B406" t="inlineStr">
        <is>
          <t>BD506485</t>
        </is>
      </c>
      <c r="C406" t="inlineStr">
        <is>
          <t>Naogaon</t>
        </is>
      </c>
      <c r="D406" t="inlineStr">
        <is>
          <t>Raninagar</t>
        </is>
      </c>
      <c r="E406" s="3" t="n">
        <v>6.3</v>
      </c>
      <c r="F406" s="4">
        <f>(E406-$AJ$5)/$AK$5</f>
        <v/>
      </c>
      <c r="G406" t="n">
        <v>57.1120812</v>
      </c>
      <c r="H406">
        <f>(G406-$AJ$6)/$AK$6</f>
        <v/>
      </c>
      <c r="I406" t="n">
        <v>0</v>
      </c>
      <c r="J406" s="4">
        <f>(I406-$AJ$7)/$AK$7</f>
        <v/>
      </c>
      <c r="K406" t="n">
        <v>0</v>
      </c>
      <c r="L406" s="4">
        <f>(K406-$AJ$8)/$AK$8</f>
        <v/>
      </c>
      <c r="M406" t="n">
        <v>16424</v>
      </c>
      <c r="N406">
        <f>(M406-$AJ$9)/$AK$9</f>
        <v/>
      </c>
      <c r="O406" t="n">
        <v>0.542628707</v>
      </c>
      <c r="P406">
        <f>(O406-$AJ$11)/$AK$11</f>
        <v/>
      </c>
      <c r="Q406" t="n">
        <v>0.1963</v>
      </c>
      <c r="R406">
        <f>(Q406-$AJ$12)/$AK$12</f>
        <v/>
      </c>
      <c r="S406">
        <f>F406*(R406*0.5+P406*0.5)*(H406*0.35+J406*0.35+L406*0.3)</f>
        <v/>
      </c>
      <c r="T406" s="14">
        <f>(S406-$AJ$10)/$AK$10</f>
        <v/>
      </c>
      <c r="U406">
        <f>IF(T406&gt;0.7,"High",IF(T406&gt;0.3,"Moderate",IF(T406&gt;0.15,"Low","No Impact")))</f>
        <v/>
      </c>
      <c r="V406">
        <f>F406*(R406*1)*(H406*0.35+J406*0.35+L406*0.3)</f>
        <v/>
      </c>
      <c r="W406">
        <f>(V406-$AJ$13)/$AK$13</f>
        <v/>
      </c>
      <c r="X406">
        <f>IF(W406&gt;0.7,"High",IF(W406&gt;0.3,"Moderate",IF(W406&gt;0.15,"Low","No Impact")))</f>
        <v/>
      </c>
      <c r="Y406">
        <f>F406*(P406*1)*(H406*0.35+J406*0.35+L406*0.3)</f>
        <v/>
      </c>
      <c r="Z406">
        <f>(Y406-$AJ$14)/$AK$14</f>
        <v/>
      </c>
      <c r="AA406">
        <f>IF(Z406&gt;0.7,"High",IF(Z406&gt;0.3,"Moderate",IF(Z406&gt;0.15,"Low","No Impact")))</f>
        <v/>
      </c>
      <c r="AB406">
        <f>F406*(R406*0.35+P406*0.3+N406*0.35)*(H406*0.35+J406*0.35+L406*0.3)</f>
        <v/>
      </c>
      <c r="AC406">
        <f>(AB406-$AJ$15)/$AK$15</f>
        <v/>
      </c>
      <c r="AD406">
        <f>IF(AC406&gt;0.7,"High",IF(AC406&gt;0.3,"Moderate",IF(AC406&gt;0.15,"Low","No Impact")))</f>
        <v/>
      </c>
      <c r="AE406">
        <f>F406*(N406*1)*(H406*0.35+J406*0.35+L406*0.3)</f>
        <v/>
      </c>
      <c r="AF406">
        <f>(AE406-$AJ$16)/$AK$16</f>
        <v/>
      </c>
      <c r="AG406">
        <f>IF(AF406&gt;0.7,"High",IF(AF406&gt;0.3,"Moderate",IF(AF406&gt;0.15,"Low","No Impact")))</f>
        <v/>
      </c>
    </row>
    <row r="407">
      <c r="A407" t="n">
        <v>506486</v>
      </c>
      <c r="B407" t="inlineStr">
        <is>
          <t>BD506486</t>
        </is>
      </c>
      <c r="C407" t="inlineStr">
        <is>
          <t>Naogaon</t>
        </is>
      </c>
      <c r="D407" t="inlineStr">
        <is>
          <t>Sapahar</t>
        </is>
      </c>
      <c r="E407" s="3" t="n">
        <v>6.2</v>
      </c>
      <c r="F407" s="4">
        <f>(E407-$AJ$5)/$AK$5</f>
        <v/>
      </c>
      <c r="G407" t="n">
        <v>47.331612</v>
      </c>
      <c r="H407">
        <f>(G407-$AJ$6)/$AK$6</f>
        <v/>
      </c>
      <c r="I407" t="n">
        <v>0</v>
      </c>
      <c r="J407" s="4">
        <f>(I407-$AJ$7)/$AK$7</f>
        <v/>
      </c>
      <c r="K407" t="n">
        <v>0</v>
      </c>
      <c r="L407" s="4">
        <f>(K407-$AJ$8)/$AK$8</f>
        <v/>
      </c>
      <c r="M407" t="n">
        <v>21186</v>
      </c>
      <c r="N407">
        <f>(M407-$AJ$9)/$AK$9</f>
        <v/>
      </c>
      <c r="O407" t="n">
        <v>0.896988276</v>
      </c>
      <c r="P407">
        <f>(O407-$AJ$11)/$AK$11</f>
        <v/>
      </c>
      <c r="Q407" t="n">
        <v>0.25</v>
      </c>
      <c r="R407">
        <f>(Q407-$AJ$12)/$AK$12</f>
        <v/>
      </c>
      <c r="S407">
        <f>F407*(R407*0.5+P407*0.5)*(H407*0.35+J407*0.35+L407*0.3)</f>
        <v/>
      </c>
      <c r="T407" s="14">
        <f>(S407-$AJ$10)/$AK$10</f>
        <v/>
      </c>
      <c r="U407">
        <f>IF(T407&gt;0.7,"High",IF(T407&gt;0.3,"Moderate",IF(T407&gt;0.15,"Low","No Impact")))</f>
        <v/>
      </c>
      <c r="V407">
        <f>F407*(R407*1)*(H407*0.35+J407*0.35+L407*0.3)</f>
        <v/>
      </c>
      <c r="W407">
        <f>(V407-$AJ$13)/$AK$13</f>
        <v/>
      </c>
      <c r="X407">
        <f>IF(W407&gt;0.7,"High",IF(W407&gt;0.3,"Moderate",IF(W407&gt;0.15,"Low","No Impact")))</f>
        <v/>
      </c>
      <c r="Y407">
        <f>F407*(P407*1)*(H407*0.35+J407*0.35+L407*0.3)</f>
        <v/>
      </c>
      <c r="Z407">
        <f>(Y407-$AJ$14)/$AK$14</f>
        <v/>
      </c>
      <c r="AA407">
        <f>IF(Z407&gt;0.7,"High",IF(Z407&gt;0.3,"Moderate",IF(Z407&gt;0.15,"Low","No Impact")))</f>
        <v/>
      </c>
      <c r="AB407">
        <f>F407*(R407*0.35+P407*0.3+N407*0.35)*(H407*0.35+J407*0.35+L407*0.3)</f>
        <v/>
      </c>
      <c r="AC407">
        <f>(AB407-$AJ$15)/$AK$15</f>
        <v/>
      </c>
      <c r="AD407">
        <f>IF(AC407&gt;0.7,"High",IF(AC407&gt;0.3,"Moderate",IF(AC407&gt;0.15,"Low","No Impact")))</f>
        <v/>
      </c>
      <c r="AE407">
        <f>F407*(N407*1)*(H407*0.35+J407*0.35+L407*0.3)</f>
        <v/>
      </c>
      <c r="AF407">
        <f>(AE407-$AJ$16)/$AK$16</f>
        <v/>
      </c>
      <c r="AG407">
        <f>IF(AF407&gt;0.7,"High",IF(AF407&gt;0.3,"Moderate",IF(AF407&gt;0.15,"Low","No Impact")))</f>
        <v/>
      </c>
    </row>
    <row r="408">
      <c r="A408" t="n">
        <v>506909</v>
      </c>
      <c r="B408" t="inlineStr">
        <is>
          <t>BD506909</t>
        </is>
      </c>
      <c r="C408" t="inlineStr">
        <is>
          <t>Natore</t>
        </is>
      </c>
      <c r="D408" t="inlineStr">
        <is>
          <t>Bagati Para</t>
        </is>
      </c>
      <c r="E408" s="3" t="n">
        <v>5.8</v>
      </c>
      <c r="F408" s="4">
        <f>(E408-$AJ$5)/$AK$5</f>
        <v/>
      </c>
      <c r="G408" t="n">
        <v>66.5761464</v>
      </c>
      <c r="H408">
        <f>(G408-$AJ$6)/$AK$6</f>
        <v/>
      </c>
      <c r="I408" t="n">
        <v>2.6</v>
      </c>
      <c r="J408" s="4">
        <f>(I408-$AJ$7)/$AK$7</f>
        <v/>
      </c>
      <c r="K408" t="n">
        <v>0</v>
      </c>
      <c r="L408" s="4">
        <f>(K408-$AJ$8)/$AK$8</f>
        <v/>
      </c>
      <c r="M408" t="n">
        <v>16182</v>
      </c>
      <c r="N408">
        <f>(M408-$AJ$9)/$AK$9</f>
        <v/>
      </c>
      <c r="O408" t="n">
        <v>0.417964479</v>
      </c>
      <c r="P408">
        <f>(O408-$AJ$11)/$AK$11</f>
        <v/>
      </c>
      <c r="Q408" t="n">
        <v>0.2645</v>
      </c>
      <c r="R408">
        <f>(Q408-$AJ$12)/$AK$12</f>
        <v/>
      </c>
      <c r="S408">
        <f>F408*(R408*0.5+P408*0.5)*(H408*0.35+J408*0.35+L408*0.3)</f>
        <v/>
      </c>
      <c r="T408" s="14">
        <f>(S408-$AJ$10)/$AK$10</f>
        <v/>
      </c>
      <c r="U408">
        <f>IF(T408&gt;0.7,"High",IF(T408&gt;0.3,"Moderate",IF(T408&gt;0.15,"Low","No Impact")))</f>
        <v/>
      </c>
      <c r="V408">
        <f>F408*(R408*1)*(H408*0.35+J408*0.35+L408*0.3)</f>
        <v/>
      </c>
      <c r="W408">
        <f>(V408-$AJ$13)/$AK$13</f>
        <v/>
      </c>
      <c r="X408">
        <f>IF(W408&gt;0.7,"High",IF(W408&gt;0.3,"Moderate",IF(W408&gt;0.15,"Low","No Impact")))</f>
        <v/>
      </c>
      <c r="Y408">
        <f>F408*(P408*1)*(H408*0.35+J408*0.35+L408*0.3)</f>
        <v/>
      </c>
      <c r="Z408">
        <f>(Y408-$AJ$14)/$AK$14</f>
        <v/>
      </c>
      <c r="AA408">
        <f>IF(Z408&gt;0.7,"High",IF(Z408&gt;0.3,"Moderate",IF(Z408&gt;0.15,"Low","No Impact")))</f>
        <v/>
      </c>
      <c r="AB408">
        <f>F408*(R408*0.35+P408*0.3+N408*0.35)*(H408*0.35+J408*0.35+L408*0.3)</f>
        <v/>
      </c>
      <c r="AC408">
        <f>(AB408-$AJ$15)/$AK$15</f>
        <v/>
      </c>
      <c r="AD408">
        <f>IF(AC408&gt;0.7,"High",IF(AC408&gt;0.3,"Moderate",IF(AC408&gt;0.15,"Low","No Impact")))</f>
        <v/>
      </c>
      <c r="AE408">
        <f>F408*(N408*1)*(H408*0.35+J408*0.35+L408*0.3)</f>
        <v/>
      </c>
      <c r="AF408">
        <f>(AE408-$AJ$16)/$AK$16</f>
        <v/>
      </c>
      <c r="AG408">
        <f>IF(AF408&gt;0.7,"High",IF(AF408&gt;0.3,"Moderate",IF(AF408&gt;0.15,"Low","No Impact")))</f>
        <v/>
      </c>
    </row>
    <row r="409">
      <c r="A409" t="n">
        <v>506915</v>
      </c>
      <c r="B409" t="inlineStr">
        <is>
          <t>BD506915</t>
        </is>
      </c>
      <c r="C409" t="inlineStr">
        <is>
          <t>Natore</t>
        </is>
      </c>
      <c r="D409" t="inlineStr">
        <is>
          <t>Baraigram</t>
        </is>
      </c>
      <c r="E409" s="3" t="n">
        <v>6.5</v>
      </c>
      <c r="F409" s="4">
        <f>(E409-$AJ$5)/$AK$5</f>
        <v/>
      </c>
      <c r="G409" t="n">
        <v>65.21911200000001</v>
      </c>
      <c r="H409">
        <f>(G409-$AJ$6)/$AK$6</f>
        <v/>
      </c>
      <c r="I409" t="n">
        <v>2.4</v>
      </c>
      <c r="J409" s="4">
        <f>(I409-$AJ$7)/$AK$7</f>
        <v/>
      </c>
      <c r="K409" t="n">
        <v>0</v>
      </c>
      <c r="L409" s="4">
        <f>(K409-$AJ$8)/$AK$8</f>
        <v/>
      </c>
      <c r="M409" t="n">
        <v>28067</v>
      </c>
      <c r="N409">
        <f>(M409-$AJ$9)/$AK$9</f>
        <v/>
      </c>
      <c r="O409" t="n">
        <v>0.481199699</v>
      </c>
      <c r="P409">
        <f>(O409-$AJ$11)/$AK$11</f>
        <v/>
      </c>
      <c r="Q409" t="n">
        <v>0.2388</v>
      </c>
      <c r="R409">
        <f>(Q409-$AJ$12)/$AK$12</f>
        <v/>
      </c>
      <c r="S409">
        <f>F409*(R409*0.5+P409*0.5)*(H409*0.35+J409*0.35+L409*0.3)</f>
        <v/>
      </c>
      <c r="T409" s="14">
        <f>(S409-$AJ$10)/$AK$10</f>
        <v/>
      </c>
      <c r="U409">
        <f>IF(T409&gt;0.7,"High",IF(T409&gt;0.3,"Moderate",IF(T409&gt;0.15,"Low","No Impact")))</f>
        <v/>
      </c>
      <c r="V409">
        <f>F409*(R409*1)*(H409*0.35+J409*0.35+L409*0.3)</f>
        <v/>
      </c>
      <c r="W409">
        <f>(V409-$AJ$13)/$AK$13</f>
        <v/>
      </c>
      <c r="X409">
        <f>IF(W409&gt;0.7,"High",IF(W409&gt;0.3,"Moderate",IF(W409&gt;0.15,"Low","No Impact")))</f>
        <v/>
      </c>
      <c r="Y409">
        <f>F409*(P409*1)*(H409*0.35+J409*0.35+L409*0.3)</f>
        <v/>
      </c>
      <c r="Z409">
        <f>(Y409-$AJ$14)/$AK$14</f>
        <v/>
      </c>
      <c r="AA409">
        <f>IF(Z409&gt;0.7,"High",IF(Z409&gt;0.3,"Moderate",IF(Z409&gt;0.15,"Low","No Impact")))</f>
        <v/>
      </c>
      <c r="AB409">
        <f>F409*(R409*0.35+P409*0.3+N409*0.35)*(H409*0.35+J409*0.35+L409*0.3)</f>
        <v/>
      </c>
      <c r="AC409">
        <f>(AB409-$AJ$15)/$AK$15</f>
        <v/>
      </c>
      <c r="AD409">
        <f>IF(AC409&gt;0.7,"High",IF(AC409&gt;0.3,"Moderate",IF(AC409&gt;0.15,"Low","No Impact")))</f>
        <v/>
      </c>
      <c r="AE409">
        <f>F409*(N409*1)*(H409*0.35+J409*0.35+L409*0.3)</f>
        <v/>
      </c>
      <c r="AF409">
        <f>(AE409-$AJ$16)/$AK$16</f>
        <v/>
      </c>
      <c r="AG409">
        <f>IF(AF409&gt;0.7,"High",IF(AF409&gt;0.3,"Moderate",IF(AF409&gt;0.15,"Low","No Impact")))</f>
        <v/>
      </c>
    </row>
    <row r="410">
      <c r="A410" t="n">
        <v>506941</v>
      </c>
      <c r="B410" t="inlineStr">
        <is>
          <t>BD506941</t>
        </is>
      </c>
      <c r="C410" t="inlineStr">
        <is>
          <t>Natore</t>
        </is>
      </c>
      <c r="D410" t="inlineStr">
        <is>
          <t>Gurudaspur</t>
        </is>
      </c>
      <c r="E410" s="3" t="n">
        <v>6.5</v>
      </c>
      <c r="F410" s="4">
        <f>(E410-$AJ$5)/$AK$5</f>
        <v/>
      </c>
      <c r="G410" t="n">
        <v>65.21911200000001</v>
      </c>
      <c r="H410">
        <f>(G410-$AJ$6)/$AK$6</f>
        <v/>
      </c>
      <c r="I410" t="n">
        <v>1.2</v>
      </c>
      <c r="J410" s="4">
        <f>(I410-$AJ$7)/$AK$7</f>
        <v/>
      </c>
      <c r="K410" t="n">
        <v>0</v>
      </c>
      <c r="L410" s="4">
        <f>(K410-$AJ$8)/$AK$8</f>
        <v/>
      </c>
      <c r="M410" t="n">
        <v>24217</v>
      </c>
      <c r="N410">
        <f>(M410-$AJ$9)/$AK$9</f>
        <v/>
      </c>
      <c r="O410" t="n">
        <v>0.457814984</v>
      </c>
      <c r="P410">
        <f>(O410-$AJ$11)/$AK$11</f>
        <v/>
      </c>
      <c r="Q410" t="n">
        <v>0.2309</v>
      </c>
      <c r="R410">
        <f>(Q410-$AJ$12)/$AK$12</f>
        <v/>
      </c>
      <c r="S410">
        <f>F410*(R410*0.5+P410*0.5)*(H410*0.35+J410*0.35+L410*0.3)</f>
        <v/>
      </c>
      <c r="T410" s="14">
        <f>(S410-$AJ$10)/$AK$10</f>
        <v/>
      </c>
      <c r="U410">
        <f>IF(T410&gt;0.7,"High",IF(T410&gt;0.3,"Moderate",IF(T410&gt;0.15,"Low","No Impact")))</f>
        <v/>
      </c>
      <c r="V410">
        <f>F410*(R410*1)*(H410*0.35+J410*0.35+L410*0.3)</f>
        <v/>
      </c>
      <c r="W410">
        <f>(V410-$AJ$13)/$AK$13</f>
        <v/>
      </c>
      <c r="X410">
        <f>IF(W410&gt;0.7,"High",IF(W410&gt;0.3,"Moderate",IF(W410&gt;0.15,"Low","No Impact")))</f>
        <v/>
      </c>
      <c r="Y410">
        <f>F410*(P410*1)*(H410*0.35+J410*0.35+L410*0.3)</f>
        <v/>
      </c>
      <c r="Z410">
        <f>(Y410-$AJ$14)/$AK$14</f>
        <v/>
      </c>
      <c r="AA410">
        <f>IF(Z410&gt;0.7,"High",IF(Z410&gt;0.3,"Moderate",IF(Z410&gt;0.15,"Low","No Impact")))</f>
        <v/>
      </c>
      <c r="AB410">
        <f>F410*(R410*0.35+P410*0.3+N410*0.35)*(H410*0.35+J410*0.35+L410*0.3)</f>
        <v/>
      </c>
      <c r="AC410">
        <f>(AB410-$AJ$15)/$AK$15</f>
        <v/>
      </c>
      <c r="AD410">
        <f>IF(AC410&gt;0.7,"High",IF(AC410&gt;0.3,"Moderate",IF(AC410&gt;0.15,"Low","No Impact")))</f>
        <v/>
      </c>
      <c r="AE410">
        <f>F410*(N410*1)*(H410*0.35+J410*0.35+L410*0.3)</f>
        <v/>
      </c>
      <c r="AF410">
        <f>(AE410-$AJ$16)/$AK$16</f>
        <v/>
      </c>
      <c r="AG410">
        <f>IF(AF410&gt;0.7,"High",IF(AF410&gt;0.3,"Moderate",IF(AF410&gt;0.15,"Low","No Impact")))</f>
        <v/>
      </c>
    </row>
    <row r="411">
      <c r="A411" t="n">
        <v>506944</v>
      </c>
      <c r="B411" t="inlineStr">
        <is>
          <t>BD506944</t>
        </is>
      </c>
      <c r="C411" t="inlineStr">
        <is>
          <t>Natore</t>
        </is>
      </c>
      <c r="D411" t="inlineStr">
        <is>
          <t>Lalpur</t>
        </is>
      </c>
      <c r="E411" s="3" t="n">
        <v>6.5</v>
      </c>
      <c r="F411" s="4">
        <f>(E411-$AJ$5)/$AK$5</f>
        <v/>
      </c>
      <c r="G411" t="n">
        <v>82.9413792</v>
      </c>
      <c r="H411">
        <f>(G411-$AJ$6)/$AK$6</f>
        <v/>
      </c>
      <c r="I411" t="n">
        <v>7.9</v>
      </c>
      <c r="J411" s="4">
        <f>(I411-$AJ$7)/$AK$7</f>
        <v/>
      </c>
      <c r="K411" t="n">
        <v>0</v>
      </c>
      <c r="L411" s="4">
        <f>(K411-$AJ$8)/$AK$8</f>
        <v/>
      </c>
      <c r="M411" t="n">
        <v>32668</v>
      </c>
      <c r="N411">
        <f>(M411-$AJ$9)/$AK$9</f>
        <v/>
      </c>
      <c r="O411" t="n">
        <v>0.705817849</v>
      </c>
      <c r="P411">
        <f>(O411-$AJ$11)/$AK$11</f>
        <v/>
      </c>
      <c r="Q411" t="n">
        <v>0.2377</v>
      </c>
      <c r="R411">
        <f>(Q411-$AJ$12)/$AK$12</f>
        <v/>
      </c>
      <c r="S411">
        <f>F411*(R411*0.5+P411*0.5)*(H411*0.35+J411*0.35+L411*0.3)</f>
        <v/>
      </c>
      <c r="T411" s="14">
        <f>(S411-$AJ$10)/$AK$10</f>
        <v/>
      </c>
      <c r="U411">
        <f>IF(T411&gt;0.7,"High",IF(T411&gt;0.3,"Moderate",IF(T411&gt;0.15,"Low","No Impact")))</f>
        <v/>
      </c>
      <c r="V411">
        <f>F411*(R411*1)*(H411*0.35+J411*0.35+L411*0.3)</f>
        <v/>
      </c>
      <c r="W411">
        <f>(V411-$AJ$13)/$AK$13</f>
        <v/>
      </c>
      <c r="X411">
        <f>IF(W411&gt;0.7,"High",IF(W411&gt;0.3,"Moderate",IF(W411&gt;0.15,"Low","No Impact")))</f>
        <v/>
      </c>
      <c r="Y411">
        <f>F411*(P411*1)*(H411*0.35+J411*0.35+L411*0.3)</f>
        <v/>
      </c>
      <c r="Z411">
        <f>(Y411-$AJ$14)/$AK$14</f>
        <v/>
      </c>
      <c r="AA411">
        <f>IF(Z411&gt;0.7,"High",IF(Z411&gt;0.3,"Moderate",IF(Z411&gt;0.15,"Low","No Impact")))</f>
        <v/>
      </c>
      <c r="AB411">
        <f>F411*(R411*0.35+P411*0.3+N411*0.35)*(H411*0.35+J411*0.35+L411*0.3)</f>
        <v/>
      </c>
      <c r="AC411">
        <f>(AB411-$AJ$15)/$AK$15</f>
        <v/>
      </c>
      <c r="AD411">
        <f>IF(AC411&gt;0.7,"High",IF(AC411&gt;0.3,"Moderate",IF(AC411&gt;0.15,"Low","No Impact")))</f>
        <v/>
      </c>
      <c r="AE411">
        <f>F411*(N411*1)*(H411*0.35+J411*0.35+L411*0.3)</f>
        <v/>
      </c>
      <c r="AF411">
        <f>(AE411-$AJ$16)/$AK$16</f>
        <v/>
      </c>
      <c r="AG411">
        <f>IF(AF411&gt;0.7,"High",IF(AF411&gt;0.3,"Moderate",IF(AF411&gt;0.15,"Low","No Impact")))</f>
        <v/>
      </c>
    </row>
    <row r="412">
      <c r="A412" t="n">
        <v>506963</v>
      </c>
      <c r="B412" t="inlineStr">
        <is>
          <t>BD506963</t>
        </is>
      </c>
      <c r="C412" t="inlineStr">
        <is>
          <t>Natore</t>
        </is>
      </c>
      <c r="D412" t="inlineStr">
        <is>
          <t>Natore Sadar</t>
        </is>
      </c>
      <c r="E412" s="3" t="n">
        <v>6.5</v>
      </c>
      <c r="F412" s="4">
        <f>(E412-$AJ$5)/$AK$5</f>
        <v/>
      </c>
      <c r="G412" t="n">
        <v>66.5761464</v>
      </c>
      <c r="H412">
        <f>(G412-$AJ$6)/$AK$6</f>
        <v/>
      </c>
      <c r="I412" t="n">
        <v>1.8</v>
      </c>
      <c r="J412" s="4">
        <f>(I412-$AJ$7)/$AK$7</f>
        <v/>
      </c>
      <c r="K412" t="n">
        <v>0</v>
      </c>
      <c r="L412" s="4">
        <f>(K412-$AJ$8)/$AK$8</f>
        <v/>
      </c>
      <c r="M412" t="n">
        <v>46818</v>
      </c>
      <c r="N412">
        <f>(M412-$AJ$9)/$AK$9</f>
        <v/>
      </c>
      <c r="O412" t="n">
        <v>0.339447669</v>
      </c>
      <c r="P412">
        <f>(O412-$AJ$11)/$AK$11</f>
        <v/>
      </c>
      <c r="Q412" t="n">
        <v>0.2451</v>
      </c>
      <c r="R412">
        <f>(Q412-$AJ$12)/$AK$12</f>
        <v/>
      </c>
      <c r="S412">
        <f>F412*(R412*0.5+P412*0.5)*(H412*0.35+J412*0.35+L412*0.3)</f>
        <v/>
      </c>
      <c r="T412" s="14">
        <f>(S412-$AJ$10)/$AK$10</f>
        <v/>
      </c>
      <c r="U412">
        <f>IF(T412&gt;0.7,"High",IF(T412&gt;0.3,"Moderate",IF(T412&gt;0.15,"Low","No Impact")))</f>
        <v/>
      </c>
      <c r="V412">
        <f>F412*(R412*1)*(H412*0.35+J412*0.35+L412*0.3)</f>
        <v/>
      </c>
      <c r="W412">
        <f>(V412-$AJ$13)/$AK$13</f>
        <v/>
      </c>
      <c r="X412">
        <f>IF(W412&gt;0.7,"High",IF(W412&gt;0.3,"Moderate",IF(W412&gt;0.15,"Low","No Impact")))</f>
        <v/>
      </c>
      <c r="Y412">
        <f>F412*(P412*1)*(H412*0.35+J412*0.35+L412*0.3)</f>
        <v/>
      </c>
      <c r="Z412">
        <f>(Y412-$AJ$14)/$AK$14</f>
        <v/>
      </c>
      <c r="AA412">
        <f>IF(Z412&gt;0.7,"High",IF(Z412&gt;0.3,"Moderate",IF(Z412&gt;0.15,"Low","No Impact")))</f>
        <v/>
      </c>
      <c r="AB412">
        <f>F412*(R412*0.35+P412*0.3+N412*0.35)*(H412*0.35+J412*0.35+L412*0.3)</f>
        <v/>
      </c>
      <c r="AC412">
        <f>(AB412-$AJ$15)/$AK$15</f>
        <v/>
      </c>
      <c r="AD412">
        <f>IF(AC412&gt;0.7,"High",IF(AC412&gt;0.3,"Moderate",IF(AC412&gt;0.15,"Low","No Impact")))</f>
        <v/>
      </c>
      <c r="AE412">
        <f>F412*(N412*1)*(H412*0.35+J412*0.35+L412*0.3)</f>
        <v/>
      </c>
      <c r="AF412">
        <f>(AE412-$AJ$16)/$AK$16</f>
        <v/>
      </c>
      <c r="AG412">
        <f>IF(AF412&gt;0.7,"High",IF(AF412&gt;0.3,"Moderate",IF(AF412&gt;0.15,"Low","No Impact")))</f>
        <v/>
      </c>
    </row>
    <row r="413">
      <c r="A413" t="n">
        <v>506991</v>
      </c>
      <c r="B413" t="inlineStr">
        <is>
          <t>BD506991</t>
        </is>
      </c>
      <c r="C413" t="inlineStr">
        <is>
          <t>Natore</t>
        </is>
      </c>
      <c r="D413" t="inlineStr">
        <is>
          <t>Singra</t>
        </is>
      </c>
      <c r="E413" s="3" t="n">
        <v>6.5</v>
      </c>
      <c r="F413" s="4">
        <f>(E413-$AJ$5)/$AK$5</f>
        <v/>
      </c>
      <c r="G413" t="n">
        <v>60.4765368</v>
      </c>
      <c r="H413">
        <f>(G413-$AJ$6)/$AK$6</f>
        <v/>
      </c>
      <c r="I413" t="n">
        <v>0.1</v>
      </c>
      <c r="J413" s="4">
        <f>(I413-$AJ$7)/$AK$7</f>
        <v/>
      </c>
      <c r="K413" t="n">
        <v>0</v>
      </c>
      <c r="L413" s="4">
        <f>(K413-$AJ$8)/$AK$8</f>
        <v/>
      </c>
      <c r="M413" t="n">
        <v>38033</v>
      </c>
      <c r="N413">
        <f>(M413-$AJ$9)/$AK$9</f>
        <v/>
      </c>
      <c r="O413" t="n">
        <v>0.696273078</v>
      </c>
      <c r="P413">
        <f>(O413-$AJ$11)/$AK$11</f>
        <v/>
      </c>
      <c r="Q413" t="n">
        <v>0.1894</v>
      </c>
      <c r="R413">
        <f>(Q413-$AJ$12)/$AK$12</f>
        <v/>
      </c>
      <c r="S413">
        <f>F413*(R413*0.5+P413*0.5)*(H413*0.35+J413*0.35+L413*0.3)</f>
        <v/>
      </c>
      <c r="T413" s="14">
        <f>(S413-$AJ$10)/$AK$10</f>
        <v/>
      </c>
      <c r="U413">
        <f>IF(T413&gt;0.7,"High",IF(T413&gt;0.3,"Moderate",IF(T413&gt;0.15,"Low","No Impact")))</f>
        <v/>
      </c>
      <c r="V413">
        <f>F413*(R413*1)*(H413*0.35+J413*0.35+L413*0.3)</f>
        <v/>
      </c>
      <c r="W413">
        <f>(V413-$AJ$13)/$AK$13</f>
        <v/>
      </c>
      <c r="X413">
        <f>IF(W413&gt;0.7,"High",IF(W413&gt;0.3,"Moderate",IF(W413&gt;0.15,"Low","No Impact")))</f>
        <v/>
      </c>
      <c r="Y413">
        <f>F413*(P413*1)*(H413*0.35+J413*0.35+L413*0.3)</f>
        <v/>
      </c>
      <c r="Z413">
        <f>(Y413-$AJ$14)/$AK$14</f>
        <v/>
      </c>
      <c r="AA413">
        <f>IF(Z413&gt;0.7,"High",IF(Z413&gt;0.3,"Moderate",IF(Z413&gt;0.15,"Low","No Impact")))</f>
        <v/>
      </c>
      <c r="AB413">
        <f>F413*(R413*0.35+P413*0.3+N413*0.35)*(H413*0.35+J413*0.35+L413*0.3)</f>
        <v/>
      </c>
      <c r="AC413">
        <f>(AB413-$AJ$15)/$AK$15</f>
        <v/>
      </c>
      <c r="AD413">
        <f>IF(AC413&gt;0.7,"High",IF(AC413&gt;0.3,"Moderate",IF(AC413&gt;0.15,"Low","No Impact")))</f>
        <v/>
      </c>
      <c r="AE413">
        <f>F413*(N413*1)*(H413*0.35+J413*0.35+L413*0.3)</f>
        <v/>
      </c>
      <c r="AF413">
        <f>(AE413-$AJ$16)/$AK$16</f>
        <v/>
      </c>
      <c r="AG413">
        <f>IF(AF413&gt;0.7,"High",IF(AF413&gt;0.3,"Moderate",IF(AF413&gt;0.15,"Low","No Impact")))</f>
        <v/>
      </c>
    </row>
    <row r="414">
      <c r="A414" t="n">
        <v>507018</v>
      </c>
      <c r="B414" t="inlineStr">
        <is>
          <t>BD507018</t>
        </is>
      </c>
      <c r="C414" t="inlineStr">
        <is>
          <t>Nawabganj</t>
        </is>
      </c>
      <c r="D414" t="inlineStr">
        <is>
          <t>Bholahat</t>
        </is>
      </c>
      <c r="E414" s="3" t="n">
        <v>5</v>
      </c>
      <c r="F414" s="4">
        <f>(E414-$AJ$5)/$AK$5</f>
        <v/>
      </c>
      <c r="G414" t="n">
        <v>54.5984082</v>
      </c>
      <c r="H414">
        <f>(G414-$AJ$6)/$AK$6</f>
        <v/>
      </c>
      <c r="I414" t="n">
        <v>0</v>
      </c>
      <c r="J414" s="4">
        <f>(I414-$AJ$7)/$AK$7</f>
        <v/>
      </c>
      <c r="K414" t="n">
        <v>0</v>
      </c>
      <c r="L414" s="4">
        <f>(K414-$AJ$8)/$AK$8</f>
        <v/>
      </c>
      <c r="M414" t="n">
        <v>11807</v>
      </c>
      <c r="N414">
        <f>(M414-$AJ$9)/$AK$9</f>
        <v/>
      </c>
      <c r="O414" t="n">
        <v>0.819259899</v>
      </c>
      <c r="P414">
        <f>(O414-$AJ$11)/$AK$11</f>
        <v/>
      </c>
      <c r="Q414" t="n">
        <v>0.2268</v>
      </c>
      <c r="R414">
        <f>(Q414-$AJ$12)/$AK$12</f>
        <v/>
      </c>
      <c r="S414">
        <f>F414*(R414*0.5+P414*0.5)*(H414*0.35+J414*0.35+L414*0.3)</f>
        <v/>
      </c>
      <c r="T414" s="14">
        <f>(S414-$AJ$10)/$AK$10</f>
        <v/>
      </c>
      <c r="U414">
        <f>IF(T414&gt;0.7,"High",IF(T414&gt;0.3,"Moderate",IF(T414&gt;0.15,"Low","No Impact")))</f>
        <v/>
      </c>
      <c r="V414">
        <f>F414*(R414*1)*(H414*0.35+J414*0.35+L414*0.3)</f>
        <v/>
      </c>
      <c r="W414">
        <f>(V414-$AJ$13)/$AK$13</f>
        <v/>
      </c>
      <c r="X414">
        <f>IF(W414&gt;0.7,"High",IF(W414&gt;0.3,"Moderate",IF(W414&gt;0.15,"Low","No Impact")))</f>
        <v/>
      </c>
      <c r="Y414">
        <f>F414*(P414*1)*(H414*0.35+J414*0.35+L414*0.3)</f>
        <v/>
      </c>
      <c r="Z414">
        <f>(Y414-$AJ$14)/$AK$14</f>
        <v/>
      </c>
      <c r="AA414">
        <f>IF(Z414&gt;0.7,"High",IF(Z414&gt;0.3,"Moderate",IF(Z414&gt;0.15,"Low","No Impact")))</f>
        <v/>
      </c>
      <c r="AB414">
        <f>F414*(R414*0.35+P414*0.3+N414*0.35)*(H414*0.35+J414*0.35+L414*0.3)</f>
        <v/>
      </c>
      <c r="AC414">
        <f>(AB414-$AJ$15)/$AK$15</f>
        <v/>
      </c>
      <c r="AD414">
        <f>IF(AC414&gt;0.7,"High",IF(AC414&gt;0.3,"Moderate",IF(AC414&gt;0.15,"Low","No Impact")))</f>
        <v/>
      </c>
      <c r="AE414">
        <f>F414*(N414*1)*(H414*0.35+J414*0.35+L414*0.3)</f>
        <v/>
      </c>
      <c r="AF414">
        <f>(AE414-$AJ$16)/$AK$16</f>
        <v/>
      </c>
      <c r="AG414">
        <f>IF(AF414&gt;0.7,"High",IF(AF414&gt;0.3,"Moderate",IF(AF414&gt;0.15,"Low","No Impact")))</f>
        <v/>
      </c>
    </row>
    <row r="415">
      <c r="A415" t="n">
        <v>507037</v>
      </c>
      <c r="B415" t="inlineStr">
        <is>
          <t>BD507037</t>
        </is>
      </c>
      <c r="C415" t="inlineStr">
        <is>
          <t>Nawabganj</t>
        </is>
      </c>
      <c r="D415" t="inlineStr">
        <is>
          <t>Gomastapur</t>
        </is>
      </c>
      <c r="E415" s="3" t="n">
        <v>5.3</v>
      </c>
      <c r="F415" s="4">
        <f>(E415-$AJ$5)/$AK$5</f>
        <v/>
      </c>
      <c r="G415" t="n">
        <v>56.141766</v>
      </c>
      <c r="H415">
        <f>(G415-$AJ$6)/$AK$6</f>
        <v/>
      </c>
      <c r="I415" t="n">
        <v>0</v>
      </c>
      <c r="J415" s="4">
        <f>(I415-$AJ$7)/$AK$7</f>
        <v/>
      </c>
      <c r="K415" t="n">
        <v>0</v>
      </c>
      <c r="L415" s="4">
        <f>(K415-$AJ$8)/$AK$8</f>
        <v/>
      </c>
      <c r="M415" t="n">
        <v>29737</v>
      </c>
      <c r="N415">
        <f>(M415-$AJ$9)/$AK$9</f>
        <v/>
      </c>
      <c r="O415" t="n">
        <v>0.825081371</v>
      </c>
      <c r="P415">
        <f>(O415-$AJ$11)/$AK$11</f>
        <v/>
      </c>
      <c r="Q415" t="n">
        <v>0.2053</v>
      </c>
      <c r="R415">
        <f>(Q415-$AJ$12)/$AK$12</f>
        <v/>
      </c>
      <c r="S415">
        <f>F415*(R415*0.5+P415*0.5)*(H415*0.35+J415*0.35+L415*0.3)</f>
        <v/>
      </c>
      <c r="T415" s="14">
        <f>(S415-$AJ$10)/$AK$10</f>
        <v/>
      </c>
      <c r="U415">
        <f>IF(T415&gt;0.7,"High",IF(T415&gt;0.3,"Moderate",IF(T415&gt;0.15,"Low","No Impact")))</f>
        <v/>
      </c>
      <c r="V415">
        <f>F415*(R415*1)*(H415*0.35+J415*0.35+L415*0.3)</f>
        <v/>
      </c>
      <c r="W415">
        <f>(V415-$AJ$13)/$AK$13</f>
        <v/>
      </c>
      <c r="X415">
        <f>IF(W415&gt;0.7,"High",IF(W415&gt;0.3,"Moderate",IF(W415&gt;0.15,"Low","No Impact")))</f>
        <v/>
      </c>
      <c r="Y415">
        <f>F415*(P415*1)*(H415*0.35+J415*0.35+L415*0.3)</f>
        <v/>
      </c>
      <c r="Z415">
        <f>(Y415-$AJ$14)/$AK$14</f>
        <v/>
      </c>
      <c r="AA415">
        <f>IF(Z415&gt;0.7,"High",IF(Z415&gt;0.3,"Moderate",IF(Z415&gt;0.15,"Low","No Impact")))</f>
        <v/>
      </c>
      <c r="AB415">
        <f>F415*(R415*0.35+P415*0.3+N415*0.35)*(H415*0.35+J415*0.35+L415*0.3)</f>
        <v/>
      </c>
      <c r="AC415">
        <f>(AB415-$AJ$15)/$AK$15</f>
        <v/>
      </c>
      <c r="AD415">
        <f>IF(AC415&gt;0.7,"High",IF(AC415&gt;0.3,"Moderate",IF(AC415&gt;0.15,"Low","No Impact")))</f>
        <v/>
      </c>
      <c r="AE415">
        <f>F415*(N415*1)*(H415*0.35+J415*0.35+L415*0.3)</f>
        <v/>
      </c>
      <c r="AF415">
        <f>(AE415-$AJ$16)/$AK$16</f>
        <v/>
      </c>
      <c r="AG415">
        <f>IF(AF415&gt;0.7,"High",IF(AF415&gt;0.3,"Moderate",IF(AF415&gt;0.15,"Low","No Impact")))</f>
        <v/>
      </c>
    </row>
    <row r="416">
      <c r="A416" t="n">
        <v>507056</v>
      </c>
      <c r="B416" t="inlineStr">
        <is>
          <t>BD507056</t>
        </is>
      </c>
      <c r="C416" t="inlineStr">
        <is>
          <t>Nawabganj</t>
        </is>
      </c>
      <c r="D416" t="inlineStr">
        <is>
          <t>Nachole</t>
        </is>
      </c>
      <c r="E416" s="3" t="n">
        <v>5</v>
      </c>
      <c r="F416" s="4">
        <f>(E416-$AJ$5)/$AK$5</f>
        <v/>
      </c>
      <c r="G416" t="n">
        <v>56.141766</v>
      </c>
      <c r="H416">
        <f>(G416-$AJ$6)/$AK$6</f>
        <v/>
      </c>
      <c r="I416" t="n">
        <v>0</v>
      </c>
      <c r="J416" s="4">
        <f>(I416-$AJ$7)/$AK$7</f>
        <v/>
      </c>
      <c r="K416" t="n">
        <v>0</v>
      </c>
      <c r="L416" s="4">
        <f>(K416-$AJ$8)/$AK$8</f>
        <v/>
      </c>
      <c r="M416" t="n">
        <v>14402</v>
      </c>
      <c r="N416">
        <f>(M416-$AJ$9)/$AK$9</f>
        <v/>
      </c>
      <c r="O416" t="n">
        <v>0.697543178</v>
      </c>
      <c r="P416">
        <f>(O416-$AJ$11)/$AK$11</f>
        <v/>
      </c>
      <c r="Q416" t="n">
        <v>0.2167</v>
      </c>
      <c r="R416">
        <f>(Q416-$AJ$12)/$AK$12</f>
        <v/>
      </c>
      <c r="S416">
        <f>F416*(R416*0.5+P416*0.5)*(H416*0.35+J416*0.35+L416*0.3)</f>
        <v/>
      </c>
      <c r="T416" s="14">
        <f>(S416-$AJ$10)/$AK$10</f>
        <v/>
      </c>
      <c r="U416">
        <f>IF(T416&gt;0.7,"High",IF(T416&gt;0.3,"Moderate",IF(T416&gt;0.15,"Low","No Impact")))</f>
        <v/>
      </c>
      <c r="V416">
        <f>F416*(R416*1)*(H416*0.35+J416*0.35+L416*0.3)</f>
        <v/>
      </c>
      <c r="W416">
        <f>(V416-$AJ$13)/$AK$13</f>
        <v/>
      </c>
      <c r="X416">
        <f>IF(W416&gt;0.7,"High",IF(W416&gt;0.3,"Moderate",IF(W416&gt;0.15,"Low","No Impact")))</f>
        <v/>
      </c>
      <c r="Y416">
        <f>F416*(P416*1)*(H416*0.35+J416*0.35+L416*0.3)</f>
        <v/>
      </c>
      <c r="Z416">
        <f>(Y416-$AJ$14)/$AK$14</f>
        <v/>
      </c>
      <c r="AA416">
        <f>IF(Z416&gt;0.7,"High",IF(Z416&gt;0.3,"Moderate",IF(Z416&gt;0.15,"Low","No Impact")))</f>
        <v/>
      </c>
      <c r="AB416">
        <f>F416*(R416*0.35+P416*0.3+N416*0.35)*(H416*0.35+J416*0.35+L416*0.3)</f>
        <v/>
      </c>
      <c r="AC416">
        <f>(AB416-$AJ$15)/$AK$15</f>
        <v/>
      </c>
      <c r="AD416">
        <f>IF(AC416&gt;0.7,"High",IF(AC416&gt;0.3,"Moderate",IF(AC416&gt;0.15,"Low","No Impact")))</f>
        <v/>
      </c>
      <c r="AE416">
        <f>F416*(N416*1)*(H416*0.35+J416*0.35+L416*0.3)</f>
        <v/>
      </c>
      <c r="AF416">
        <f>(AE416-$AJ$16)/$AK$16</f>
        <v/>
      </c>
      <c r="AG416">
        <f>IF(AF416&gt;0.7,"High",IF(AF416&gt;0.3,"Moderate",IF(AF416&gt;0.15,"Low","No Impact")))</f>
        <v/>
      </c>
    </row>
    <row r="417">
      <c r="A417" t="n">
        <v>507066</v>
      </c>
      <c r="B417" t="inlineStr">
        <is>
          <t>BD507066</t>
        </is>
      </c>
      <c r="C417" t="inlineStr">
        <is>
          <t>Nawabganj</t>
        </is>
      </c>
      <c r="D417" t="inlineStr">
        <is>
          <t>Nawabganj Sadar</t>
        </is>
      </c>
      <c r="E417" s="3" t="n">
        <v>5</v>
      </c>
      <c r="F417" s="4">
        <f>(E417-$AJ$5)/$AK$5</f>
        <v/>
      </c>
      <c r="G417" t="n">
        <v>61.05661200000001</v>
      </c>
      <c r="H417">
        <f>(G417-$AJ$6)/$AK$6</f>
        <v/>
      </c>
      <c r="I417" t="n">
        <v>0.1</v>
      </c>
      <c r="J417" s="4">
        <f>(I417-$AJ$7)/$AK$7</f>
        <v/>
      </c>
      <c r="K417" t="n">
        <v>0</v>
      </c>
      <c r="L417" s="4">
        <f>(K417-$AJ$8)/$AK$8</f>
        <v/>
      </c>
      <c r="M417" t="n">
        <v>71171</v>
      </c>
      <c r="N417">
        <f>(M417-$AJ$9)/$AK$9</f>
        <v/>
      </c>
      <c r="O417" t="n">
        <v>0.5331745490000001</v>
      </c>
      <c r="P417">
        <f>(O417-$AJ$11)/$AK$11</f>
        <v/>
      </c>
      <c r="Q417" t="n">
        <v>0.209</v>
      </c>
      <c r="R417">
        <f>(Q417-$AJ$12)/$AK$12</f>
        <v/>
      </c>
      <c r="S417">
        <f>F417*(R417*0.5+P417*0.5)*(H417*0.35+J417*0.35+L417*0.3)</f>
        <v/>
      </c>
      <c r="T417" s="14">
        <f>(S417-$AJ$10)/$AK$10</f>
        <v/>
      </c>
      <c r="U417">
        <f>IF(T417&gt;0.7,"High",IF(T417&gt;0.3,"Moderate",IF(T417&gt;0.15,"Low","No Impact")))</f>
        <v/>
      </c>
      <c r="V417">
        <f>F417*(R417*1)*(H417*0.35+J417*0.35+L417*0.3)</f>
        <v/>
      </c>
      <c r="W417">
        <f>(V417-$AJ$13)/$AK$13</f>
        <v/>
      </c>
      <c r="X417">
        <f>IF(W417&gt;0.7,"High",IF(W417&gt;0.3,"Moderate",IF(W417&gt;0.15,"Low","No Impact")))</f>
        <v/>
      </c>
      <c r="Y417">
        <f>F417*(P417*1)*(H417*0.35+J417*0.35+L417*0.3)</f>
        <v/>
      </c>
      <c r="Z417">
        <f>(Y417-$AJ$14)/$AK$14</f>
        <v/>
      </c>
      <c r="AA417">
        <f>IF(Z417&gt;0.7,"High",IF(Z417&gt;0.3,"Moderate",IF(Z417&gt;0.15,"Low","No Impact")))</f>
        <v/>
      </c>
      <c r="AB417">
        <f>F417*(R417*0.35+P417*0.3+N417*0.35)*(H417*0.35+J417*0.35+L417*0.3)</f>
        <v/>
      </c>
      <c r="AC417">
        <f>(AB417-$AJ$15)/$AK$15</f>
        <v/>
      </c>
      <c r="AD417">
        <f>IF(AC417&gt;0.7,"High",IF(AC417&gt;0.3,"Moderate",IF(AC417&gt;0.15,"Low","No Impact")))</f>
        <v/>
      </c>
      <c r="AE417">
        <f>F417*(N417*1)*(H417*0.35+J417*0.35+L417*0.3)</f>
        <v/>
      </c>
      <c r="AF417">
        <f>(AE417-$AJ$16)/$AK$16</f>
        <v/>
      </c>
      <c r="AG417">
        <f>IF(AF417&gt;0.7,"High",IF(AF417&gt;0.3,"Moderate",IF(AF417&gt;0.15,"Low","No Impact")))</f>
        <v/>
      </c>
    </row>
    <row r="418">
      <c r="A418" t="n">
        <v>507088</v>
      </c>
      <c r="B418" t="inlineStr">
        <is>
          <t>BD507088</t>
        </is>
      </c>
      <c r="C418" t="inlineStr">
        <is>
          <t>Nawabganj</t>
        </is>
      </c>
      <c r="D418" t="inlineStr">
        <is>
          <t>Shibganj</t>
        </is>
      </c>
      <c r="E418" s="3" t="n">
        <v>5.2</v>
      </c>
      <c r="F418" s="4">
        <f>(E418-$AJ$5)/$AK$5</f>
        <v/>
      </c>
      <c r="G418" t="n">
        <v>60.71911200000001</v>
      </c>
      <c r="H418">
        <f>(G418-$AJ$6)/$AK$6</f>
        <v/>
      </c>
      <c r="I418" t="n">
        <v>0</v>
      </c>
      <c r="J418" s="4">
        <f>(I418-$AJ$7)/$AK$7</f>
        <v/>
      </c>
      <c r="K418" t="n">
        <v>0</v>
      </c>
      <c r="L418" s="4">
        <f>(K418-$AJ$8)/$AK$8</f>
        <v/>
      </c>
      <c r="M418" t="n">
        <v>62302</v>
      </c>
      <c r="N418">
        <f>(M418-$AJ$9)/$AK$9</f>
        <v/>
      </c>
      <c r="O418" t="n">
        <v>0.438278634</v>
      </c>
      <c r="P418">
        <f>(O418-$AJ$11)/$AK$11</f>
        <v/>
      </c>
      <c r="Q418" t="n">
        <v>0.2538</v>
      </c>
      <c r="R418">
        <f>(Q418-$AJ$12)/$AK$12</f>
        <v/>
      </c>
      <c r="S418">
        <f>F418*(R418*0.5+P418*0.5)*(H418*0.35+J418*0.35+L418*0.3)</f>
        <v/>
      </c>
      <c r="T418" s="14">
        <f>(S418-$AJ$10)/$AK$10</f>
        <v/>
      </c>
      <c r="U418">
        <f>IF(T418&gt;0.7,"High",IF(T418&gt;0.3,"Moderate",IF(T418&gt;0.15,"Low","No Impact")))</f>
        <v/>
      </c>
      <c r="V418">
        <f>F418*(R418*1)*(H418*0.35+J418*0.35+L418*0.3)</f>
        <v/>
      </c>
      <c r="W418">
        <f>(V418-$AJ$13)/$AK$13</f>
        <v/>
      </c>
      <c r="X418">
        <f>IF(W418&gt;0.7,"High",IF(W418&gt;0.3,"Moderate",IF(W418&gt;0.15,"Low","No Impact")))</f>
        <v/>
      </c>
      <c r="Y418">
        <f>F418*(P418*1)*(H418*0.35+J418*0.35+L418*0.3)</f>
        <v/>
      </c>
      <c r="Z418">
        <f>(Y418-$AJ$14)/$AK$14</f>
        <v/>
      </c>
      <c r="AA418">
        <f>IF(Z418&gt;0.7,"High",IF(Z418&gt;0.3,"Moderate",IF(Z418&gt;0.15,"Low","No Impact")))</f>
        <v/>
      </c>
      <c r="AB418">
        <f>F418*(R418*0.35+P418*0.3+N418*0.35)*(H418*0.35+J418*0.35+L418*0.3)</f>
        <v/>
      </c>
      <c r="AC418">
        <f>(AB418-$AJ$15)/$AK$15</f>
        <v/>
      </c>
      <c r="AD418">
        <f>IF(AC418&gt;0.7,"High",IF(AC418&gt;0.3,"Moderate",IF(AC418&gt;0.15,"Low","No Impact")))</f>
        <v/>
      </c>
      <c r="AE418">
        <f>F418*(N418*1)*(H418*0.35+J418*0.35+L418*0.3)</f>
        <v/>
      </c>
      <c r="AF418">
        <f>(AE418-$AJ$16)/$AK$16</f>
        <v/>
      </c>
      <c r="AG418">
        <f>IF(AF418&gt;0.7,"High",IF(AF418&gt;0.3,"Moderate",IF(AF418&gt;0.15,"Low","No Impact")))</f>
        <v/>
      </c>
    </row>
    <row r="419">
      <c r="A419" t="n">
        <v>507605</v>
      </c>
      <c r="B419" t="inlineStr">
        <is>
          <t>BD507605</t>
        </is>
      </c>
      <c r="C419" t="inlineStr">
        <is>
          <t>Pabna</t>
        </is>
      </c>
      <c r="D419" t="inlineStr">
        <is>
          <t>Atgharia</t>
        </is>
      </c>
      <c r="E419" s="3" t="n">
        <v>5</v>
      </c>
      <c r="F419" s="4">
        <f>(E419-$AJ$5)/$AK$5</f>
        <v/>
      </c>
      <c r="G419" t="n">
        <v>77.3374752</v>
      </c>
      <c r="H419">
        <f>(G419-$AJ$6)/$AK$6</f>
        <v/>
      </c>
      <c r="I419" t="n">
        <v>6.5</v>
      </c>
      <c r="J419" s="4">
        <f>(I419-$AJ$7)/$AK$7</f>
        <v/>
      </c>
      <c r="K419" t="n">
        <v>0</v>
      </c>
      <c r="L419" s="4">
        <f>(K419-$AJ$8)/$AK$8</f>
        <v/>
      </c>
      <c r="M419" t="n">
        <v>10847</v>
      </c>
      <c r="N419">
        <f>(M419-$AJ$9)/$AK$9</f>
        <v/>
      </c>
      <c r="O419" t="n">
        <v>0.485705946</v>
      </c>
      <c r="P419">
        <f>(O419-$AJ$11)/$AK$11</f>
        <v/>
      </c>
      <c r="Q419" t="n">
        <v>0.2616</v>
      </c>
      <c r="R419">
        <f>(Q419-$AJ$12)/$AK$12</f>
        <v/>
      </c>
      <c r="S419">
        <f>F419*(R419*0.5+P419*0.5)*(H419*0.35+J419*0.35+L419*0.3)</f>
        <v/>
      </c>
      <c r="T419" s="14">
        <f>(S419-$AJ$10)/$AK$10</f>
        <v/>
      </c>
      <c r="U419">
        <f>IF(T419&gt;0.7,"High",IF(T419&gt;0.3,"Moderate",IF(T419&gt;0.15,"Low","No Impact")))</f>
        <v/>
      </c>
      <c r="V419">
        <f>F419*(R419*1)*(H419*0.35+J419*0.35+L419*0.3)</f>
        <v/>
      </c>
      <c r="W419">
        <f>(V419-$AJ$13)/$AK$13</f>
        <v/>
      </c>
      <c r="X419">
        <f>IF(W419&gt;0.7,"High",IF(W419&gt;0.3,"Moderate",IF(W419&gt;0.15,"Low","No Impact")))</f>
        <v/>
      </c>
      <c r="Y419">
        <f>F419*(P419*1)*(H419*0.35+J419*0.35+L419*0.3)</f>
        <v/>
      </c>
      <c r="Z419">
        <f>(Y419-$AJ$14)/$AK$14</f>
        <v/>
      </c>
      <c r="AA419">
        <f>IF(Z419&gt;0.7,"High",IF(Z419&gt;0.3,"Moderate",IF(Z419&gt;0.15,"Low","No Impact")))</f>
        <v/>
      </c>
      <c r="AB419">
        <f>F419*(R419*0.35+P419*0.3+N419*0.35)*(H419*0.35+J419*0.35+L419*0.3)</f>
        <v/>
      </c>
      <c r="AC419">
        <f>(AB419-$AJ$15)/$AK$15</f>
        <v/>
      </c>
      <c r="AD419">
        <f>IF(AC419&gt;0.7,"High",IF(AC419&gt;0.3,"Moderate",IF(AC419&gt;0.15,"Low","No Impact")))</f>
        <v/>
      </c>
      <c r="AE419">
        <f>F419*(N419*1)*(H419*0.35+J419*0.35+L419*0.3)</f>
        <v/>
      </c>
      <c r="AF419">
        <f>(AE419-$AJ$16)/$AK$16</f>
        <v/>
      </c>
      <c r="AG419">
        <f>IF(AF419&gt;0.7,"High",IF(AF419&gt;0.3,"Moderate",IF(AF419&gt;0.15,"Low","No Impact")))</f>
        <v/>
      </c>
    </row>
    <row r="420">
      <c r="A420" t="n">
        <v>507616</v>
      </c>
      <c r="B420" t="inlineStr">
        <is>
          <t>BD507616</t>
        </is>
      </c>
      <c r="C420" t="inlineStr">
        <is>
          <t>Pabna</t>
        </is>
      </c>
      <c r="D420" t="inlineStr">
        <is>
          <t>Bera</t>
        </is>
      </c>
      <c r="E420" s="3" t="n">
        <v>4.9</v>
      </c>
      <c r="F420" s="4">
        <f>(E420-$AJ$5)/$AK$5</f>
        <v/>
      </c>
      <c r="G420" t="n">
        <v>85.30036559999999</v>
      </c>
      <c r="H420">
        <f>(G420-$AJ$6)/$AK$6</f>
        <v/>
      </c>
      <c r="I420" t="n">
        <v>10.7</v>
      </c>
      <c r="J420" s="4">
        <f>(I420-$AJ$7)/$AK$7</f>
        <v/>
      </c>
      <c r="K420" t="n">
        <v>0</v>
      </c>
      <c r="L420" s="4">
        <f>(K420-$AJ$8)/$AK$8</f>
        <v/>
      </c>
      <c r="M420" t="n">
        <v>28096</v>
      </c>
      <c r="N420">
        <f>(M420-$AJ$9)/$AK$9</f>
        <v/>
      </c>
      <c r="O420" t="n">
        <v>0.420418266</v>
      </c>
      <c r="P420">
        <f>(O420-$AJ$11)/$AK$11</f>
        <v/>
      </c>
      <c r="Q420" t="n">
        <v>0.2482</v>
      </c>
      <c r="R420">
        <f>(Q420-$AJ$12)/$AK$12</f>
        <v/>
      </c>
      <c r="S420">
        <f>F420*(R420*0.5+P420*0.5)*(H420*0.35+J420*0.35+L420*0.3)</f>
        <v/>
      </c>
      <c r="T420" s="14">
        <f>(S420-$AJ$10)/$AK$10</f>
        <v/>
      </c>
      <c r="U420">
        <f>IF(T420&gt;0.7,"High",IF(T420&gt;0.3,"Moderate",IF(T420&gt;0.15,"Low","No Impact")))</f>
        <v/>
      </c>
      <c r="V420">
        <f>F420*(R420*1)*(H420*0.35+J420*0.35+L420*0.3)</f>
        <v/>
      </c>
      <c r="W420">
        <f>(V420-$AJ$13)/$AK$13</f>
        <v/>
      </c>
      <c r="X420">
        <f>IF(W420&gt;0.7,"High",IF(W420&gt;0.3,"Moderate",IF(W420&gt;0.15,"Low","No Impact")))</f>
        <v/>
      </c>
      <c r="Y420">
        <f>F420*(P420*1)*(H420*0.35+J420*0.35+L420*0.3)</f>
        <v/>
      </c>
      <c r="Z420">
        <f>(Y420-$AJ$14)/$AK$14</f>
        <v/>
      </c>
      <c r="AA420">
        <f>IF(Z420&gt;0.7,"High",IF(Z420&gt;0.3,"Moderate",IF(Z420&gt;0.15,"Low","No Impact")))</f>
        <v/>
      </c>
      <c r="AB420">
        <f>F420*(R420*0.35+P420*0.3+N420*0.35)*(H420*0.35+J420*0.35+L420*0.3)</f>
        <v/>
      </c>
      <c r="AC420">
        <f>(AB420-$AJ$15)/$AK$15</f>
        <v/>
      </c>
      <c r="AD420">
        <f>IF(AC420&gt;0.7,"High",IF(AC420&gt;0.3,"Moderate",IF(AC420&gt;0.15,"Low","No Impact")))</f>
        <v/>
      </c>
      <c r="AE420">
        <f>F420*(N420*1)*(H420*0.35+J420*0.35+L420*0.3)</f>
        <v/>
      </c>
      <c r="AF420">
        <f>(AE420-$AJ$16)/$AK$16</f>
        <v/>
      </c>
      <c r="AG420">
        <f>IF(AF420&gt;0.7,"High",IF(AF420&gt;0.3,"Moderate",IF(AF420&gt;0.15,"Low","No Impact")))</f>
        <v/>
      </c>
    </row>
    <row r="421">
      <c r="A421" t="n">
        <v>507619</v>
      </c>
      <c r="B421" t="inlineStr">
        <is>
          <t>BD507619</t>
        </is>
      </c>
      <c r="C421" t="inlineStr">
        <is>
          <t>Pabna</t>
        </is>
      </c>
      <c r="D421" t="inlineStr">
        <is>
          <t>Bhangura</t>
        </is>
      </c>
      <c r="E421" s="3" t="n">
        <v>5.1</v>
      </c>
      <c r="F421" s="4">
        <f>(E421-$AJ$5)/$AK$5</f>
        <v/>
      </c>
      <c r="G421" t="n">
        <v>64.60387920000001</v>
      </c>
      <c r="H421">
        <f>(G421-$AJ$6)/$AK$6</f>
        <v/>
      </c>
      <c r="I421" t="n">
        <v>1.9</v>
      </c>
      <c r="J421" s="4">
        <f>(I421-$AJ$7)/$AK$7</f>
        <v/>
      </c>
      <c r="K421" t="n">
        <v>0</v>
      </c>
      <c r="L421" s="4">
        <f>(K421-$AJ$8)/$AK$8</f>
        <v/>
      </c>
      <c r="M421" t="n">
        <v>13803</v>
      </c>
      <c r="N421">
        <f>(M421-$AJ$9)/$AK$9</f>
        <v/>
      </c>
      <c r="O421" t="n">
        <v>0.4352815</v>
      </c>
      <c r="P421">
        <f>(O421-$AJ$11)/$AK$11</f>
        <v/>
      </c>
      <c r="Q421" t="n">
        <v>0.2602</v>
      </c>
      <c r="R421">
        <f>(Q421-$AJ$12)/$AK$12</f>
        <v/>
      </c>
      <c r="S421">
        <f>F421*(R421*0.5+P421*0.5)*(H421*0.35+J421*0.35+L421*0.3)</f>
        <v/>
      </c>
      <c r="T421" s="14">
        <f>(S421-$AJ$10)/$AK$10</f>
        <v/>
      </c>
      <c r="U421">
        <f>IF(T421&gt;0.7,"High",IF(T421&gt;0.3,"Moderate",IF(T421&gt;0.15,"Low","No Impact")))</f>
        <v/>
      </c>
      <c r="V421">
        <f>F421*(R421*1)*(H421*0.35+J421*0.35+L421*0.3)</f>
        <v/>
      </c>
      <c r="W421">
        <f>(V421-$AJ$13)/$AK$13</f>
        <v/>
      </c>
      <c r="X421">
        <f>IF(W421&gt;0.7,"High",IF(W421&gt;0.3,"Moderate",IF(W421&gt;0.15,"Low","No Impact")))</f>
        <v/>
      </c>
      <c r="Y421">
        <f>F421*(P421*1)*(H421*0.35+J421*0.35+L421*0.3)</f>
        <v/>
      </c>
      <c r="Z421">
        <f>(Y421-$AJ$14)/$AK$14</f>
        <v/>
      </c>
      <c r="AA421">
        <f>IF(Z421&gt;0.7,"High",IF(Z421&gt;0.3,"Moderate",IF(Z421&gt;0.15,"Low","No Impact")))</f>
        <v/>
      </c>
      <c r="AB421">
        <f>F421*(R421*0.35+P421*0.3+N421*0.35)*(H421*0.35+J421*0.35+L421*0.3)</f>
        <v/>
      </c>
      <c r="AC421">
        <f>(AB421-$AJ$15)/$AK$15</f>
        <v/>
      </c>
      <c r="AD421">
        <f>IF(AC421&gt;0.7,"High",IF(AC421&gt;0.3,"Moderate",IF(AC421&gt;0.15,"Low","No Impact")))</f>
        <v/>
      </c>
      <c r="AE421">
        <f>F421*(N421*1)*(H421*0.35+J421*0.35+L421*0.3)</f>
        <v/>
      </c>
      <c r="AF421">
        <f>(AE421-$AJ$16)/$AK$16</f>
        <v/>
      </c>
      <c r="AG421">
        <f>IF(AF421&gt;0.7,"High",IF(AF421&gt;0.3,"Moderate",IF(AF421&gt;0.15,"Low","No Impact")))</f>
        <v/>
      </c>
    </row>
    <row r="422">
      <c r="A422" t="n">
        <v>507622</v>
      </c>
      <c r="B422" t="inlineStr">
        <is>
          <t>BD507622</t>
        </is>
      </c>
      <c r="C422" t="inlineStr">
        <is>
          <t>Pabna</t>
        </is>
      </c>
      <c r="D422" t="inlineStr">
        <is>
          <t>Chatmohar</t>
        </is>
      </c>
      <c r="E422" s="3" t="n">
        <v>5</v>
      </c>
      <c r="F422" s="4">
        <f>(E422-$AJ$5)/$AK$5</f>
        <v/>
      </c>
      <c r="G422" t="n">
        <v>77.3374752</v>
      </c>
      <c r="H422">
        <f>(G422-$AJ$6)/$AK$6</f>
        <v/>
      </c>
      <c r="I422" t="n">
        <v>4.600000000000001</v>
      </c>
      <c r="J422" s="4">
        <f>(I422-$AJ$7)/$AK$7</f>
        <v/>
      </c>
      <c r="K422" t="n">
        <v>0</v>
      </c>
      <c r="L422" s="4">
        <f>(K422-$AJ$8)/$AK$8</f>
        <v/>
      </c>
      <c r="M422" t="n">
        <v>30646</v>
      </c>
      <c r="N422">
        <f>(M422-$AJ$9)/$AK$9</f>
        <v/>
      </c>
      <c r="O422" t="n">
        <v>0.795410272</v>
      </c>
      <c r="P422">
        <f>(O422-$AJ$11)/$AK$11</f>
        <v/>
      </c>
      <c r="Q422" t="n">
        <v>0.2537</v>
      </c>
      <c r="R422">
        <f>(Q422-$AJ$12)/$AK$12</f>
        <v/>
      </c>
      <c r="S422">
        <f>F422*(R422*0.5+P422*0.5)*(H422*0.35+J422*0.35+L422*0.3)</f>
        <v/>
      </c>
      <c r="T422" s="14">
        <f>(S422-$AJ$10)/$AK$10</f>
        <v/>
      </c>
      <c r="U422">
        <f>IF(T422&gt;0.7,"High",IF(T422&gt;0.3,"Moderate",IF(T422&gt;0.15,"Low","No Impact")))</f>
        <v/>
      </c>
      <c r="V422">
        <f>F422*(R422*1)*(H422*0.35+J422*0.35+L422*0.3)</f>
        <v/>
      </c>
      <c r="W422">
        <f>(V422-$AJ$13)/$AK$13</f>
        <v/>
      </c>
      <c r="X422">
        <f>IF(W422&gt;0.7,"High",IF(W422&gt;0.3,"Moderate",IF(W422&gt;0.15,"Low","No Impact")))</f>
        <v/>
      </c>
      <c r="Y422">
        <f>F422*(P422*1)*(H422*0.35+J422*0.35+L422*0.3)</f>
        <v/>
      </c>
      <c r="Z422">
        <f>(Y422-$AJ$14)/$AK$14</f>
        <v/>
      </c>
      <c r="AA422">
        <f>IF(Z422&gt;0.7,"High",IF(Z422&gt;0.3,"Moderate",IF(Z422&gt;0.15,"Low","No Impact")))</f>
        <v/>
      </c>
      <c r="AB422">
        <f>F422*(R422*0.35+P422*0.3+N422*0.35)*(H422*0.35+J422*0.35+L422*0.3)</f>
        <v/>
      </c>
      <c r="AC422">
        <f>(AB422-$AJ$15)/$AK$15</f>
        <v/>
      </c>
      <c r="AD422">
        <f>IF(AC422&gt;0.7,"High",IF(AC422&gt;0.3,"Moderate",IF(AC422&gt;0.15,"Low","No Impact")))</f>
        <v/>
      </c>
      <c r="AE422">
        <f>F422*(N422*1)*(H422*0.35+J422*0.35+L422*0.3)</f>
        <v/>
      </c>
      <c r="AF422">
        <f>(AE422-$AJ$16)/$AK$16</f>
        <v/>
      </c>
      <c r="AG422">
        <f>IF(AF422&gt;0.7,"High",IF(AF422&gt;0.3,"Moderate",IF(AF422&gt;0.15,"Low","No Impact")))</f>
        <v/>
      </c>
    </row>
    <row r="423">
      <c r="A423" t="n">
        <v>507633</v>
      </c>
      <c r="B423" t="inlineStr">
        <is>
          <t>BD507633</t>
        </is>
      </c>
      <c r="C423" t="inlineStr">
        <is>
          <t>Pabna</t>
        </is>
      </c>
      <c r="D423" t="inlineStr">
        <is>
          <t>Faridpur</t>
        </is>
      </c>
      <c r="E423" s="3" t="n">
        <v>5</v>
      </c>
      <c r="F423" s="4">
        <f>(E423-$AJ$5)/$AK$5</f>
        <v/>
      </c>
      <c r="G423" t="n">
        <v>77.3374752</v>
      </c>
      <c r="H423">
        <f>(G423-$AJ$6)/$AK$6</f>
        <v/>
      </c>
      <c r="I423" t="n">
        <v>5.299999999999999</v>
      </c>
      <c r="J423" s="4">
        <f>(I423-$AJ$7)/$AK$7</f>
        <v/>
      </c>
      <c r="K423" t="n">
        <v>0</v>
      </c>
      <c r="L423" s="4">
        <f>(K423-$AJ$8)/$AK$8</f>
        <v/>
      </c>
      <c r="M423" t="n">
        <v>16518</v>
      </c>
      <c r="N423">
        <f>(M423-$AJ$9)/$AK$9</f>
        <v/>
      </c>
      <c r="O423" t="n">
        <v>0.590027524</v>
      </c>
      <c r="P423">
        <f>(O423-$AJ$11)/$AK$11</f>
        <v/>
      </c>
      <c r="Q423" t="n">
        <v>0.2499</v>
      </c>
      <c r="R423">
        <f>(Q423-$AJ$12)/$AK$12</f>
        <v/>
      </c>
      <c r="S423">
        <f>F423*(R423*0.5+P423*0.5)*(H423*0.35+J423*0.35+L423*0.3)</f>
        <v/>
      </c>
      <c r="T423" s="14">
        <f>(S423-$AJ$10)/$AK$10</f>
        <v/>
      </c>
      <c r="U423">
        <f>IF(T423&gt;0.7,"High",IF(T423&gt;0.3,"Moderate",IF(T423&gt;0.15,"Low","No Impact")))</f>
        <v/>
      </c>
      <c r="V423">
        <f>F423*(R423*1)*(H423*0.35+J423*0.35+L423*0.3)</f>
        <v/>
      </c>
      <c r="W423">
        <f>(V423-$AJ$13)/$AK$13</f>
        <v/>
      </c>
      <c r="X423">
        <f>IF(W423&gt;0.7,"High",IF(W423&gt;0.3,"Moderate",IF(W423&gt;0.15,"Low","No Impact")))</f>
        <v/>
      </c>
      <c r="Y423">
        <f>F423*(P423*1)*(H423*0.35+J423*0.35+L423*0.3)</f>
        <v/>
      </c>
      <c r="Z423">
        <f>(Y423-$AJ$14)/$AK$14</f>
        <v/>
      </c>
      <c r="AA423">
        <f>IF(Z423&gt;0.7,"High",IF(Z423&gt;0.3,"Moderate",IF(Z423&gt;0.15,"Low","No Impact")))</f>
        <v/>
      </c>
      <c r="AB423">
        <f>F423*(R423*0.35+P423*0.3+N423*0.35)*(H423*0.35+J423*0.35+L423*0.3)</f>
        <v/>
      </c>
      <c r="AC423">
        <f>(AB423-$AJ$15)/$AK$15</f>
        <v/>
      </c>
      <c r="AD423">
        <f>IF(AC423&gt;0.7,"High",IF(AC423&gt;0.3,"Moderate",IF(AC423&gt;0.15,"Low","No Impact")))</f>
        <v/>
      </c>
      <c r="AE423">
        <f>F423*(N423*1)*(H423*0.35+J423*0.35+L423*0.3)</f>
        <v/>
      </c>
      <c r="AF423">
        <f>(AE423-$AJ$16)/$AK$16</f>
        <v/>
      </c>
      <c r="AG423">
        <f>IF(AF423&gt;0.7,"High",IF(AF423&gt;0.3,"Moderate",IF(AF423&gt;0.15,"Low","No Impact")))</f>
        <v/>
      </c>
    </row>
    <row r="424">
      <c r="A424" t="n">
        <v>507639</v>
      </c>
      <c r="B424" t="inlineStr">
        <is>
          <t>BD507639</t>
        </is>
      </c>
      <c r="C424" t="inlineStr">
        <is>
          <t>Pabna</t>
        </is>
      </c>
      <c r="D424" t="inlineStr">
        <is>
          <t>Ishwardi</t>
        </is>
      </c>
      <c r="E424" s="3" t="n">
        <v>5.1</v>
      </c>
      <c r="F424" s="4">
        <f>(E424-$AJ$5)/$AK$5</f>
        <v/>
      </c>
      <c r="G424" t="n">
        <v>80.5366944</v>
      </c>
      <c r="H424">
        <f>(G424-$AJ$6)/$AK$6</f>
        <v/>
      </c>
      <c r="I424" t="n">
        <v>7.300000000000001</v>
      </c>
      <c r="J424" s="4">
        <f>(I424-$AJ$7)/$AK$7</f>
        <v/>
      </c>
      <c r="K424" t="n">
        <v>0</v>
      </c>
      <c r="L424" s="4">
        <f>(K424-$AJ$8)/$AK$8</f>
        <v/>
      </c>
      <c r="M424" t="n">
        <v>58204</v>
      </c>
      <c r="N424">
        <f>(M424-$AJ$9)/$AK$9</f>
        <v/>
      </c>
      <c r="O424" t="n">
        <v>0.766851459</v>
      </c>
      <c r="P424">
        <f>(O424-$AJ$11)/$AK$11</f>
        <v/>
      </c>
      <c r="Q424" t="n">
        <v>0.2182</v>
      </c>
      <c r="R424">
        <f>(Q424-$AJ$12)/$AK$12</f>
        <v/>
      </c>
      <c r="S424">
        <f>F424*(R424*0.5+P424*0.5)*(H424*0.35+J424*0.35+L424*0.3)</f>
        <v/>
      </c>
      <c r="T424" s="14">
        <f>(S424-$AJ$10)/$AK$10</f>
        <v/>
      </c>
      <c r="U424">
        <f>IF(T424&gt;0.7,"High",IF(T424&gt;0.3,"Moderate",IF(T424&gt;0.15,"Low","No Impact")))</f>
        <v/>
      </c>
      <c r="V424">
        <f>F424*(R424*1)*(H424*0.35+J424*0.35+L424*0.3)</f>
        <v/>
      </c>
      <c r="W424">
        <f>(V424-$AJ$13)/$AK$13</f>
        <v/>
      </c>
      <c r="X424">
        <f>IF(W424&gt;0.7,"High",IF(W424&gt;0.3,"Moderate",IF(W424&gt;0.15,"Low","No Impact")))</f>
        <v/>
      </c>
      <c r="Y424">
        <f>F424*(P424*1)*(H424*0.35+J424*0.35+L424*0.3)</f>
        <v/>
      </c>
      <c r="Z424">
        <f>(Y424-$AJ$14)/$AK$14</f>
        <v/>
      </c>
      <c r="AA424">
        <f>IF(Z424&gt;0.7,"High",IF(Z424&gt;0.3,"Moderate",IF(Z424&gt;0.15,"Low","No Impact")))</f>
        <v/>
      </c>
      <c r="AB424">
        <f>F424*(R424*0.35+P424*0.3+N424*0.35)*(H424*0.35+J424*0.35+L424*0.3)</f>
        <v/>
      </c>
      <c r="AC424">
        <f>(AB424-$AJ$15)/$AK$15</f>
        <v/>
      </c>
      <c r="AD424">
        <f>IF(AC424&gt;0.7,"High",IF(AC424&gt;0.3,"Moderate",IF(AC424&gt;0.15,"Low","No Impact")))</f>
        <v/>
      </c>
      <c r="AE424">
        <f>F424*(N424*1)*(H424*0.35+J424*0.35+L424*0.3)</f>
        <v/>
      </c>
      <c r="AF424">
        <f>(AE424-$AJ$16)/$AK$16</f>
        <v/>
      </c>
      <c r="AG424">
        <f>IF(AF424&gt;0.7,"High",IF(AF424&gt;0.3,"Moderate",IF(AF424&gt;0.15,"Low","No Impact")))</f>
        <v/>
      </c>
    </row>
    <row r="425">
      <c r="A425" t="n">
        <v>507655</v>
      </c>
      <c r="B425" t="inlineStr">
        <is>
          <t>BD507655</t>
        </is>
      </c>
      <c r="C425" t="inlineStr">
        <is>
          <t>Pabna</t>
        </is>
      </c>
      <c r="D425" t="inlineStr">
        <is>
          <t>Pabna Sadar</t>
        </is>
      </c>
      <c r="E425" s="3" t="n">
        <v>5.1</v>
      </c>
      <c r="F425" s="4">
        <f>(E425-$AJ$5)/$AK$5</f>
        <v/>
      </c>
      <c r="G425" t="n">
        <v>91.5230196</v>
      </c>
      <c r="H425">
        <f>(G425-$AJ$6)/$AK$6</f>
        <v/>
      </c>
      <c r="I425" t="n">
        <v>11.7</v>
      </c>
      <c r="J425" s="4">
        <f>(I425-$AJ$7)/$AK$7</f>
        <v/>
      </c>
      <c r="K425" t="n">
        <v>0</v>
      </c>
      <c r="L425" s="4">
        <f>(K425-$AJ$8)/$AK$8</f>
        <v/>
      </c>
      <c r="M425" t="n">
        <v>95538</v>
      </c>
      <c r="N425">
        <f>(M425-$AJ$9)/$AK$9</f>
        <v/>
      </c>
      <c r="O425" t="n">
        <v>0.441268177</v>
      </c>
      <c r="P425">
        <f>(O425-$AJ$11)/$AK$11</f>
        <v/>
      </c>
      <c r="Q425" t="n">
        <v>0.2434</v>
      </c>
      <c r="R425">
        <f>(Q425-$AJ$12)/$AK$12</f>
        <v/>
      </c>
      <c r="S425">
        <f>F425*(R425*0.5+P425*0.5)*(H425*0.35+J425*0.35+L425*0.3)</f>
        <v/>
      </c>
      <c r="T425" s="14">
        <f>(S425-$AJ$10)/$AK$10</f>
        <v/>
      </c>
      <c r="U425">
        <f>IF(T425&gt;0.7,"High",IF(T425&gt;0.3,"Moderate",IF(T425&gt;0.15,"Low","No Impact")))</f>
        <v/>
      </c>
      <c r="V425">
        <f>F425*(R425*1)*(H425*0.35+J425*0.35+L425*0.3)</f>
        <v/>
      </c>
      <c r="W425">
        <f>(V425-$AJ$13)/$AK$13</f>
        <v/>
      </c>
      <c r="X425">
        <f>IF(W425&gt;0.7,"High",IF(W425&gt;0.3,"Moderate",IF(W425&gt;0.15,"Low","No Impact")))</f>
        <v/>
      </c>
      <c r="Y425">
        <f>F425*(P425*1)*(H425*0.35+J425*0.35+L425*0.3)</f>
        <v/>
      </c>
      <c r="Z425">
        <f>(Y425-$AJ$14)/$AK$14</f>
        <v/>
      </c>
      <c r="AA425">
        <f>IF(Z425&gt;0.7,"High",IF(Z425&gt;0.3,"Moderate",IF(Z425&gt;0.15,"Low","No Impact")))</f>
        <v/>
      </c>
      <c r="AB425">
        <f>F425*(R425*0.35+P425*0.3+N425*0.35)*(H425*0.35+J425*0.35+L425*0.3)</f>
        <v/>
      </c>
      <c r="AC425">
        <f>(AB425-$AJ$15)/$AK$15</f>
        <v/>
      </c>
      <c r="AD425">
        <f>IF(AC425&gt;0.7,"High",IF(AC425&gt;0.3,"Moderate",IF(AC425&gt;0.15,"Low","No Impact")))</f>
        <v/>
      </c>
      <c r="AE425">
        <f>F425*(N425*1)*(H425*0.35+J425*0.35+L425*0.3)</f>
        <v/>
      </c>
      <c r="AF425">
        <f>(AE425-$AJ$16)/$AK$16</f>
        <v/>
      </c>
      <c r="AG425">
        <f>IF(AF425&gt;0.7,"High",IF(AF425&gt;0.3,"Moderate",IF(AF425&gt;0.15,"Low","No Impact")))</f>
        <v/>
      </c>
    </row>
    <row r="426">
      <c r="A426" t="n">
        <v>507672</v>
      </c>
      <c r="B426" t="inlineStr">
        <is>
          <t>BD507672</t>
        </is>
      </c>
      <c r="C426" t="inlineStr">
        <is>
          <t>Pabna</t>
        </is>
      </c>
      <c r="D426" t="inlineStr">
        <is>
          <t>Santhia</t>
        </is>
      </c>
      <c r="E426" s="3" t="n">
        <v>5</v>
      </c>
      <c r="F426" s="4">
        <f>(E426-$AJ$5)/$AK$5</f>
        <v/>
      </c>
      <c r="G426" t="n">
        <v>76.940208</v>
      </c>
      <c r="H426">
        <f>(G426-$AJ$6)/$AK$6</f>
        <v/>
      </c>
      <c r="I426" t="n">
        <v>4.800000000000001</v>
      </c>
      <c r="J426" s="4">
        <f>(I426-$AJ$7)/$AK$7</f>
        <v/>
      </c>
      <c r="K426" t="n">
        <v>0</v>
      </c>
      <c r="L426" s="4">
        <f>(K426-$AJ$8)/$AK$8</f>
        <v/>
      </c>
      <c r="M426" t="n">
        <v>62096</v>
      </c>
      <c r="N426">
        <f>(M426-$AJ$9)/$AK$9</f>
        <v/>
      </c>
      <c r="O426" t="n">
        <v>0.40221935</v>
      </c>
      <c r="P426">
        <f>(O426-$AJ$11)/$AK$11</f>
        <v/>
      </c>
      <c r="Q426" t="n">
        <v>0.2726</v>
      </c>
      <c r="R426">
        <f>(Q426-$AJ$12)/$AK$12</f>
        <v/>
      </c>
      <c r="S426">
        <f>F426*(R426*0.5+P426*0.5)*(H426*0.35+J426*0.35+L426*0.3)</f>
        <v/>
      </c>
      <c r="T426" s="14">
        <f>(S426-$AJ$10)/$AK$10</f>
        <v/>
      </c>
      <c r="U426">
        <f>IF(T426&gt;0.7,"High",IF(T426&gt;0.3,"Moderate",IF(T426&gt;0.15,"Low","No Impact")))</f>
        <v/>
      </c>
      <c r="V426">
        <f>F426*(R426*1)*(H426*0.35+J426*0.35+L426*0.3)</f>
        <v/>
      </c>
      <c r="W426">
        <f>(V426-$AJ$13)/$AK$13</f>
        <v/>
      </c>
      <c r="X426">
        <f>IF(W426&gt;0.7,"High",IF(W426&gt;0.3,"Moderate",IF(W426&gt;0.15,"Low","No Impact")))</f>
        <v/>
      </c>
      <c r="Y426">
        <f>F426*(P426*1)*(H426*0.35+J426*0.35+L426*0.3)</f>
        <v/>
      </c>
      <c r="Z426">
        <f>(Y426-$AJ$14)/$AK$14</f>
        <v/>
      </c>
      <c r="AA426">
        <f>IF(Z426&gt;0.7,"High",IF(Z426&gt;0.3,"Moderate",IF(Z426&gt;0.15,"Low","No Impact")))</f>
        <v/>
      </c>
      <c r="AB426">
        <f>F426*(R426*0.35+P426*0.3+N426*0.35)*(H426*0.35+J426*0.35+L426*0.3)</f>
        <v/>
      </c>
      <c r="AC426">
        <f>(AB426-$AJ$15)/$AK$15</f>
        <v/>
      </c>
      <c r="AD426">
        <f>IF(AC426&gt;0.7,"High",IF(AC426&gt;0.3,"Moderate",IF(AC426&gt;0.15,"Low","No Impact")))</f>
        <v/>
      </c>
      <c r="AE426">
        <f>F426*(N426*1)*(H426*0.35+J426*0.35+L426*0.3)</f>
        <v/>
      </c>
      <c r="AF426">
        <f>(AE426-$AJ$16)/$AK$16</f>
        <v/>
      </c>
      <c r="AG426">
        <f>IF(AF426&gt;0.7,"High",IF(AF426&gt;0.3,"Moderate",IF(AF426&gt;0.15,"Low","No Impact")))</f>
        <v/>
      </c>
    </row>
    <row r="427">
      <c r="A427" t="n">
        <v>507683</v>
      </c>
      <c r="B427" t="inlineStr">
        <is>
          <t>BD507683</t>
        </is>
      </c>
      <c r="C427" t="inlineStr">
        <is>
          <t>Pabna</t>
        </is>
      </c>
      <c r="D427" t="inlineStr">
        <is>
          <t>Sujanagar</t>
        </is>
      </c>
      <c r="E427" s="3" t="n">
        <v>5</v>
      </c>
      <c r="F427" s="4">
        <f>(E427-$AJ$5)/$AK$5</f>
        <v/>
      </c>
      <c r="G427" t="n">
        <v>85.30036559999999</v>
      </c>
      <c r="H427">
        <f>(G427-$AJ$6)/$AK$6</f>
        <v/>
      </c>
      <c r="I427" t="n">
        <v>10.7</v>
      </c>
      <c r="J427" s="4">
        <f>(I427-$AJ$7)/$AK$7</f>
        <v/>
      </c>
      <c r="K427" t="n">
        <v>0</v>
      </c>
      <c r="L427" s="4">
        <f>(K427-$AJ$8)/$AK$8</f>
        <v/>
      </c>
      <c r="M427" t="n">
        <v>30851</v>
      </c>
      <c r="N427">
        <f>(M427-$AJ$9)/$AK$9</f>
        <v/>
      </c>
      <c r="O427" t="n">
        <v>0.449904895</v>
      </c>
      <c r="P427">
        <f>(O427-$AJ$11)/$AK$11</f>
        <v/>
      </c>
      <c r="Q427" t="n">
        <v>0.2396</v>
      </c>
      <c r="R427">
        <f>(Q427-$AJ$12)/$AK$12</f>
        <v/>
      </c>
      <c r="S427">
        <f>F427*(R427*0.5+P427*0.5)*(H427*0.35+J427*0.35+L427*0.3)</f>
        <v/>
      </c>
      <c r="T427" s="14">
        <f>(S427-$AJ$10)/$AK$10</f>
        <v/>
      </c>
      <c r="U427">
        <f>IF(T427&gt;0.7,"High",IF(T427&gt;0.3,"Moderate",IF(T427&gt;0.15,"Low","No Impact")))</f>
        <v/>
      </c>
      <c r="V427">
        <f>F427*(R427*1)*(H427*0.35+J427*0.35+L427*0.3)</f>
        <v/>
      </c>
      <c r="W427">
        <f>(V427-$AJ$13)/$AK$13</f>
        <v/>
      </c>
      <c r="X427">
        <f>IF(W427&gt;0.7,"High",IF(W427&gt;0.3,"Moderate",IF(W427&gt;0.15,"Low","No Impact")))</f>
        <v/>
      </c>
      <c r="Y427">
        <f>F427*(P427*1)*(H427*0.35+J427*0.35+L427*0.3)</f>
        <v/>
      </c>
      <c r="Z427">
        <f>(Y427-$AJ$14)/$AK$14</f>
        <v/>
      </c>
      <c r="AA427">
        <f>IF(Z427&gt;0.7,"High",IF(Z427&gt;0.3,"Moderate",IF(Z427&gt;0.15,"Low","No Impact")))</f>
        <v/>
      </c>
      <c r="AB427">
        <f>F427*(R427*0.35+P427*0.3+N427*0.35)*(H427*0.35+J427*0.35+L427*0.3)</f>
        <v/>
      </c>
      <c r="AC427">
        <f>(AB427-$AJ$15)/$AK$15</f>
        <v/>
      </c>
      <c r="AD427">
        <f>IF(AC427&gt;0.7,"High",IF(AC427&gt;0.3,"Moderate",IF(AC427&gt;0.15,"Low","No Impact")))</f>
        <v/>
      </c>
      <c r="AE427">
        <f>F427*(N427*1)*(H427*0.35+J427*0.35+L427*0.3)</f>
        <v/>
      </c>
      <c r="AF427">
        <f>(AE427-$AJ$16)/$AK$16</f>
        <v/>
      </c>
      <c r="AG427">
        <f>IF(AF427&gt;0.7,"High",IF(AF427&gt;0.3,"Moderate",IF(AF427&gt;0.15,"Low","No Impact")))</f>
        <v/>
      </c>
    </row>
    <row r="428">
      <c r="A428" t="n">
        <v>508110</v>
      </c>
      <c r="B428" t="inlineStr">
        <is>
          <t>BD508110</t>
        </is>
      </c>
      <c r="C428" t="inlineStr">
        <is>
          <t>Rajshahi</t>
        </is>
      </c>
      <c r="D428" t="inlineStr">
        <is>
          <t>Bagha</t>
        </is>
      </c>
      <c r="E428" s="3" t="n">
        <v>4.3</v>
      </c>
      <c r="F428" s="4">
        <f>(E428-$AJ$5)/$AK$5</f>
        <v/>
      </c>
      <c r="G428" t="n">
        <v>82.9413792</v>
      </c>
      <c r="H428">
        <f>(G428-$AJ$6)/$AK$6</f>
        <v/>
      </c>
      <c r="I428" t="n">
        <v>5.7</v>
      </c>
      <c r="J428" s="4">
        <f>(I428-$AJ$7)/$AK$7</f>
        <v/>
      </c>
      <c r="K428" t="n">
        <v>0</v>
      </c>
      <c r="L428" s="4">
        <f>(K428-$AJ$8)/$AK$8</f>
        <v/>
      </c>
      <c r="M428" t="n">
        <v>16015</v>
      </c>
      <c r="N428">
        <f>(M428-$AJ$9)/$AK$9</f>
        <v/>
      </c>
      <c r="O428" t="n">
        <v>0.467989316</v>
      </c>
      <c r="P428">
        <f>(O428-$AJ$11)/$AK$11</f>
        <v/>
      </c>
      <c r="Q428" t="n">
        <v>0.2428</v>
      </c>
      <c r="R428">
        <f>(Q428-$AJ$12)/$AK$12</f>
        <v/>
      </c>
      <c r="S428">
        <f>F428*(R428*0.5+P428*0.5)*(H428*0.35+J428*0.35+L428*0.3)</f>
        <v/>
      </c>
      <c r="T428" s="14">
        <f>(S428-$AJ$10)/$AK$10</f>
        <v/>
      </c>
      <c r="U428">
        <f>IF(T428&gt;0.7,"High",IF(T428&gt;0.3,"Moderate",IF(T428&gt;0.15,"Low","No Impact")))</f>
        <v/>
      </c>
      <c r="V428">
        <f>F428*(R428*1)*(H428*0.35+J428*0.35+L428*0.3)</f>
        <v/>
      </c>
      <c r="W428">
        <f>(V428-$AJ$13)/$AK$13</f>
        <v/>
      </c>
      <c r="X428">
        <f>IF(W428&gt;0.7,"High",IF(W428&gt;0.3,"Moderate",IF(W428&gt;0.15,"Low","No Impact")))</f>
        <v/>
      </c>
      <c r="Y428">
        <f>F428*(P428*1)*(H428*0.35+J428*0.35+L428*0.3)</f>
        <v/>
      </c>
      <c r="Z428">
        <f>(Y428-$AJ$14)/$AK$14</f>
        <v/>
      </c>
      <c r="AA428">
        <f>IF(Z428&gt;0.7,"High",IF(Z428&gt;0.3,"Moderate",IF(Z428&gt;0.15,"Low","No Impact")))</f>
        <v/>
      </c>
      <c r="AB428">
        <f>F428*(R428*0.35+P428*0.3+N428*0.35)*(H428*0.35+J428*0.35+L428*0.3)</f>
        <v/>
      </c>
      <c r="AC428">
        <f>(AB428-$AJ$15)/$AK$15</f>
        <v/>
      </c>
      <c r="AD428">
        <f>IF(AC428&gt;0.7,"High",IF(AC428&gt;0.3,"Moderate",IF(AC428&gt;0.15,"Low","No Impact")))</f>
        <v/>
      </c>
      <c r="AE428">
        <f>F428*(N428*1)*(H428*0.35+J428*0.35+L428*0.3)</f>
        <v/>
      </c>
      <c r="AF428">
        <f>(AE428-$AJ$16)/$AK$16</f>
        <v/>
      </c>
      <c r="AG428">
        <f>IF(AF428&gt;0.7,"High",IF(AF428&gt;0.3,"Moderate",IF(AF428&gt;0.15,"Low","No Impact")))</f>
        <v/>
      </c>
    </row>
    <row r="429">
      <c r="A429" t="n">
        <v>508112</v>
      </c>
      <c r="B429" t="inlineStr">
        <is>
          <t>BD508112</t>
        </is>
      </c>
      <c r="C429" t="inlineStr">
        <is>
          <t>Rajshahi</t>
        </is>
      </c>
      <c r="D429" t="inlineStr">
        <is>
          <t>Baghmara</t>
        </is>
      </c>
      <c r="E429" s="3" t="n">
        <v>4.6</v>
      </c>
      <c r="F429" s="4">
        <f>(E429-$AJ$5)/$AK$5</f>
        <v/>
      </c>
      <c r="G429" t="n">
        <v>60.8280984</v>
      </c>
      <c r="H429">
        <f>(G429-$AJ$6)/$AK$6</f>
        <v/>
      </c>
      <c r="I429" t="n">
        <v>0</v>
      </c>
      <c r="J429" s="4">
        <f>(I429-$AJ$7)/$AK$7</f>
        <v/>
      </c>
      <c r="K429" t="n">
        <v>0</v>
      </c>
      <c r="L429" s="4">
        <f>(K429-$AJ$8)/$AK$8</f>
        <v/>
      </c>
      <c r="M429" t="n">
        <v>22499</v>
      </c>
      <c r="N429">
        <f>(M429-$AJ$9)/$AK$9</f>
        <v/>
      </c>
      <c r="O429" t="n">
        <v>0.534536664</v>
      </c>
      <c r="P429">
        <f>(O429-$AJ$11)/$AK$11</f>
        <v/>
      </c>
      <c r="Q429" t="n">
        <v>0.241</v>
      </c>
      <c r="R429">
        <f>(Q429-$AJ$12)/$AK$12</f>
        <v/>
      </c>
      <c r="S429">
        <f>F429*(R429*0.5+P429*0.5)*(H429*0.35+J429*0.35+L429*0.3)</f>
        <v/>
      </c>
      <c r="T429" s="14">
        <f>(S429-$AJ$10)/$AK$10</f>
        <v/>
      </c>
      <c r="U429">
        <f>IF(T429&gt;0.7,"High",IF(T429&gt;0.3,"Moderate",IF(T429&gt;0.15,"Low","No Impact")))</f>
        <v/>
      </c>
      <c r="V429">
        <f>F429*(R429*1)*(H429*0.35+J429*0.35+L429*0.3)</f>
        <v/>
      </c>
      <c r="W429">
        <f>(V429-$AJ$13)/$AK$13</f>
        <v/>
      </c>
      <c r="X429">
        <f>IF(W429&gt;0.7,"High",IF(W429&gt;0.3,"Moderate",IF(W429&gt;0.15,"Low","No Impact")))</f>
        <v/>
      </c>
      <c r="Y429">
        <f>F429*(P429*1)*(H429*0.35+J429*0.35+L429*0.3)</f>
        <v/>
      </c>
      <c r="Z429">
        <f>(Y429-$AJ$14)/$AK$14</f>
        <v/>
      </c>
      <c r="AA429">
        <f>IF(Z429&gt;0.7,"High",IF(Z429&gt;0.3,"Moderate",IF(Z429&gt;0.15,"Low","No Impact")))</f>
        <v/>
      </c>
      <c r="AB429">
        <f>F429*(R429*0.35+P429*0.3+N429*0.35)*(H429*0.35+J429*0.35+L429*0.3)</f>
        <v/>
      </c>
      <c r="AC429">
        <f>(AB429-$AJ$15)/$AK$15</f>
        <v/>
      </c>
      <c r="AD429">
        <f>IF(AC429&gt;0.7,"High",IF(AC429&gt;0.3,"Moderate",IF(AC429&gt;0.15,"Low","No Impact")))</f>
        <v/>
      </c>
      <c r="AE429">
        <f>F429*(N429*1)*(H429*0.35+J429*0.35+L429*0.3)</f>
        <v/>
      </c>
      <c r="AF429">
        <f>(AE429-$AJ$16)/$AK$16</f>
        <v/>
      </c>
      <c r="AG429">
        <f>IF(AF429&gt;0.7,"High",IF(AF429&gt;0.3,"Moderate",IF(AF429&gt;0.15,"Low","No Impact")))</f>
        <v/>
      </c>
    </row>
    <row r="430">
      <c r="A430" t="n">
        <v>508122</v>
      </c>
      <c r="B430" t="inlineStr">
        <is>
          <t>BD508122</t>
        </is>
      </c>
      <c r="C430" t="inlineStr">
        <is>
          <t>Rajshahi</t>
        </is>
      </c>
      <c r="D430" t="inlineStr">
        <is>
          <t>Boalia</t>
        </is>
      </c>
      <c r="E430" s="3" t="n">
        <v>4.6</v>
      </c>
      <c r="F430" s="4">
        <f>(E430-$AJ$5)/$AK$5</f>
        <v/>
      </c>
      <c r="G430" t="n">
        <v>68.0878656</v>
      </c>
      <c r="H430">
        <f>(G430-$AJ$6)/$AK$6</f>
        <v/>
      </c>
      <c r="I430" t="n">
        <v>1.2</v>
      </c>
      <c r="J430" s="4">
        <f>(I430-$AJ$7)/$AK$7</f>
        <v/>
      </c>
      <c r="K430" t="n">
        <v>0</v>
      </c>
      <c r="L430" s="4">
        <f>(K430-$AJ$8)/$AK$8</f>
        <v/>
      </c>
      <c r="M430" t="n">
        <v>27245</v>
      </c>
      <c r="N430">
        <f>(M430-$AJ$9)/$AK$9</f>
        <v/>
      </c>
      <c r="O430" t="n">
        <v>0.865671918</v>
      </c>
      <c r="P430">
        <f>(O430-$AJ$11)/$AK$11</f>
        <v/>
      </c>
      <c r="Q430" t="n">
        <v>0.1974</v>
      </c>
      <c r="R430">
        <f>(Q430-$AJ$12)/$AK$12</f>
        <v/>
      </c>
      <c r="S430">
        <f>F430*(R430*0.5+P430*0.5)*(H430*0.35+J430*0.35+L430*0.3)</f>
        <v/>
      </c>
      <c r="T430" s="14">
        <f>(S430-$AJ$10)/$AK$10</f>
        <v/>
      </c>
      <c r="U430">
        <f>IF(T430&gt;0.7,"High",IF(T430&gt;0.3,"Moderate",IF(T430&gt;0.15,"Low","No Impact")))</f>
        <v/>
      </c>
      <c r="V430">
        <f>F430*(R430*1)*(H430*0.35+J430*0.35+L430*0.3)</f>
        <v/>
      </c>
      <c r="W430">
        <f>(V430-$AJ$13)/$AK$13</f>
        <v/>
      </c>
      <c r="X430">
        <f>IF(W430&gt;0.7,"High",IF(W430&gt;0.3,"Moderate",IF(W430&gt;0.15,"Low","No Impact")))</f>
        <v/>
      </c>
      <c r="Y430">
        <f>F430*(P430*1)*(H430*0.35+J430*0.35+L430*0.3)</f>
        <v/>
      </c>
      <c r="Z430">
        <f>(Y430-$AJ$14)/$AK$14</f>
        <v/>
      </c>
      <c r="AA430">
        <f>IF(Z430&gt;0.7,"High",IF(Z430&gt;0.3,"Moderate",IF(Z430&gt;0.15,"Low","No Impact")))</f>
        <v/>
      </c>
      <c r="AB430">
        <f>F430*(R430*0.35+P430*0.3+N430*0.35)*(H430*0.35+J430*0.35+L430*0.3)</f>
        <v/>
      </c>
      <c r="AC430">
        <f>(AB430-$AJ$15)/$AK$15</f>
        <v/>
      </c>
      <c r="AD430">
        <f>IF(AC430&gt;0.7,"High",IF(AC430&gt;0.3,"Moderate",IF(AC430&gt;0.15,"Low","No Impact")))</f>
        <v/>
      </c>
      <c r="AE430">
        <f>F430*(N430*1)*(H430*0.35+J430*0.35+L430*0.3)</f>
        <v/>
      </c>
      <c r="AF430">
        <f>(AE430-$AJ$16)/$AK$16</f>
        <v/>
      </c>
      <c r="AG430">
        <f>IF(AF430&gt;0.7,"High",IF(AF430&gt;0.3,"Moderate",IF(AF430&gt;0.15,"Low","No Impact")))</f>
        <v/>
      </c>
    </row>
    <row r="431">
      <c r="A431" t="n">
        <v>508125</v>
      </c>
      <c r="B431" t="inlineStr">
        <is>
          <t>BD508125</t>
        </is>
      </c>
      <c r="C431" t="inlineStr">
        <is>
          <t>Rajshahi</t>
        </is>
      </c>
      <c r="D431" t="inlineStr">
        <is>
          <t>Charghat</t>
        </is>
      </c>
      <c r="E431" s="3" t="n">
        <v>4.6</v>
      </c>
      <c r="F431" s="4">
        <f>(E431-$AJ$5)/$AK$5</f>
        <v/>
      </c>
      <c r="G431" t="n">
        <v>66.5761464</v>
      </c>
      <c r="H431">
        <f>(G431-$AJ$6)/$AK$6</f>
        <v/>
      </c>
      <c r="I431" t="n">
        <v>2.6</v>
      </c>
      <c r="J431" s="4">
        <f>(I431-$AJ$7)/$AK$7</f>
        <v/>
      </c>
      <c r="K431" t="n">
        <v>0</v>
      </c>
      <c r="L431" s="4">
        <f>(K431-$AJ$8)/$AK$8</f>
        <v/>
      </c>
      <c r="M431" t="n">
        <v>29401</v>
      </c>
      <c r="N431">
        <f>(M431-$AJ$9)/$AK$9</f>
        <v/>
      </c>
      <c r="O431" t="n">
        <v>0.398441075</v>
      </c>
      <c r="P431">
        <f>(O431-$AJ$11)/$AK$11</f>
        <v/>
      </c>
      <c r="Q431" t="n">
        <v>0.2748</v>
      </c>
      <c r="R431">
        <f>(Q431-$AJ$12)/$AK$12</f>
        <v/>
      </c>
      <c r="S431">
        <f>F431*(R431*0.5+P431*0.5)*(H431*0.35+J431*0.35+L431*0.3)</f>
        <v/>
      </c>
      <c r="T431" s="14">
        <f>(S431-$AJ$10)/$AK$10</f>
        <v/>
      </c>
      <c r="U431">
        <f>IF(T431&gt;0.7,"High",IF(T431&gt;0.3,"Moderate",IF(T431&gt;0.15,"Low","No Impact")))</f>
        <v/>
      </c>
      <c r="V431">
        <f>F431*(R431*1)*(H431*0.35+J431*0.35+L431*0.3)</f>
        <v/>
      </c>
      <c r="W431">
        <f>(V431-$AJ$13)/$AK$13</f>
        <v/>
      </c>
      <c r="X431">
        <f>IF(W431&gt;0.7,"High",IF(W431&gt;0.3,"Moderate",IF(W431&gt;0.15,"Low","No Impact")))</f>
        <v/>
      </c>
      <c r="Y431">
        <f>F431*(P431*1)*(H431*0.35+J431*0.35+L431*0.3)</f>
        <v/>
      </c>
      <c r="Z431">
        <f>(Y431-$AJ$14)/$AK$14</f>
        <v/>
      </c>
      <c r="AA431">
        <f>IF(Z431&gt;0.7,"High",IF(Z431&gt;0.3,"Moderate",IF(Z431&gt;0.15,"Low","No Impact")))</f>
        <v/>
      </c>
      <c r="AB431">
        <f>F431*(R431*0.35+P431*0.3+N431*0.35)*(H431*0.35+J431*0.35+L431*0.3)</f>
        <v/>
      </c>
      <c r="AC431">
        <f>(AB431-$AJ$15)/$AK$15</f>
        <v/>
      </c>
      <c r="AD431">
        <f>IF(AC431&gt;0.7,"High",IF(AC431&gt;0.3,"Moderate",IF(AC431&gt;0.15,"Low","No Impact")))</f>
        <v/>
      </c>
      <c r="AE431">
        <f>F431*(N431*1)*(H431*0.35+J431*0.35+L431*0.3)</f>
        <v/>
      </c>
      <c r="AF431">
        <f>(AE431-$AJ$16)/$AK$16</f>
        <v/>
      </c>
      <c r="AG431">
        <f>IF(AF431&gt;0.7,"High",IF(AF431&gt;0.3,"Moderate",IF(AF431&gt;0.15,"Low","No Impact")))</f>
        <v/>
      </c>
    </row>
    <row r="432">
      <c r="A432" t="n">
        <v>508131</v>
      </c>
      <c r="B432" t="inlineStr">
        <is>
          <t>BD508131</t>
        </is>
      </c>
      <c r="C432" t="inlineStr">
        <is>
          <t>Rajshahi</t>
        </is>
      </c>
      <c r="D432" t="inlineStr">
        <is>
          <t>Durgapur</t>
        </is>
      </c>
      <c r="E432" s="3" t="n">
        <v>4.5</v>
      </c>
      <c r="F432" s="4">
        <f>(E432-$AJ$5)/$AK$5</f>
        <v/>
      </c>
      <c r="G432" t="n">
        <v>60.8280984</v>
      </c>
      <c r="H432">
        <f>(G432-$AJ$6)/$AK$6</f>
        <v/>
      </c>
      <c r="I432" t="n">
        <v>0.1000000000000003</v>
      </c>
      <c r="J432" s="4">
        <f>(I432-$AJ$7)/$AK$7</f>
        <v/>
      </c>
      <c r="K432" t="n">
        <v>0</v>
      </c>
      <c r="L432" s="4">
        <f>(K432-$AJ$8)/$AK$8</f>
        <v/>
      </c>
      <c r="M432" t="n">
        <v>23168</v>
      </c>
      <c r="N432">
        <f>(M432-$AJ$9)/$AK$9</f>
        <v/>
      </c>
      <c r="O432" t="n">
        <v>0.508481182</v>
      </c>
      <c r="P432">
        <f>(O432-$AJ$11)/$AK$11</f>
        <v/>
      </c>
      <c r="Q432" t="n">
        <v>0.2331</v>
      </c>
      <c r="R432">
        <f>(Q432-$AJ$12)/$AK$12</f>
        <v/>
      </c>
      <c r="S432">
        <f>F432*(R432*0.5+P432*0.5)*(H432*0.35+J432*0.35+L432*0.3)</f>
        <v/>
      </c>
      <c r="T432" s="14">
        <f>(S432-$AJ$10)/$AK$10</f>
        <v/>
      </c>
      <c r="U432">
        <f>IF(T432&gt;0.7,"High",IF(T432&gt;0.3,"Moderate",IF(T432&gt;0.15,"Low","No Impact")))</f>
        <v/>
      </c>
      <c r="V432">
        <f>F432*(R432*1)*(H432*0.35+J432*0.35+L432*0.3)</f>
        <v/>
      </c>
      <c r="W432">
        <f>(V432-$AJ$13)/$AK$13</f>
        <v/>
      </c>
      <c r="X432">
        <f>IF(W432&gt;0.7,"High",IF(W432&gt;0.3,"Moderate",IF(W432&gt;0.15,"Low","No Impact")))</f>
        <v/>
      </c>
      <c r="Y432">
        <f>F432*(P432*1)*(H432*0.35+J432*0.35+L432*0.3)</f>
        <v/>
      </c>
      <c r="Z432">
        <f>(Y432-$AJ$14)/$AK$14</f>
        <v/>
      </c>
      <c r="AA432">
        <f>IF(Z432&gt;0.7,"High",IF(Z432&gt;0.3,"Moderate",IF(Z432&gt;0.15,"Low","No Impact")))</f>
        <v/>
      </c>
      <c r="AB432">
        <f>F432*(R432*0.35+P432*0.3+N432*0.35)*(H432*0.35+J432*0.35+L432*0.3)</f>
        <v/>
      </c>
      <c r="AC432">
        <f>(AB432-$AJ$15)/$AK$15</f>
        <v/>
      </c>
      <c r="AD432">
        <f>IF(AC432&gt;0.7,"High",IF(AC432&gt;0.3,"Moderate",IF(AC432&gt;0.15,"Low","No Impact")))</f>
        <v/>
      </c>
      <c r="AE432">
        <f>F432*(N432*1)*(H432*0.35+J432*0.35+L432*0.3)</f>
        <v/>
      </c>
      <c r="AF432">
        <f>(AE432-$AJ$16)/$AK$16</f>
        <v/>
      </c>
      <c r="AG432">
        <f>IF(AF432&gt;0.7,"High",IF(AF432&gt;0.3,"Moderate",IF(AF432&gt;0.15,"Low","No Impact")))</f>
        <v/>
      </c>
    </row>
    <row r="433">
      <c r="A433" t="n">
        <v>508134</v>
      </c>
      <c r="B433" t="inlineStr">
        <is>
          <t>BD508134</t>
        </is>
      </c>
      <c r="C433" t="inlineStr">
        <is>
          <t>Rajshahi</t>
        </is>
      </c>
      <c r="D433" t="inlineStr">
        <is>
          <t>Godagari</t>
        </is>
      </c>
      <c r="E433" s="3" t="n">
        <v>4.7</v>
      </c>
      <c r="F433" s="4">
        <f>(E433-$AJ$5)/$AK$5</f>
        <v/>
      </c>
      <c r="G433" t="n">
        <v>69.4308348</v>
      </c>
      <c r="H433">
        <f>(G433-$AJ$6)/$AK$6</f>
        <v/>
      </c>
      <c r="I433" t="n">
        <v>0.7999999999999999</v>
      </c>
      <c r="J433" s="4">
        <f>(I433-$AJ$7)/$AK$7</f>
        <v/>
      </c>
      <c r="K433" t="n">
        <v>0</v>
      </c>
      <c r="L433" s="4">
        <f>(K433-$AJ$8)/$AK$8</f>
        <v/>
      </c>
      <c r="M433" t="n">
        <v>52038</v>
      </c>
      <c r="N433">
        <f>(M433-$AJ$9)/$AK$9</f>
        <v/>
      </c>
      <c r="O433" t="n">
        <v>0.583187825</v>
      </c>
      <c r="P433">
        <f>(O433-$AJ$11)/$AK$11</f>
        <v/>
      </c>
      <c r="Q433" t="n">
        <v>0.2021</v>
      </c>
      <c r="R433">
        <f>(Q433-$AJ$12)/$AK$12</f>
        <v/>
      </c>
      <c r="S433">
        <f>F433*(R433*0.5+P433*0.5)*(H433*0.35+J433*0.35+L433*0.3)</f>
        <v/>
      </c>
      <c r="T433" s="14">
        <f>(S433-$AJ$10)/$AK$10</f>
        <v/>
      </c>
      <c r="U433">
        <f>IF(T433&gt;0.7,"High",IF(T433&gt;0.3,"Moderate",IF(T433&gt;0.15,"Low","No Impact")))</f>
        <v/>
      </c>
      <c r="V433">
        <f>F433*(R433*1)*(H433*0.35+J433*0.35+L433*0.3)</f>
        <v/>
      </c>
      <c r="W433">
        <f>(V433-$AJ$13)/$AK$13</f>
        <v/>
      </c>
      <c r="X433">
        <f>IF(W433&gt;0.7,"High",IF(W433&gt;0.3,"Moderate",IF(W433&gt;0.15,"Low","No Impact")))</f>
        <v/>
      </c>
      <c r="Y433">
        <f>F433*(P433*1)*(H433*0.35+J433*0.35+L433*0.3)</f>
        <v/>
      </c>
      <c r="Z433">
        <f>(Y433-$AJ$14)/$AK$14</f>
        <v/>
      </c>
      <c r="AA433">
        <f>IF(Z433&gt;0.7,"High",IF(Z433&gt;0.3,"Moderate",IF(Z433&gt;0.15,"Low","No Impact")))</f>
        <v/>
      </c>
      <c r="AB433">
        <f>F433*(R433*0.35+P433*0.3+N433*0.35)*(H433*0.35+J433*0.35+L433*0.3)</f>
        <v/>
      </c>
      <c r="AC433">
        <f>(AB433-$AJ$15)/$AK$15</f>
        <v/>
      </c>
      <c r="AD433">
        <f>IF(AC433&gt;0.7,"High",IF(AC433&gt;0.3,"Moderate",IF(AC433&gt;0.15,"Low","No Impact")))</f>
        <v/>
      </c>
      <c r="AE433">
        <f>F433*(N433*1)*(H433*0.35+J433*0.35+L433*0.3)</f>
        <v/>
      </c>
      <c r="AF433">
        <f>(AE433-$AJ$16)/$AK$16</f>
        <v/>
      </c>
      <c r="AG433">
        <f>IF(AF433&gt;0.7,"High",IF(AF433&gt;0.3,"Moderate",IF(AF433&gt;0.15,"Low","No Impact")))</f>
        <v/>
      </c>
    </row>
    <row r="434">
      <c r="A434" t="n">
        <v>508140</v>
      </c>
      <c r="B434" t="inlineStr">
        <is>
          <t>BD508140</t>
        </is>
      </c>
      <c r="C434" t="inlineStr">
        <is>
          <t>Rajshahi</t>
        </is>
      </c>
      <c r="D434" t="inlineStr">
        <is>
          <t>Matihar</t>
        </is>
      </c>
      <c r="E434" s="3" t="n">
        <v>3.6</v>
      </c>
      <c r="F434" s="4">
        <f>(E434-$AJ$5)/$AK$5</f>
        <v/>
      </c>
      <c r="G434" t="n">
        <v>68.0878656</v>
      </c>
      <c r="H434">
        <f>(G434-$AJ$6)/$AK$6</f>
        <v/>
      </c>
      <c r="I434" t="n">
        <v>1.6</v>
      </c>
      <c r="J434" s="4">
        <f>(I434-$AJ$7)/$AK$7</f>
        <v/>
      </c>
      <c r="K434" t="n">
        <v>0</v>
      </c>
      <c r="L434" s="4">
        <f>(K434-$AJ$8)/$AK$8</f>
        <v/>
      </c>
      <c r="M434" t="n">
        <v>7843</v>
      </c>
      <c r="N434">
        <f>(M434-$AJ$9)/$AK$9</f>
        <v/>
      </c>
      <c r="O434" t="n">
        <v>0.481206209</v>
      </c>
      <c r="P434">
        <f>(O434-$AJ$11)/$AK$11</f>
        <v/>
      </c>
      <c r="Q434" t="n">
        <v>0.2225</v>
      </c>
      <c r="R434">
        <f>(Q434-$AJ$12)/$AK$12</f>
        <v/>
      </c>
      <c r="S434">
        <f>F434*(R434*0.5+P434*0.5)*(H434*0.35+J434*0.35+L434*0.3)</f>
        <v/>
      </c>
      <c r="T434" s="14">
        <f>(S434-$AJ$10)/$AK$10</f>
        <v/>
      </c>
      <c r="U434">
        <f>IF(T434&gt;0.7,"High",IF(T434&gt;0.3,"Moderate",IF(T434&gt;0.15,"Low","No Impact")))</f>
        <v/>
      </c>
      <c r="V434">
        <f>F434*(R434*1)*(H434*0.35+J434*0.35+L434*0.3)</f>
        <v/>
      </c>
      <c r="W434">
        <f>(V434-$AJ$13)/$AK$13</f>
        <v/>
      </c>
      <c r="X434">
        <f>IF(W434&gt;0.7,"High",IF(W434&gt;0.3,"Moderate",IF(W434&gt;0.15,"Low","No Impact")))</f>
        <v/>
      </c>
      <c r="Y434">
        <f>F434*(P434*1)*(H434*0.35+J434*0.35+L434*0.3)</f>
        <v/>
      </c>
      <c r="Z434">
        <f>(Y434-$AJ$14)/$AK$14</f>
        <v/>
      </c>
      <c r="AA434">
        <f>IF(Z434&gt;0.7,"High",IF(Z434&gt;0.3,"Moderate",IF(Z434&gt;0.15,"Low","No Impact")))</f>
        <v/>
      </c>
      <c r="AB434">
        <f>F434*(R434*0.35+P434*0.3+N434*0.35)*(H434*0.35+J434*0.35+L434*0.3)</f>
        <v/>
      </c>
      <c r="AC434">
        <f>(AB434-$AJ$15)/$AK$15</f>
        <v/>
      </c>
      <c r="AD434">
        <f>IF(AC434&gt;0.7,"High",IF(AC434&gt;0.3,"Moderate",IF(AC434&gt;0.15,"Low","No Impact")))</f>
        <v/>
      </c>
      <c r="AE434">
        <f>F434*(N434*1)*(H434*0.35+J434*0.35+L434*0.3)</f>
        <v/>
      </c>
      <c r="AF434">
        <f>(AE434-$AJ$16)/$AK$16</f>
        <v/>
      </c>
      <c r="AG434">
        <f>IF(AF434&gt;0.7,"High",IF(AF434&gt;0.3,"Moderate",IF(AF434&gt;0.15,"Low","No Impact")))</f>
        <v/>
      </c>
    </row>
    <row r="435">
      <c r="A435" t="n">
        <v>508153</v>
      </c>
      <c r="B435" t="inlineStr">
        <is>
          <t>BD508153</t>
        </is>
      </c>
      <c r="C435" t="inlineStr">
        <is>
          <t>Rajshahi</t>
        </is>
      </c>
      <c r="D435" t="inlineStr">
        <is>
          <t>Mohanpur</t>
        </is>
      </c>
      <c r="E435" s="3" t="n">
        <v>3.5</v>
      </c>
      <c r="F435" s="4">
        <f>(E435-$AJ$5)/$AK$5</f>
        <v/>
      </c>
      <c r="G435" t="n">
        <v>61.05661200000001</v>
      </c>
      <c r="H435">
        <f>(G435-$AJ$6)/$AK$6</f>
        <v/>
      </c>
      <c r="I435" t="n">
        <v>0.1</v>
      </c>
      <c r="J435" s="4">
        <f>(I435-$AJ$7)/$AK$7</f>
        <v/>
      </c>
      <c r="K435" t="n">
        <v>0</v>
      </c>
      <c r="L435" s="4">
        <f>(K435-$AJ$8)/$AK$8</f>
        <v/>
      </c>
      <c r="M435" t="n">
        <v>20804</v>
      </c>
      <c r="N435">
        <f>(M435-$AJ$9)/$AK$9</f>
        <v/>
      </c>
      <c r="O435" t="n">
        <v>0.579370717</v>
      </c>
      <c r="P435">
        <f>(O435-$AJ$11)/$AK$11</f>
        <v/>
      </c>
      <c r="Q435" t="n">
        <v>0.2355</v>
      </c>
      <c r="R435">
        <f>(Q435-$AJ$12)/$AK$12</f>
        <v/>
      </c>
      <c r="S435">
        <f>F435*(R435*0.5+P435*0.5)*(H435*0.35+J435*0.35+L435*0.3)</f>
        <v/>
      </c>
      <c r="T435" s="14">
        <f>(S435-$AJ$10)/$AK$10</f>
        <v/>
      </c>
      <c r="U435">
        <f>IF(T435&gt;0.7,"High",IF(T435&gt;0.3,"Moderate",IF(T435&gt;0.15,"Low","No Impact")))</f>
        <v/>
      </c>
      <c r="V435">
        <f>F435*(R435*1)*(H435*0.35+J435*0.35+L435*0.3)</f>
        <v/>
      </c>
      <c r="W435">
        <f>(V435-$AJ$13)/$AK$13</f>
        <v/>
      </c>
      <c r="X435">
        <f>IF(W435&gt;0.7,"High",IF(W435&gt;0.3,"Moderate",IF(W435&gt;0.15,"Low","No Impact")))</f>
        <v/>
      </c>
      <c r="Y435">
        <f>F435*(P435*1)*(H435*0.35+J435*0.35+L435*0.3)</f>
        <v/>
      </c>
      <c r="Z435">
        <f>(Y435-$AJ$14)/$AK$14</f>
        <v/>
      </c>
      <c r="AA435">
        <f>IF(Z435&gt;0.7,"High",IF(Z435&gt;0.3,"Moderate",IF(Z435&gt;0.15,"Low","No Impact")))</f>
        <v/>
      </c>
      <c r="AB435">
        <f>F435*(R435*0.35+P435*0.3+N435*0.35)*(H435*0.35+J435*0.35+L435*0.3)</f>
        <v/>
      </c>
      <c r="AC435">
        <f>(AB435-$AJ$15)/$AK$15</f>
        <v/>
      </c>
      <c r="AD435">
        <f>IF(AC435&gt;0.7,"High",IF(AC435&gt;0.3,"Moderate",IF(AC435&gt;0.15,"Low","No Impact")))</f>
        <v/>
      </c>
      <c r="AE435">
        <f>F435*(N435*1)*(H435*0.35+J435*0.35+L435*0.3)</f>
        <v/>
      </c>
      <c r="AF435">
        <f>(AE435-$AJ$16)/$AK$16</f>
        <v/>
      </c>
      <c r="AG435">
        <f>IF(AF435&gt;0.7,"High",IF(AF435&gt;0.3,"Moderate",IF(AF435&gt;0.15,"Low","No Impact")))</f>
        <v/>
      </c>
    </row>
    <row r="436">
      <c r="A436" t="n">
        <v>508172</v>
      </c>
      <c r="B436" t="inlineStr">
        <is>
          <t>BD508172</t>
        </is>
      </c>
      <c r="C436" t="inlineStr">
        <is>
          <t>Rajshahi</t>
        </is>
      </c>
      <c r="D436" t="inlineStr">
        <is>
          <t>Paba</t>
        </is>
      </c>
      <c r="E436" s="3" t="n">
        <v>4.5</v>
      </c>
      <c r="F436" s="4">
        <f>(E436-$AJ$5)/$AK$5</f>
        <v/>
      </c>
      <c r="G436" t="n">
        <v>68.0878656</v>
      </c>
      <c r="H436">
        <f>(G436-$AJ$6)/$AK$6</f>
        <v/>
      </c>
      <c r="I436" t="n">
        <v>1.2</v>
      </c>
      <c r="J436" s="4">
        <f>(I436-$AJ$7)/$AK$7</f>
        <v/>
      </c>
      <c r="K436" t="n">
        <v>0</v>
      </c>
      <c r="L436" s="4">
        <f>(K436-$AJ$8)/$AK$8</f>
        <v/>
      </c>
      <c r="M436" t="n">
        <v>62600</v>
      </c>
      <c r="N436">
        <f>(M436-$AJ$9)/$AK$9</f>
        <v/>
      </c>
      <c r="O436" t="n">
        <v>0.778537734</v>
      </c>
      <c r="P436">
        <f>(O436-$AJ$11)/$AK$11</f>
        <v/>
      </c>
      <c r="Q436" t="n">
        <v>0.2206</v>
      </c>
      <c r="R436">
        <f>(Q436-$AJ$12)/$AK$12</f>
        <v/>
      </c>
      <c r="S436">
        <f>F436*(R436*0.5+P436*0.5)*(H436*0.35+J436*0.35+L436*0.3)</f>
        <v/>
      </c>
      <c r="T436" s="14">
        <f>(S436-$AJ$10)/$AK$10</f>
        <v/>
      </c>
      <c r="U436">
        <f>IF(T436&gt;0.7,"High",IF(T436&gt;0.3,"Moderate",IF(T436&gt;0.15,"Low","No Impact")))</f>
        <v/>
      </c>
      <c r="V436">
        <f>F436*(R436*1)*(H436*0.35+J436*0.35+L436*0.3)</f>
        <v/>
      </c>
      <c r="W436">
        <f>(V436-$AJ$13)/$AK$13</f>
        <v/>
      </c>
      <c r="X436">
        <f>IF(W436&gt;0.7,"High",IF(W436&gt;0.3,"Moderate",IF(W436&gt;0.15,"Low","No Impact")))</f>
        <v/>
      </c>
      <c r="Y436">
        <f>F436*(P436*1)*(H436*0.35+J436*0.35+L436*0.3)</f>
        <v/>
      </c>
      <c r="Z436">
        <f>(Y436-$AJ$14)/$AK$14</f>
        <v/>
      </c>
      <c r="AA436">
        <f>IF(Z436&gt;0.7,"High",IF(Z436&gt;0.3,"Moderate",IF(Z436&gt;0.15,"Low","No Impact")))</f>
        <v/>
      </c>
      <c r="AB436">
        <f>F436*(R436*0.35+P436*0.3+N436*0.35)*(H436*0.35+J436*0.35+L436*0.3)</f>
        <v/>
      </c>
      <c r="AC436">
        <f>(AB436-$AJ$15)/$AK$15</f>
        <v/>
      </c>
      <c r="AD436">
        <f>IF(AC436&gt;0.7,"High",IF(AC436&gt;0.3,"Moderate",IF(AC436&gt;0.15,"Low","No Impact")))</f>
        <v/>
      </c>
      <c r="AE436">
        <f>F436*(N436*1)*(H436*0.35+J436*0.35+L436*0.3)</f>
        <v/>
      </c>
      <c r="AF436">
        <f>(AE436-$AJ$16)/$AK$16</f>
        <v/>
      </c>
      <c r="AG436">
        <f>IF(AF436&gt;0.7,"High",IF(AF436&gt;0.3,"Moderate",IF(AF436&gt;0.15,"Low","No Impact")))</f>
        <v/>
      </c>
    </row>
    <row r="437">
      <c r="A437" t="n">
        <v>508182</v>
      </c>
      <c r="B437" t="inlineStr">
        <is>
          <t>BD508182</t>
        </is>
      </c>
      <c r="C437" t="inlineStr">
        <is>
          <t>Rajshahi</t>
        </is>
      </c>
      <c r="D437" t="inlineStr">
        <is>
          <t>Puthia</t>
        </is>
      </c>
      <c r="E437" s="3" t="n">
        <v>4.6</v>
      </c>
      <c r="F437" s="4">
        <f>(E437-$AJ$5)/$AK$5</f>
        <v/>
      </c>
      <c r="G437" t="n">
        <v>66.5761464</v>
      </c>
      <c r="H437">
        <f>(G437-$AJ$6)/$AK$6</f>
        <v/>
      </c>
      <c r="I437" t="n">
        <v>1.3</v>
      </c>
      <c r="J437" s="4">
        <f>(I437-$AJ$7)/$AK$7</f>
        <v/>
      </c>
      <c r="K437" t="n">
        <v>0</v>
      </c>
      <c r="L437" s="4">
        <f>(K437-$AJ$8)/$AK$8</f>
        <v/>
      </c>
      <c r="M437" t="n">
        <v>25708</v>
      </c>
      <c r="N437">
        <f>(M437-$AJ$9)/$AK$9</f>
        <v/>
      </c>
      <c r="O437" t="n">
        <v>0.427738452</v>
      </c>
      <c r="P437">
        <f>(O437-$AJ$11)/$AK$11</f>
        <v/>
      </c>
      <c r="Q437" t="n">
        <v>0.2763</v>
      </c>
      <c r="R437">
        <f>(Q437-$AJ$12)/$AK$12</f>
        <v/>
      </c>
      <c r="S437">
        <f>F437*(R437*0.5+P437*0.5)*(H437*0.35+J437*0.35+L437*0.3)</f>
        <v/>
      </c>
      <c r="T437" s="14">
        <f>(S437-$AJ$10)/$AK$10</f>
        <v/>
      </c>
      <c r="U437">
        <f>IF(T437&gt;0.7,"High",IF(T437&gt;0.3,"Moderate",IF(T437&gt;0.15,"Low","No Impact")))</f>
        <v/>
      </c>
      <c r="V437">
        <f>F437*(R437*1)*(H437*0.35+J437*0.35+L437*0.3)</f>
        <v/>
      </c>
      <c r="W437">
        <f>(V437-$AJ$13)/$AK$13</f>
        <v/>
      </c>
      <c r="X437">
        <f>IF(W437&gt;0.7,"High",IF(W437&gt;0.3,"Moderate",IF(W437&gt;0.15,"Low","No Impact")))</f>
        <v/>
      </c>
      <c r="Y437">
        <f>F437*(P437*1)*(H437*0.35+J437*0.35+L437*0.3)</f>
        <v/>
      </c>
      <c r="Z437">
        <f>(Y437-$AJ$14)/$AK$14</f>
        <v/>
      </c>
      <c r="AA437">
        <f>IF(Z437&gt;0.7,"High",IF(Z437&gt;0.3,"Moderate",IF(Z437&gt;0.15,"Low","No Impact")))</f>
        <v/>
      </c>
      <c r="AB437">
        <f>F437*(R437*0.35+P437*0.3+N437*0.35)*(H437*0.35+J437*0.35+L437*0.3)</f>
        <v/>
      </c>
      <c r="AC437">
        <f>(AB437-$AJ$15)/$AK$15</f>
        <v/>
      </c>
      <c r="AD437">
        <f>IF(AC437&gt;0.7,"High",IF(AC437&gt;0.3,"Moderate",IF(AC437&gt;0.15,"Low","No Impact")))</f>
        <v/>
      </c>
      <c r="AE437">
        <f>F437*(N437*1)*(H437*0.35+J437*0.35+L437*0.3)</f>
        <v/>
      </c>
      <c r="AF437">
        <f>(AE437-$AJ$16)/$AK$16</f>
        <v/>
      </c>
      <c r="AG437">
        <f>IF(AF437&gt;0.7,"High",IF(AF437&gt;0.3,"Moderate",IF(AF437&gt;0.15,"Low","No Impact")))</f>
        <v/>
      </c>
    </row>
    <row r="438">
      <c r="A438" t="n">
        <v>508185</v>
      </c>
      <c r="B438" t="inlineStr">
        <is>
          <t>BD508185</t>
        </is>
      </c>
      <c r="C438" t="inlineStr">
        <is>
          <t>Rajshahi</t>
        </is>
      </c>
      <c r="D438" t="inlineStr">
        <is>
          <t>Rajpara</t>
        </is>
      </c>
      <c r="E438" s="3" t="n">
        <v>4.6</v>
      </c>
      <c r="F438" s="4">
        <f>(E438-$AJ$5)/$AK$5</f>
        <v/>
      </c>
      <c r="G438" t="n">
        <v>68.0878656</v>
      </c>
      <c r="H438">
        <f>(G438-$AJ$6)/$AK$6</f>
        <v/>
      </c>
      <c r="I438" t="n">
        <v>1</v>
      </c>
      <c r="J438" s="4">
        <f>(I438-$AJ$7)/$AK$7</f>
        <v/>
      </c>
      <c r="K438" t="n">
        <v>0</v>
      </c>
      <c r="L438" s="4">
        <f>(K438-$AJ$8)/$AK$8</f>
        <v/>
      </c>
      <c r="M438" t="n">
        <v>13822</v>
      </c>
      <c r="N438">
        <f>(M438-$AJ$9)/$AK$9</f>
        <v/>
      </c>
      <c r="O438" t="n">
        <v>0.653741697</v>
      </c>
      <c r="P438">
        <f>(O438-$AJ$11)/$AK$11</f>
        <v/>
      </c>
      <c r="Q438" t="n">
        <v>0.2093</v>
      </c>
      <c r="R438">
        <f>(Q438-$AJ$12)/$AK$12</f>
        <v/>
      </c>
      <c r="S438">
        <f>F438*(R438*0.5+P438*0.5)*(H438*0.35+J438*0.35+L438*0.3)</f>
        <v/>
      </c>
      <c r="T438" s="14">
        <f>(S438-$AJ$10)/$AK$10</f>
        <v/>
      </c>
      <c r="U438">
        <f>IF(T438&gt;0.7,"High",IF(T438&gt;0.3,"Moderate",IF(T438&gt;0.15,"Low","No Impact")))</f>
        <v/>
      </c>
      <c r="V438">
        <f>F438*(R438*1)*(H438*0.35+J438*0.35+L438*0.3)</f>
        <v/>
      </c>
      <c r="W438">
        <f>(V438-$AJ$13)/$AK$13</f>
        <v/>
      </c>
      <c r="X438">
        <f>IF(W438&gt;0.7,"High",IF(W438&gt;0.3,"Moderate",IF(W438&gt;0.15,"Low","No Impact")))</f>
        <v/>
      </c>
      <c r="Y438">
        <f>F438*(P438*1)*(H438*0.35+J438*0.35+L438*0.3)</f>
        <v/>
      </c>
      <c r="Z438">
        <f>(Y438-$AJ$14)/$AK$14</f>
        <v/>
      </c>
      <c r="AA438">
        <f>IF(Z438&gt;0.7,"High",IF(Z438&gt;0.3,"Moderate",IF(Z438&gt;0.15,"Low","No Impact")))</f>
        <v/>
      </c>
      <c r="AB438">
        <f>F438*(R438*0.35+P438*0.3+N438*0.35)*(H438*0.35+J438*0.35+L438*0.3)</f>
        <v/>
      </c>
      <c r="AC438">
        <f>(AB438-$AJ$15)/$AK$15</f>
        <v/>
      </c>
      <c r="AD438">
        <f>IF(AC438&gt;0.7,"High",IF(AC438&gt;0.3,"Moderate",IF(AC438&gt;0.15,"Low","No Impact")))</f>
        <v/>
      </c>
      <c r="AE438">
        <f>F438*(N438*1)*(H438*0.35+J438*0.35+L438*0.3)</f>
        <v/>
      </c>
      <c r="AF438">
        <f>(AE438-$AJ$16)/$AK$16</f>
        <v/>
      </c>
      <c r="AG438">
        <f>IF(AF438&gt;0.7,"High",IF(AF438&gt;0.3,"Moderate",IF(AF438&gt;0.15,"Low","No Impact")))</f>
        <v/>
      </c>
    </row>
    <row r="439">
      <c r="A439" t="n">
        <v>508190</v>
      </c>
      <c r="B439" t="inlineStr">
        <is>
          <t>BD508190</t>
        </is>
      </c>
      <c r="C439" t="inlineStr">
        <is>
          <t>Rajshahi</t>
        </is>
      </c>
      <c r="D439" t="inlineStr">
        <is>
          <t>Shah Makhdum</t>
        </is>
      </c>
      <c r="E439" s="3" t="n">
        <v>3.6</v>
      </c>
      <c r="F439" s="4">
        <f>(E439-$AJ$5)/$AK$5</f>
        <v/>
      </c>
      <c r="G439" t="n">
        <v>61.05661200000001</v>
      </c>
      <c r="H439">
        <f>(G439-$AJ$6)/$AK$6</f>
        <v/>
      </c>
      <c r="I439" t="n">
        <v>0</v>
      </c>
      <c r="J439" s="4">
        <f>(I439-$AJ$7)/$AK$7</f>
        <v/>
      </c>
      <c r="K439" t="n">
        <v>0</v>
      </c>
      <c r="L439" s="4">
        <f>(K439-$AJ$8)/$AK$8</f>
        <v/>
      </c>
      <c r="M439" t="n">
        <v>6230</v>
      </c>
      <c r="N439">
        <f>(M439-$AJ$9)/$AK$9</f>
        <v/>
      </c>
      <c r="O439" t="n">
        <v>0.437699739</v>
      </c>
      <c r="P439">
        <f>(O439-$AJ$11)/$AK$11</f>
        <v/>
      </c>
      <c r="Q439" t="n">
        <v>0.2212</v>
      </c>
      <c r="R439">
        <f>(Q439-$AJ$12)/$AK$12</f>
        <v/>
      </c>
      <c r="S439">
        <f>F439*(R439*0.5+P439*0.5)*(H439*0.35+J439*0.35+L439*0.3)</f>
        <v/>
      </c>
      <c r="T439" s="14">
        <f>(S439-$AJ$10)/$AK$10</f>
        <v/>
      </c>
      <c r="U439">
        <f>IF(T439&gt;0.7,"High",IF(T439&gt;0.3,"Moderate",IF(T439&gt;0.15,"Low","No Impact")))</f>
        <v/>
      </c>
      <c r="V439">
        <f>F439*(R439*1)*(H439*0.35+J439*0.35+L439*0.3)</f>
        <v/>
      </c>
      <c r="W439">
        <f>(V439-$AJ$13)/$AK$13</f>
        <v/>
      </c>
      <c r="X439">
        <f>IF(W439&gt;0.7,"High",IF(W439&gt;0.3,"Moderate",IF(W439&gt;0.15,"Low","No Impact")))</f>
        <v/>
      </c>
      <c r="Y439">
        <f>F439*(P439*1)*(H439*0.35+J439*0.35+L439*0.3)</f>
        <v/>
      </c>
      <c r="Z439">
        <f>(Y439-$AJ$14)/$AK$14</f>
        <v/>
      </c>
      <c r="AA439">
        <f>IF(Z439&gt;0.7,"High",IF(Z439&gt;0.3,"Moderate",IF(Z439&gt;0.15,"Low","No Impact")))</f>
        <v/>
      </c>
      <c r="AB439">
        <f>F439*(R439*0.35+P439*0.3+N439*0.35)*(H439*0.35+J439*0.35+L439*0.3)</f>
        <v/>
      </c>
      <c r="AC439">
        <f>(AB439-$AJ$15)/$AK$15</f>
        <v/>
      </c>
      <c r="AD439">
        <f>IF(AC439&gt;0.7,"High",IF(AC439&gt;0.3,"Moderate",IF(AC439&gt;0.15,"Low","No Impact")))</f>
        <v/>
      </c>
      <c r="AE439">
        <f>F439*(N439*1)*(H439*0.35+J439*0.35+L439*0.3)</f>
        <v/>
      </c>
      <c r="AF439">
        <f>(AE439-$AJ$16)/$AK$16</f>
        <v/>
      </c>
      <c r="AG439">
        <f>IF(AF439&gt;0.7,"High",IF(AF439&gt;0.3,"Moderate",IF(AF439&gt;0.15,"Low","No Impact")))</f>
        <v/>
      </c>
    </row>
    <row r="440">
      <c r="A440" t="n">
        <v>508194</v>
      </c>
      <c r="B440" t="inlineStr">
        <is>
          <t>BD508194</t>
        </is>
      </c>
      <c r="C440" t="inlineStr">
        <is>
          <t>Rajshahi</t>
        </is>
      </c>
      <c r="D440" t="inlineStr">
        <is>
          <t>Tanore</t>
        </is>
      </c>
      <c r="E440" s="3" t="n">
        <v>4.7</v>
      </c>
      <c r="F440" s="4">
        <f>(E440-$AJ$5)/$AK$5</f>
        <v/>
      </c>
      <c r="G440" t="n">
        <v>61.05661200000001</v>
      </c>
      <c r="H440">
        <f>(G440-$AJ$6)/$AK$6</f>
        <v/>
      </c>
      <c r="I440" t="n">
        <v>0.1</v>
      </c>
      <c r="J440" s="4">
        <f>(I440-$AJ$7)/$AK$7</f>
        <v/>
      </c>
      <c r="K440" t="n">
        <v>0</v>
      </c>
      <c r="L440" s="4">
        <f>(K440-$AJ$8)/$AK$8</f>
        <v/>
      </c>
      <c r="M440" t="n">
        <v>17904</v>
      </c>
      <c r="N440">
        <f>(M440-$AJ$9)/$AK$9</f>
        <v/>
      </c>
      <c r="O440" t="n">
        <v>0.30696794</v>
      </c>
      <c r="P440">
        <f>(O440-$AJ$11)/$AK$11</f>
        <v/>
      </c>
      <c r="Q440" t="n">
        <v>0.2596</v>
      </c>
      <c r="R440">
        <f>(Q440-$AJ$12)/$AK$12</f>
        <v/>
      </c>
      <c r="S440">
        <f>F440*(R440*0.5+P440*0.5)*(H440*0.35+J440*0.35+L440*0.3)</f>
        <v/>
      </c>
      <c r="T440" s="14">
        <f>(S440-$AJ$10)/$AK$10</f>
        <v/>
      </c>
      <c r="U440">
        <f>IF(T440&gt;0.7,"High",IF(T440&gt;0.3,"Moderate",IF(T440&gt;0.15,"Low","No Impact")))</f>
        <v/>
      </c>
      <c r="V440">
        <f>F440*(R440*1)*(H440*0.35+J440*0.35+L440*0.3)</f>
        <v/>
      </c>
      <c r="W440">
        <f>(V440-$AJ$13)/$AK$13</f>
        <v/>
      </c>
      <c r="X440">
        <f>IF(W440&gt;0.7,"High",IF(W440&gt;0.3,"Moderate",IF(W440&gt;0.15,"Low","No Impact")))</f>
        <v/>
      </c>
      <c r="Y440">
        <f>F440*(P440*1)*(H440*0.35+J440*0.35+L440*0.3)</f>
        <v/>
      </c>
      <c r="Z440">
        <f>(Y440-$AJ$14)/$AK$14</f>
        <v/>
      </c>
      <c r="AA440">
        <f>IF(Z440&gt;0.7,"High",IF(Z440&gt;0.3,"Moderate",IF(Z440&gt;0.15,"Low","No Impact")))</f>
        <v/>
      </c>
      <c r="AB440">
        <f>F440*(R440*0.35+P440*0.3+N440*0.35)*(H440*0.35+J440*0.35+L440*0.3)</f>
        <v/>
      </c>
      <c r="AC440">
        <f>(AB440-$AJ$15)/$AK$15</f>
        <v/>
      </c>
      <c r="AD440">
        <f>IF(AC440&gt;0.7,"High",IF(AC440&gt;0.3,"Moderate",IF(AC440&gt;0.15,"Low","No Impact")))</f>
        <v/>
      </c>
      <c r="AE440">
        <f>F440*(N440*1)*(H440*0.35+J440*0.35+L440*0.3)</f>
        <v/>
      </c>
      <c r="AF440">
        <f>(AE440-$AJ$16)/$AK$16</f>
        <v/>
      </c>
      <c r="AG440">
        <f>IF(AF440&gt;0.7,"High",IF(AF440&gt;0.3,"Moderate",IF(AF440&gt;0.15,"Low","No Impact")))</f>
        <v/>
      </c>
    </row>
    <row r="441">
      <c r="A441" t="n">
        <v>508811</v>
      </c>
      <c r="B441" t="inlineStr">
        <is>
          <t>BD508811</t>
        </is>
      </c>
      <c r="C441" t="inlineStr">
        <is>
          <t>Sirajganj</t>
        </is>
      </c>
      <c r="D441" t="inlineStr">
        <is>
          <t>Belkuchi</t>
        </is>
      </c>
      <c r="E441" s="3" t="n">
        <v>7</v>
      </c>
      <c r="F441" s="4">
        <f>(E441-$AJ$5)/$AK$5</f>
        <v/>
      </c>
      <c r="G441" t="n">
        <v>62.47341</v>
      </c>
      <c r="H441">
        <f>(G441-$AJ$6)/$AK$6</f>
        <v/>
      </c>
      <c r="I441" t="n">
        <v>0.9000000000000002</v>
      </c>
      <c r="J441" s="4">
        <f>(I441-$AJ$7)/$AK$7</f>
        <v/>
      </c>
      <c r="K441" t="n">
        <v>0</v>
      </c>
      <c r="L441" s="4">
        <f>(K441-$AJ$8)/$AK$8</f>
        <v/>
      </c>
      <c r="M441" t="n">
        <v>36657</v>
      </c>
      <c r="N441">
        <f>(M441-$AJ$9)/$AK$9</f>
        <v/>
      </c>
      <c r="O441" t="n">
        <v>0.748335816</v>
      </c>
      <c r="P441">
        <f>(O441-$AJ$11)/$AK$11</f>
        <v/>
      </c>
      <c r="Q441" t="n">
        <v>0.2393</v>
      </c>
      <c r="R441">
        <f>(Q441-$AJ$12)/$AK$12</f>
        <v/>
      </c>
      <c r="S441">
        <f>F441*(R441*0.5+P441*0.5)*(H441*0.35+J441*0.35+L441*0.3)</f>
        <v/>
      </c>
      <c r="T441" s="14">
        <f>(S441-$AJ$10)/$AK$10</f>
        <v/>
      </c>
      <c r="U441">
        <f>IF(T441&gt;0.7,"High",IF(T441&gt;0.3,"Moderate",IF(T441&gt;0.15,"Low","No Impact")))</f>
        <v/>
      </c>
      <c r="V441">
        <f>F441*(R441*1)*(H441*0.35+J441*0.35+L441*0.3)</f>
        <v/>
      </c>
      <c r="W441">
        <f>(V441-$AJ$13)/$AK$13</f>
        <v/>
      </c>
      <c r="X441">
        <f>IF(W441&gt;0.7,"High",IF(W441&gt;0.3,"Moderate",IF(W441&gt;0.15,"Low","No Impact")))</f>
        <v/>
      </c>
      <c r="Y441">
        <f>F441*(P441*1)*(H441*0.35+J441*0.35+L441*0.3)</f>
        <v/>
      </c>
      <c r="Z441">
        <f>(Y441-$AJ$14)/$AK$14</f>
        <v/>
      </c>
      <c r="AA441">
        <f>IF(Z441&gt;0.7,"High",IF(Z441&gt;0.3,"Moderate",IF(Z441&gt;0.15,"Low","No Impact")))</f>
        <v/>
      </c>
      <c r="AB441">
        <f>F441*(R441*0.35+P441*0.3+N441*0.35)*(H441*0.35+J441*0.35+L441*0.3)</f>
        <v/>
      </c>
      <c r="AC441">
        <f>(AB441-$AJ$15)/$AK$15</f>
        <v/>
      </c>
      <c r="AD441">
        <f>IF(AC441&gt;0.7,"High",IF(AC441&gt;0.3,"Moderate",IF(AC441&gt;0.15,"Low","No Impact")))</f>
        <v/>
      </c>
      <c r="AE441">
        <f>F441*(N441*1)*(H441*0.35+J441*0.35+L441*0.3)</f>
        <v/>
      </c>
      <c r="AF441">
        <f>(AE441-$AJ$16)/$AK$16</f>
        <v/>
      </c>
      <c r="AG441">
        <f>IF(AF441&gt;0.7,"High",IF(AF441&gt;0.3,"Moderate",IF(AF441&gt;0.15,"Low","No Impact")))</f>
        <v/>
      </c>
    </row>
    <row r="442">
      <c r="A442" t="n">
        <v>508827</v>
      </c>
      <c r="B442" t="inlineStr">
        <is>
          <t>BD508827</t>
        </is>
      </c>
      <c r="C442" t="inlineStr">
        <is>
          <t>Sirajganj</t>
        </is>
      </c>
      <c r="D442" t="inlineStr">
        <is>
          <t>Chauhali</t>
        </is>
      </c>
      <c r="E442" s="3" t="n">
        <v>5.4</v>
      </c>
      <c r="F442" s="4">
        <f>(E442-$AJ$5)/$AK$5</f>
        <v/>
      </c>
      <c r="G442" t="n">
        <v>72.440208</v>
      </c>
      <c r="H442">
        <f>(G442-$AJ$6)/$AK$6</f>
        <v/>
      </c>
      <c r="I442" t="n">
        <v>3.3</v>
      </c>
      <c r="J442" s="4">
        <f>(I442-$AJ$7)/$AK$7</f>
        <v/>
      </c>
      <c r="K442" t="n">
        <v>0</v>
      </c>
      <c r="L442" s="4">
        <f>(K442-$AJ$8)/$AK$8</f>
        <v/>
      </c>
      <c r="M442" t="n">
        <v>9272</v>
      </c>
      <c r="N442">
        <f>(M442-$AJ$9)/$AK$9</f>
        <v/>
      </c>
      <c r="O442" t="n">
        <v>0.661952396</v>
      </c>
      <c r="P442">
        <f>(O442-$AJ$11)/$AK$11</f>
        <v/>
      </c>
      <c r="Q442" t="n">
        <v>0.1442</v>
      </c>
      <c r="R442">
        <f>(Q442-$AJ$12)/$AK$12</f>
        <v/>
      </c>
      <c r="S442">
        <f>F442*(R442*0.5+P442*0.5)*(H442*0.35+J442*0.35+L442*0.3)</f>
        <v/>
      </c>
      <c r="T442" s="14">
        <f>(S442-$AJ$10)/$AK$10</f>
        <v/>
      </c>
      <c r="U442">
        <f>IF(T442&gt;0.7,"High",IF(T442&gt;0.3,"Moderate",IF(T442&gt;0.15,"Low","No Impact")))</f>
        <v/>
      </c>
      <c r="V442">
        <f>F442*(R442*1)*(H442*0.35+J442*0.35+L442*0.3)</f>
        <v/>
      </c>
      <c r="W442">
        <f>(V442-$AJ$13)/$AK$13</f>
        <v/>
      </c>
      <c r="X442">
        <f>IF(W442&gt;0.7,"High",IF(W442&gt;0.3,"Moderate",IF(W442&gt;0.15,"Low","No Impact")))</f>
        <v/>
      </c>
      <c r="Y442">
        <f>F442*(P442*1)*(H442*0.35+J442*0.35+L442*0.3)</f>
        <v/>
      </c>
      <c r="Z442">
        <f>(Y442-$AJ$14)/$AK$14</f>
        <v/>
      </c>
      <c r="AA442">
        <f>IF(Z442&gt;0.7,"High",IF(Z442&gt;0.3,"Moderate",IF(Z442&gt;0.15,"Low","No Impact")))</f>
        <v/>
      </c>
      <c r="AB442">
        <f>F442*(R442*0.35+P442*0.3+N442*0.35)*(H442*0.35+J442*0.35+L442*0.3)</f>
        <v/>
      </c>
      <c r="AC442">
        <f>(AB442-$AJ$15)/$AK$15</f>
        <v/>
      </c>
      <c r="AD442">
        <f>IF(AC442&gt;0.7,"High",IF(AC442&gt;0.3,"Moderate",IF(AC442&gt;0.15,"Low","No Impact")))</f>
        <v/>
      </c>
      <c r="AE442">
        <f>F442*(N442*1)*(H442*0.35+J442*0.35+L442*0.3)</f>
        <v/>
      </c>
      <c r="AF442">
        <f>(AE442-$AJ$16)/$AK$16</f>
        <v/>
      </c>
      <c r="AG442">
        <f>IF(AF442&gt;0.7,"High",IF(AF442&gt;0.3,"Moderate",IF(AF442&gt;0.15,"Low","No Impact")))</f>
        <v/>
      </c>
    </row>
    <row r="443">
      <c r="A443" t="n">
        <v>508844</v>
      </c>
      <c r="B443" t="inlineStr">
        <is>
          <t>BD508844</t>
        </is>
      </c>
      <c r="C443" t="inlineStr">
        <is>
          <t>Sirajganj</t>
        </is>
      </c>
      <c r="D443" t="inlineStr">
        <is>
          <t>Kamarkhanda</t>
        </is>
      </c>
      <c r="E443" s="3" t="n">
        <v>6.9</v>
      </c>
      <c r="F443" s="4">
        <f>(E443-$AJ$5)/$AK$5</f>
        <v/>
      </c>
      <c r="G443" t="n">
        <v>62.47341</v>
      </c>
      <c r="H443">
        <f>(G443-$AJ$6)/$AK$6</f>
        <v/>
      </c>
      <c r="I443" t="n">
        <v>0.8000000000000004</v>
      </c>
      <c r="J443" s="4">
        <f>(I443-$AJ$7)/$AK$7</f>
        <v/>
      </c>
      <c r="K443" t="n">
        <v>0</v>
      </c>
      <c r="L443" s="4">
        <f>(K443-$AJ$8)/$AK$8</f>
        <v/>
      </c>
      <c r="M443" t="n">
        <v>21302</v>
      </c>
      <c r="N443">
        <f>(M443-$AJ$9)/$AK$9</f>
        <v/>
      </c>
      <c r="O443" t="n">
        <v>0.43977144</v>
      </c>
      <c r="P443">
        <f>(O443-$AJ$11)/$AK$11</f>
        <v/>
      </c>
      <c r="Q443" t="n">
        <v>0.2481</v>
      </c>
      <c r="R443">
        <f>(Q443-$AJ$12)/$AK$12</f>
        <v/>
      </c>
      <c r="S443">
        <f>F443*(R443*0.5+P443*0.5)*(H443*0.35+J443*0.35+L443*0.3)</f>
        <v/>
      </c>
      <c r="T443" s="14">
        <f>(S443-$AJ$10)/$AK$10</f>
        <v/>
      </c>
      <c r="U443">
        <f>IF(T443&gt;0.7,"High",IF(T443&gt;0.3,"Moderate",IF(T443&gt;0.15,"Low","No Impact")))</f>
        <v/>
      </c>
      <c r="V443">
        <f>F443*(R443*1)*(H443*0.35+J443*0.35+L443*0.3)</f>
        <v/>
      </c>
      <c r="W443">
        <f>(V443-$AJ$13)/$AK$13</f>
        <v/>
      </c>
      <c r="X443">
        <f>IF(W443&gt;0.7,"High",IF(W443&gt;0.3,"Moderate",IF(W443&gt;0.15,"Low","No Impact")))</f>
        <v/>
      </c>
      <c r="Y443">
        <f>F443*(P443*1)*(H443*0.35+J443*0.35+L443*0.3)</f>
        <v/>
      </c>
      <c r="Z443">
        <f>(Y443-$AJ$14)/$AK$14</f>
        <v/>
      </c>
      <c r="AA443">
        <f>IF(Z443&gt;0.7,"High",IF(Z443&gt;0.3,"Moderate",IF(Z443&gt;0.15,"Low","No Impact")))</f>
        <v/>
      </c>
      <c r="AB443">
        <f>F443*(R443*0.35+P443*0.3+N443*0.35)*(H443*0.35+J443*0.35+L443*0.3)</f>
        <v/>
      </c>
      <c r="AC443">
        <f>(AB443-$AJ$15)/$AK$15</f>
        <v/>
      </c>
      <c r="AD443">
        <f>IF(AC443&gt;0.7,"High",IF(AC443&gt;0.3,"Moderate",IF(AC443&gt;0.15,"Low","No Impact")))</f>
        <v/>
      </c>
      <c r="AE443">
        <f>F443*(N443*1)*(H443*0.35+J443*0.35+L443*0.3)</f>
        <v/>
      </c>
      <c r="AF443">
        <f>(AE443-$AJ$16)/$AK$16</f>
        <v/>
      </c>
      <c r="AG443">
        <f>IF(AF443&gt;0.7,"High",IF(AF443&gt;0.3,"Moderate",IF(AF443&gt;0.15,"Low","No Impact")))</f>
        <v/>
      </c>
    </row>
    <row r="444">
      <c r="A444" t="n">
        <v>508850</v>
      </c>
      <c r="B444" t="inlineStr">
        <is>
          <t>BD508850</t>
        </is>
      </c>
      <c r="C444" t="inlineStr">
        <is>
          <t>Sirajganj</t>
        </is>
      </c>
      <c r="D444" t="inlineStr">
        <is>
          <t>Kazipur</t>
        </is>
      </c>
      <c r="E444" s="3" t="n">
        <v>6.9</v>
      </c>
      <c r="F444" s="4">
        <f>(E444-$AJ$5)/$AK$5</f>
        <v/>
      </c>
      <c r="G444" t="n">
        <v>57.621852</v>
      </c>
      <c r="H444">
        <f>(G444-$AJ$6)/$AK$6</f>
        <v/>
      </c>
      <c r="I444" t="n">
        <v>0</v>
      </c>
      <c r="J444" s="4">
        <f>(I444-$AJ$7)/$AK$7</f>
        <v/>
      </c>
      <c r="K444" t="n">
        <v>0</v>
      </c>
      <c r="L444" s="4">
        <f>(K444-$AJ$8)/$AK$8</f>
        <v/>
      </c>
      <c r="M444" t="n">
        <v>13658</v>
      </c>
      <c r="N444">
        <f>(M444-$AJ$9)/$AK$9</f>
        <v/>
      </c>
      <c r="O444" t="n">
        <v>0.7320053949999999</v>
      </c>
      <c r="P444">
        <f>(O444-$AJ$11)/$AK$11</f>
        <v/>
      </c>
      <c r="Q444" t="n">
        <v>0.229</v>
      </c>
      <c r="R444">
        <f>(Q444-$AJ$12)/$AK$12</f>
        <v/>
      </c>
      <c r="S444">
        <f>F444*(R444*0.5+P444*0.5)*(H444*0.35+J444*0.35+L444*0.3)</f>
        <v/>
      </c>
      <c r="T444" s="14">
        <f>(S444-$AJ$10)/$AK$10</f>
        <v/>
      </c>
      <c r="U444">
        <f>IF(T444&gt;0.7,"High",IF(T444&gt;0.3,"Moderate",IF(T444&gt;0.15,"Low","No Impact")))</f>
        <v/>
      </c>
      <c r="V444">
        <f>F444*(R444*1)*(H444*0.35+J444*0.35+L444*0.3)</f>
        <v/>
      </c>
      <c r="W444">
        <f>(V444-$AJ$13)/$AK$13</f>
        <v/>
      </c>
      <c r="X444">
        <f>IF(W444&gt;0.7,"High",IF(W444&gt;0.3,"Moderate",IF(W444&gt;0.15,"Low","No Impact")))</f>
        <v/>
      </c>
      <c r="Y444">
        <f>F444*(P444*1)*(H444*0.35+J444*0.35+L444*0.3)</f>
        <v/>
      </c>
      <c r="Z444">
        <f>(Y444-$AJ$14)/$AK$14</f>
        <v/>
      </c>
      <c r="AA444">
        <f>IF(Z444&gt;0.7,"High",IF(Z444&gt;0.3,"Moderate",IF(Z444&gt;0.15,"Low","No Impact")))</f>
        <v/>
      </c>
      <c r="AB444">
        <f>F444*(R444*0.35+P444*0.3+N444*0.35)*(H444*0.35+J444*0.35+L444*0.3)</f>
        <v/>
      </c>
      <c r="AC444">
        <f>(AB444-$AJ$15)/$AK$15</f>
        <v/>
      </c>
      <c r="AD444">
        <f>IF(AC444&gt;0.7,"High",IF(AC444&gt;0.3,"Moderate",IF(AC444&gt;0.15,"Low","No Impact")))</f>
        <v/>
      </c>
      <c r="AE444">
        <f>F444*(N444*1)*(H444*0.35+J444*0.35+L444*0.3)</f>
        <v/>
      </c>
      <c r="AF444">
        <f>(AE444-$AJ$16)/$AK$16</f>
        <v/>
      </c>
      <c r="AG444">
        <f>IF(AF444&gt;0.7,"High",IF(AF444&gt;0.3,"Moderate",IF(AF444&gt;0.15,"Low","No Impact")))</f>
        <v/>
      </c>
    </row>
    <row r="445">
      <c r="A445" t="n">
        <v>508861</v>
      </c>
      <c r="B445" t="inlineStr">
        <is>
          <t>BD508861</t>
        </is>
      </c>
      <c r="C445" t="inlineStr">
        <is>
          <t>Sirajganj</t>
        </is>
      </c>
      <c r="D445" t="inlineStr">
        <is>
          <t>Royganj</t>
        </is>
      </c>
      <c r="E445" s="3" t="n">
        <v>6.8</v>
      </c>
      <c r="F445" s="4">
        <f>(E445-$AJ$5)/$AK$5</f>
        <v/>
      </c>
      <c r="G445" t="n">
        <v>57.621852</v>
      </c>
      <c r="H445">
        <f>(G445-$AJ$6)/$AK$6</f>
        <v/>
      </c>
      <c r="I445" t="n">
        <v>0.1</v>
      </c>
      <c r="J445" s="4">
        <f>(I445-$AJ$7)/$AK$7</f>
        <v/>
      </c>
      <c r="K445" t="n">
        <v>0</v>
      </c>
      <c r="L445" s="4">
        <f>(K445-$AJ$8)/$AK$8</f>
        <v/>
      </c>
      <c r="M445" t="n">
        <v>35856</v>
      </c>
      <c r="N445">
        <f>(M445-$AJ$9)/$AK$9</f>
        <v/>
      </c>
      <c r="O445" t="n">
        <v>0.427966895</v>
      </c>
      <c r="P445">
        <f>(O445-$AJ$11)/$AK$11</f>
        <v/>
      </c>
      <c r="Q445" t="n">
        <v>0.2276</v>
      </c>
      <c r="R445">
        <f>(Q445-$AJ$12)/$AK$12</f>
        <v/>
      </c>
      <c r="S445">
        <f>F445*(R445*0.5+P445*0.5)*(H445*0.35+J445*0.35+L445*0.3)</f>
        <v/>
      </c>
      <c r="T445" s="14">
        <f>(S445-$AJ$10)/$AK$10</f>
        <v/>
      </c>
      <c r="U445">
        <f>IF(T445&gt;0.7,"High",IF(T445&gt;0.3,"Moderate",IF(T445&gt;0.15,"Low","No Impact")))</f>
        <v/>
      </c>
      <c r="V445">
        <f>F445*(R445*1)*(H445*0.35+J445*0.35+L445*0.3)</f>
        <v/>
      </c>
      <c r="W445">
        <f>(V445-$AJ$13)/$AK$13</f>
        <v/>
      </c>
      <c r="X445">
        <f>IF(W445&gt;0.7,"High",IF(W445&gt;0.3,"Moderate",IF(W445&gt;0.15,"Low","No Impact")))</f>
        <v/>
      </c>
      <c r="Y445">
        <f>F445*(P445*1)*(H445*0.35+J445*0.35+L445*0.3)</f>
        <v/>
      </c>
      <c r="Z445">
        <f>(Y445-$AJ$14)/$AK$14</f>
        <v/>
      </c>
      <c r="AA445">
        <f>IF(Z445&gt;0.7,"High",IF(Z445&gt;0.3,"Moderate",IF(Z445&gt;0.15,"Low","No Impact")))</f>
        <v/>
      </c>
      <c r="AB445">
        <f>F445*(R445*0.35+P445*0.3+N445*0.35)*(H445*0.35+J445*0.35+L445*0.3)</f>
        <v/>
      </c>
      <c r="AC445">
        <f>(AB445-$AJ$15)/$AK$15</f>
        <v/>
      </c>
      <c r="AD445">
        <f>IF(AC445&gt;0.7,"High",IF(AC445&gt;0.3,"Moderate",IF(AC445&gt;0.15,"Low","No Impact")))</f>
        <v/>
      </c>
      <c r="AE445">
        <f>F445*(N445*1)*(H445*0.35+J445*0.35+L445*0.3)</f>
        <v/>
      </c>
      <c r="AF445">
        <f>(AE445-$AJ$16)/$AK$16</f>
        <v/>
      </c>
      <c r="AG445">
        <f>IF(AF445&gt;0.7,"High",IF(AF445&gt;0.3,"Moderate",IF(AF445&gt;0.15,"Low","No Impact")))</f>
        <v/>
      </c>
    </row>
    <row r="446">
      <c r="A446" t="n">
        <v>508867</v>
      </c>
      <c r="B446" t="inlineStr">
        <is>
          <t>BD508867</t>
        </is>
      </c>
      <c r="C446" t="inlineStr">
        <is>
          <t>Sirajganj</t>
        </is>
      </c>
      <c r="D446" t="inlineStr">
        <is>
          <t>Shahjadpur</t>
        </is>
      </c>
      <c r="E446" s="3" t="n">
        <v>6.9</v>
      </c>
      <c r="F446" s="4">
        <f>(E446-$AJ$5)/$AK$5</f>
        <v/>
      </c>
      <c r="G446" t="n">
        <v>76.940208</v>
      </c>
      <c r="H446">
        <f>(G446-$AJ$6)/$AK$6</f>
        <v/>
      </c>
      <c r="I446" t="n">
        <v>3.900000000000001</v>
      </c>
      <c r="J446" s="4">
        <f>(I446-$AJ$7)/$AK$7</f>
        <v/>
      </c>
      <c r="K446" t="n">
        <v>0</v>
      </c>
      <c r="L446" s="4">
        <f>(K446-$AJ$8)/$AK$8</f>
        <v/>
      </c>
      <c r="M446" t="n">
        <v>61653</v>
      </c>
      <c r="N446">
        <f>(M446-$AJ$9)/$AK$9</f>
        <v/>
      </c>
      <c r="O446" t="n">
        <v>0.776019995</v>
      </c>
      <c r="P446">
        <f>(O446-$AJ$11)/$AK$11</f>
        <v/>
      </c>
      <c r="Q446" t="n">
        <v>0.2473</v>
      </c>
      <c r="R446">
        <f>(Q446-$AJ$12)/$AK$12</f>
        <v/>
      </c>
      <c r="S446">
        <f>F446*(R446*0.5+P446*0.5)*(H446*0.35+J446*0.35+L446*0.3)</f>
        <v/>
      </c>
      <c r="T446" s="14">
        <f>(S446-$AJ$10)/$AK$10</f>
        <v/>
      </c>
      <c r="U446">
        <f>IF(T446&gt;0.7,"High",IF(T446&gt;0.3,"Moderate",IF(T446&gt;0.15,"Low","No Impact")))</f>
        <v/>
      </c>
      <c r="V446">
        <f>F446*(R446*1)*(H446*0.35+J446*0.35+L446*0.3)</f>
        <v/>
      </c>
      <c r="W446">
        <f>(V446-$AJ$13)/$AK$13</f>
        <v/>
      </c>
      <c r="X446">
        <f>IF(W446&gt;0.7,"High",IF(W446&gt;0.3,"Moderate",IF(W446&gt;0.15,"Low","No Impact")))</f>
        <v/>
      </c>
      <c r="Y446">
        <f>F446*(P446*1)*(H446*0.35+J446*0.35+L446*0.3)</f>
        <v/>
      </c>
      <c r="Z446">
        <f>(Y446-$AJ$14)/$AK$14</f>
        <v/>
      </c>
      <c r="AA446">
        <f>IF(Z446&gt;0.7,"High",IF(Z446&gt;0.3,"Moderate",IF(Z446&gt;0.15,"Low","No Impact")))</f>
        <v/>
      </c>
      <c r="AB446">
        <f>F446*(R446*0.35+P446*0.3+N446*0.35)*(H446*0.35+J446*0.35+L446*0.3)</f>
        <v/>
      </c>
      <c r="AC446">
        <f>(AB446-$AJ$15)/$AK$15</f>
        <v/>
      </c>
      <c r="AD446">
        <f>IF(AC446&gt;0.7,"High",IF(AC446&gt;0.3,"Moderate",IF(AC446&gt;0.15,"Low","No Impact")))</f>
        <v/>
      </c>
      <c r="AE446">
        <f>F446*(N446*1)*(H446*0.35+J446*0.35+L446*0.3)</f>
        <v/>
      </c>
      <c r="AF446">
        <f>(AE446-$AJ$16)/$AK$16</f>
        <v/>
      </c>
      <c r="AG446">
        <f>IF(AF446&gt;0.7,"High",IF(AF446&gt;0.3,"Moderate",IF(AF446&gt;0.15,"Low","No Impact")))</f>
        <v/>
      </c>
    </row>
    <row r="447">
      <c r="A447" t="n">
        <v>508878</v>
      </c>
      <c r="B447" t="inlineStr">
        <is>
          <t>BD508878</t>
        </is>
      </c>
      <c r="C447" t="inlineStr">
        <is>
          <t>Sirajganj</t>
        </is>
      </c>
      <c r="D447" t="inlineStr">
        <is>
          <t>Sirajganj Sadar</t>
        </is>
      </c>
      <c r="E447" s="3" t="n">
        <v>7</v>
      </c>
      <c r="F447" s="4">
        <f>(E447-$AJ$5)/$AK$5</f>
        <v/>
      </c>
      <c r="G447" t="n">
        <v>61.2956772</v>
      </c>
      <c r="H447">
        <f>(G447-$AJ$6)/$AK$6</f>
        <v/>
      </c>
      <c r="I447" t="n">
        <v>0.4000000000000002</v>
      </c>
      <c r="J447" s="4">
        <f>(I447-$AJ$7)/$AK$7</f>
        <v/>
      </c>
      <c r="K447" t="n">
        <v>0</v>
      </c>
      <c r="L447" s="4">
        <f>(K447-$AJ$8)/$AK$8</f>
        <v/>
      </c>
      <c r="M447" t="n">
        <v>46801</v>
      </c>
      <c r="N447">
        <f>(M447-$AJ$9)/$AK$9</f>
        <v/>
      </c>
      <c r="O447" t="n">
        <v>0.74951789</v>
      </c>
      <c r="P447">
        <f>(O447-$AJ$11)/$AK$11</f>
        <v/>
      </c>
      <c r="Q447" t="n">
        <v>0.2212</v>
      </c>
      <c r="R447">
        <f>(Q447-$AJ$12)/$AK$12</f>
        <v/>
      </c>
      <c r="S447">
        <f>F447*(R447*0.5+P447*0.5)*(H447*0.35+J447*0.35+L447*0.3)</f>
        <v/>
      </c>
      <c r="T447" s="14">
        <f>(S447-$AJ$10)/$AK$10</f>
        <v/>
      </c>
      <c r="U447">
        <f>IF(T447&gt;0.7,"High",IF(T447&gt;0.3,"Moderate",IF(T447&gt;0.15,"Low","No Impact")))</f>
        <v/>
      </c>
      <c r="V447">
        <f>F447*(R447*1)*(H447*0.35+J447*0.35+L447*0.3)</f>
        <v/>
      </c>
      <c r="W447">
        <f>(V447-$AJ$13)/$AK$13</f>
        <v/>
      </c>
      <c r="X447">
        <f>IF(W447&gt;0.7,"High",IF(W447&gt;0.3,"Moderate",IF(W447&gt;0.15,"Low","No Impact")))</f>
        <v/>
      </c>
      <c r="Y447">
        <f>F447*(P447*1)*(H447*0.35+J447*0.35+L447*0.3)</f>
        <v/>
      </c>
      <c r="Z447">
        <f>(Y447-$AJ$14)/$AK$14</f>
        <v/>
      </c>
      <c r="AA447">
        <f>IF(Z447&gt;0.7,"High",IF(Z447&gt;0.3,"Moderate",IF(Z447&gt;0.15,"Low","No Impact")))</f>
        <v/>
      </c>
      <c r="AB447">
        <f>F447*(R447*0.35+P447*0.3+N447*0.35)*(H447*0.35+J447*0.35+L447*0.3)</f>
        <v/>
      </c>
      <c r="AC447">
        <f>(AB447-$AJ$15)/$AK$15</f>
        <v/>
      </c>
      <c r="AD447">
        <f>IF(AC447&gt;0.7,"High",IF(AC447&gt;0.3,"Moderate",IF(AC447&gt;0.15,"Low","No Impact")))</f>
        <v/>
      </c>
      <c r="AE447">
        <f>F447*(N447*1)*(H447*0.35+J447*0.35+L447*0.3)</f>
        <v/>
      </c>
      <c r="AF447">
        <f>(AE447-$AJ$16)/$AK$16</f>
        <v/>
      </c>
      <c r="AG447">
        <f>IF(AF447&gt;0.7,"High",IF(AF447&gt;0.3,"Moderate",IF(AF447&gt;0.15,"Low","No Impact")))</f>
        <v/>
      </c>
    </row>
    <row r="448">
      <c r="A448" t="n">
        <v>508889</v>
      </c>
      <c r="B448" t="inlineStr">
        <is>
          <t>BD508889</t>
        </is>
      </c>
      <c r="C448" t="inlineStr">
        <is>
          <t>Sirajganj</t>
        </is>
      </c>
      <c r="D448" t="inlineStr">
        <is>
          <t>Tarash</t>
        </is>
      </c>
      <c r="E448" s="3" t="n">
        <v>6.9</v>
      </c>
      <c r="F448" s="4">
        <f>(E448-$AJ$5)/$AK$5</f>
        <v/>
      </c>
      <c r="G448" t="n">
        <v>64.60387920000001</v>
      </c>
      <c r="H448">
        <f>(G448-$AJ$6)/$AK$6</f>
        <v/>
      </c>
      <c r="I448" t="n">
        <v>1</v>
      </c>
      <c r="J448" s="4">
        <f>(I448-$AJ$7)/$AK$7</f>
        <v/>
      </c>
      <c r="K448" t="n">
        <v>0</v>
      </c>
      <c r="L448" s="4">
        <f>(K448-$AJ$8)/$AK$8</f>
        <v/>
      </c>
      <c r="M448" t="n">
        <v>22985</v>
      </c>
      <c r="N448">
        <f>(M448-$AJ$9)/$AK$9</f>
        <v/>
      </c>
      <c r="O448" t="n">
        <v>0.615979622</v>
      </c>
      <c r="P448">
        <f>(O448-$AJ$11)/$AK$11</f>
        <v/>
      </c>
      <c r="Q448" t="n">
        <v>0.2097</v>
      </c>
      <c r="R448">
        <f>(Q448-$AJ$12)/$AK$12</f>
        <v/>
      </c>
      <c r="S448">
        <f>F448*(R448*0.5+P448*0.5)*(H448*0.35+J448*0.35+L448*0.3)</f>
        <v/>
      </c>
      <c r="T448" s="14">
        <f>(S448-$AJ$10)/$AK$10</f>
        <v/>
      </c>
      <c r="U448">
        <f>IF(T448&gt;0.7,"High",IF(T448&gt;0.3,"Moderate",IF(T448&gt;0.15,"Low","No Impact")))</f>
        <v/>
      </c>
      <c r="V448">
        <f>F448*(R448*1)*(H448*0.35+J448*0.35+L448*0.3)</f>
        <v/>
      </c>
      <c r="W448">
        <f>(V448-$AJ$13)/$AK$13</f>
        <v/>
      </c>
      <c r="X448">
        <f>IF(W448&gt;0.7,"High",IF(W448&gt;0.3,"Moderate",IF(W448&gt;0.15,"Low","No Impact")))</f>
        <v/>
      </c>
      <c r="Y448">
        <f>F448*(P448*1)*(H448*0.35+J448*0.35+L448*0.3)</f>
        <v/>
      </c>
      <c r="Z448">
        <f>(Y448-$AJ$14)/$AK$14</f>
        <v/>
      </c>
      <c r="AA448">
        <f>IF(Z448&gt;0.7,"High",IF(Z448&gt;0.3,"Moderate",IF(Z448&gt;0.15,"Low","No Impact")))</f>
        <v/>
      </c>
      <c r="AB448">
        <f>F448*(R448*0.35+P448*0.3+N448*0.35)*(H448*0.35+J448*0.35+L448*0.3)</f>
        <v/>
      </c>
      <c r="AC448">
        <f>(AB448-$AJ$15)/$AK$15</f>
        <v/>
      </c>
      <c r="AD448">
        <f>IF(AC448&gt;0.7,"High",IF(AC448&gt;0.3,"Moderate",IF(AC448&gt;0.15,"Low","No Impact")))</f>
        <v/>
      </c>
      <c r="AE448">
        <f>F448*(N448*1)*(H448*0.35+J448*0.35+L448*0.3)</f>
        <v/>
      </c>
      <c r="AF448">
        <f>(AE448-$AJ$16)/$AK$16</f>
        <v/>
      </c>
      <c r="AG448">
        <f>IF(AF448&gt;0.7,"High",IF(AF448&gt;0.3,"Moderate",IF(AF448&gt;0.15,"Low","No Impact")))</f>
        <v/>
      </c>
    </row>
    <row r="449">
      <c r="A449" t="n">
        <v>508894</v>
      </c>
      <c r="B449" t="inlineStr">
        <is>
          <t>BD508894</t>
        </is>
      </c>
      <c r="C449" t="inlineStr">
        <is>
          <t>Sirajganj</t>
        </is>
      </c>
      <c r="D449" t="inlineStr">
        <is>
          <t>Ullah Para</t>
        </is>
      </c>
      <c r="E449" s="3" t="n">
        <v>6.9</v>
      </c>
      <c r="F449" s="4">
        <f>(E449-$AJ$5)/$AK$5</f>
        <v/>
      </c>
      <c r="G449" t="n">
        <v>62.47341</v>
      </c>
      <c r="H449">
        <f>(G449-$AJ$6)/$AK$6</f>
        <v/>
      </c>
      <c r="I449" t="n">
        <v>0.9000000000000002</v>
      </c>
      <c r="J449" s="4">
        <f>(I449-$AJ$7)/$AK$7</f>
        <v/>
      </c>
      <c r="K449" t="n">
        <v>0</v>
      </c>
      <c r="L449" s="4">
        <f>(K449-$AJ$8)/$AK$8</f>
        <v/>
      </c>
      <c r="M449" t="n">
        <v>56867</v>
      </c>
      <c r="N449">
        <f>(M449-$AJ$9)/$AK$9</f>
        <v/>
      </c>
      <c r="O449" t="n">
        <v>0.822564265</v>
      </c>
      <c r="P449">
        <f>(O449-$AJ$11)/$AK$11</f>
        <v/>
      </c>
      <c r="Q449" t="n">
        <v>0.2401</v>
      </c>
      <c r="R449">
        <f>(Q449-$AJ$12)/$AK$12</f>
        <v/>
      </c>
      <c r="S449">
        <f>F449*(R449*0.5+P449*0.5)*(H449*0.35+J449*0.35+L449*0.3)</f>
        <v/>
      </c>
      <c r="T449" s="14">
        <f>(S449-$AJ$10)/$AK$10</f>
        <v/>
      </c>
      <c r="U449">
        <f>IF(T449&gt;0.7,"High",IF(T449&gt;0.3,"Moderate",IF(T449&gt;0.15,"Low","No Impact")))</f>
        <v/>
      </c>
      <c r="V449">
        <f>F449*(R449*1)*(H449*0.35+J449*0.35+L449*0.3)</f>
        <v/>
      </c>
      <c r="W449">
        <f>(V449-$AJ$13)/$AK$13</f>
        <v/>
      </c>
      <c r="X449">
        <f>IF(W449&gt;0.7,"High",IF(W449&gt;0.3,"Moderate",IF(W449&gt;0.15,"Low","No Impact")))</f>
        <v/>
      </c>
      <c r="Y449">
        <f>F449*(P449*1)*(H449*0.35+J449*0.35+L449*0.3)</f>
        <v/>
      </c>
      <c r="Z449">
        <f>(Y449-$AJ$14)/$AK$14</f>
        <v/>
      </c>
      <c r="AA449">
        <f>IF(Z449&gt;0.7,"High",IF(Z449&gt;0.3,"Moderate",IF(Z449&gt;0.15,"Low","No Impact")))</f>
        <v/>
      </c>
      <c r="AB449">
        <f>F449*(R449*0.35+P449*0.3+N449*0.35)*(H449*0.35+J449*0.35+L449*0.3)</f>
        <v/>
      </c>
      <c r="AC449">
        <f>(AB449-$AJ$15)/$AK$15</f>
        <v/>
      </c>
      <c r="AD449">
        <f>IF(AC449&gt;0.7,"High",IF(AC449&gt;0.3,"Moderate",IF(AC449&gt;0.15,"Low","No Impact")))</f>
        <v/>
      </c>
      <c r="AE449">
        <f>F449*(N449*1)*(H449*0.35+J449*0.35+L449*0.3)</f>
        <v/>
      </c>
      <c r="AF449">
        <f>(AE449-$AJ$16)/$AK$16</f>
        <v/>
      </c>
      <c r="AG449">
        <f>IF(AF449&gt;0.7,"High",IF(AF449&gt;0.3,"Moderate",IF(AF449&gt;0.15,"Low","No Impact")))</f>
        <v/>
      </c>
    </row>
    <row r="450">
      <c r="A450" t="n">
        <v>552710</v>
      </c>
      <c r="B450" t="inlineStr">
        <is>
          <t>BD552710</t>
        </is>
      </c>
      <c r="C450" t="inlineStr">
        <is>
          <t>Dinajpur</t>
        </is>
      </c>
      <c r="D450" t="inlineStr">
        <is>
          <t>Birampur</t>
        </is>
      </c>
      <c r="E450" s="3" t="n">
        <v>6.4</v>
      </c>
      <c r="F450" s="4">
        <f>(E450-$AJ$5)/$AK$5</f>
        <v/>
      </c>
      <c r="G450" t="n">
        <v>38.8202832</v>
      </c>
      <c r="H450">
        <f>(G450-$AJ$6)/$AK$6</f>
        <v/>
      </c>
      <c r="I450" t="n">
        <v>0.1000000000000003</v>
      </c>
      <c r="J450" s="4">
        <f>(I450-$AJ$7)/$AK$7</f>
        <v/>
      </c>
      <c r="K450" t="n">
        <v>0</v>
      </c>
      <c r="L450" s="4">
        <f>(K450-$AJ$8)/$AK$8</f>
        <v/>
      </c>
      <c r="M450" t="n">
        <v>22770</v>
      </c>
      <c r="N450">
        <f>(M450-$AJ$9)/$AK$9</f>
        <v/>
      </c>
      <c r="O450" t="n">
        <v>0.869308521</v>
      </c>
      <c r="P450">
        <f>(O450-$AJ$11)/$AK$11</f>
        <v/>
      </c>
      <c r="Q450" t="n">
        <v>0.2455</v>
      </c>
      <c r="R450">
        <f>(Q450-$AJ$12)/$AK$12</f>
        <v/>
      </c>
      <c r="S450">
        <f>F450*(R450*0.5+P450*0.5)*(H450*0.35+J450*0.35+L450*0.3)</f>
        <v/>
      </c>
      <c r="T450" s="14">
        <f>(S450-$AJ$10)/$AK$10</f>
        <v/>
      </c>
      <c r="U450">
        <f>IF(T450&gt;0.7,"High",IF(T450&gt;0.3,"Moderate",IF(T450&gt;0.15,"Low","No Impact")))</f>
        <v/>
      </c>
      <c r="V450">
        <f>F450*(R450*1)*(H450*0.35+J450*0.35+L450*0.3)</f>
        <v/>
      </c>
      <c r="W450">
        <f>(V450-$AJ$13)/$AK$13</f>
        <v/>
      </c>
      <c r="X450">
        <f>IF(W450&gt;0.7,"High",IF(W450&gt;0.3,"Moderate",IF(W450&gt;0.15,"Low","No Impact")))</f>
        <v/>
      </c>
      <c r="Y450">
        <f>F450*(P450*1)*(H450*0.35+J450*0.35+L450*0.3)</f>
        <v/>
      </c>
      <c r="Z450">
        <f>(Y450-$AJ$14)/$AK$14</f>
        <v/>
      </c>
      <c r="AA450">
        <f>IF(Z450&gt;0.7,"High",IF(Z450&gt;0.3,"Moderate",IF(Z450&gt;0.15,"Low","No Impact")))</f>
        <v/>
      </c>
      <c r="AB450">
        <f>F450*(R450*0.35+P450*0.3+N450*0.35)*(H450*0.35+J450*0.35+L450*0.3)</f>
        <v/>
      </c>
      <c r="AC450">
        <f>(AB450-$AJ$15)/$AK$15</f>
        <v/>
      </c>
      <c r="AD450">
        <f>IF(AC450&gt;0.7,"High",IF(AC450&gt;0.3,"Moderate",IF(AC450&gt;0.15,"Low","No Impact")))</f>
        <v/>
      </c>
      <c r="AE450">
        <f>F450*(N450*1)*(H450*0.35+J450*0.35+L450*0.3)</f>
        <v/>
      </c>
      <c r="AF450">
        <f>(AE450-$AJ$16)/$AK$16</f>
        <v/>
      </c>
      <c r="AG450">
        <f>IF(AF450&gt;0.7,"High",IF(AF450&gt;0.3,"Moderate",IF(AF450&gt;0.15,"Low","No Impact")))</f>
        <v/>
      </c>
    </row>
    <row r="451">
      <c r="A451" t="n">
        <v>552712</v>
      </c>
      <c r="B451" t="inlineStr">
        <is>
          <t>BD552712</t>
        </is>
      </c>
      <c r="C451" t="inlineStr">
        <is>
          <t>Dinajpur</t>
        </is>
      </c>
      <c r="D451" t="inlineStr">
        <is>
          <t>Birganj</t>
        </is>
      </c>
      <c r="E451" s="3" t="n">
        <v>6</v>
      </c>
      <c r="F451" s="4">
        <f>(E451-$AJ$5)/$AK$5</f>
        <v/>
      </c>
      <c r="G451" t="n">
        <v>46.663884</v>
      </c>
      <c r="H451">
        <f>(G451-$AJ$6)/$AK$6</f>
        <v/>
      </c>
      <c r="I451" t="n">
        <v>0</v>
      </c>
      <c r="J451" s="4">
        <f>(I451-$AJ$7)/$AK$7</f>
        <v/>
      </c>
      <c r="K451" t="n">
        <v>0</v>
      </c>
      <c r="L451" s="4">
        <f>(K451-$AJ$8)/$AK$8</f>
        <v/>
      </c>
      <c r="M451" t="n">
        <v>46581</v>
      </c>
      <c r="N451">
        <f>(M451-$AJ$9)/$AK$9</f>
        <v/>
      </c>
      <c r="O451" t="n">
        <v>0.808814353</v>
      </c>
      <c r="P451">
        <f>(O451-$AJ$11)/$AK$11</f>
        <v/>
      </c>
      <c r="Q451" t="n">
        <v>0.265</v>
      </c>
      <c r="R451">
        <f>(Q451-$AJ$12)/$AK$12</f>
        <v/>
      </c>
      <c r="S451">
        <f>F451*(R451*0.5+P451*0.5)*(H451*0.35+J451*0.35+L451*0.3)</f>
        <v/>
      </c>
      <c r="T451" s="14">
        <f>(S451-$AJ$10)/$AK$10</f>
        <v/>
      </c>
      <c r="U451">
        <f>IF(T451&gt;0.7,"High",IF(T451&gt;0.3,"Moderate",IF(T451&gt;0.15,"Low","No Impact")))</f>
        <v/>
      </c>
      <c r="V451">
        <f>F451*(R451*1)*(H451*0.35+J451*0.35+L451*0.3)</f>
        <v/>
      </c>
      <c r="W451">
        <f>(V451-$AJ$13)/$AK$13</f>
        <v/>
      </c>
      <c r="X451">
        <f>IF(W451&gt;0.7,"High",IF(W451&gt;0.3,"Moderate",IF(W451&gt;0.15,"Low","No Impact")))</f>
        <v/>
      </c>
      <c r="Y451">
        <f>F451*(P451*1)*(H451*0.35+J451*0.35+L451*0.3)</f>
        <v/>
      </c>
      <c r="Z451">
        <f>(Y451-$AJ$14)/$AK$14</f>
        <v/>
      </c>
      <c r="AA451">
        <f>IF(Z451&gt;0.7,"High",IF(Z451&gt;0.3,"Moderate",IF(Z451&gt;0.15,"Low","No Impact")))</f>
        <v/>
      </c>
      <c r="AB451">
        <f>F451*(R451*0.35+P451*0.3+N451*0.35)*(H451*0.35+J451*0.35+L451*0.3)</f>
        <v/>
      </c>
      <c r="AC451">
        <f>(AB451-$AJ$15)/$AK$15</f>
        <v/>
      </c>
      <c r="AD451">
        <f>IF(AC451&gt;0.7,"High",IF(AC451&gt;0.3,"Moderate",IF(AC451&gt;0.15,"Low","No Impact")))</f>
        <v/>
      </c>
      <c r="AE451">
        <f>F451*(N451*1)*(H451*0.35+J451*0.35+L451*0.3)</f>
        <v/>
      </c>
      <c r="AF451">
        <f>(AE451-$AJ$16)/$AK$16</f>
        <v/>
      </c>
      <c r="AG451">
        <f>IF(AF451&gt;0.7,"High",IF(AF451&gt;0.3,"Moderate",IF(AF451&gt;0.15,"Low","No Impact")))</f>
        <v/>
      </c>
    </row>
    <row r="452">
      <c r="A452" t="n">
        <v>552717</v>
      </c>
      <c r="B452" t="inlineStr">
        <is>
          <t>BD552717</t>
        </is>
      </c>
      <c r="C452" t="inlineStr">
        <is>
          <t>Dinajpur</t>
        </is>
      </c>
      <c r="D452" t="inlineStr">
        <is>
          <t>Biral</t>
        </is>
      </c>
      <c r="E452" s="3" t="n">
        <v>6.4</v>
      </c>
      <c r="F452" s="4">
        <f>(E452-$AJ$5)/$AK$5</f>
        <v/>
      </c>
      <c r="G452" t="n">
        <v>46.663884</v>
      </c>
      <c r="H452">
        <f>(G452-$AJ$6)/$AK$6</f>
        <v/>
      </c>
      <c r="I452" t="n">
        <v>0</v>
      </c>
      <c r="J452" s="4">
        <f>(I452-$AJ$7)/$AK$7</f>
        <v/>
      </c>
      <c r="K452" t="n">
        <v>0</v>
      </c>
      <c r="L452" s="4">
        <f>(K452-$AJ$8)/$AK$8</f>
        <v/>
      </c>
      <c r="M452" t="n">
        <v>39215</v>
      </c>
      <c r="N452">
        <f>(M452-$AJ$9)/$AK$9</f>
        <v/>
      </c>
      <c r="O452" t="n">
        <v>0.721100382</v>
      </c>
      <c r="P452">
        <f>(O452-$AJ$11)/$AK$11</f>
        <v/>
      </c>
      <c r="Q452" t="n">
        <v>0.2686</v>
      </c>
      <c r="R452">
        <f>(Q452-$AJ$12)/$AK$12</f>
        <v/>
      </c>
      <c r="S452">
        <f>F452*(R452*0.5+P452*0.5)*(H452*0.35+J452*0.35+L452*0.3)</f>
        <v/>
      </c>
      <c r="T452" s="14">
        <f>(S452-$AJ$10)/$AK$10</f>
        <v/>
      </c>
      <c r="U452">
        <f>IF(T452&gt;0.7,"High",IF(T452&gt;0.3,"Moderate",IF(T452&gt;0.15,"Low","No Impact")))</f>
        <v/>
      </c>
      <c r="V452">
        <f>F452*(R452*1)*(H452*0.35+J452*0.35+L452*0.3)</f>
        <v/>
      </c>
      <c r="W452">
        <f>(V452-$AJ$13)/$AK$13</f>
        <v/>
      </c>
      <c r="X452">
        <f>IF(W452&gt;0.7,"High",IF(W452&gt;0.3,"Moderate",IF(W452&gt;0.15,"Low","No Impact")))</f>
        <v/>
      </c>
      <c r="Y452">
        <f>F452*(P452*1)*(H452*0.35+J452*0.35+L452*0.3)</f>
        <v/>
      </c>
      <c r="Z452">
        <f>(Y452-$AJ$14)/$AK$14</f>
        <v/>
      </c>
      <c r="AA452">
        <f>IF(Z452&gt;0.7,"High",IF(Z452&gt;0.3,"Moderate",IF(Z452&gt;0.15,"Low","No Impact")))</f>
        <v/>
      </c>
      <c r="AB452">
        <f>F452*(R452*0.35+P452*0.3+N452*0.35)*(H452*0.35+J452*0.35+L452*0.3)</f>
        <v/>
      </c>
      <c r="AC452">
        <f>(AB452-$AJ$15)/$AK$15</f>
        <v/>
      </c>
      <c r="AD452">
        <f>IF(AC452&gt;0.7,"High",IF(AC452&gt;0.3,"Moderate",IF(AC452&gt;0.15,"Low","No Impact")))</f>
        <v/>
      </c>
      <c r="AE452">
        <f>F452*(N452*1)*(H452*0.35+J452*0.35+L452*0.3)</f>
        <v/>
      </c>
      <c r="AF452">
        <f>(AE452-$AJ$16)/$AK$16</f>
        <v/>
      </c>
      <c r="AG452">
        <f>IF(AF452&gt;0.7,"High",IF(AF452&gt;0.3,"Moderate",IF(AF452&gt;0.15,"Low","No Impact")))</f>
        <v/>
      </c>
    </row>
    <row r="453">
      <c r="A453" t="n">
        <v>552721</v>
      </c>
      <c r="B453" t="inlineStr">
        <is>
          <t>BD552721</t>
        </is>
      </c>
      <c r="C453" t="inlineStr">
        <is>
          <t>Dinajpur</t>
        </is>
      </c>
      <c r="D453" t="inlineStr">
        <is>
          <t>Bochaganj</t>
        </is>
      </c>
      <c r="E453" s="3" t="n">
        <v>6.4</v>
      </c>
      <c r="F453" s="4">
        <f>(E453-$AJ$5)/$AK$5</f>
        <v/>
      </c>
      <c r="G453" t="n">
        <v>39.115836</v>
      </c>
      <c r="H453">
        <f>(G453-$AJ$6)/$AK$6</f>
        <v/>
      </c>
      <c r="I453" t="n">
        <v>0</v>
      </c>
      <c r="J453" s="4">
        <f>(I453-$AJ$7)/$AK$7</f>
        <v/>
      </c>
      <c r="K453" t="n">
        <v>0</v>
      </c>
      <c r="L453" s="4">
        <f>(K453-$AJ$8)/$AK$8</f>
        <v/>
      </c>
      <c r="M453" t="n">
        <v>24638</v>
      </c>
      <c r="N453">
        <f>(M453-$AJ$9)/$AK$9</f>
        <v/>
      </c>
      <c r="O453" t="n">
        <v>0.855496017</v>
      </c>
      <c r="P453">
        <f>(O453-$AJ$11)/$AK$11</f>
        <v/>
      </c>
      <c r="Q453" t="n">
        <v>0.2847</v>
      </c>
      <c r="R453">
        <f>(Q453-$AJ$12)/$AK$12</f>
        <v/>
      </c>
      <c r="S453">
        <f>F453*(R453*0.5+P453*0.5)*(H453*0.35+J453*0.35+L453*0.3)</f>
        <v/>
      </c>
      <c r="T453" s="14">
        <f>(S453-$AJ$10)/$AK$10</f>
        <v/>
      </c>
      <c r="U453">
        <f>IF(T453&gt;0.7,"High",IF(T453&gt;0.3,"Moderate",IF(T453&gt;0.15,"Low","No Impact")))</f>
        <v/>
      </c>
      <c r="V453">
        <f>F453*(R453*1)*(H453*0.35+J453*0.35+L453*0.3)</f>
        <v/>
      </c>
      <c r="W453">
        <f>(V453-$AJ$13)/$AK$13</f>
        <v/>
      </c>
      <c r="X453">
        <f>IF(W453&gt;0.7,"High",IF(W453&gt;0.3,"Moderate",IF(W453&gt;0.15,"Low","No Impact")))</f>
        <v/>
      </c>
      <c r="Y453">
        <f>F453*(P453*1)*(H453*0.35+J453*0.35+L453*0.3)</f>
        <v/>
      </c>
      <c r="Z453">
        <f>(Y453-$AJ$14)/$AK$14</f>
        <v/>
      </c>
      <c r="AA453">
        <f>IF(Z453&gt;0.7,"High",IF(Z453&gt;0.3,"Moderate",IF(Z453&gt;0.15,"Low","No Impact")))</f>
        <v/>
      </c>
      <c r="AB453">
        <f>F453*(R453*0.35+P453*0.3+N453*0.35)*(H453*0.35+J453*0.35+L453*0.3)</f>
        <v/>
      </c>
      <c r="AC453">
        <f>(AB453-$AJ$15)/$AK$15</f>
        <v/>
      </c>
      <c r="AD453">
        <f>IF(AC453&gt;0.7,"High",IF(AC453&gt;0.3,"Moderate",IF(AC453&gt;0.15,"Low","No Impact")))</f>
        <v/>
      </c>
      <c r="AE453">
        <f>F453*(N453*1)*(H453*0.35+J453*0.35+L453*0.3)</f>
        <v/>
      </c>
      <c r="AF453">
        <f>(AE453-$AJ$16)/$AK$16</f>
        <v/>
      </c>
      <c r="AG453">
        <f>IF(AF453&gt;0.7,"High",IF(AF453&gt;0.3,"Moderate",IF(AF453&gt;0.15,"Low","No Impact")))</f>
        <v/>
      </c>
    </row>
    <row r="454">
      <c r="A454" t="n">
        <v>552730</v>
      </c>
      <c r="B454" t="inlineStr">
        <is>
          <t>BD552730</t>
        </is>
      </c>
      <c r="C454" t="inlineStr">
        <is>
          <t>Dinajpur</t>
        </is>
      </c>
      <c r="D454" t="inlineStr">
        <is>
          <t>Chirirbandar</t>
        </is>
      </c>
      <c r="E454" s="3" t="n">
        <v>6.4</v>
      </c>
      <c r="F454" s="4">
        <f>(E454-$AJ$5)/$AK$5</f>
        <v/>
      </c>
      <c r="G454" t="n">
        <v>46.663884</v>
      </c>
      <c r="H454">
        <f>(G454-$AJ$6)/$AK$6</f>
        <v/>
      </c>
      <c r="I454" t="n">
        <v>0</v>
      </c>
      <c r="J454" s="4">
        <f>(I454-$AJ$7)/$AK$7</f>
        <v/>
      </c>
      <c r="K454" t="n">
        <v>0</v>
      </c>
      <c r="L454" s="4">
        <f>(K454-$AJ$8)/$AK$8</f>
        <v/>
      </c>
      <c r="M454" t="n">
        <v>37811</v>
      </c>
      <c r="N454">
        <f>(M454-$AJ$9)/$AK$9</f>
        <v/>
      </c>
      <c r="O454" t="n">
        <v>0.807876034</v>
      </c>
      <c r="P454">
        <f>(O454-$AJ$11)/$AK$11</f>
        <v/>
      </c>
      <c r="Q454" t="n">
        <v>0.2419</v>
      </c>
      <c r="R454">
        <f>(Q454-$AJ$12)/$AK$12</f>
        <v/>
      </c>
      <c r="S454">
        <f>F454*(R454*0.5+P454*0.5)*(H454*0.35+J454*0.35+L454*0.3)</f>
        <v/>
      </c>
      <c r="T454" s="14">
        <f>(S454-$AJ$10)/$AK$10</f>
        <v/>
      </c>
      <c r="U454">
        <f>IF(T454&gt;0.7,"High",IF(T454&gt;0.3,"Moderate",IF(T454&gt;0.15,"Low","No Impact")))</f>
        <v/>
      </c>
      <c r="V454">
        <f>F454*(R454*1)*(H454*0.35+J454*0.35+L454*0.3)</f>
        <v/>
      </c>
      <c r="W454">
        <f>(V454-$AJ$13)/$AK$13</f>
        <v/>
      </c>
      <c r="X454">
        <f>IF(W454&gt;0.7,"High",IF(W454&gt;0.3,"Moderate",IF(W454&gt;0.15,"Low","No Impact")))</f>
        <v/>
      </c>
      <c r="Y454">
        <f>F454*(P454*1)*(H454*0.35+J454*0.35+L454*0.3)</f>
        <v/>
      </c>
      <c r="Z454">
        <f>(Y454-$AJ$14)/$AK$14</f>
        <v/>
      </c>
      <c r="AA454">
        <f>IF(Z454&gt;0.7,"High",IF(Z454&gt;0.3,"Moderate",IF(Z454&gt;0.15,"Low","No Impact")))</f>
        <v/>
      </c>
      <c r="AB454">
        <f>F454*(R454*0.35+P454*0.3+N454*0.35)*(H454*0.35+J454*0.35+L454*0.3)</f>
        <v/>
      </c>
      <c r="AC454">
        <f>(AB454-$AJ$15)/$AK$15</f>
        <v/>
      </c>
      <c r="AD454">
        <f>IF(AC454&gt;0.7,"High",IF(AC454&gt;0.3,"Moderate",IF(AC454&gt;0.15,"Low","No Impact")))</f>
        <v/>
      </c>
      <c r="AE454">
        <f>F454*(N454*1)*(H454*0.35+J454*0.35+L454*0.3)</f>
        <v/>
      </c>
      <c r="AF454">
        <f>(AE454-$AJ$16)/$AK$16</f>
        <v/>
      </c>
      <c r="AG454">
        <f>IF(AF454&gt;0.7,"High",IF(AF454&gt;0.3,"Moderate",IF(AF454&gt;0.15,"Low","No Impact")))</f>
        <v/>
      </c>
    </row>
    <row r="455">
      <c r="A455" t="n">
        <v>552738</v>
      </c>
      <c r="B455" t="inlineStr">
        <is>
          <t>BD552738</t>
        </is>
      </c>
      <c r="C455" t="inlineStr">
        <is>
          <t>Dinajpur</t>
        </is>
      </c>
      <c r="D455" t="inlineStr">
        <is>
          <t>Fulbari</t>
        </is>
      </c>
      <c r="E455" s="3" t="n">
        <v>6.4</v>
      </c>
      <c r="F455" s="4">
        <f>(E455-$AJ$5)/$AK$5</f>
        <v/>
      </c>
      <c r="G455" t="n">
        <v>37.2574548</v>
      </c>
      <c r="H455">
        <f>(G455-$AJ$6)/$AK$6</f>
        <v/>
      </c>
      <c r="I455" t="n">
        <v>0</v>
      </c>
      <c r="J455" s="4">
        <f>(I455-$AJ$7)/$AK$7</f>
        <v/>
      </c>
      <c r="K455" t="n">
        <v>0</v>
      </c>
      <c r="L455" s="4">
        <f>(K455-$AJ$8)/$AK$8</f>
        <v/>
      </c>
      <c r="M455" t="n">
        <v>22131</v>
      </c>
      <c r="N455">
        <f>(M455-$AJ$9)/$AK$9</f>
        <v/>
      </c>
      <c r="O455" t="n">
        <v>0.822226902</v>
      </c>
      <c r="P455">
        <f>(O455-$AJ$11)/$AK$11</f>
        <v/>
      </c>
      <c r="Q455" t="n">
        <v>0.2174</v>
      </c>
      <c r="R455">
        <f>(Q455-$AJ$12)/$AK$12</f>
        <v/>
      </c>
      <c r="S455">
        <f>F455*(R455*0.5+P455*0.5)*(H455*0.35+J455*0.35+L455*0.3)</f>
        <v/>
      </c>
      <c r="T455" s="14">
        <f>(S455-$AJ$10)/$AK$10</f>
        <v/>
      </c>
      <c r="U455">
        <f>IF(T455&gt;0.7,"High",IF(T455&gt;0.3,"Moderate",IF(T455&gt;0.15,"Low","No Impact")))</f>
        <v/>
      </c>
      <c r="V455">
        <f>F455*(R455*1)*(H455*0.35+J455*0.35+L455*0.3)</f>
        <v/>
      </c>
      <c r="W455">
        <f>(V455-$AJ$13)/$AK$13</f>
        <v/>
      </c>
      <c r="X455">
        <f>IF(W455&gt;0.7,"High",IF(W455&gt;0.3,"Moderate",IF(W455&gt;0.15,"Low","No Impact")))</f>
        <v/>
      </c>
      <c r="Y455">
        <f>F455*(P455*1)*(H455*0.35+J455*0.35+L455*0.3)</f>
        <v/>
      </c>
      <c r="Z455">
        <f>(Y455-$AJ$14)/$AK$14</f>
        <v/>
      </c>
      <c r="AA455">
        <f>IF(Z455&gt;0.7,"High",IF(Z455&gt;0.3,"Moderate",IF(Z455&gt;0.15,"Low","No Impact")))</f>
        <v/>
      </c>
      <c r="AB455">
        <f>F455*(R455*0.35+P455*0.3+N455*0.35)*(H455*0.35+J455*0.35+L455*0.3)</f>
        <v/>
      </c>
      <c r="AC455">
        <f>(AB455-$AJ$15)/$AK$15</f>
        <v/>
      </c>
      <c r="AD455">
        <f>IF(AC455&gt;0.7,"High",IF(AC455&gt;0.3,"Moderate",IF(AC455&gt;0.15,"Low","No Impact")))</f>
        <v/>
      </c>
      <c r="AE455">
        <f>F455*(N455*1)*(H455*0.35+J455*0.35+L455*0.3)</f>
        <v/>
      </c>
      <c r="AF455">
        <f>(AE455-$AJ$16)/$AK$16</f>
        <v/>
      </c>
      <c r="AG455">
        <f>IF(AF455&gt;0.7,"High",IF(AF455&gt;0.3,"Moderate",IF(AF455&gt;0.15,"Low","No Impact")))</f>
        <v/>
      </c>
    </row>
    <row r="456">
      <c r="A456" t="n">
        <v>552743</v>
      </c>
      <c r="B456" t="inlineStr">
        <is>
          <t>BD552743</t>
        </is>
      </c>
      <c r="C456" t="inlineStr">
        <is>
          <t>Dinajpur</t>
        </is>
      </c>
      <c r="D456" t="inlineStr">
        <is>
          <t>Ghoraghat</t>
        </is>
      </c>
      <c r="E456" s="3" t="n">
        <v>6.4</v>
      </c>
      <c r="F456" s="4">
        <f>(E456-$AJ$5)/$AK$5</f>
        <v/>
      </c>
      <c r="G456" t="n">
        <v>38.7410472</v>
      </c>
      <c r="H456">
        <f>(G456-$AJ$6)/$AK$6</f>
        <v/>
      </c>
      <c r="I456" t="n">
        <v>0</v>
      </c>
      <c r="J456" s="4">
        <f>(I456-$AJ$7)/$AK$7</f>
        <v/>
      </c>
      <c r="K456" t="n">
        <v>0</v>
      </c>
      <c r="L456" s="4">
        <f>(K456-$AJ$8)/$AK$8</f>
        <v/>
      </c>
      <c r="M456" t="n">
        <v>17312</v>
      </c>
      <c r="N456">
        <f>(M456-$AJ$9)/$AK$9</f>
        <v/>
      </c>
      <c r="O456" t="n">
        <v>0.833971626</v>
      </c>
      <c r="P456">
        <f>(O456-$AJ$11)/$AK$11</f>
        <v/>
      </c>
      <c r="Q456" t="n">
        <v>0.2345</v>
      </c>
      <c r="R456">
        <f>(Q456-$AJ$12)/$AK$12</f>
        <v/>
      </c>
      <c r="S456">
        <f>F456*(R456*0.5+P456*0.5)*(H456*0.35+J456*0.35+L456*0.3)</f>
        <v/>
      </c>
      <c r="T456" s="14">
        <f>(S456-$AJ$10)/$AK$10</f>
        <v/>
      </c>
      <c r="U456">
        <f>IF(T456&gt;0.7,"High",IF(T456&gt;0.3,"Moderate",IF(T456&gt;0.15,"Low","No Impact")))</f>
        <v/>
      </c>
      <c r="V456">
        <f>F456*(R456*1)*(H456*0.35+J456*0.35+L456*0.3)</f>
        <v/>
      </c>
      <c r="W456">
        <f>(V456-$AJ$13)/$AK$13</f>
        <v/>
      </c>
      <c r="X456">
        <f>IF(W456&gt;0.7,"High",IF(W456&gt;0.3,"Moderate",IF(W456&gt;0.15,"Low","No Impact")))</f>
        <v/>
      </c>
      <c r="Y456">
        <f>F456*(P456*1)*(H456*0.35+J456*0.35+L456*0.3)</f>
        <v/>
      </c>
      <c r="Z456">
        <f>(Y456-$AJ$14)/$AK$14</f>
        <v/>
      </c>
      <c r="AA456">
        <f>IF(Z456&gt;0.7,"High",IF(Z456&gt;0.3,"Moderate",IF(Z456&gt;0.15,"Low","No Impact")))</f>
        <v/>
      </c>
      <c r="AB456">
        <f>F456*(R456*0.35+P456*0.3+N456*0.35)*(H456*0.35+J456*0.35+L456*0.3)</f>
        <v/>
      </c>
      <c r="AC456">
        <f>(AB456-$AJ$15)/$AK$15</f>
        <v/>
      </c>
      <c r="AD456">
        <f>IF(AC456&gt;0.7,"High",IF(AC456&gt;0.3,"Moderate",IF(AC456&gt;0.15,"Low","No Impact")))</f>
        <v/>
      </c>
      <c r="AE456">
        <f>F456*(N456*1)*(H456*0.35+J456*0.35+L456*0.3)</f>
        <v/>
      </c>
      <c r="AF456">
        <f>(AE456-$AJ$16)/$AK$16</f>
        <v/>
      </c>
      <c r="AG456">
        <f>IF(AF456&gt;0.7,"High",IF(AF456&gt;0.3,"Moderate",IF(AF456&gt;0.15,"Low","No Impact")))</f>
        <v/>
      </c>
    </row>
    <row r="457">
      <c r="A457" t="n">
        <v>552747</v>
      </c>
      <c r="B457" t="inlineStr">
        <is>
          <t>BD552747</t>
        </is>
      </c>
      <c r="C457" t="inlineStr">
        <is>
          <t>Dinajpur</t>
        </is>
      </c>
      <c r="D457" t="inlineStr">
        <is>
          <t>Hakimpur</t>
        </is>
      </c>
      <c r="E457" s="3" t="n">
        <v>6.4</v>
      </c>
      <c r="F457" s="4">
        <f>(E457-$AJ$5)/$AK$5</f>
        <v/>
      </c>
      <c r="G457" t="n">
        <v>38.7410472</v>
      </c>
      <c r="H457">
        <f>(G457-$AJ$6)/$AK$6</f>
        <v/>
      </c>
      <c r="I457" t="n">
        <v>0</v>
      </c>
      <c r="J457" s="4">
        <f>(I457-$AJ$7)/$AK$7</f>
        <v/>
      </c>
      <c r="K457" t="n">
        <v>0</v>
      </c>
      <c r="L457" s="4">
        <f>(K457-$AJ$8)/$AK$8</f>
        <v/>
      </c>
      <c r="M457" t="n">
        <v>12348</v>
      </c>
      <c r="N457">
        <f>(M457-$AJ$9)/$AK$9</f>
        <v/>
      </c>
      <c r="O457" t="n">
        <v>0.832106974</v>
      </c>
      <c r="P457">
        <f>(O457-$AJ$11)/$AK$11</f>
        <v/>
      </c>
      <c r="Q457" t="n">
        <v>0.243</v>
      </c>
      <c r="R457">
        <f>(Q457-$AJ$12)/$AK$12</f>
        <v/>
      </c>
      <c r="S457">
        <f>F457*(R457*0.5+P457*0.5)*(H457*0.35+J457*0.35+L457*0.3)</f>
        <v/>
      </c>
      <c r="T457" s="14">
        <f>(S457-$AJ$10)/$AK$10</f>
        <v/>
      </c>
      <c r="U457">
        <f>IF(T457&gt;0.7,"High",IF(T457&gt;0.3,"Moderate",IF(T457&gt;0.15,"Low","No Impact")))</f>
        <v/>
      </c>
      <c r="V457">
        <f>F457*(R457*1)*(H457*0.35+J457*0.35+L457*0.3)</f>
        <v/>
      </c>
      <c r="W457">
        <f>(V457-$AJ$13)/$AK$13</f>
        <v/>
      </c>
      <c r="X457">
        <f>IF(W457&gt;0.7,"High",IF(W457&gt;0.3,"Moderate",IF(W457&gt;0.15,"Low","No Impact")))</f>
        <v/>
      </c>
      <c r="Y457">
        <f>F457*(P457*1)*(H457*0.35+J457*0.35+L457*0.3)</f>
        <v/>
      </c>
      <c r="Z457">
        <f>(Y457-$AJ$14)/$AK$14</f>
        <v/>
      </c>
      <c r="AA457">
        <f>IF(Z457&gt;0.7,"High",IF(Z457&gt;0.3,"Moderate",IF(Z457&gt;0.15,"Low","No Impact")))</f>
        <v/>
      </c>
      <c r="AB457">
        <f>F457*(R457*0.35+P457*0.3+N457*0.35)*(H457*0.35+J457*0.35+L457*0.3)</f>
        <v/>
      </c>
      <c r="AC457">
        <f>(AB457-$AJ$15)/$AK$15</f>
        <v/>
      </c>
      <c r="AD457">
        <f>IF(AC457&gt;0.7,"High",IF(AC457&gt;0.3,"Moderate",IF(AC457&gt;0.15,"Low","No Impact")))</f>
        <v/>
      </c>
      <c r="AE457">
        <f>F457*(N457*1)*(H457*0.35+J457*0.35+L457*0.3)</f>
        <v/>
      </c>
      <c r="AF457">
        <f>(AE457-$AJ$16)/$AK$16</f>
        <v/>
      </c>
      <c r="AG457">
        <f>IF(AF457&gt;0.7,"High",IF(AF457&gt;0.3,"Moderate",IF(AF457&gt;0.15,"Low","No Impact")))</f>
        <v/>
      </c>
    </row>
    <row r="458">
      <c r="A458" t="n">
        <v>552756</v>
      </c>
      <c r="B458" t="inlineStr">
        <is>
          <t>BD552756</t>
        </is>
      </c>
      <c r="C458" t="inlineStr">
        <is>
          <t>Dinajpur</t>
        </is>
      </c>
      <c r="D458" t="inlineStr">
        <is>
          <t>Kaharole</t>
        </is>
      </c>
      <c r="E458" s="3" t="n">
        <v>5</v>
      </c>
      <c r="F458" s="4">
        <f>(E458-$AJ$5)/$AK$5</f>
        <v/>
      </c>
      <c r="G458" t="n">
        <v>46.663884</v>
      </c>
      <c r="H458">
        <f>(G458-$AJ$6)/$AK$6</f>
        <v/>
      </c>
      <c r="I458" t="n">
        <v>0</v>
      </c>
      <c r="J458" s="4">
        <f>(I458-$AJ$7)/$AK$7</f>
        <v/>
      </c>
      <c r="K458" t="n">
        <v>0</v>
      </c>
      <c r="L458" s="4">
        <f>(K458-$AJ$8)/$AK$8</f>
        <v/>
      </c>
      <c r="M458" t="n">
        <v>26833</v>
      </c>
      <c r="N458">
        <f>(M458-$AJ$9)/$AK$9</f>
        <v/>
      </c>
      <c r="O458" t="n">
        <v>0.86891489</v>
      </c>
      <c r="P458">
        <f>(O458-$AJ$11)/$AK$11</f>
        <v/>
      </c>
      <c r="Q458" t="n">
        <v>0.2666</v>
      </c>
      <c r="R458">
        <f>(Q458-$AJ$12)/$AK$12</f>
        <v/>
      </c>
      <c r="S458">
        <f>F458*(R458*0.5+P458*0.5)*(H458*0.35+J458*0.35+L458*0.3)</f>
        <v/>
      </c>
      <c r="T458" s="14">
        <f>(S458-$AJ$10)/$AK$10</f>
        <v/>
      </c>
      <c r="U458">
        <f>IF(T458&gt;0.7,"High",IF(T458&gt;0.3,"Moderate",IF(T458&gt;0.15,"Low","No Impact")))</f>
        <v/>
      </c>
      <c r="V458">
        <f>F458*(R458*1)*(H458*0.35+J458*0.35+L458*0.3)</f>
        <v/>
      </c>
      <c r="W458">
        <f>(V458-$AJ$13)/$AK$13</f>
        <v/>
      </c>
      <c r="X458">
        <f>IF(W458&gt;0.7,"High",IF(W458&gt;0.3,"Moderate",IF(W458&gt;0.15,"Low","No Impact")))</f>
        <v/>
      </c>
      <c r="Y458">
        <f>F458*(P458*1)*(H458*0.35+J458*0.35+L458*0.3)</f>
        <v/>
      </c>
      <c r="Z458">
        <f>(Y458-$AJ$14)/$AK$14</f>
        <v/>
      </c>
      <c r="AA458">
        <f>IF(Z458&gt;0.7,"High",IF(Z458&gt;0.3,"Moderate",IF(Z458&gt;0.15,"Low","No Impact")))</f>
        <v/>
      </c>
      <c r="AB458">
        <f>F458*(R458*0.35+P458*0.3+N458*0.35)*(H458*0.35+J458*0.35+L458*0.3)</f>
        <v/>
      </c>
      <c r="AC458">
        <f>(AB458-$AJ$15)/$AK$15</f>
        <v/>
      </c>
      <c r="AD458">
        <f>IF(AC458&gt;0.7,"High",IF(AC458&gt;0.3,"Moderate",IF(AC458&gt;0.15,"Low","No Impact")))</f>
        <v/>
      </c>
      <c r="AE458">
        <f>F458*(N458*1)*(H458*0.35+J458*0.35+L458*0.3)</f>
        <v/>
      </c>
      <c r="AF458">
        <f>(AE458-$AJ$16)/$AK$16</f>
        <v/>
      </c>
      <c r="AG458">
        <f>IF(AF458&gt;0.7,"High",IF(AF458&gt;0.3,"Moderate",IF(AF458&gt;0.15,"Low","No Impact")))</f>
        <v/>
      </c>
    </row>
    <row r="459">
      <c r="A459" t="n">
        <v>552760</v>
      </c>
      <c r="B459" t="inlineStr">
        <is>
          <t>BD552760</t>
        </is>
      </c>
      <c r="C459" t="inlineStr">
        <is>
          <t>Dinajpur</t>
        </is>
      </c>
      <c r="D459" t="inlineStr">
        <is>
          <t>Khansama</t>
        </is>
      </c>
      <c r="E459" s="3" t="n">
        <v>6.3</v>
      </c>
      <c r="F459" s="4">
        <f>(E459-$AJ$5)/$AK$5</f>
        <v/>
      </c>
      <c r="G459" t="n">
        <v>46.663884</v>
      </c>
      <c r="H459">
        <f>(G459-$AJ$6)/$AK$6</f>
        <v/>
      </c>
      <c r="I459" t="n">
        <v>0</v>
      </c>
      <c r="J459" s="4">
        <f>(I459-$AJ$7)/$AK$7</f>
        <v/>
      </c>
      <c r="K459" t="n">
        <v>0</v>
      </c>
      <c r="L459" s="4">
        <f>(K459-$AJ$8)/$AK$8</f>
        <v/>
      </c>
      <c r="M459" t="n">
        <v>15773</v>
      </c>
      <c r="N459">
        <f>(M459-$AJ$9)/$AK$9</f>
        <v/>
      </c>
      <c r="O459" t="n">
        <v>0.790093368</v>
      </c>
      <c r="P459">
        <f>(O459-$AJ$11)/$AK$11</f>
        <v/>
      </c>
      <c r="Q459" t="n">
        <v>0.2433</v>
      </c>
      <c r="R459">
        <f>(Q459-$AJ$12)/$AK$12</f>
        <v/>
      </c>
      <c r="S459">
        <f>F459*(R459*0.5+P459*0.5)*(H459*0.35+J459*0.35+L459*0.3)</f>
        <v/>
      </c>
      <c r="T459" s="14">
        <f>(S459-$AJ$10)/$AK$10</f>
        <v/>
      </c>
      <c r="U459">
        <f>IF(T459&gt;0.7,"High",IF(T459&gt;0.3,"Moderate",IF(T459&gt;0.15,"Low","No Impact")))</f>
        <v/>
      </c>
      <c r="V459">
        <f>F459*(R459*1)*(H459*0.35+J459*0.35+L459*0.3)</f>
        <v/>
      </c>
      <c r="W459">
        <f>(V459-$AJ$13)/$AK$13</f>
        <v/>
      </c>
      <c r="X459">
        <f>IF(W459&gt;0.7,"High",IF(W459&gt;0.3,"Moderate",IF(W459&gt;0.15,"Low","No Impact")))</f>
        <v/>
      </c>
      <c r="Y459">
        <f>F459*(P459*1)*(H459*0.35+J459*0.35+L459*0.3)</f>
        <v/>
      </c>
      <c r="Z459">
        <f>(Y459-$AJ$14)/$AK$14</f>
        <v/>
      </c>
      <c r="AA459">
        <f>IF(Z459&gt;0.7,"High",IF(Z459&gt;0.3,"Moderate",IF(Z459&gt;0.15,"Low","No Impact")))</f>
        <v/>
      </c>
      <c r="AB459">
        <f>F459*(R459*0.35+P459*0.3+N459*0.35)*(H459*0.35+J459*0.35+L459*0.3)</f>
        <v/>
      </c>
      <c r="AC459">
        <f>(AB459-$AJ$15)/$AK$15</f>
        <v/>
      </c>
      <c r="AD459">
        <f>IF(AC459&gt;0.7,"High",IF(AC459&gt;0.3,"Moderate",IF(AC459&gt;0.15,"Low","No Impact")))</f>
        <v/>
      </c>
      <c r="AE459">
        <f>F459*(N459*1)*(H459*0.35+J459*0.35+L459*0.3)</f>
        <v/>
      </c>
      <c r="AF459">
        <f>(AE459-$AJ$16)/$AK$16</f>
        <v/>
      </c>
      <c r="AG459">
        <f>IF(AF459&gt;0.7,"High",IF(AF459&gt;0.3,"Moderate",IF(AF459&gt;0.15,"Low","No Impact")))</f>
        <v/>
      </c>
    </row>
    <row r="460">
      <c r="A460" t="n">
        <v>552764</v>
      </c>
      <c r="B460" t="inlineStr">
        <is>
          <t>BD552764</t>
        </is>
      </c>
      <c r="C460" t="inlineStr">
        <is>
          <t>Dinajpur</t>
        </is>
      </c>
      <c r="D460" t="inlineStr">
        <is>
          <t>Dinajpur Sadar</t>
        </is>
      </c>
      <c r="E460" s="3" t="n">
        <v>6.4</v>
      </c>
      <c r="F460" s="4">
        <f>(E460-$AJ$5)/$AK$5</f>
        <v/>
      </c>
      <c r="G460" t="n">
        <v>46.663884</v>
      </c>
      <c r="H460">
        <f>(G460-$AJ$6)/$AK$6</f>
        <v/>
      </c>
      <c r="I460" t="n">
        <v>0</v>
      </c>
      <c r="J460" s="4">
        <f>(I460-$AJ$7)/$AK$7</f>
        <v/>
      </c>
      <c r="K460" t="n">
        <v>0</v>
      </c>
      <c r="L460" s="4">
        <f>(K460-$AJ$8)/$AK$8</f>
        <v/>
      </c>
      <c r="M460" t="n">
        <v>51759</v>
      </c>
      <c r="N460">
        <f>(M460-$AJ$9)/$AK$9</f>
        <v/>
      </c>
      <c r="O460" t="n">
        <v>0.520870774</v>
      </c>
      <c r="P460">
        <f>(O460-$AJ$11)/$AK$11</f>
        <v/>
      </c>
      <c r="Q460" t="n">
        <v>0.2502</v>
      </c>
      <c r="R460">
        <f>(Q460-$AJ$12)/$AK$12</f>
        <v/>
      </c>
      <c r="S460">
        <f>F460*(R460*0.5+P460*0.5)*(H460*0.35+J460*0.35+L460*0.3)</f>
        <v/>
      </c>
      <c r="T460" s="14">
        <f>(S460-$AJ$10)/$AK$10</f>
        <v/>
      </c>
      <c r="U460">
        <f>IF(T460&gt;0.7,"High",IF(T460&gt;0.3,"Moderate",IF(T460&gt;0.15,"Low","No Impact")))</f>
        <v/>
      </c>
      <c r="V460">
        <f>F460*(R460*1)*(H460*0.35+J460*0.35+L460*0.3)</f>
        <v/>
      </c>
      <c r="W460">
        <f>(V460-$AJ$13)/$AK$13</f>
        <v/>
      </c>
      <c r="X460">
        <f>IF(W460&gt;0.7,"High",IF(W460&gt;0.3,"Moderate",IF(W460&gt;0.15,"Low","No Impact")))</f>
        <v/>
      </c>
      <c r="Y460">
        <f>F460*(P460*1)*(H460*0.35+J460*0.35+L460*0.3)</f>
        <v/>
      </c>
      <c r="Z460">
        <f>(Y460-$AJ$14)/$AK$14</f>
        <v/>
      </c>
      <c r="AA460">
        <f>IF(Z460&gt;0.7,"High",IF(Z460&gt;0.3,"Moderate",IF(Z460&gt;0.15,"Low","No Impact")))</f>
        <v/>
      </c>
      <c r="AB460">
        <f>F460*(R460*0.35+P460*0.3+N460*0.35)*(H460*0.35+J460*0.35+L460*0.3)</f>
        <v/>
      </c>
      <c r="AC460">
        <f>(AB460-$AJ$15)/$AK$15</f>
        <v/>
      </c>
      <c r="AD460">
        <f>IF(AC460&gt;0.7,"High",IF(AC460&gt;0.3,"Moderate",IF(AC460&gt;0.15,"Low","No Impact")))</f>
        <v/>
      </c>
      <c r="AE460">
        <f>F460*(N460*1)*(H460*0.35+J460*0.35+L460*0.3)</f>
        <v/>
      </c>
      <c r="AF460">
        <f>(AE460-$AJ$16)/$AK$16</f>
        <v/>
      </c>
      <c r="AG460">
        <f>IF(AF460&gt;0.7,"High",IF(AF460&gt;0.3,"Moderate",IF(AF460&gt;0.15,"Low","No Impact")))</f>
        <v/>
      </c>
    </row>
    <row r="461">
      <c r="A461" t="n">
        <v>552769</v>
      </c>
      <c r="B461" t="inlineStr">
        <is>
          <t>BD552769</t>
        </is>
      </c>
      <c r="C461" t="inlineStr">
        <is>
          <t>Dinajpur</t>
        </is>
      </c>
      <c r="D461" t="inlineStr">
        <is>
          <t>Nawabganj</t>
        </is>
      </c>
      <c r="E461" s="3" t="n">
        <v>6.3</v>
      </c>
      <c r="F461" s="4">
        <f>(E461-$AJ$5)/$AK$5</f>
        <v/>
      </c>
      <c r="G461" t="n">
        <v>38.7410472</v>
      </c>
      <c r="H461">
        <f>(G461-$AJ$6)/$AK$6</f>
        <v/>
      </c>
      <c r="I461" t="n">
        <v>0</v>
      </c>
      <c r="J461" s="4">
        <f>(I461-$AJ$7)/$AK$7</f>
        <v/>
      </c>
      <c r="K461" t="n">
        <v>0</v>
      </c>
      <c r="L461" s="4">
        <f>(K461-$AJ$8)/$AK$8</f>
        <v/>
      </c>
      <c r="M461" t="n">
        <v>37424</v>
      </c>
      <c r="N461">
        <f>(M461-$AJ$9)/$AK$9</f>
        <v/>
      </c>
      <c r="O461" t="n">
        <v>0.814485621</v>
      </c>
      <c r="P461">
        <f>(O461-$AJ$11)/$AK$11</f>
        <v/>
      </c>
      <c r="Q461" t="n">
        <v>0.2597</v>
      </c>
      <c r="R461">
        <f>(Q461-$AJ$12)/$AK$12</f>
        <v/>
      </c>
      <c r="S461">
        <f>F461*(R461*0.5+P461*0.5)*(H461*0.35+J461*0.35+L461*0.3)</f>
        <v/>
      </c>
      <c r="T461" s="14">
        <f>(S461-$AJ$10)/$AK$10</f>
        <v/>
      </c>
      <c r="U461">
        <f>IF(T461&gt;0.7,"High",IF(T461&gt;0.3,"Moderate",IF(T461&gt;0.15,"Low","No Impact")))</f>
        <v/>
      </c>
      <c r="V461">
        <f>F461*(R461*1)*(H461*0.35+J461*0.35+L461*0.3)</f>
        <v/>
      </c>
      <c r="W461">
        <f>(V461-$AJ$13)/$AK$13</f>
        <v/>
      </c>
      <c r="X461">
        <f>IF(W461&gt;0.7,"High",IF(W461&gt;0.3,"Moderate",IF(W461&gt;0.15,"Low","No Impact")))</f>
        <v/>
      </c>
      <c r="Y461">
        <f>F461*(P461*1)*(H461*0.35+J461*0.35+L461*0.3)</f>
        <v/>
      </c>
      <c r="Z461">
        <f>(Y461-$AJ$14)/$AK$14</f>
        <v/>
      </c>
      <c r="AA461">
        <f>IF(Z461&gt;0.7,"High",IF(Z461&gt;0.3,"Moderate",IF(Z461&gt;0.15,"Low","No Impact")))</f>
        <v/>
      </c>
      <c r="AB461">
        <f>F461*(R461*0.35+P461*0.3+N461*0.35)*(H461*0.35+J461*0.35+L461*0.3)</f>
        <v/>
      </c>
      <c r="AC461">
        <f>(AB461-$AJ$15)/$AK$15</f>
        <v/>
      </c>
      <c r="AD461">
        <f>IF(AC461&gt;0.7,"High",IF(AC461&gt;0.3,"Moderate",IF(AC461&gt;0.15,"Low","No Impact")))</f>
        <v/>
      </c>
      <c r="AE461">
        <f>F461*(N461*1)*(H461*0.35+J461*0.35+L461*0.3)</f>
        <v/>
      </c>
      <c r="AF461">
        <f>(AE461-$AJ$16)/$AK$16</f>
        <v/>
      </c>
      <c r="AG461">
        <f>IF(AF461&gt;0.7,"High",IF(AF461&gt;0.3,"Moderate",IF(AF461&gt;0.15,"Low","No Impact")))</f>
        <v/>
      </c>
    </row>
    <row r="462">
      <c r="A462" t="n">
        <v>552777</v>
      </c>
      <c r="B462" t="inlineStr">
        <is>
          <t>BD552777</t>
        </is>
      </c>
      <c r="C462" t="inlineStr">
        <is>
          <t>Dinajpur</t>
        </is>
      </c>
      <c r="D462" t="inlineStr">
        <is>
          <t>Parbatipur</t>
        </is>
      </c>
      <c r="E462" s="3" t="n">
        <v>6.4</v>
      </c>
      <c r="F462" s="4">
        <f>(E462-$AJ$5)/$AK$5</f>
        <v/>
      </c>
      <c r="G462" t="n">
        <v>46.663884</v>
      </c>
      <c r="H462">
        <f>(G462-$AJ$6)/$AK$6</f>
        <v/>
      </c>
      <c r="I462" t="n">
        <v>0.1000000000000003</v>
      </c>
      <c r="J462" s="4">
        <f>(I462-$AJ$7)/$AK$7</f>
        <v/>
      </c>
      <c r="K462" t="n">
        <v>0</v>
      </c>
      <c r="L462" s="4">
        <f>(K462-$AJ$8)/$AK$8</f>
        <v/>
      </c>
      <c r="M462" t="n">
        <v>48158</v>
      </c>
      <c r="N462">
        <f>(M462-$AJ$9)/$AK$9</f>
        <v/>
      </c>
      <c r="O462" t="n">
        <v>0.808021177</v>
      </c>
      <c r="P462">
        <f>(O462-$AJ$11)/$AK$11</f>
        <v/>
      </c>
      <c r="Q462" t="n">
        <v>0.2257</v>
      </c>
      <c r="R462">
        <f>(Q462-$AJ$12)/$AK$12</f>
        <v/>
      </c>
      <c r="S462">
        <f>F462*(R462*0.5+P462*0.5)*(H462*0.35+J462*0.35+L462*0.3)</f>
        <v/>
      </c>
      <c r="T462" s="14">
        <f>(S462-$AJ$10)/$AK$10</f>
        <v/>
      </c>
      <c r="U462">
        <f>IF(T462&gt;0.7,"High",IF(T462&gt;0.3,"Moderate",IF(T462&gt;0.15,"Low","No Impact")))</f>
        <v/>
      </c>
      <c r="V462">
        <f>F462*(R462*1)*(H462*0.35+J462*0.35+L462*0.3)</f>
        <v/>
      </c>
      <c r="W462">
        <f>(V462-$AJ$13)/$AK$13</f>
        <v/>
      </c>
      <c r="X462">
        <f>IF(W462&gt;0.7,"High",IF(W462&gt;0.3,"Moderate",IF(W462&gt;0.15,"Low","No Impact")))</f>
        <v/>
      </c>
      <c r="Y462">
        <f>F462*(P462*1)*(H462*0.35+J462*0.35+L462*0.3)</f>
        <v/>
      </c>
      <c r="Z462">
        <f>(Y462-$AJ$14)/$AK$14</f>
        <v/>
      </c>
      <c r="AA462">
        <f>IF(Z462&gt;0.7,"High",IF(Z462&gt;0.3,"Moderate",IF(Z462&gt;0.15,"Low","No Impact")))</f>
        <v/>
      </c>
      <c r="AB462">
        <f>F462*(R462*0.35+P462*0.3+N462*0.35)*(H462*0.35+J462*0.35+L462*0.3)</f>
        <v/>
      </c>
      <c r="AC462">
        <f>(AB462-$AJ$15)/$AK$15</f>
        <v/>
      </c>
      <c r="AD462">
        <f>IF(AC462&gt;0.7,"High",IF(AC462&gt;0.3,"Moderate",IF(AC462&gt;0.15,"Low","No Impact")))</f>
        <v/>
      </c>
      <c r="AE462">
        <f>F462*(N462*1)*(H462*0.35+J462*0.35+L462*0.3)</f>
        <v/>
      </c>
      <c r="AF462">
        <f>(AE462-$AJ$16)/$AK$16</f>
        <v/>
      </c>
      <c r="AG462">
        <f>IF(AF462&gt;0.7,"High",IF(AF462&gt;0.3,"Moderate",IF(AF462&gt;0.15,"Low","No Impact")))</f>
        <v/>
      </c>
    </row>
    <row r="463">
      <c r="A463" t="n">
        <v>553221</v>
      </c>
      <c r="B463" t="inlineStr">
        <is>
          <t>BD553221</t>
        </is>
      </c>
      <c r="C463" t="inlineStr">
        <is>
          <t>Gaibandha</t>
        </is>
      </c>
      <c r="D463" t="inlineStr">
        <is>
          <t>Fulchhari</t>
        </is>
      </c>
      <c r="E463" s="3" t="n">
        <v>7</v>
      </c>
      <c r="F463" s="4">
        <f>(E463-$AJ$5)/$AK$5</f>
        <v/>
      </c>
      <c r="G463" t="n">
        <v>40.2054408</v>
      </c>
      <c r="H463">
        <f>(G463-$AJ$6)/$AK$6</f>
        <v/>
      </c>
      <c r="I463" t="n">
        <v>0</v>
      </c>
      <c r="J463" s="4">
        <f>(I463-$AJ$7)/$AK$7</f>
        <v/>
      </c>
      <c r="K463" t="n">
        <v>0</v>
      </c>
      <c r="L463" s="4">
        <f>(K463-$AJ$8)/$AK$8</f>
        <v/>
      </c>
      <c r="M463" t="n">
        <v>4647</v>
      </c>
      <c r="N463">
        <f>(M463-$AJ$9)/$AK$9</f>
        <v/>
      </c>
      <c r="O463" t="n">
        <v>0.7859391529999999</v>
      </c>
      <c r="P463">
        <f>(O463-$AJ$11)/$AK$11</f>
        <v/>
      </c>
      <c r="Q463" t="n">
        <v>0.1683</v>
      </c>
      <c r="R463">
        <f>(Q463-$AJ$12)/$AK$12</f>
        <v/>
      </c>
      <c r="S463">
        <f>F463*(R463*0.5+P463*0.5)*(H463*0.35+J463*0.35+L463*0.3)</f>
        <v/>
      </c>
      <c r="T463" s="14">
        <f>(S463-$AJ$10)/$AK$10</f>
        <v/>
      </c>
      <c r="U463">
        <f>IF(T463&gt;0.7,"High",IF(T463&gt;0.3,"Moderate",IF(T463&gt;0.15,"Low","No Impact")))</f>
        <v/>
      </c>
      <c r="V463">
        <f>F463*(R463*1)*(H463*0.35+J463*0.35+L463*0.3)</f>
        <v/>
      </c>
      <c r="W463">
        <f>(V463-$AJ$13)/$AK$13</f>
        <v/>
      </c>
      <c r="X463">
        <f>IF(W463&gt;0.7,"High",IF(W463&gt;0.3,"Moderate",IF(W463&gt;0.15,"Low","No Impact")))</f>
        <v/>
      </c>
      <c r="Y463">
        <f>F463*(P463*1)*(H463*0.35+J463*0.35+L463*0.3)</f>
        <v/>
      </c>
      <c r="Z463">
        <f>(Y463-$AJ$14)/$AK$14</f>
        <v/>
      </c>
      <c r="AA463">
        <f>IF(Z463&gt;0.7,"High",IF(Z463&gt;0.3,"Moderate",IF(Z463&gt;0.15,"Low","No Impact")))</f>
        <v/>
      </c>
      <c r="AB463">
        <f>F463*(R463*0.35+P463*0.3+N463*0.35)*(H463*0.35+J463*0.35+L463*0.3)</f>
        <v/>
      </c>
      <c r="AC463">
        <f>(AB463-$AJ$15)/$AK$15</f>
        <v/>
      </c>
      <c r="AD463">
        <f>IF(AC463&gt;0.7,"High",IF(AC463&gt;0.3,"Moderate",IF(AC463&gt;0.15,"Low","No Impact")))</f>
        <v/>
      </c>
      <c r="AE463">
        <f>F463*(N463*1)*(H463*0.35+J463*0.35+L463*0.3)</f>
        <v/>
      </c>
      <c r="AF463">
        <f>(AE463-$AJ$16)/$AK$16</f>
        <v/>
      </c>
      <c r="AG463">
        <f>IF(AF463&gt;0.7,"High",IF(AF463&gt;0.3,"Moderate",IF(AF463&gt;0.15,"Low","No Impact")))</f>
        <v/>
      </c>
    </row>
    <row r="464">
      <c r="A464" t="n">
        <v>553224</v>
      </c>
      <c r="B464" t="inlineStr">
        <is>
          <t>BD553224</t>
        </is>
      </c>
      <c r="C464" t="inlineStr">
        <is>
          <t>Gaibandha</t>
        </is>
      </c>
      <c r="D464" t="inlineStr">
        <is>
          <t>Gaibandha Sadar</t>
        </is>
      </c>
      <c r="E464" s="3" t="n">
        <v>7.1</v>
      </c>
      <c r="F464" s="4">
        <f>(E464-$AJ$5)/$AK$5</f>
        <v/>
      </c>
      <c r="G464" t="n">
        <v>38.1117492</v>
      </c>
      <c r="H464">
        <f>(G464-$AJ$6)/$AK$6</f>
        <v/>
      </c>
      <c r="I464" t="n">
        <v>0</v>
      </c>
      <c r="J464" s="4">
        <f>(I464-$AJ$7)/$AK$7</f>
        <v/>
      </c>
      <c r="K464" t="n">
        <v>0</v>
      </c>
      <c r="L464" s="4">
        <f>(K464-$AJ$8)/$AK$8</f>
        <v/>
      </c>
      <c r="M464" t="n">
        <v>17828</v>
      </c>
      <c r="N464">
        <f>(M464-$AJ$9)/$AK$9</f>
        <v/>
      </c>
      <c r="O464" t="n">
        <v>0.517264489</v>
      </c>
      <c r="P464">
        <f>(O464-$AJ$11)/$AK$11</f>
        <v/>
      </c>
      <c r="Q464" t="n">
        <v>0.2109</v>
      </c>
      <c r="R464">
        <f>(Q464-$AJ$12)/$AK$12</f>
        <v/>
      </c>
      <c r="S464">
        <f>F464*(R464*0.5+P464*0.5)*(H464*0.35+J464*0.35+L464*0.3)</f>
        <v/>
      </c>
      <c r="T464" s="14">
        <f>(S464-$AJ$10)/$AK$10</f>
        <v/>
      </c>
      <c r="U464">
        <f>IF(T464&gt;0.7,"High",IF(T464&gt;0.3,"Moderate",IF(T464&gt;0.15,"Low","No Impact")))</f>
        <v/>
      </c>
      <c r="V464">
        <f>F464*(R464*1)*(H464*0.35+J464*0.35+L464*0.3)</f>
        <v/>
      </c>
      <c r="W464">
        <f>(V464-$AJ$13)/$AK$13</f>
        <v/>
      </c>
      <c r="X464">
        <f>IF(W464&gt;0.7,"High",IF(W464&gt;0.3,"Moderate",IF(W464&gt;0.15,"Low","No Impact")))</f>
        <v/>
      </c>
      <c r="Y464">
        <f>F464*(P464*1)*(H464*0.35+J464*0.35+L464*0.3)</f>
        <v/>
      </c>
      <c r="Z464">
        <f>(Y464-$AJ$14)/$AK$14</f>
        <v/>
      </c>
      <c r="AA464">
        <f>IF(Z464&gt;0.7,"High",IF(Z464&gt;0.3,"Moderate",IF(Z464&gt;0.15,"Low","No Impact")))</f>
        <v/>
      </c>
      <c r="AB464">
        <f>F464*(R464*0.35+P464*0.3+N464*0.35)*(H464*0.35+J464*0.35+L464*0.3)</f>
        <v/>
      </c>
      <c r="AC464">
        <f>(AB464-$AJ$15)/$AK$15</f>
        <v/>
      </c>
      <c r="AD464">
        <f>IF(AC464&gt;0.7,"High",IF(AC464&gt;0.3,"Moderate",IF(AC464&gt;0.15,"Low","No Impact")))</f>
        <v/>
      </c>
      <c r="AE464">
        <f>F464*(N464*1)*(H464*0.35+J464*0.35+L464*0.3)</f>
        <v/>
      </c>
      <c r="AF464">
        <f>(AE464-$AJ$16)/$AK$16</f>
        <v/>
      </c>
      <c r="AG464">
        <f>IF(AF464&gt;0.7,"High",IF(AF464&gt;0.3,"Moderate",IF(AF464&gt;0.15,"Low","No Impact")))</f>
        <v/>
      </c>
    </row>
    <row r="465">
      <c r="A465" t="n">
        <v>553230</v>
      </c>
      <c r="B465" t="inlineStr">
        <is>
          <t>BD553230</t>
        </is>
      </c>
      <c r="C465" t="inlineStr">
        <is>
          <t>Gaibandha</t>
        </is>
      </c>
      <c r="D465" t="inlineStr">
        <is>
          <t>Gobindaganj</t>
        </is>
      </c>
      <c r="E465" s="3" t="n">
        <v>6.7</v>
      </c>
      <c r="F465" s="4">
        <f>(E465-$AJ$5)/$AK$5</f>
        <v/>
      </c>
      <c r="G465" t="n">
        <v>43.7738004</v>
      </c>
      <c r="H465">
        <f>(G465-$AJ$6)/$AK$6</f>
        <v/>
      </c>
      <c r="I465" t="n">
        <v>0</v>
      </c>
      <c r="J465" s="4">
        <f>(I465-$AJ$7)/$AK$7</f>
        <v/>
      </c>
      <c r="K465" t="n">
        <v>0</v>
      </c>
      <c r="L465" s="4">
        <f>(K465-$AJ$8)/$AK$8</f>
        <v/>
      </c>
      <c r="M465" t="n">
        <v>31462</v>
      </c>
      <c r="N465">
        <f>(M465-$AJ$9)/$AK$9</f>
        <v/>
      </c>
      <c r="O465" t="n">
        <v>0.8180776279999999</v>
      </c>
      <c r="P465">
        <f>(O465-$AJ$11)/$AK$11</f>
        <v/>
      </c>
      <c r="Q465" t="n">
        <v>0.2453</v>
      </c>
      <c r="R465">
        <f>(Q465-$AJ$12)/$AK$12</f>
        <v/>
      </c>
      <c r="S465">
        <f>F465*(R465*0.5+P465*0.5)*(H465*0.35+J465*0.35+L465*0.3)</f>
        <v/>
      </c>
      <c r="T465" s="14">
        <f>(S465-$AJ$10)/$AK$10</f>
        <v/>
      </c>
      <c r="U465">
        <f>IF(T465&gt;0.7,"High",IF(T465&gt;0.3,"Moderate",IF(T465&gt;0.15,"Low","No Impact")))</f>
        <v/>
      </c>
      <c r="V465">
        <f>F465*(R465*1)*(H465*0.35+J465*0.35+L465*0.3)</f>
        <v/>
      </c>
      <c r="W465">
        <f>(V465-$AJ$13)/$AK$13</f>
        <v/>
      </c>
      <c r="X465">
        <f>IF(W465&gt;0.7,"High",IF(W465&gt;0.3,"Moderate",IF(W465&gt;0.15,"Low","No Impact")))</f>
        <v/>
      </c>
      <c r="Y465">
        <f>F465*(P465*1)*(H465*0.35+J465*0.35+L465*0.3)</f>
        <v/>
      </c>
      <c r="Z465">
        <f>(Y465-$AJ$14)/$AK$14</f>
        <v/>
      </c>
      <c r="AA465">
        <f>IF(Z465&gt;0.7,"High",IF(Z465&gt;0.3,"Moderate",IF(Z465&gt;0.15,"Low","No Impact")))</f>
        <v/>
      </c>
      <c r="AB465">
        <f>F465*(R465*0.35+P465*0.3+N465*0.35)*(H465*0.35+J465*0.35+L465*0.3)</f>
        <v/>
      </c>
      <c r="AC465">
        <f>(AB465-$AJ$15)/$AK$15</f>
        <v/>
      </c>
      <c r="AD465">
        <f>IF(AC465&gt;0.7,"High",IF(AC465&gt;0.3,"Moderate",IF(AC465&gt;0.15,"Low","No Impact")))</f>
        <v/>
      </c>
      <c r="AE465">
        <f>F465*(N465*1)*(H465*0.35+J465*0.35+L465*0.3)</f>
        <v/>
      </c>
      <c r="AF465">
        <f>(AE465-$AJ$16)/$AK$16</f>
        <v/>
      </c>
      <c r="AG465">
        <f>IF(AF465&gt;0.7,"High",IF(AF465&gt;0.3,"Moderate",IF(AF465&gt;0.15,"Low","No Impact")))</f>
        <v/>
      </c>
    </row>
    <row r="466">
      <c r="A466" t="n">
        <v>553267</v>
      </c>
      <c r="B466" t="inlineStr">
        <is>
          <t>BD553267</t>
        </is>
      </c>
      <c r="C466" t="inlineStr">
        <is>
          <t>Gaibandha</t>
        </is>
      </c>
      <c r="D466" t="inlineStr">
        <is>
          <t>Palashbari</t>
        </is>
      </c>
      <c r="E466" s="3" t="n">
        <v>7</v>
      </c>
      <c r="F466" s="4">
        <f>(E466-$AJ$5)/$AK$5</f>
        <v/>
      </c>
      <c r="G466" t="n">
        <v>38.7410472</v>
      </c>
      <c r="H466">
        <f>(G466-$AJ$6)/$AK$6</f>
        <v/>
      </c>
      <c r="I466" t="n">
        <v>0</v>
      </c>
      <c r="J466" s="4">
        <f>(I466-$AJ$7)/$AK$7</f>
        <v/>
      </c>
      <c r="K466" t="n">
        <v>0</v>
      </c>
      <c r="L466" s="4">
        <f>(K466-$AJ$8)/$AK$8</f>
        <v/>
      </c>
      <c r="M466" t="n">
        <v>6784</v>
      </c>
      <c r="N466">
        <f>(M466-$AJ$9)/$AK$9</f>
        <v/>
      </c>
      <c r="O466" t="n">
        <v>0.838889786</v>
      </c>
      <c r="P466">
        <f>(O466-$AJ$11)/$AK$11</f>
        <v/>
      </c>
      <c r="Q466" t="n">
        <v>0.2389</v>
      </c>
      <c r="R466">
        <f>(Q466-$AJ$12)/$AK$12</f>
        <v/>
      </c>
      <c r="S466">
        <f>F466*(R466*0.5+P466*0.5)*(H466*0.35+J466*0.35+L466*0.3)</f>
        <v/>
      </c>
      <c r="T466" s="14">
        <f>(S466-$AJ$10)/$AK$10</f>
        <v/>
      </c>
      <c r="U466">
        <f>IF(T466&gt;0.7,"High",IF(T466&gt;0.3,"Moderate",IF(T466&gt;0.15,"Low","No Impact")))</f>
        <v/>
      </c>
      <c r="V466">
        <f>F466*(R466*1)*(H466*0.35+J466*0.35+L466*0.3)</f>
        <v/>
      </c>
      <c r="W466">
        <f>(V466-$AJ$13)/$AK$13</f>
        <v/>
      </c>
      <c r="X466">
        <f>IF(W466&gt;0.7,"High",IF(W466&gt;0.3,"Moderate",IF(W466&gt;0.15,"Low","No Impact")))</f>
        <v/>
      </c>
      <c r="Y466">
        <f>F466*(P466*1)*(H466*0.35+J466*0.35+L466*0.3)</f>
        <v/>
      </c>
      <c r="Z466">
        <f>(Y466-$AJ$14)/$AK$14</f>
        <v/>
      </c>
      <c r="AA466">
        <f>IF(Z466&gt;0.7,"High",IF(Z466&gt;0.3,"Moderate",IF(Z466&gt;0.15,"Low","No Impact")))</f>
        <v/>
      </c>
      <c r="AB466">
        <f>F466*(R466*0.35+P466*0.3+N466*0.35)*(H466*0.35+J466*0.35+L466*0.3)</f>
        <v/>
      </c>
      <c r="AC466">
        <f>(AB466-$AJ$15)/$AK$15</f>
        <v/>
      </c>
      <c r="AD466">
        <f>IF(AC466&gt;0.7,"High",IF(AC466&gt;0.3,"Moderate",IF(AC466&gt;0.15,"Low","No Impact")))</f>
        <v/>
      </c>
      <c r="AE466">
        <f>F466*(N466*1)*(H466*0.35+J466*0.35+L466*0.3)</f>
        <v/>
      </c>
      <c r="AF466">
        <f>(AE466-$AJ$16)/$AK$16</f>
        <v/>
      </c>
      <c r="AG466">
        <f>IF(AF466&gt;0.7,"High",IF(AF466&gt;0.3,"Moderate",IF(AF466&gt;0.15,"Low","No Impact")))</f>
        <v/>
      </c>
    </row>
    <row r="467">
      <c r="A467" t="n">
        <v>553282</v>
      </c>
      <c r="B467" t="inlineStr">
        <is>
          <t>BD553282</t>
        </is>
      </c>
      <c r="C467" t="inlineStr">
        <is>
          <t>Gaibandha</t>
        </is>
      </c>
      <c r="D467" t="inlineStr">
        <is>
          <t>Sadullapur</t>
        </is>
      </c>
      <c r="E467" s="3" t="n">
        <v>5.9</v>
      </c>
      <c r="F467" s="4">
        <f>(E467-$AJ$5)/$AK$5</f>
        <v/>
      </c>
      <c r="G467" t="n">
        <v>38.7410472</v>
      </c>
      <c r="H467">
        <f>(G467-$AJ$6)/$AK$6</f>
        <v/>
      </c>
      <c r="I467" t="n">
        <v>0</v>
      </c>
      <c r="J467" s="4">
        <f>(I467-$AJ$7)/$AK$7</f>
        <v/>
      </c>
      <c r="K467" t="n">
        <v>0</v>
      </c>
      <c r="L467" s="4">
        <f>(K467-$AJ$8)/$AK$8</f>
        <v/>
      </c>
      <c r="M467" t="n">
        <v>9977</v>
      </c>
      <c r="N467">
        <f>(M467-$AJ$9)/$AK$9</f>
        <v/>
      </c>
      <c r="O467" t="n">
        <v>0.919713369</v>
      </c>
      <c r="P467">
        <f>(O467-$AJ$11)/$AK$11</f>
        <v/>
      </c>
      <c r="Q467" t="n">
        <v>0.2438</v>
      </c>
      <c r="R467">
        <f>(Q467-$AJ$12)/$AK$12</f>
        <v/>
      </c>
      <c r="S467">
        <f>F467*(R467*0.5+P467*0.5)*(H467*0.35+J467*0.35+L467*0.3)</f>
        <v/>
      </c>
      <c r="T467" s="14">
        <f>(S467-$AJ$10)/$AK$10</f>
        <v/>
      </c>
      <c r="U467">
        <f>IF(T467&gt;0.7,"High",IF(T467&gt;0.3,"Moderate",IF(T467&gt;0.15,"Low","No Impact")))</f>
        <v/>
      </c>
      <c r="V467">
        <f>F467*(R467*1)*(H467*0.35+J467*0.35+L467*0.3)</f>
        <v/>
      </c>
      <c r="W467">
        <f>(V467-$AJ$13)/$AK$13</f>
        <v/>
      </c>
      <c r="X467">
        <f>IF(W467&gt;0.7,"High",IF(W467&gt;0.3,"Moderate",IF(W467&gt;0.15,"Low","No Impact")))</f>
        <v/>
      </c>
      <c r="Y467">
        <f>F467*(P467*1)*(H467*0.35+J467*0.35+L467*0.3)</f>
        <v/>
      </c>
      <c r="Z467">
        <f>(Y467-$AJ$14)/$AK$14</f>
        <v/>
      </c>
      <c r="AA467">
        <f>IF(Z467&gt;0.7,"High",IF(Z467&gt;0.3,"Moderate",IF(Z467&gt;0.15,"Low","No Impact")))</f>
        <v/>
      </c>
      <c r="AB467">
        <f>F467*(R467*0.35+P467*0.3+N467*0.35)*(H467*0.35+J467*0.35+L467*0.3)</f>
        <v/>
      </c>
      <c r="AC467">
        <f>(AB467-$AJ$15)/$AK$15</f>
        <v/>
      </c>
      <c r="AD467">
        <f>IF(AC467&gt;0.7,"High",IF(AC467&gt;0.3,"Moderate",IF(AC467&gt;0.15,"Low","No Impact")))</f>
        <v/>
      </c>
      <c r="AE467">
        <f>F467*(N467*1)*(H467*0.35+J467*0.35+L467*0.3)</f>
        <v/>
      </c>
      <c r="AF467">
        <f>(AE467-$AJ$16)/$AK$16</f>
        <v/>
      </c>
      <c r="AG467">
        <f>IF(AF467&gt;0.7,"High",IF(AF467&gt;0.3,"Moderate",IF(AF467&gt;0.15,"Low","No Impact")))</f>
        <v/>
      </c>
    </row>
    <row r="468">
      <c r="A468" t="n">
        <v>553288</v>
      </c>
      <c r="B468" t="inlineStr">
        <is>
          <t>BD553288</t>
        </is>
      </c>
      <c r="C468" t="inlineStr">
        <is>
          <t>Gaibandha</t>
        </is>
      </c>
      <c r="D468" t="inlineStr">
        <is>
          <t>Saghatta</t>
        </is>
      </c>
      <c r="E468" s="3" t="n">
        <v>7</v>
      </c>
      <c r="F468" s="4">
        <f>(E468-$AJ$5)/$AK$5</f>
        <v/>
      </c>
      <c r="G468" t="n">
        <v>40.2054408</v>
      </c>
      <c r="H468">
        <f>(G468-$AJ$6)/$AK$6</f>
        <v/>
      </c>
      <c r="I468" t="n">
        <v>0</v>
      </c>
      <c r="J468" s="4">
        <f>(I468-$AJ$7)/$AK$7</f>
        <v/>
      </c>
      <c r="K468" t="n">
        <v>0</v>
      </c>
      <c r="L468" s="4">
        <f>(K468-$AJ$8)/$AK$8</f>
        <v/>
      </c>
      <c r="M468" t="n">
        <v>16704</v>
      </c>
      <c r="N468">
        <f>(M468-$AJ$9)/$AK$9</f>
        <v/>
      </c>
      <c r="O468" t="n">
        <v>0.865174042</v>
      </c>
      <c r="P468">
        <f>(O468-$AJ$11)/$AK$11</f>
        <v/>
      </c>
      <c r="Q468" t="n">
        <v>0.1938</v>
      </c>
      <c r="R468">
        <f>(Q468-$AJ$12)/$AK$12</f>
        <v/>
      </c>
      <c r="S468">
        <f>F468*(R468*0.5+P468*0.5)*(H468*0.35+J468*0.35+L468*0.3)</f>
        <v/>
      </c>
      <c r="T468" s="14">
        <f>(S468-$AJ$10)/$AK$10</f>
        <v/>
      </c>
      <c r="U468">
        <f>IF(T468&gt;0.7,"High",IF(T468&gt;0.3,"Moderate",IF(T468&gt;0.15,"Low","No Impact")))</f>
        <v/>
      </c>
      <c r="V468">
        <f>F468*(R468*1)*(H468*0.35+J468*0.35+L468*0.3)</f>
        <v/>
      </c>
      <c r="W468">
        <f>(V468-$AJ$13)/$AK$13</f>
        <v/>
      </c>
      <c r="X468">
        <f>IF(W468&gt;0.7,"High",IF(W468&gt;0.3,"Moderate",IF(W468&gt;0.15,"Low","No Impact")))</f>
        <v/>
      </c>
      <c r="Y468">
        <f>F468*(P468*1)*(H468*0.35+J468*0.35+L468*0.3)</f>
        <v/>
      </c>
      <c r="Z468">
        <f>(Y468-$AJ$14)/$AK$14</f>
        <v/>
      </c>
      <c r="AA468">
        <f>IF(Z468&gt;0.7,"High",IF(Z468&gt;0.3,"Moderate",IF(Z468&gt;0.15,"Low","No Impact")))</f>
        <v/>
      </c>
      <c r="AB468">
        <f>F468*(R468*0.35+P468*0.3+N468*0.35)*(H468*0.35+J468*0.35+L468*0.3)</f>
        <v/>
      </c>
      <c r="AC468">
        <f>(AB468-$AJ$15)/$AK$15</f>
        <v/>
      </c>
      <c r="AD468">
        <f>IF(AC468&gt;0.7,"High",IF(AC468&gt;0.3,"Moderate",IF(AC468&gt;0.15,"Low","No Impact")))</f>
        <v/>
      </c>
      <c r="AE468">
        <f>F468*(N468*1)*(H468*0.35+J468*0.35+L468*0.3)</f>
        <v/>
      </c>
      <c r="AF468">
        <f>(AE468-$AJ$16)/$AK$16</f>
        <v/>
      </c>
      <c r="AG468">
        <f>IF(AF468&gt;0.7,"High",IF(AF468&gt;0.3,"Moderate",IF(AF468&gt;0.15,"Low","No Impact")))</f>
        <v/>
      </c>
    </row>
    <row r="469">
      <c r="A469" t="n">
        <v>553291</v>
      </c>
      <c r="B469" t="inlineStr">
        <is>
          <t>BD553291</t>
        </is>
      </c>
      <c r="C469" t="inlineStr">
        <is>
          <t>Gaibandha</t>
        </is>
      </c>
      <c r="D469" t="inlineStr">
        <is>
          <t>Sundarganj</t>
        </is>
      </c>
      <c r="E469" s="3" t="n">
        <v>7.1</v>
      </c>
      <c r="F469" s="4">
        <f>(E469-$AJ$5)/$AK$5</f>
        <v/>
      </c>
      <c r="G469" t="n">
        <v>40.7573928</v>
      </c>
      <c r="H469">
        <f>(G469-$AJ$6)/$AK$6</f>
        <v/>
      </c>
      <c r="I469" t="n">
        <v>0</v>
      </c>
      <c r="J469" s="4">
        <f>(I469-$AJ$7)/$AK$7</f>
        <v/>
      </c>
      <c r="K469" t="n">
        <v>0</v>
      </c>
      <c r="L469" s="4">
        <f>(K469-$AJ$8)/$AK$8</f>
        <v/>
      </c>
      <c r="M469" t="n">
        <v>13827</v>
      </c>
      <c r="N469">
        <f>(M469-$AJ$9)/$AK$9</f>
        <v/>
      </c>
      <c r="O469" t="n">
        <v>0.695815845</v>
      </c>
      <c r="P469">
        <f>(O469-$AJ$11)/$AK$11</f>
        <v/>
      </c>
      <c r="Q469" t="n">
        <v>0.218</v>
      </c>
      <c r="R469">
        <f>(Q469-$AJ$12)/$AK$12</f>
        <v/>
      </c>
      <c r="S469">
        <f>F469*(R469*0.5+P469*0.5)*(H469*0.35+J469*0.35+L469*0.3)</f>
        <v/>
      </c>
      <c r="T469" s="14">
        <f>(S469-$AJ$10)/$AK$10</f>
        <v/>
      </c>
      <c r="U469">
        <f>IF(T469&gt;0.7,"High",IF(T469&gt;0.3,"Moderate",IF(T469&gt;0.15,"Low","No Impact")))</f>
        <v/>
      </c>
      <c r="V469">
        <f>F469*(R469*1)*(H469*0.35+J469*0.35+L469*0.3)</f>
        <v/>
      </c>
      <c r="W469">
        <f>(V469-$AJ$13)/$AK$13</f>
        <v/>
      </c>
      <c r="X469">
        <f>IF(W469&gt;0.7,"High",IF(W469&gt;0.3,"Moderate",IF(W469&gt;0.15,"Low","No Impact")))</f>
        <v/>
      </c>
      <c r="Y469">
        <f>F469*(P469*1)*(H469*0.35+J469*0.35+L469*0.3)</f>
        <v/>
      </c>
      <c r="Z469">
        <f>(Y469-$AJ$14)/$AK$14</f>
        <v/>
      </c>
      <c r="AA469">
        <f>IF(Z469&gt;0.7,"High",IF(Z469&gt;0.3,"Moderate",IF(Z469&gt;0.15,"Low","No Impact")))</f>
        <v/>
      </c>
      <c r="AB469">
        <f>F469*(R469*0.35+P469*0.3+N469*0.35)*(H469*0.35+J469*0.35+L469*0.3)</f>
        <v/>
      </c>
      <c r="AC469">
        <f>(AB469-$AJ$15)/$AK$15</f>
        <v/>
      </c>
      <c r="AD469">
        <f>IF(AC469&gt;0.7,"High",IF(AC469&gt;0.3,"Moderate",IF(AC469&gt;0.15,"Low","No Impact")))</f>
        <v/>
      </c>
      <c r="AE469">
        <f>F469*(N469*1)*(H469*0.35+J469*0.35+L469*0.3)</f>
        <v/>
      </c>
      <c r="AF469">
        <f>(AE469-$AJ$16)/$AK$16</f>
        <v/>
      </c>
      <c r="AG469">
        <f>IF(AF469&gt;0.7,"High",IF(AF469&gt;0.3,"Moderate",IF(AF469&gt;0.15,"Low","No Impact")))</f>
        <v/>
      </c>
    </row>
    <row r="470">
      <c r="A470" t="n">
        <v>554906</v>
      </c>
      <c r="B470" t="inlineStr">
        <is>
          <t>BD554906</t>
        </is>
      </c>
      <c r="C470" t="inlineStr">
        <is>
          <t>Kurigram</t>
        </is>
      </c>
      <c r="D470" t="inlineStr">
        <is>
          <t>Bhurungamari</t>
        </is>
      </c>
      <c r="E470" s="3" t="n">
        <v>7.5</v>
      </c>
      <c r="F470" s="4">
        <f>(E470-$AJ$5)/$AK$5</f>
        <v/>
      </c>
      <c r="G470" t="n">
        <v>38.6271648</v>
      </c>
      <c r="H470">
        <f>(G470-$AJ$6)/$AK$6</f>
        <v/>
      </c>
      <c r="I470" t="n">
        <v>0</v>
      </c>
      <c r="J470" s="4">
        <f>(I470-$AJ$7)/$AK$7</f>
        <v/>
      </c>
      <c r="K470" t="n">
        <v>0</v>
      </c>
      <c r="L470" s="4">
        <f>(K470-$AJ$8)/$AK$8</f>
        <v/>
      </c>
      <c r="M470" t="n">
        <v>22341</v>
      </c>
      <c r="N470">
        <f>(M470-$AJ$9)/$AK$9</f>
        <v/>
      </c>
      <c r="O470" t="n">
        <v>0.725349647</v>
      </c>
      <c r="P470">
        <f>(O470-$AJ$11)/$AK$11</f>
        <v/>
      </c>
      <c r="Q470" t="n">
        <v>0.2231</v>
      </c>
      <c r="R470">
        <f>(Q470-$AJ$12)/$AK$12</f>
        <v/>
      </c>
      <c r="S470">
        <f>F470*(R470*0.5+P470*0.5)*(H470*0.35+J470*0.35+L470*0.3)</f>
        <v/>
      </c>
      <c r="T470" s="14">
        <f>(S470-$AJ$10)/$AK$10</f>
        <v/>
      </c>
      <c r="U470">
        <f>IF(T470&gt;0.7,"High",IF(T470&gt;0.3,"Moderate",IF(T470&gt;0.15,"Low","No Impact")))</f>
        <v/>
      </c>
      <c r="V470">
        <f>F470*(R470*1)*(H470*0.35+J470*0.35+L470*0.3)</f>
        <v/>
      </c>
      <c r="W470">
        <f>(V470-$AJ$13)/$AK$13</f>
        <v/>
      </c>
      <c r="X470">
        <f>IF(W470&gt;0.7,"High",IF(W470&gt;0.3,"Moderate",IF(W470&gt;0.15,"Low","No Impact")))</f>
        <v/>
      </c>
      <c r="Y470">
        <f>F470*(P470*1)*(H470*0.35+J470*0.35+L470*0.3)</f>
        <v/>
      </c>
      <c r="Z470">
        <f>(Y470-$AJ$14)/$AK$14</f>
        <v/>
      </c>
      <c r="AA470">
        <f>IF(Z470&gt;0.7,"High",IF(Z470&gt;0.3,"Moderate",IF(Z470&gt;0.15,"Low","No Impact")))</f>
        <v/>
      </c>
      <c r="AB470">
        <f>F470*(R470*0.35+P470*0.3+N470*0.35)*(H470*0.35+J470*0.35+L470*0.3)</f>
        <v/>
      </c>
      <c r="AC470">
        <f>(AB470-$AJ$15)/$AK$15</f>
        <v/>
      </c>
      <c r="AD470">
        <f>IF(AC470&gt;0.7,"High",IF(AC470&gt;0.3,"Moderate",IF(AC470&gt;0.15,"Low","No Impact")))</f>
        <v/>
      </c>
      <c r="AE470">
        <f>F470*(N470*1)*(H470*0.35+J470*0.35+L470*0.3)</f>
        <v/>
      </c>
      <c r="AF470">
        <f>(AE470-$AJ$16)/$AK$16</f>
        <v/>
      </c>
      <c r="AG470">
        <f>IF(AF470&gt;0.7,"High",IF(AF470&gt;0.3,"Moderate",IF(AF470&gt;0.15,"Low","No Impact")))</f>
        <v/>
      </c>
    </row>
    <row r="471">
      <c r="A471" t="n">
        <v>554908</v>
      </c>
      <c r="B471" t="inlineStr">
        <is>
          <t>BD554908</t>
        </is>
      </c>
      <c r="C471" t="inlineStr">
        <is>
          <t>Kurigram</t>
        </is>
      </c>
      <c r="D471" t="inlineStr">
        <is>
          <t>Char Rajibpur</t>
        </is>
      </c>
      <c r="E471" s="3" t="n">
        <v>7.4</v>
      </c>
      <c r="F471" s="4">
        <f>(E471-$AJ$5)/$AK$5</f>
        <v/>
      </c>
      <c r="G471" t="n">
        <v>37.1435688</v>
      </c>
      <c r="H471">
        <f>(G471-$AJ$6)/$AK$6</f>
        <v/>
      </c>
      <c r="I471" t="n">
        <v>0</v>
      </c>
      <c r="J471" s="4">
        <f>(I471-$AJ$7)/$AK$7</f>
        <v/>
      </c>
      <c r="K471" t="n">
        <v>0</v>
      </c>
      <c r="L471" s="4">
        <f>(K471-$AJ$8)/$AK$8</f>
        <v/>
      </c>
      <c r="M471" t="n">
        <v>15830</v>
      </c>
      <c r="N471">
        <f>(M471-$AJ$9)/$AK$9</f>
        <v/>
      </c>
      <c r="O471" t="n">
        <v>0.62281247</v>
      </c>
      <c r="P471">
        <f>(O471-$AJ$11)/$AK$11</f>
        <v/>
      </c>
      <c r="Q471" t="n">
        <v>0.2207</v>
      </c>
      <c r="R471">
        <f>(Q471-$AJ$12)/$AK$12</f>
        <v/>
      </c>
      <c r="S471">
        <f>F471*(R471*0.5+P471*0.5)*(H471*0.35+J471*0.35+L471*0.3)</f>
        <v/>
      </c>
      <c r="T471" s="14">
        <f>(S471-$AJ$10)/$AK$10</f>
        <v/>
      </c>
      <c r="U471">
        <f>IF(T471&gt;0.7,"High",IF(T471&gt;0.3,"Moderate",IF(T471&gt;0.15,"Low","No Impact")))</f>
        <v/>
      </c>
      <c r="V471">
        <f>F471*(R471*1)*(H471*0.35+J471*0.35+L471*0.3)</f>
        <v/>
      </c>
      <c r="W471">
        <f>(V471-$AJ$13)/$AK$13</f>
        <v/>
      </c>
      <c r="X471">
        <f>IF(W471&gt;0.7,"High",IF(W471&gt;0.3,"Moderate",IF(W471&gt;0.15,"Low","No Impact")))</f>
        <v/>
      </c>
      <c r="Y471">
        <f>F471*(P471*1)*(H471*0.35+J471*0.35+L471*0.3)</f>
        <v/>
      </c>
      <c r="Z471">
        <f>(Y471-$AJ$14)/$AK$14</f>
        <v/>
      </c>
      <c r="AA471">
        <f>IF(Z471&gt;0.7,"High",IF(Z471&gt;0.3,"Moderate",IF(Z471&gt;0.15,"Low","No Impact")))</f>
        <v/>
      </c>
      <c r="AB471">
        <f>F471*(R471*0.35+P471*0.3+N471*0.35)*(H471*0.35+J471*0.35+L471*0.3)</f>
        <v/>
      </c>
      <c r="AC471">
        <f>(AB471-$AJ$15)/$AK$15</f>
        <v/>
      </c>
      <c r="AD471">
        <f>IF(AC471&gt;0.7,"High",IF(AC471&gt;0.3,"Moderate",IF(AC471&gt;0.15,"Low","No Impact")))</f>
        <v/>
      </c>
      <c r="AE471">
        <f>F471*(N471*1)*(H471*0.35+J471*0.35+L471*0.3)</f>
        <v/>
      </c>
      <c r="AF471">
        <f>(AE471-$AJ$16)/$AK$16</f>
        <v/>
      </c>
      <c r="AG471">
        <f>IF(AF471&gt;0.7,"High",IF(AF471&gt;0.3,"Moderate",IF(AF471&gt;0.15,"Low","No Impact")))</f>
        <v/>
      </c>
    </row>
    <row r="472">
      <c r="A472" t="n">
        <v>554909</v>
      </c>
      <c r="B472" t="inlineStr">
        <is>
          <t>BD554909</t>
        </is>
      </c>
      <c r="C472" t="inlineStr">
        <is>
          <t>Kurigram</t>
        </is>
      </c>
      <c r="D472" t="inlineStr">
        <is>
          <t>Chilmari</t>
        </is>
      </c>
      <c r="E472" s="3" t="n">
        <v>7.5</v>
      </c>
      <c r="F472" s="4">
        <f>(E472-$AJ$5)/$AK$5</f>
        <v/>
      </c>
      <c r="G472" t="n">
        <v>39.5902044</v>
      </c>
      <c r="H472">
        <f>(G472-$AJ$6)/$AK$6</f>
        <v/>
      </c>
      <c r="I472" t="n">
        <v>0</v>
      </c>
      <c r="J472" s="4">
        <f>(I472-$AJ$7)/$AK$7</f>
        <v/>
      </c>
      <c r="K472" t="n">
        <v>0</v>
      </c>
      <c r="L472" s="4">
        <f>(K472-$AJ$8)/$AK$8</f>
        <v/>
      </c>
      <c r="M472" t="n">
        <v>8414</v>
      </c>
      <c r="N472">
        <f>(M472-$AJ$9)/$AK$9</f>
        <v/>
      </c>
      <c r="O472" t="n">
        <v>0.405795412</v>
      </c>
      <c r="P472">
        <f>(O472-$AJ$11)/$AK$11</f>
        <v/>
      </c>
      <c r="Q472" t="n">
        <v>0.178</v>
      </c>
      <c r="R472">
        <f>(Q472-$AJ$12)/$AK$12</f>
        <v/>
      </c>
      <c r="S472">
        <f>F472*(R472*0.5+P472*0.5)*(H472*0.35+J472*0.35+L472*0.3)</f>
        <v/>
      </c>
      <c r="T472" s="14">
        <f>(S472-$AJ$10)/$AK$10</f>
        <v/>
      </c>
      <c r="U472">
        <f>IF(T472&gt;0.7,"High",IF(T472&gt;0.3,"Moderate",IF(T472&gt;0.15,"Low","No Impact")))</f>
        <v/>
      </c>
      <c r="V472">
        <f>F472*(R472*1)*(H472*0.35+J472*0.35+L472*0.3)</f>
        <v/>
      </c>
      <c r="W472">
        <f>(V472-$AJ$13)/$AK$13</f>
        <v/>
      </c>
      <c r="X472">
        <f>IF(W472&gt;0.7,"High",IF(W472&gt;0.3,"Moderate",IF(W472&gt;0.15,"Low","No Impact")))</f>
        <v/>
      </c>
      <c r="Y472">
        <f>F472*(P472*1)*(H472*0.35+J472*0.35+L472*0.3)</f>
        <v/>
      </c>
      <c r="Z472">
        <f>(Y472-$AJ$14)/$AK$14</f>
        <v/>
      </c>
      <c r="AA472">
        <f>IF(Z472&gt;0.7,"High",IF(Z472&gt;0.3,"Moderate",IF(Z472&gt;0.15,"Low","No Impact")))</f>
        <v/>
      </c>
      <c r="AB472">
        <f>F472*(R472*0.35+P472*0.3+N472*0.35)*(H472*0.35+J472*0.35+L472*0.3)</f>
        <v/>
      </c>
      <c r="AC472">
        <f>(AB472-$AJ$15)/$AK$15</f>
        <v/>
      </c>
      <c r="AD472">
        <f>IF(AC472&gt;0.7,"High",IF(AC472&gt;0.3,"Moderate",IF(AC472&gt;0.15,"Low","No Impact")))</f>
        <v/>
      </c>
      <c r="AE472">
        <f>F472*(N472*1)*(H472*0.35+J472*0.35+L472*0.3)</f>
        <v/>
      </c>
      <c r="AF472">
        <f>(AE472-$AJ$16)/$AK$16</f>
        <v/>
      </c>
      <c r="AG472">
        <f>IF(AF472&gt;0.7,"High",IF(AF472&gt;0.3,"Moderate",IF(AF472&gt;0.15,"Low","No Impact")))</f>
        <v/>
      </c>
    </row>
    <row r="473">
      <c r="A473" t="n">
        <v>554918</v>
      </c>
      <c r="B473" t="inlineStr">
        <is>
          <t>BD554918</t>
        </is>
      </c>
      <c r="C473" t="inlineStr">
        <is>
          <t>Kurigram</t>
        </is>
      </c>
      <c r="D473" t="inlineStr">
        <is>
          <t>Phulbari</t>
        </is>
      </c>
      <c r="E473" s="3" t="n">
        <v>6.6</v>
      </c>
      <c r="F473" s="4">
        <f>(E473-$AJ$5)/$AK$5</f>
        <v/>
      </c>
      <c r="G473" t="n">
        <v>40.7573928</v>
      </c>
      <c r="H473">
        <f>(G473-$AJ$6)/$AK$6</f>
        <v/>
      </c>
      <c r="I473" t="n">
        <v>0.09999999999999939</v>
      </c>
      <c r="J473" s="4">
        <f>(I473-$AJ$7)/$AK$7</f>
        <v/>
      </c>
      <c r="K473" t="n">
        <v>0</v>
      </c>
      <c r="L473" s="4">
        <f>(K473-$AJ$8)/$AK$8</f>
        <v/>
      </c>
      <c r="M473" t="n">
        <v>21184</v>
      </c>
      <c r="N473">
        <f>(M473-$AJ$9)/$AK$9</f>
        <v/>
      </c>
      <c r="O473" t="n">
        <v>0.386018445</v>
      </c>
      <c r="P473">
        <f>(O473-$AJ$11)/$AK$11</f>
        <v/>
      </c>
      <c r="Q473" t="n">
        <v>0.2253</v>
      </c>
      <c r="R473">
        <f>(Q473-$AJ$12)/$AK$12</f>
        <v/>
      </c>
      <c r="S473">
        <f>F473*(R473*0.5+P473*0.5)*(H473*0.35+J473*0.35+L473*0.3)</f>
        <v/>
      </c>
      <c r="T473" s="14">
        <f>(S473-$AJ$10)/$AK$10</f>
        <v/>
      </c>
      <c r="U473">
        <f>IF(T473&gt;0.7,"High",IF(T473&gt;0.3,"Moderate",IF(T473&gt;0.15,"Low","No Impact")))</f>
        <v/>
      </c>
      <c r="V473">
        <f>F473*(R473*1)*(H473*0.35+J473*0.35+L473*0.3)</f>
        <v/>
      </c>
      <c r="W473">
        <f>(V473-$AJ$13)/$AK$13</f>
        <v/>
      </c>
      <c r="X473">
        <f>IF(W473&gt;0.7,"High",IF(W473&gt;0.3,"Moderate",IF(W473&gt;0.15,"Low","No Impact")))</f>
        <v/>
      </c>
      <c r="Y473">
        <f>F473*(P473*1)*(H473*0.35+J473*0.35+L473*0.3)</f>
        <v/>
      </c>
      <c r="Z473">
        <f>(Y473-$AJ$14)/$AK$14</f>
        <v/>
      </c>
      <c r="AA473">
        <f>IF(Z473&gt;0.7,"High",IF(Z473&gt;0.3,"Moderate",IF(Z473&gt;0.15,"Low","No Impact")))</f>
        <v/>
      </c>
      <c r="AB473">
        <f>F473*(R473*0.35+P473*0.3+N473*0.35)*(H473*0.35+J473*0.35+L473*0.3)</f>
        <v/>
      </c>
      <c r="AC473">
        <f>(AB473-$AJ$15)/$AK$15</f>
        <v/>
      </c>
      <c r="AD473">
        <f>IF(AC473&gt;0.7,"High",IF(AC473&gt;0.3,"Moderate",IF(AC473&gt;0.15,"Low","No Impact")))</f>
        <v/>
      </c>
      <c r="AE473">
        <f>F473*(N473*1)*(H473*0.35+J473*0.35+L473*0.3)</f>
        <v/>
      </c>
      <c r="AF473">
        <f>(AE473-$AJ$16)/$AK$16</f>
        <v/>
      </c>
      <c r="AG473">
        <f>IF(AF473&gt;0.7,"High",IF(AF473&gt;0.3,"Moderate",IF(AF473&gt;0.15,"Low","No Impact")))</f>
        <v/>
      </c>
    </row>
    <row r="474">
      <c r="A474" t="n">
        <v>554952</v>
      </c>
      <c r="B474" t="inlineStr">
        <is>
          <t>BD554952</t>
        </is>
      </c>
      <c r="C474" t="inlineStr">
        <is>
          <t>Kurigram</t>
        </is>
      </c>
      <c r="D474" t="inlineStr">
        <is>
          <t>Kurigram Sadar</t>
        </is>
      </c>
      <c r="E474" s="3" t="n">
        <v>7.5</v>
      </c>
      <c r="F474" s="4">
        <f>(E474-$AJ$5)/$AK$5</f>
        <v/>
      </c>
      <c r="G474" t="n">
        <v>40.7573928</v>
      </c>
      <c r="H474">
        <f>(G474-$AJ$6)/$AK$6</f>
        <v/>
      </c>
      <c r="I474" t="n">
        <v>0.09999999999999939</v>
      </c>
      <c r="J474" s="4">
        <f>(I474-$AJ$7)/$AK$7</f>
        <v/>
      </c>
      <c r="K474" t="n">
        <v>0</v>
      </c>
      <c r="L474" s="4">
        <f>(K474-$AJ$8)/$AK$8</f>
        <v/>
      </c>
      <c r="M474" t="n">
        <v>24931</v>
      </c>
      <c r="N474">
        <f>(M474-$AJ$9)/$AK$9</f>
        <v/>
      </c>
      <c r="O474" t="n">
        <v>0.745439697</v>
      </c>
      <c r="P474">
        <f>(O474-$AJ$11)/$AK$11</f>
        <v/>
      </c>
      <c r="Q474" t="n">
        <v>0.218</v>
      </c>
      <c r="R474">
        <f>(Q474-$AJ$12)/$AK$12</f>
        <v/>
      </c>
      <c r="S474">
        <f>F474*(R474*0.5+P474*0.5)*(H474*0.35+J474*0.35+L474*0.3)</f>
        <v/>
      </c>
      <c r="T474" s="14">
        <f>(S474-$AJ$10)/$AK$10</f>
        <v/>
      </c>
      <c r="U474">
        <f>IF(T474&gt;0.7,"High",IF(T474&gt;0.3,"Moderate",IF(T474&gt;0.15,"Low","No Impact")))</f>
        <v/>
      </c>
      <c r="V474">
        <f>F474*(R474*1)*(H474*0.35+J474*0.35+L474*0.3)</f>
        <v/>
      </c>
      <c r="W474">
        <f>(V474-$AJ$13)/$AK$13</f>
        <v/>
      </c>
      <c r="X474">
        <f>IF(W474&gt;0.7,"High",IF(W474&gt;0.3,"Moderate",IF(W474&gt;0.15,"Low","No Impact")))</f>
        <v/>
      </c>
      <c r="Y474">
        <f>F474*(P474*1)*(H474*0.35+J474*0.35+L474*0.3)</f>
        <v/>
      </c>
      <c r="Z474">
        <f>(Y474-$AJ$14)/$AK$14</f>
        <v/>
      </c>
      <c r="AA474">
        <f>IF(Z474&gt;0.7,"High",IF(Z474&gt;0.3,"Moderate",IF(Z474&gt;0.15,"Low","No Impact")))</f>
        <v/>
      </c>
      <c r="AB474">
        <f>F474*(R474*0.35+P474*0.3+N474*0.35)*(H474*0.35+J474*0.35+L474*0.3)</f>
        <v/>
      </c>
      <c r="AC474">
        <f>(AB474-$AJ$15)/$AK$15</f>
        <v/>
      </c>
      <c r="AD474">
        <f>IF(AC474&gt;0.7,"High",IF(AC474&gt;0.3,"Moderate",IF(AC474&gt;0.15,"Low","No Impact")))</f>
        <v/>
      </c>
      <c r="AE474">
        <f>F474*(N474*1)*(H474*0.35+J474*0.35+L474*0.3)</f>
        <v/>
      </c>
      <c r="AF474">
        <f>(AE474-$AJ$16)/$AK$16</f>
        <v/>
      </c>
      <c r="AG474">
        <f>IF(AF474&gt;0.7,"High",IF(AF474&gt;0.3,"Moderate",IF(AF474&gt;0.15,"Low","No Impact")))</f>
        <v/>
      </c>
    </row>
    <row r="475">
      <c r="A475" t="n">
        <v>554961</v>
      </c>
      <c r="B475" t="inlineStr">
        <is>
          <t>BD554961</t>
        </is>
      </c>
      <c r="C475" t="inlineStr">
        <is>
          <t>Kurigram</t>
        </is>
      </c>
      <c r="D475" t="inlineStr">
        <is>
          <t>Nageshwari</t>
        </is>
      </c>
      <c r="E475" s="3" t="n">
        <v>7.5</v>
      </c>
      <c r="F475" s="4">
        <f>(E475-$AJ$5)/$AK$5</f>
        <v/>
      </c>
      <c r="G475" t="n">
        <v>39.5902044</v>
      </c>
      <c r="H475">
        <f>(G475-$AJ$6)/$AK$6</f>
        <v/>
      </c>
      <c r="I475" t="n">
        <v>0.09999999999999939</v>
      </c>
      <c r="J475" s="4">
        <f>(I475-$AJ$7)/$AK$7</f>
        <v/>
      </c>
      <c r="K475" t="n">
        <v>0</v>
      </c>
      <c r="L475" s="4">
        <f>(K475-$AJ$8)/$AK$8</f>
        <v/>
      </c>
      <c r="M475" t="n">
        <v>39159</v>
      </c>
      <c r="N475">
        <f>(M475-$AJ$9)/$AK$9</f>
        <v/>
      </c>
      <c r="O475" t="n">
        <v>0.678377835</v>
      </c>
      <c r="P475">
        <f>(O475-$AJ$11)/$AK$11</f>
        <v/>
      </c>
      <c r="Q475" t="n">
        <v>0.2094</v>
      </c>
      <c r="R475">
        <f>(Q475-$AJ$12)/$AK$12</f>
        <v/>
      </c>
      <c r="S475">
        <f>F475*(R475*0.5+P475*0.5)*(H475*0.35+J475*0.35+L475*0.3)</f>
        <v/>
      </c>
      <c r="T475" s="14">
        <f>(S475-$AJ$10)/$AK$10</f>
        <v/>
      </c>
      <c r="U475">
        <f>IF(T475&gt;0.7,"High",IF(T475&gt;0.3,"Moderate",IF(T475&gt;0.15,"Low","No Impact")))</f>
        <v/>
      </c>
      <c r="V475">
        <f>F475*(R475*1)*(H475*0.35+J475*0.35+L475*0.3)</f>
        <v/>
      </c>
      <c r="W475">
        <f>(V475-$AJ$13)/$AK$13</f>
        <v/>
      </c>
      <c r="X475">
        <f>IF(W475&gt;0.7,"High",IF(W475&gt;0.3,"Moderate",IF(W475&gt;0.15,"Low","No Impact")))</f>
        <v/>
      </c>
      <c r="Y475">
        <f>F475*(P475*1)*(H475*0.35+J475*0.35+L475*0.3)</f>
        <v/>
      </c>
      <c r="Z475">
        <f>(Y475-$AJ$14)/$AK$14</f>
        <v/>
      </c>
      <c r="AA475">
        <f>IF(Z475&gt;0.7,"High",IF(Z475&gt;0.3,"Moderate",IF(Z475&gt;0.15,"Low","No Impact")))</f>
        <v/>
      </c>
      <c r="AB475">
        <f>F475*(R475*0.35+P475*0.3+N475*0.35)*(H475*0.35+J475*0.35+L475*0.3)</f>
        <v/>
      </c>
      <c r="AC475">
        <f>(AB475-$AJ$15)/$AK$15</f>
        <v/>
      </c>
      <c r="AD475">
        <f>IF(AC475&gt;0.7,"High",IF(AC475&gt;0.3,"Moderate",IF(AC475&gt;0.15,"Low","No Impact")))</f>
        <v/>
      </c>
      <c r="AE475">
        <f>F475*(N475*1)*(H475*0.35+J475*0.35+L475*0.3)</f>
        <v/>
      </c>
      <c r="AF475">
        <f>(AE475-$AJ$16)/$AK$16</f>
        <v/>
      </c>
      <c r="AG475">
        <f>IF(AF475&gt;0.7,"High",IF(AF475&gt;0.3,"Moderate",IF(AF475&gt;0.15,"Low","No Impact")))</f>
        <v/>
      </c>
    </row>
    <row r="476">
      <c r="A476" t="n">
        <v>554977</v>
      </c>
      <c r="B476" t="inlineStr">
        <is>
          <t>BD554977</t>
        </is>
      </c>
      <c r="C476" t="inlineStr">
        <is>
          <t>Kurigram</t>
        </is>
      </c>
      <c r="D476" t="inlineStr">
        <is>
          <t>Rajarhat</t>
        </is>
      </c>
      <c r="E476" s="3" t="n">
        <v>7</v>
      </c>
      <c r="F476" s="4">
        <f>(E476-$AJ$5)/$AK$5</f>
        <v/>
      </c>
      <c r="G476" t="n">
        <v>40.7573928</v>
      </c>
      <c r="H476">
        <f>(G476-$AJ$6)/$AK$6</f>
        <v/>
      </c>
      <c r="I476" t="n">
        <v>0</v>
      </c>
      <c r="J476" s="4">
        <f>(I476-$AJ$7)/$AK$7</f>
        <v/>
      </c>
      <c r="K476" t="n">
        <v>0</v>
      </c>
      <c r="L476" s="4">
        <f>(K476-$AJ$8)/$AK$8</f>
        <v/>
      </c>
      <c r="M476" t="n">
        <v>11356</v>
      </c>
      <c r="N476">
        <f>(M476-$AJ$9)/$AK$9</f>
        <v/>
      </c>
      <c r="O476" t="n">
        <v>0.701447602</v>
      </c>
      <c r="P476">
        <f>(O476-$AJ$11)/$AK$11</f>
        <v/>
      </c>
      <c r="Q476" t="n">
        <v>0.2516</v>
      </c>
      <c r="R476">
        <f>(Q476-$AJ$12)/$AK$12</f>
        <v/>
      </c>
      <c r="S476">
        <f>F476*(R476*0.5+P476*0.5)*(H476*0.35+J476*0.35+L476*0.3)</f>
        <v/>
      </c>
      <c r="T476" s="14">
        <f>(S476-$AJ$10)/$AK$10</f>
        <v/>
      </c>
      <c r="U476">
        <f>IF(T476&gt;0.7,"High",IF(T476&gt;0.3,"Moderate",IF(T476&gt;0.15,"Low","No Impact")))</f>
        <v/>
      </c>
      <c r="V476">
        <f>F476*(R476*1)*(H476*0.35+J476*0.35+L476*0.3)</f>
        <v/>
      </c>
      <c r="W476">
        <f>(V476-$AJ$13)/$AK$13</f>
        <v/>
      </c>
      <c r="X476">
        <f>IF(W476&gt;0.7,"High",IF(W476&gt;0.3,"Moderate",IF(W476&gt;0.15,"Low","No Impact")))</f>
        <v/>
      </c>
      <c r="Y476">
        <f>F476*(P476*1)*(H476*0.35+J476*0.35+L476*0.3)</f>
        <v/>
      </c>
      <c r="Z476">
        <f>(Y476-$AJ$14)/$AK$14</f>
        <v/>
      </c>
      <c r="AA476">
        <f>IF(Z476&gt;0.7,"High",IF(Z476&gt;0.3,"Moderate",IF(Z476&gt;0.15,"Low","No Impact")))</f>
        <v/>
      </c>
      <c r="AB476">
        <f>F476*(R476*0.35+P476*0.3+N476*0.35)*(H476*0.35+J476*0.35+L476*0.3)</f>
        <v/>
      </c>
      <c r="AC476">
        <f>(AB476-$AJ$15)/$AK$15</f>
        <v/>
      </c>
      <c r="AD476">
        <f>IF(AC476&gt;0.7,"High",IF(AC476&gt;0.3,"Moderate",IF(AC476&gt;0.15,"Low","No Impact")))</f>
        <v/>
      </c>
      <c r="AE476">
        <f>F476*(N476*1)*(H476*0.35+J476*0.35+L476*0.3)</f>
        <v/>
      </c>
      <c r="AF476">
        <f>(AE476-$AJ$16)/$AK$16</f>
        <v/>
      </c>
      <c r="AG476">
        <f>IF(AF476&gt;0.7,"High",IF(AF476&gt;0.3,"Moderate",IF(AF476&gt;0.15,"Low","No Impact")))</f>
        <v/>
      </c>
    </row>
    <row r="477">
      <c r="A477" t="n">
        <v>554979</v>
      </c>
      <c r="B477" t="inlineStr">
        <is>
          <t>BD554979</t>
        </is>
      </c>
      <c r="C477" t="inlineStr">
        <is>
          <t>Kurigram</t>
        </is>
      </c>
      <c r="D477" t="inlineStr">
        <is>
          <t>Raumari</t>
        </is>
      </c>
      <c r="E477" s="3" t="n">
        <v>7.4</v>
      </c>
      <c r="F477" s="4">
        <f>(E477-$AJ$5)/$AK$5</f>
        <v/>
      </c>
      <c r="G477" t="n">
        <v>43.28536680000001</v>
      </c>
      <c r="H477">
        <f>(G477-$AJ$6)/$AK$6</f>
        <v/>
      </c>
      <c r="I477" t="n">
        <v>0</v>
      </c>
      <c r="J477" s="4">
        <f>(I477-$AJ$7)/$AK$7</f>
        <v/>
      </c>
      <c r="K477" t="n">
        <v>0</v>
      </c>
      <c r="L477" s="4">
        <f>(K477-$AJ$8)/$AK$8</f>
        <v/>
      </c>
      <c r="M477" t="n">
        <v>21408</v>
      </c>
      <c r="N477">
        <f>(M477-$AJ$9)/$AK$9</f>
        <v/>
      </c>
      <c r="O477" t="n">
        <v>0.782917073</v>
      </c>
      <c r="P477">
        <f>(O477-$AJ$11)/$AK$11</f>
        <v/>
      </c>
      <c r="Q477" t="n">
        <v>0.2348</v>
      </c>
      <c r="R477">
        <f>(Q477-$AJ$12)/$AK$12</f>
        <v/>
      </c>
      <c r="S477">
        <f>F477*(R477*0.5+P477*0.5)*(H477*0.35+J477*0.35+L477*0.3)</f>
        <v/>
      </c>
      <c r="T477" s="14">
        <f>(S477-$AJ$10)/$AK$10</f>
        <v/>
      </c>
      <c r="U477">
        <f>IF(T477&gt;0.7,"High",IF(T477&gt;0.3,"Moderate",IF(T477&gt;0.15,"Low","No Impact")))</f>
        <v/>
      </c>
      <c r="V477">
        <f>F477*(R477*1)*(H477*0.35+J477*0.35+L477*0.3)</f>
        <v/>
      </c>
      <c r="W477">
        <f>(V477-$AJ$13)/$AK$13</f>
        <v/>
      </c>
      <c r="X477">
        <f>IF(W477&gt;0.7,"High",IF(W477&gt;0.3,"Moderate",IF(W477&gt;0.15,"Low","No Impact")))</f>
        <v/>
      </c>
      <c r="Y477">
        <f>F477*(P477*1)*(H477*0.35+J477*0.35+L477*0.3)</f>
        <v/>
      </c>
      <c r="Z477">
        <f>(Y477-$AJ$14)/$AK$14</f>
        <v/>
      </c>
      <c r="AA477">
        <f>IF(Z477&gt;0.7,"High",IF(Z477&gt;0.3,"Moderate",IF(Z477&gt;0.15,"Low","No Impact")))</f>
        <v/>
      </c>
      <c r="AB477">
        <f>F477*(R477*0.35+P477*0.3+N477*0.35)*(H477*0.35+J477*0.35+L477*0.3)</f>
        <v/>
      </c>
      <c r="AC477">
        <f>(AB477-$AJ$15)/$AK$15</f>
        <v/>
      </c>
      <c r="AD477">
        <f>IF(AC477&gt;0.7,"High",IF(AC477&gt;0.3,"Moderate",IF(AC477&gt;0.15,"Low","No Impact")))</f>
        <v/>
      </c>
      <c r="AE477">
        <f>F477*(N477*1)*(H477*0.35+J477*0.35+L477*0.3)</f>
        <v/>
      </c>
      <c r="AF477">
        <f>(AE477-$AJ$16)/$AK$16</f>
        <v/>
      </c>
      <c r="AG477">
        <f>IF(AF477&gt;0.7,"High",IF(AF477&gt;0.3,"Moderate",IF(AF477&gt;0.15,"Low","No Impact")))</f>
        <v/>
      </c>
    </row>
    <row r="478">
      <c r="A478" t="n">
        <v>554994</v>
      </c>
      <c r="B478" t="inlineStr">
        <is>
          <t>BD554994</t>
        </is>
      </c>
      <c r="C478" t="inlineStr">
        <is>
          <t>Kurigram</t>
        </is>
      </c>
      <c r="D478" t="inlineStr">
        <is>
          <t>Ulipur</t>
        </is>
      </c>
      <c r="E478" s="3" t="n">
        <v>6.7</v>
      </c>
      <c r="F478" s="4">
        <f>(E478-$AJ$5)/$AK$5</f>
        <v/>
      </c>
      <c r="G478" t="n">
        <v>40.7573928</v>
      </c>
      <c r="H478">
        <f>(G478-$AJ$6)/$AK$6</f>
        <v/>
      </c>
      <c r="I478" t="n">
        <v>0</v>
      </c>
      <c r="J478" s="4">
        <f>(I478-$AJ$7)/$AK$7</f>
        <v/>
      </c>
      <c r="K478" t="n">
        <v>0</v>
      </c>
      <c r="L478" s="4">
        <f>(K478-$AJ$8)/$AK$8</f>
        <v/>
      </c>
      <c r="M478" t="n">
        <v>22322</v>
      </c>
      <c r="N478">
        <f>(M478-$AJ$9)/$AK$9</f>
        <v/>
      </c>
      <c r="O478" t="n">
        <v>0.503374833</v>
      </c>
      <c r="P478">
        <f>(O478-$AJ$11)/$AK$11</f>
        <v/>
      </c>
      <c r="Q478" t="n">
        <v>0.2112</v>
      </c>
      <c r="R478">
        <f>(Q478-$AJ$12)/$AK$12</f>
        <v/>
      </c>
      <c r="S478">
        <f>F478*(R478*0.5+P478*0.5)*(H478*0.35+J478*0.35+L478*0.3)</f>
        <v/>
      </c>
      <c r="T478" s="14">
        <f>(S478-$AJ$10)/$AK$10</f>
        <v/>
      </c>
      <c r="U478">
        <f>IF(T478&gt;0.7,"High",IF(T478&gt;0.3,"Moderate",IF(T478&gt;0.15,"Low","No Impact")))</f>
        <v/>
      </c>
      <c r="V478">
        <f>F478*(R478*1)*(H478*0.35+J478*0.35+L478*0.3)</f>
        <v/>
      </c>
      <c r="W478">
        <f>(V478-$AJ$13)/$AK$13</f>
        <v/>
      </c>
      <c r="X478">
        <f>IF(W478&gt;0.7,"High",IF(W478&gt;0.3,"Moderate",IF(W478&gt;0.15,"Low","No Impact")))</f>
        <v/>
      </c>
      <c r="Y478">
        <f>F478*(P478*1)*(H478*0.35+J478*0.35+L478*0.3)</f>
        <v/>
      </c>
      <c r="Z478">
        <f>(Y478-$AJ$14)/$AK$14</f>
        <v/>
      </c>
      <c r="AA478">
        <f>IF(Z478&gt;0.7,"High",IF(Z478&gt;0.3,"Moderate",IF(Z478&gt;0.15,"Low","No Impact")))</f>
        <v/>
      </c>
      <c r="AB478">
        <f>F478*(R478*0.35+P478*0.3+N478*0.35)*(H478*0.35+J478*0.35+L478*0.3)</f>
        <v/>
      </c>
      <c r="AC478">
        <f>(AB478-$AJ$15)/$AK$15</f>
        <v/>
      </c>
      <c r="AD478">
        <f>IF(AC478&gt;0.7,"High",IF(AC478&gt;0.3,"Moderate",IF(AC478&gt;0.15,"Low","No Impact")))</f>
        <v/>
      </c>
      <c r="AE478">
        <f>F478*(N478*1)*(H478*0.35+J478*0.35+L478*0.3)</f>
        <v/>
      </c>
      <c r="AF478">
        <f>(AE478-$AJ$16)/$AK$16</f>
        <v/>
      </c>
      <c r="AG478">
        <f>IF(AF478&gt;0.7,"High",IF(AF478&gt;0.3,"Moderate",IF(AF478&gt;0.15,"Low","No Impact")))</f>
        <v/>
      </c>
    </row>
    <row r="479">
      <c r="A479" t="n">
        <v>555202</v>
      </c>
      <c r="B479" t="inlineStr">
        <is>
          <t>BD555202</t>
        </is>
      </c>
      <c r="C479" t="inlineStr">
        <is>
          <t>Lalmonirhat</t>
        </is>
      </c>
      <c r="D479" t="inlineStr">
        <is>
          <t>Aditmari</t>
        </is>
      </c>
      <c r="E479" s="3" t="n">
        <v>6.2</v>
      </c>
      <c r="F479" s="4">
        <f>(E479-$AJ$5)/$AK$5</f>
        <v/>
      </c>
      <c r="G479" t="n">
        <v>40.7573928</v>
      </c>
      <c r="H479">
        <f>(G479-$AJ$6)/$AK$6</f>
        <v/>
      </c>
      <c r="I479" t="n">
        <v>0</v>
      </c>
      <c r="J479" s="4">
        <f>(I479-$AJ$7)/$AK$7</f>
        <v/>
      </c>
      <c r="K479" t="n">
        <v>0</v>
      </c>
      <c r="L479" s="4">
        <f>(K479-$AJ$8)/$AK$8</f>
        <v/>
      </c>
      <c r="M479" t="n">
        <v>25242</v>
      </c>
      <c r="N479">
        <f>(M479-$AJ$9)/$AK$9</f>
        <v/>
      </c>
      <c r="O479" t="n">
        <v>0.617277564</v>
      </c>
      <c r="P479">
        <f>(O479-$AJ$11)/$AK$11</f>
        <v/>
      </c>
      <c r="Q479" t="n">
        <v>0.2505</v>
      </c>
      <c r="R479">
        <f>(Q479-$AJ$12)/$AK$12</f>
        <v/>
      </c>
      <c r="S479">
        <f>F479*(R479*0.5+P479*0.5)*(H479*0.35+J479*0.35+L479*0.3)</f>
        <v/>
      </c>
      <c r="T479" s="14">
        <f>(S479-$AJ$10)/$AK$10</f>
        <v/>
      </c>
      <c r="U479">
        <f>IF(T479&gt;0.7,"High",IF(T479&gt;0.3,"Moderate",IF(T479&gt;0.15,"Low","No Impact")))</f>
        <v/>
      </c>
      <c r="V479">
        <f>F479*(R479*1)*(H479*0.35+J479*0.35+L479*0.3)</f>
        <v/>
      </c>
      <c r="W479">
        <f>(V479-$AJ$13)/$AK$13</f>
        <v/>
      </c>
      <c r="X479">
        <f>IF(W479&gt;0.7,"High",IF(W479&gt;0.3,"Moderate",IF(W479&gt;0.15,"Low","No Impact")))</f>
        <v/>
      </c>
      <c r="Y479">
        <f>F479*(P479*1)*(H479*0.35+J479*0.35+L479*0.3)</f>
        <v/>
      </c>
      <c r="Z479">
        <f>(Y479-$AJ$14)/$AK$14</f>
        <v/>
      </c>
      <c r="AA479">
        <f>IF(Z479&gt;0.7,"High",IF(Z479&gt;0.3,"Moderate",IF(Z479&gt;0.15,"Low","No Impact")))</f>
        <v/>
      </c>
      <c r="AB479">
        <f>F479*(R479*0.35+P479*0.3+N479*0.35)*(H479*0.35+J479*0.35+L479*0.3)</f>
        <v/>
      </c>
      <c r="AC479">
        <f>(AB479-$AJ$15)/$AK$15</f>
        <v/>
      </c>
      <c r="AD479">
        <f>IF(AC479&gt;0.7,"High",IF(AC479&gt;0.3,"Moderate",IF(AC479&gt;0.15,"Low","No Impact")))</f>
        <v/>
      </c>
      <c r="AE479">
        <f>F479*(N479*1)*(H479*0.35+J479*0.35+L479*0.3)</f>
        <v/>
      </c>
      <c r="AF479">
        <f>(AE479-$AJ$16)/$AK$16</f>
        <v/>
      </c>
      <c r="AG479">
        <f>IF(AF479&gt;0.7,"High",IF(AF479&gt;0.3,"Moderate",IF(AF479&gt;0.15,"Low","No Impact")))</f>
        <v/>
      </c>
    </row>
    <row r="480">
      <c r="A480" t="n">
        <v>555233</v>
      </c>
      <c r="B480" t="inlineStr">
        <is>
          <t>BD555233</t>
        </is>
      </c>
      <c r="C480" t="inlineStr">
        <is>
          <t>Lalmonirhat</t>
        </is>
      </c>
      <c r="D480" t="inlineStr">
        <is>
          <t>Hatibandha</t>
        </is>
      </c>
      <c r="E480" s="3" t="n">
        <v>5.9</v>
      </c>
      <c r="F480" s="4">
        <f>(E480-$AJ$5)/$AK$5</f>
        <v/>
      </c>
      <c r="G480" t="n">
        <v>39.9349764</v>
      </c>
      <c r="H480">
        <f>(G480-$AJ$6)/$AK$6</f>
        <v/>
      </c>
      <c r="I480" t="n">
        <v>0</v>
      </c>
      <c r="J480" s="4">
        <f>(I480-$AJ$7)/$AK$7</f>
        <v/>
      </c>
      <c r="K480" t="n">
        <v>0</v>
      </c>
      <c r="L480" s="4">
        <f>(K480-$AJ$8)/$AK$8</f>
        <v/>
      </c>
      <c r="M480" t="n">
        <v>21858</v>
      </c>
      <c r="N480">
        <f>(M480-$AJ$9)/$AK$9</f>
        <v/>
      </c>
      <c r="O480" t="n">
        <v>0.666486385</v>
      </c>
      <c r="P480">
        <f>(O480-$AJ$11)/$AK$11</f>
        <v/>
      </c>
      <c r="Q480" t="n">
        <v>0.1946</v>
      </c>
      <c r="R480">
        <f>(Q480-$AJ$12)/$AK$12</f>
        <v/>
      </c>
      <c r="S480">
        <f>F480*(R480*0.5+P480*0.5)*(H480*0.35+J480*0.35+L480*0.3)</f>
        <v/>
      </c>
      <c r="T480" s="14">
        <f>(S480-$AJ$10)/$AK$10</f>
        <v/>
      </c>
      <c r="U480">
        <f>IF(T480&gt;0.7,"High",IF(T480&gt;0.3,"Moderate",IF(T480&gt;0.15,"Low","No Impact")))</f>
        <v/>
      </c>
      <c r="V480">
        <f>F480*(R480*1)*(H480*0.35+J480*0.35+L480*0.3)</f>
        <v/>
      </c>
      <c r="W480">
        <f>(V480-$AJ$13)/$AK$13</f>
        <v/>
      </c>
      <c r="X480">
        <f>IF(W480&gt;0.7,"High",IF(W480&gt;0.3,"Moderate",IF(W480&gt;0.15,"Low","No Impact")))</f>
        <v/>
      </c>
      <c r="Y480">
        <f>F480*(P480*1)*(H480*0.35+J480*0.35+L480*0.3)</f>
        <v/>
      </c>
      <c r="Z480">
        <f>(Y480-$AJ$14)/$AK$14</f>
        <v/>
      </c>
      <c r="AA480">
        <f>IF(Z480&gt;0.7,"High",IF(Z480&gt;0.3,"Moderate",IF(Z480&gt;0.15,"Low","No Impact")))</f>
        <v/>
      </c>
      <c r="AB480">
        <f>F480*(R480*0.35+P480*0.3+N480*0.35)*(H480*0.35+J480*0.35+L480*0.3)</f>
        <v/>
      </c>
      <c r="AC480">
        <f>(AB480-$AJ$15)/$AK$15</f>
        <v/>
      </c>
      <c r="AD480">
        <f>IF(AC480&gt;0.7,"High",IF(AC480&gt;0.3,"Moderate",IF(AC480&gt;0.15,"Low","No Impact")))</f>
        <v/>
      </c>
      <c r="AE480">
        <f>F480*(N480*1)*(H480*0.35+J480*0.35+L480*0.3)</f>
        <v/>
      </c>
      <c r="AF480">
        <f>(AE480-$AJ$16)/$AK$16</f>
        <v/>
      </c>
      <c r="AG480">
        <f>IF(AF480&gt;0.7,"High",IF(AF480&gt;0.3,"Moderate",IF(AF480&gt;0.15,"Low","No Impact")))</f>
        <v/>
      </c>
    </row>
    <row r="481">
      <c r="A481" t="n">
        <v>555239</v>
      </c>
      <c r="B481" t="inlineStr">
        <is>
          <t>BD555239</t>
        </is>
      </c>
      <c r="C481" t="inlineStr">
        <is>
          <t>Satkhira</t>
        </is>
      </c>
      <c r="D481" t="inlineStr">
        <is>
          <t>Kaliganj</t>
        </is>
      </c>
      <c r="E481" s="3" t="n">
        <v>6.2</v>
      </c>
      <c r="F481" s="4">
        <f>(E481-$AJ$5)/$AK$5</f>
        <v/>
      </c>
      <c r="G481" t="n">
        <v>39.9349764</v>
      </c>
      <c r="H481">
        <f>(G481-$AJ$6)/$AK$6</f>
        <v/>
      </c>
      <c r="I481" t="n">
        <v>0.09999999999999939</v>
      </c>
      <c r="J481" s="4">
        <f>(I481-$AJ$7)/$AK$7</f>
        <v/>
      </c>
      <c r="K481" t="n">
        <v>0</v>
      </c>
      <c r="L481" s="4">
        <f>(K481-$AJ$8)/$AK$8</f>
        <v/>
      </c>
      <c r="M481" t="n">
        <v>24184</v>
      </c>
      <c r="N481">
        <f>(M481-$AJ$9)/$AK$9</f>
        <v/>
      </c>
      <c r="O481" t="n">
        <v>0.704508395</v>
      </c>
      <c r="P481">
        <f>(O481-$AJ$11)/$AK$11</f>
        <v/>
      </c>
      <c r="Q481" t="n">
        <v>0.2548</v>
      </c>
      <c r="R481">
        <f>(Q481-$AJ$12)/$AK$12</f>
        <v/>
      </c>
      <c r="S481">
        <f>F481*(R481*0.5+P481*0.5)*(H481*0.35+J481*0.35+L481*0.3)</f>
        <v/>
      </c>
      <c r="T481" s="14">
        <f>(S481-$AJ$10)/$AK$10</f>
        <v/>
      </c>
      <c r="U481">
        <f>IF(T481&gt;0.7,"High",IF(T481&gt;0.3,"Moderate",IF(T481&gt;0.15,"Low","No Impact")))</f>
        <v/>
      </c>
      <c r="V481">
        <f>F481*(R481*1)*(H481*0.35+J481*0.35+L481*0.3)</f>
        <v/>
      </c>
      <c r="W481">
        <f>(V481-$AJ$13)/$AK$13</f>
        <v/>
      </c>
      <c r="X481">
        <f>IF(W481&gt;0.7,"High",IF(W481&gt;0.3,"Moderate",IF(W481&gt;0.15,"Low","No Impact")))</f>
        <v/>
      </c>
      <c r="Y481">
        <f>F481*(P481*1)*(H481*0.35+J481*0.35+L481*0.3)</f>
        <v/>
      </c>
      <c r="Z481">
        <f>(Y481-$AJ$14)/$AK$14</f>
        <v/>
      </c>
      <c r="AA481">
        <f>IF(Z481&gt;0.7,"High",IF(Z481&gt;0.3,"Moderate",IF(Z481&gt;0.15,"Low","No Impact")))</f>
        <v/>
      </c>
      <c r="AB481">
        <f>F481*(R481*0.35+P481*0.3+N481*0.35)*(H481*0.35+J481*0.35+L481*0.3)</f>
        <v/>
      </c>
      <c r="AC481">
        <f>(AB481-$AJ$15)/$AK$15</f>
        <v/>
      </c>
      <c r="AD481">
        <f>IF(AC481&gt;0.7,"High",IF(AC481&gt;0.3,"Moderate",IF(AC481&gt;0.15,"Low","No Impact")))</f>
        <v/>
      </c>
      <c r="AE481">
        <f>F481*(N481*1)*(H481*0.35+J481*0.35+L481*0.3)</f>
        <v/>
      </c>
      <c r="AF481">
        <f>(AE481-$AJ$16)/$AK$16</f>
        <v/>
      </c>
      <c r="AG481">
        <f>IF(AF481&gt;0.7,"High",IF(AF481&gt;0.3,"Moderate",IF(AF481&gt;0.15,"Low","No Impact")))</f>
        <v/>
      </c>
    </row>
    <row r="482">
      <c r="A482" t="n">
        <v>555255</v>
      </c>
      <c r="B482" t="inlineStr">
        <is>
          <t>BD555255</t>
        </is>
      </c>
      <c r="C482" t="inlineStr">
        <is>
          <t>Lalmonirhat</t>
        </is>
      </c>
      <c r="D482" t="inlineStr">
        <is>
          <t>Lalmonirhat Sadar</t>
        </is>
      </c>
      <c r="E482" s="3" t="n">
        <v>6.2</v>
      </c>
      <c r="F482" s="4">
        <f>(E482-$AJ$5)/$AK$5</f>
        <v/>
      </c>
      <c r="G482" t="n">
        <v>40.7573928</v>
      </c>
      <c r="H482">
        <f>(G482-$AJ$6)/$AK$6</f>
        <v/>
      </c>
      <c r="I482" t="n">
        <v>0</v>
      </c>
      <c r="J482" s="4">
        <f>(I482-$AJ$7)/$AK$7</f>
        <v/>
      </c>
      <c r="K482" t="n">
        <v>0</v>
      </c>
      <c r="L482" s="4">
        <f>(K482-$AJ$8)/$AK$8</f>
        <v/>
      </c>
      <c r="M482" t="n">
        <v>29622</v>
      </c>
      <c r="N482">
        <f>(M482-$AJ$9)/$AK$9</f>
        <v/>
      </c>
      <c r="O482" t="n">
        <v>0.6646130689999999</v>
      </c>
      <c r="P482">
        <f>(O482-$AJ$11)/$AK$11</f>
        <v/>
      </c>
      <c r="Q482" t="n">
        <v>0.2482</v>
      </c>
      <c r="R482">
        <f>(Q482-$AJ$12)/$AK$12</f>
        <v/>
      </c>
      <c r="S482">
        <f>F482*(R482*0.5+P482*0.5)*(H482*0.35+J482*0.35+L482*0.3)</f>
        <v/>
      </c>
      <c r="T482" s="14">
        <f>(S482-$AJ$10)/$AK$10</f>
        <v/>
      </c>
      <c r="U482">
        <f>IF(T482&gt;0.7,"High",IF(T482&gt;0.3,"Moderate",IF(T482&gt;0.15,"Low","No Impact")))</f>
        <v/>
      </c>
      <c r="V482">
        <f>F482*(R482*1)*(H482*0.35+J482*0.35+L482*0.3)</f>
        <v/>
      </c>
      <c r="W482">
        <f>(V482-$AJ$13)/$AK$13</f>
        <v/>
      </c>
      <c r="X482">
        <f>IF(W482&gt;0.7,"High",IF(W482&gt;0.3,"Moderate",IF(W482&gt;0.15,"Low","No Impact")))</f>
        <v/>
      </c>
      <c r="Y482">
        <f>F482*(P482*1)*(H482*0.35+J482*0.35+L482*0.3)</f>
        <v/>
      </c>
      <c r="Z482">
        <f>(Y482-$AJ$14)/$AK$14</f>
        <v/>
      </c>
      <c r="AA482">
        <f>IF(Z482&gt;0.7,"High",IF(Z482&gt;0.3,"Moderate",IF(Z482&gt;0.15,"Low","No Impact")))</f>
        <v/>
      </c>
      <c r="AB482">
        <f>F482*(R482*0.35+P482*0.3+N482*0.35)*(H482*0.35+J482*0.35+L482*0.3)</f>
        <v/>
      </c>
      <c r="AC482">
        <f>(AB482-$AJ$15)/$AK$15</f>
        <v/>
      </c>
      <c r="AD482">
        <f>IF(AC482&gt;0.7,"High",IF(AC482&gt;0.3,"Moderate",IF(AC482&gt;0.15,"Low","No Impact")))</f>
        <v/>
      </c>
      <c r="AE482">
        <f>F482*(N482*1)*(H482*0.35+J482*0.35+L482*0.3)</f>
        <v/>
      </c>
      <c r="AF482">
        <f>(AE482-$AJ$16)/$AK$16</f>
        <v/>
      </c>
      <c r="AG482">
        <f>IF(AF482&gt;0.7,"High",IF(AF482&gt;0.3,"Moderate",IF(AF482&gt;0.15,"Low","No Impact")))</f>
        <v/>
      </c>
    </row>
    <row r="483">
      <c r="A483" t="n">
        <v>555270</v>
      </c>
      <c r="B483" t="inlineStr">
        <is>
          <t>BD555270</t>
        </is>
      </c>
      <c r="C483" t="inlineStr">
        <is>
          <t>Lalmonirhat</t>
        </is>
      </c>
      <c r="D483" t="inlineStr">
        <is>
          <t>Patgram</t>
        </is>
      </c>
      <c r="E483" s="3" t="n">
        <v>6.2</v>
      </c>
      <c r="F483" s="4">
        <f>(E483-$AJ$5)/$AK$5</f>
        <v/>
      </c>
      <c r="G483" t="n">
        <v>39.1474764</v>
      </c>
      <c r="H483">
        <f>(G483-$AJ$6)/$AK$6</f>
        <v/>
      </c>
      <c r="I483" t="n">
        <v>1.500000000000001</v>
      </c>
      <c r="J483" s="4">
        <f>(I483-$AJ$7)/$AK$7</f>
        <v/>
      </c>
      <c r="K483" t="n">
        <v>0</v>
      </c>
      <c r="L483" s="4">
        <f>(K483-$AJ$8)/$AK$8</f>
        <v/>
      </c>
      <c r="M483" t="n">
        <v>23187</v>
      </c>
      <c r="N483">
        <f>(M483-$AJ$9)/$AK$9</f>
        <v/>
      </c>
      <c r="O483" t="n">
        <v>0.610130708</v>
      </c>
      <c r="P483">
        <f>(O483-$AJ$11)/$AK$11</f>
        <v/>
      </c>
      <c r="Q483" t="n">
        <v>0.2324</v>
      </c>
      <c r="R483">
        <f>(Q483-$AJ$12)/$AK$12</f>
        <v/>
      </c>
      <c r="S483">
        <f>F483*(R483*0.5+P483*0.5)*(H483*0.35+J483*0.35+L483*0.3)</f>
        <v/>
      </c>
      <c r="T483" s="14">
        <f>(S483-$AJ$10)/$AK$10</f>
        <v/>
      </c>
      <c r="U483">
        <f>IF(T483&gt;0.7,"High",IF(T483&gt;0.3,"Moderate",IF(T483&gt;0.15,"Low","No Impact")))</f>
        <v/>
      </c>
      <c r="V483">
        <f>F483*(R483*1)*(H483*0.35+J483*0.35+L483*0.3)</f>
        <v/>
      </c>
      <c r="W483">
        <f>(V483-$AJ$13)/$AK$13</f>
        <v/>
      </c>
      <c r="X483">
        <f>IF(W483&gt;0.7,"High",IF(W483&gt;0.3,"Moderate",IF(W483&gt;0.15,"Low","No Impact")))</f>
        <v/>
      </c>
      <c r="Y483">
        <f>F483*(P483*1)*(H483*0.35+J483*0.35+L483*0.3)</f>
        <v/>
      </c>
      <c r="Z483">
        <f>(Y483-$AJ$14)/$AK$14</f>
        <v/>
      </c>
      <c r="AA483">
        <f>IF(Z483&gt;0.7,"High",IF(Z483&gt;0.3,"Moderate",IF(Z483&gt;0.15,"Low","No Impact")))</f>
        <v/>
      </c>
      <c r="AB483">
        <f>F483*(R483*0.35+P483*0.3+N483*0.35)*(H483*0.35+J483*0.35+L483*0.3)</f>
        <v/>
      </c>
      <c r="AC483">
        <f>(AB483-$AJ$15)/$AK$15</f>
        <v/>
      </c>
      <c r="AD483">
        <f>IF(AC483&gt;0.7,"High",IF(AC483&gt;0.3,"Moderate",IF(AC483&gt;0.15,"Low","No Impact")))</f>
        <v/>
      </c>
      <c r="AE483">
        <f>F483*(N483*1)*(H483*0.35+J483*0.35+L483*0.3)</f>
        <v/>
      </c>
      <c r="AF483">
        <f>(AE483-$AJ$16)/$AK$16</f>
        <v/>
      </c>
      <c r="AG483">
        <f>IF(AF483&gt;0.7,"High",IF(AF483&gt;0.3,"Moderate",IF(AF483&gt;0.15,"Low","No Impact")))</f>
        <v/>
      </c>
    </row>
    <row r="484">
      <c r="A484" t="n">
        <v>557312</v>
      </c>
      <c r="B484" t="inlineStr">
        <is>
          <t>BD557312</t>
        </is>
      </c>
      <c r="C484" t="inlineStr">
        <is>
          <t>Nilphamari</t>
        </is>
      </c>
      <c r="D484" t="inlineStr">
        <is>
          <t>Dimla</t>
        </is>
      </c>
      <c r="E484" s="3" t="n">
        <v>5.9</v>
      </c>
      <c r="F484" s="4">
        <f>(E484-$AJ$5)/$AK$5</f>
        <v/>
      </c>
      <c r="G484" t="n">
        <v>41.2744284</v>
      </c>
      <c r="H484">
        <f>(G484-$AJ$6)/$AK$6</f>
        <v/>
      </c>
      <c r="I484" t="n">
        <v>0.09999999999999939</v>
      </c>
      <c r="J484" s="4">
        <f>(I484-$AJ$7)/$AK$7</f>
        <v/>
      </c>
      <c r="K484" t="n">
        <v>0</v>
      </c>
      <c r="L484" s="4">
        <f>(K484-$AJ$8)/$AK$8</f>
        <v/>
      </c>
      <c r="M484" t="n">
        <v>27341</v>
      </c>
      <c r="N484">
        <f>(M484-$AJ$9)/$AK$9</f>
        <v/>
      </c>
      <c r="O484" t="n">
        <v>0.625287212</v>
      </c>
      <c r="P484">
        <f>(O484-$AJ$11)/$AK$11</f>
        <v/>
      </c>
      <c r="Q484" t="n">
        <v>0.1959</v>
      </c>
      <c r="R484">
        <f>(Q484-$AJ$12)/$AK$12</f>
        <v/>
      </c>
      <c r="S484">
        <f>F484*(R484*0.5+P484*0.5)*(H484*0.35+J484*0.35+L484*0.3)</f>
        <v/>
      </c>
      <c r="T484" s="14">
        <f>(S484-$AJ$10)/$AK$10</f>
        <v/>
      </c>
      <c r="U484">
        <f>IF(T484&gt;0.7,"High",IF(T484&gt;0.3,"Moderate",IF(T484&gt;0.15,"Low","No Impact")))</f>
        <v/>
      </c>
      <c r="V484">
        <f>F484*(R484*1)*(H484*0.35+J484*0.35+L484*0.3)</f>
        <v/>
      </c>
      <c r="W484">
        <f>(V484-$AJ$13)/$AK$13</f>
        <v/>
      </c>
      <c r="X484">
        <f>IF(W484&gt;0.7,"High",IF(W484&gt;0.3,"Moderate",IF(W484&gt;0.15,"Low","No Impact")))</f>
        <v/>
      </c>
      <c r="Y484">
        <f>F484*(P484*1)*(H484*0.35+J484*0.35+L484*0.3)</f>
        <v/>
      </c>
      <c r="Z484">
        <f>(Y484-$AJ$14)/$AK$14</f>
        <v/>
      </c>
      <c r="AA484">
        <f>IF(Z484&gt;0.7,"High",IF(Z484&gt;0.3,"Moderate",IF(Z484&gt;0.15,"Low","No Impact")))</f>
        <v/>
      </c>
      <c r="AB484">
        <f>F484*(R484*0.35+P484*0.3+N484*0.35)*(H484*0.35+J484*0.35+L484*0.3)</f>
        <v/>
      </c>
      <c r="AC484">
        <f>(AB484-$AJ$15)/$AK$15</f>
        <v/>
      </c>
      <c r="AD484">
        <f>IF(AC484&gt;0.7,"High",IF(AC484&gt;0.3,"Moderate",IF(AC484&gt;0.15,"Low","No Impact")))</f>
        <v/>
      </c>
      <c r="AE484">
        <f>F484*(N484*1)*(H484*0.35+J484*0.35+L484*0.3)</f>
        <v/>
      </c>
      <c r="AF484">
        <f>(AE484-$AJ$16)/$AK$16</f>
        <v/>
      </c>
      <c r="AG484">
        <f>IF(AF484&gt;0.7,"High",IF(AF484&gt;0.3,"Moderate",IF(AF484&gt;0.15,"Low","No Impact")))</f>
        <v/>
      </c>
    </row>
    <row r="485">
      <c r="A485" t="n">
        <v>557315</v>
      </c>
      <c r="B485" t="inlineStr">
        <is>
          <t>BD557315</t>
        </is>
      </c>
      <c r="C485" t="inlineStr">
        <is>
          <t>Nilphamari</t>
        </is>
      </c>
      <c r="D485" t="inlineStr">
        <is>
          <t>Domar</t>
        </is>
      </c>
      <c r="E485" s="3" t="n">
        <v>5.9</v>
      </c>
      <c r="F485" s="4">
        <f>(E485-$AJ$5)/$AK$5</f>
        <v/>
      </c>
      <c r="G485" t="n">
        <v>41.2744284</v>
      </c>
      <c r="H485">
        <f>(G485-$AJ$6)/$AK$6</f>
        <v/>
      </c>
      <c r="I485" t="n">
        <v>0</v>
      </c>
      <c r="J485" s="4">
        <f>(I485-$AJ$7)/$AK$7</f>
        <v/>
      </c>
      <c r="K485" t="n">
        <v>0</v>
      </c>
      <c r="L485" s="4">
        <f>(K485-$AJ$8)/$AK$8</f>
        <v/>
      </c>
      <c r="M485" t="n">
        <v>28057</v>
      </c>
      <c r="N485">
        <f>(M485-$AJ$9)/$AK$9</f>
        <v/>
      </c>
      <c r="O485" t="n">
        <v>0.753761725</v>
      </c>
      <c r="P485">
        <f>(O485-$AJ$11)/$AK$11</f>
        <v/>
      </c>
      <c r="Q485" t="n">
        <v>0.2585</v>
      </c>
      <c r="R485">
        <f>(Q485-$AJ$12)/$AK$12</f>
        <v/>
      </c>
      <c r="S485">
        <f>F485*(R485*0.5+P485*0.5)*(H485*0.35+J485*0.35+L485*0.3)</f>
        <v/>
      </c>
      <c r="T485" s="14">
        <f>(S485-$AJ$10)/$AK$10</f>
        <v/>
      </c>
      <c r="U485">
        <f>IF(T485&gt;0.7,"High",IF(T485&gt;0.3,"Moderate",IF(T485&gt;0.15,"Low","No Impact")))</f>
        <v/>
      </c>
      <c r="V485">
        <f>F485*(R485*1)*(H485*0.35+J485*0.35+L485*0.3)</f>
        <v/>
      </c>
      <c r="W485">
        <f>(V485-$AJ$13)/$AK$13</f>
        <v/>
      </c>
      <c r="X485">
        <f>IF(W485&gt;0.7,"High",IF(W485&gt;0.3,"Moderate",IF(W485&gt;0.15,"Low","No Impact")))</f>
        <v/>
      </c>
      <c r="Y485">
        <f>F485*(P485*1)*(H485*0.35+J485*0.35+L485*0.3)</f>
        <v/>
      </c>
      <c r="Z485">
        <f>(Y485-$AJ$14)/$AK$14</f>
        <v/>
      </c>
      <c r="AA485">
        <f>IF(Z485&gt;0.7,"High",IF(Z485&gt;0.3,"Moderate",IF(Z485&gt;0.15,"Low","No Impact")))</f>
        <v/>
      </c>
      <c r="AB485">
        <f>F485*(R485*0.35+P485*0.3+N485*0.35)*(H485*0.35+J485*0.35+L485*0.3)</f>
        <v/>
      </c>
      <c r="AC485">
        <f>(AB485-$AJ$15)/$AK$15</f>
        <v/>
      </c>
      <c r="AD485">
        <f>IF(AC485&gt;0.7,"High",IF(AC485&gt;0.3,"Moderate",IF(AC485&gt;0.15,"Low","No Impact")))</f>
        <v/>
      </c>
      <c r="AE485">
        <f>F485*(N485*1)*(H485*0.35+J485*0.35+L485*0.3)</f>
        <v/>
      </c>
      <c r="AF485">
        <f>(AE485-$AJ$16)/$AK$16</f>
        <v/>
      </c>
      <c r="AG485">
        <f>IF(AF485&gt;0.7,"High",IF(AF485&gt;0.3,"Moderate",IF(AF485&gt;0.15,"Low","No Impact")))</f>
        <v/>
      </c>
    </row>
    <row r="486">
      <c r="A486" t="n">
        <v>557336</v>
      </c>
      <c r="B486" t="inlineStr">
        <is>
          <t>BD557336</t>
        </is>
      </c>
      <c r="C486" t="inlineStr">
        <is>
          <t>Nilphamari</t>
        </is>
      </c>
      <c r="D486" t="inlineStr">
        <is>
          <t>Jaldhaka</t>
        </is>
      </c>
      <c r="E486" s="3" t="n">
        <v>5.9</v>
      </c>
      <c r="F486" s="4">
        <f>(E486-$AJ$5)/$AK$5</f>
        <v/>
      </c>
      <c r="G486" t="n">
        <v>39.9349764</v>
      </c>
      <c r="H486">
        <f>(G486-$AJ$6)/$AK$6</f>
        <v/>
      </c>
      <c r="I486" t="n">
        <v>0</v>
      </c>
      <c r="J486" s="4">
        <f>(I486-$AJ$7)/$AK$7</f>
        <v/>
      </c>
      <c r="K486" t="n">
        <v>0</v>
      </c>
      <c r="L486" s="4">
        <f>(K486-$AJ$8)/$AK$8</f>
        <v/>
      </c>
      <c r="M486" t="n">
        <v>28976</v>
      </c>
      <c r="N486">
        <f>(M486-$AJ$9)/$AK$9</f>
        <v/>
      </c>
      <c r="O486" t="n">
        <v>0.753953023</v>
      </c>
      <c r="P486">
        <f>(O486-$AJ$11)/$AK$11</f>
        <v/>
      </c>
      <c r="Q486" t="n">
        <v>0.2332</v>
      </c>
      <c r="R486">
        <f>(Q486-$AJ$12)/$AK$12</f>
        <v/>
      </c>
      <c r="S486">
        <f>F486*(R486*0.5+P486*0.5)*(H486*0.35+J486*0.35+L486*0.3)</f>
        <v/>
      </c>
      <c r="T486" s="14">
        <f>(S486-$AJ$10)/$AK$10</f>
        <v/>
      </c>
      <c r="U486">
        <f>IF(T486&gt;0.7,"High",IF(T486&gt;0.3,"Moderate",IF(T486&gt;0.15,"Low","No Impact")))</f>
        <v/>
      </c>
      <c r="V486">
        <f>F486*(R486*1)*(H486*0.35+J486*0.35+L486*0.3)</f>
        <v/>
      </c>
      <c r="W486">
        <f>(V486-$AJ$13)/$AK$13</f>
        <v/>
      </c>
      <c r="X486">
        <f>IF(W486&gt;0.7,"High",IF(W486&gt;0.3,"Moderate",IF(W486&gt;0.15,"Low","No Impact")))</f>
        <v/>
      </c>
      <c r="Y486">
        <f>F486*(P486*1)*(H486*0.35+J486*0.35+L486*0.3)</f>
        <v/>
      </c>
      <c r="Z486">
        <f>(Y486-$AJ$14)/$AK$14</f>
        <v/>
      </c>
      <c r="AA486">
        <f>IF(Z486&gt;0.7,"High",IF(Z486&gt;0.3,"Moderate",IF(Z486&gt;0.15,"Low","No Impact")))</f>
        <v/>
      </c>
      <c r="AB486">
        <f>F486*(R486*0.35+P486*0.3+N486*0.35)*(H486*0.35+J486*0.35+L486*0.3)</f>
        <v/>
      </c>
      <c r="AC486">
        <f>(AB486-$AJ$15)/$AK$15</f>
        <v/>
      </c>
      <c r="AD486">
        <f>IF(AC486&gt;0.7,"High",IF(AC486&gt;0.3,"Moderate",IF(AC486&gt;0.15,"Low","No Impact")))</f>
        <v/>
      </c>
      <c r="AE486">
        <f>F486*(N486*1)*(H486*0.35+J486*0.35+L486*0.3)</f>
        <v/>
      </c>
      <c r="AF486">
        <f>(AE486-$AJ$16)/$AK$16</f>
        <v/>
      </c>
      <c r="AG486">
        <f>IF(AF486&gt;0.7,"High",IF(AF486&gt;0.3,"Moderate",IF(AF486&gt;0.15,"Low","No Impact")))</f>
        <v/>
      </c>
    </row>
    <row r="487">
      <c r="A487" t="n">
        <v>557345</v>
      </c>
      <c r="B487" t="inlineStr">
        <is>
          <t>BD557345</t>
        </is>
      </c>
      <c r="C487" t="inlineStr">
        <is>
          <t>Nilphamari</t>
        </is>
      </c>
      <c r="D487" t="inlineStr">
        <is>
          <t>Kishoreganj</t>
        </is>
      </c>
      <c r="E487" s="3" t="n">
        <v>5.9</v>
      </c>
      <c r="F487" s="4">
        <f>(E487-$AJ$5)/$AK$5</f>
        <v/>
      </c>
      <c r="G487" t="n">
        <v>45.0959148</v>
      </c>
      <c r="H487">
        <f>(G487-$AJ$6)/$AK$6</f>
        <v/>
      </c>
      <c r="I487" t="n">
        <v>0</v>
      </c>
      <c r="J487" s="4">
        <f>(I487-$AJ$7)/$AK$7</f>
        <v/>
      </c>
      <c r="K487" t="n">
        <v>0</v>
      </c>
      <c r="L487" s="4">
        <f>(K487-$AJ$8)/$AK$8</f>
        <v/>
      </c>
      <c r="M487" t="n">
        <v>24819</v>
      </c>
      <c r="N487">
        <f>(M487-$AJ$9)/$AK$9</f>
        <v/>
      </c>
      <c r="O487" t="n">
        <v>0.7305822709999999</v>
      </c>
      <c r="P487">
        <f>(O487-$AJ$11)/$AK$11</f>
        <v/>
      </c>
      <c r="Q487" t="n">
        <v>0.2472</v>
      </c>
      <c r="R487">
        <f>(Q487-$AJ$12)/$AK$12</f>
        <v/>
      </c>
      <c r="S487">
        <f>F487*(R487*0.5+P487*0.5)*(H487*0.35+J487*0.35+L487*0.3)</f>
        <v/>
      </c>
      <c r="T487" s="14">
        <f>(S487-$AJ$10)/$AK$10</f>
        <v/>
      </c>
      <c r="U487">
        <f>IF(T487&gt;0.7,"High",IF(T487&gt;0.3,"Moderate",IF(T487&gt;0.15,"Low","No Impact")))</f>
        <v/>
      </c>
      <c r="V487">
        <f>F487*(R487*1)*(H487*0.35+J487*0.35+L487*0.3)</f>
        <v/>
      </c>
      <c r="W487">
        <f>(V487-$AJ$13)/$AK$13</f>
        <v/>
      </c>
      <c r="X487">
        <f>IF(W487&gt;0.7,"High",IF(W487&gt;0.3,"Moderate",IF(W487&gt;0.15,"Low","No Impact")))</f>
        <v/>
      </c>
      <c r="Y487">
        <f>F487*(P487*1)*(H487*0.35+J487*0.35+L487*0.3)</f>
        <v/>
      </c>
      <c r="Z487">
        <f>(Y487-$AJ$14)/$AK$14</f>
        <v/>
      </c>
      <c r="AA487">
        <f>IF(Z487&gt;0.7,"High",IF(Z487&gt;0.3,"Moderate",IF(Z487&gt;0.15,"Low","No Impact")))</f>
        <v/>
      </c>
      <c r="AB487">
        <f>F487*(R487*0.35+P487*0.3+N487*0.35)*(H487*0.35+J487*0.35+L487*0.3)</f>
        <v/>
      </c>
      <c r="AC487">
        <f>(AB487-$AJ$15)/$AK$15</f>
        <v/>
      </c>
      <c r="AD487">
        <f>IF(AC487&gt;0.7,"High",IF(AC487&gt;0.3,"Moderate",IF(AC487&gt;0.15,"Low","No Impact")))</f>
        <v/>
      </c>
      <c r="AE487">
        <f>F487*(N487*1)*(H487*0.35+J487*0.35+L487*0.3)</f>
        <v/>
      </c>
      <c r="AF487">
        <f>(AE487-$AJ$16)/$AK$16</f>
        <v/>
      </c>
      <c r="AG487">
        <f>IF(AF487&gt;0.7,"High",IF(AF487&gt;0.3,"Moderate",IF(AF487&gt;0.15,"Low","No Impact")))</f>
        <v/>
      </c>
    </row>
    <row r="488">
      <c r="A488" t="n">
        <v>557364</v>
      </c>
      <c r="B488" t="inlineStr">
        <is>
          <t>BD557364</t>
        </is>
      </c>
      <c r="C488" t="inlineStr">
        <is>
          <t>Nilphamari</t>
        </is>
      </c>
      <c r="D488" t="inlineStr">
        <is>
          <t>Nilphamari Sadar</t>
        </is>
      </c>
      <c r="E488" s="3" t="n">
        <v>5.9</v>
      </c>
      <c r="F488" s="4">
        <f>(E488-$AJ$5)/$AK$5</f>
        <v/>
      </c>
      <c r="G488" t="n">
        <v>46.663884</v>
      </c>
      <c r="H488">
        <f>(G488-$AJ$6)/$AK$6</f>
        <v/>
      </c>
      <c r="I488" t="n">
        <v>0</v>
      </c>
      <c r="J488" s="4">
        <f>(I488-$AJ$7)/$AK$7</f>
        <v/>
      </c>
      <c r="K488" t="n">
        <v>0</v>
      </c>
      <c r="L488" s="4">
        <f>(K488-$AJ$8)/$AK$8</f>
        <v/>
      </c>
      <c r="M488" t="n">
        <v>45805</v>
      </c>
      <c r="N488">
        <f>(M488-$AJ$9)/$AK$9</f>
        <v/>
      </c>
      <c r="O488" t="n">
        <v>0.771312775</v>
      </c>
      <c r="P488">
        <f>(O488-$AJ$11)/$AK$11</f>
        <v/>
      </c>
      <c r="Q488" t="n">
        <v>0.2535</v>
      </c>
      <c r="R488">
        <f>(Q488-$AJ$12)/$AK$12</f>
        <v/>
      </c>
      <c r="S488">
        <f>F488*(R488*0.5+P488*0.5)*(H488*0.35+J488*0.35+L488*0.3)</f>
        <v/>
      </c>
      <c r="T488" s="14">
        <f>(S488-$AJ$10)/$AK$10</f>
        <v/>
      </c>
      <c r="U488">
        <f>IF(T488&gt;0.7,"High",IF(T488&gt;0.3,"Moderate",IF(T488&gt;0.15,"Low","No Impact")))</f>
        <v/>
      </c>
      <c r="V488">
        <f>F488*(R488*1)*(H488*0.35+J488*0.35+L488*0.3)</f>
        <v/>
      </c>
      <c r="W488">
        <f>(V488-$AJ$13)/$AK$13</f>
        <v/>
      </c>
      <c r="X488">
        <f>IF(W488&gt;0.7,"High",IF(W488&gt;0.3,"Moderate",IF(W488&gt;0.15,"Low","No Impact")))</f>
        <v/>
      </c>
      <c r="Y488">
        <f>F488*(P488*1)*(H488*0.35+J488*0.35+L488*0.3)</f>
        <v/>
      </c>
      <c r="Z488">
        <f>(Y488-$AJ$14)/$AK$14</f>
        <v/>
      </c>
      <c r="AA488">
        <f>IF(Z488&gt;0.7,"High",IF(Z488&gt;0.3,"Moderate",IF(Z488&gt;0.15,"Low","No Impact")))</f>
        <v/>
      </c>
      <c r="AB488">
        <f>F488*(R488*0.35+P488*0.3+N488*0.35)*(H488*0.35+J488*0.35+L488*0.3)</f>
        <v/>
      </c>
      <c r="AC488">
        <f>(AB488-$AJ$15)/$AK$15</f>
        <v/>
      </c>
      <c r="AD488">
        <f>IF(AC488&gt;0.7,"High",IF(AC488&gt;0.3,"Moderate",IF(AC488&gt;0.15,"Low","No Impact")))</f>
        <v/>
      </c>
      <c r="AE488">
        <f>F488*(N488*1)*(H488*0.35+J488*0.35+L488*0.3)</f>
        <v/>
      </c>
      <c r="AF488">
        <f>(AE488-$AJ$16)/$AK$16</f>
        <v/>
      </c>
      <c r="AG488">
        <f>IF(AF488&gt;0.7,"High",IF(AF488&gt;0.3,"Moderate",IF(AF488&gt;0.15,"Low","No Impact")))</f>
        <v/>
      </c>
    </row>
    <row r="489">
      <c r="A489" t="n">
        <v>557385</v>
      </c>
      <c r="B489" t="inlineStr">
        <is>
          <t>BD557385</t>
        </is>
      </c>
      <c r="C489" t="inlineStr">
        <is>
          <t>Nilphamari</t>
        </is>
      </c>
      <c r="D489" t="inlineStr">
        <is>
          <t>Saidpur</t>
        </is>
      </c>
      <c r="E489" s="3" t="n">
        <v>5.9</v>
      </c>
      <c r="F489" s="4">
        <f>(E489-$AJ$5)/$AK$5</f>
        <v/>
      </c>
      <c r="G489" t="n">
        <v>46.663884</v>
      </c>
      <c r="H489">
        <f>(G489-$AJ$6)/$AK$6</f>
        <v/>
      </c>
      <c r="I489" t="n">
        <v>0</v>
      </c>
      <c r="J489" s="4">
        <f>(I489-$AJ$7)/$AK$7</f>
        <v/>
      </c>
      <c r="K489" t="n">
        <v>0</v>
      </c>
      <c r="L489" s="4">
        <f>(K489-$AJ$8)/$AK$8</f>
        <v/>
      </c>
      <c r="M489" t="n">
        <v>25576</v>
      </c>
      <c r="N489">
        <f>(M489-$AJ$9)/$AK$9</f>
        <v/>
      </c>
      <c r="O489" t="n">
        <v>0.745704534</v>
      </c>
      <c r="P489">
        <f>(O489-$AJ$11)/$AK$11</f>
        <v/>
      </c>
      <c r="Q489" t="n">
        <v>0.2499</v>
      </c>
      <c r="R489">
        <f>(Q489-$AJ$12)/$AK$12</f>
        <v/>
      </c>
      <c r="S489">
        <f>F489*(R489*0.5+P489*0.5)*(H489*0.35+J489*0.35+L489*0.3)</f>
        <v/>
      </c>
      <c r="T489" s="14">
        <f>(S489-$AJ$10)/$AK$10</f>
        <v/>
      </c>
      <c r="U489">
        <f>IF(T489&gt;0.7,"High",IF(T489&gt;0.3,"Moderate",IF(T489&gt;0.15,"Low","No Impact")))</f>
        <v/>
      </c>
      <c r="V489">
        <f>F489*(R489*1)*(H489*0.35+J489*0.35+L489*0.3)</f>
        <v/>
      </c>
      <c r="W489">
        <f>(V489-$AJ$13)/$AK$13</f>
        <v/>
      </c>
      <c r="X489">
        <f>IF(W489&gt;0.7,"High",IF(W489&gt;0.3,"Moderate",IF(W489&gt;0.15,"Low","No Impact")))</f>
        <v/>
      </c>
      <c r="Y489">
        <f>F489*(P489*1)*(H489*0.35+J489*0.35+L489*0.3)</f>
        <v/>
      </c>
      <c r="Z489">
        <f>(Y489-$AJ$14)/$AK$14</f>
        <v/>
      </c>
      <c r="AA489">
        <f>IF(Z489&gt;0.7,"High",IF(Z489&gt;0.3,"Moderate",IF(Z489&gt;0.15,"Low","No Impact")))</f>
        <v/>
      </c>
      <c r="AB489">
        <f>F489*(R489*0.35+P489*0.3+N489*0.35)*(H489*0.35+J489*0.35+L489*0.3)</f>
        <v/>
      </c>
      <c r="AC489">
        <f>(AB489-$AJ$15)/$AK$15</f>
        <v/>
      </c>
      <c r="AD489">
        <f>IF(AC489&gt;0.7,"High",IF(AC489&gt;0.3,"Moderate",IF(AC489&gt;0.15,"Low","No Impact")))</f>
        <v/>
      </c>
      <c r="AE489">
        <f>F489*(N489*1)*(H489*0.35+J489*0.35+L489*0.3)</f>
        <v/>
      </c>
      <c r="AF489">
        <f>(AE489-$AJ$16)/$AK$16</f>
        <v/>
      </c>
      <c r="AG489">
        <f>IF(AF489&gt;0.7,"High",IF(AF489&gt;0.3,"Moderate",IF(AF489&gt;0.15,"Low","No Impact")))</f>
        <v/>
      </c>
    </row>
    <row r="490">
      <c r="A490" t="n">
        <v>557704</v>
      </c>
      <c r="B490" t="inlineStr">
        <is>
          <t>BD557704</t>
        </is>
      </c>
      <c r="C490" t="inlineStr">
        <is>
          <t>Panchagarh</t>
        </is>
      </c>
      <c r="D490" t="inlineStr">
        <is>
          <t>Atwari</t>
        </is>
      </c>
      <c r="E490" s="3" t="n">
        <v>5.1</v>
      </c>
      <c r="F490" s="4">
        <f>(E490-$AJ$5)/$AK$5</f>
        <v/>
      </c>
      <c r="G490" t="n">
        <v>42.25505039999999</v>
      </c>
      <c r="H490">
        <f>(G490-$AJ$6)/$AK$6</f>
        <v/>
      </c>
      <c r="I490" t="n">
        <v>1.999999999999998</v>
      </c>
      <c r="J490" s="4">
        <f>(I490-$AJ$7)/$AK$7</f>
        <v/>
      </c>
      <c r="K490" t="n">
        <v>0</v>
      </c>
      <c r="L490" s="4">
        <f>(K490-$AJ$8)/$AK$8</f>
        <v/>
      </c>
      <c r="M490" t="n">
        <v>20430</v>
      </c>
      <c r="N490">
        <f>(M490-$AJ$9)/$AK$9</f>
        <v/>
      </c>
      <c r="O490" t="n">
        <v>0.734817069</v>
      </c>
      <c r="P490">
        <f>(O490-$AJ$11)/$AK$11</f>
        <v/>
      </c>
      <c r="Q490" t="n">
        <v>0.2972</v>
      </c>
      <c r="R490">
        <f>(Q490-$AJ$12)/$AK$12</f>
        <v/>
      </c>
      <c r="S490">
        <f>F490*(R490*0.5+P490*0.5)*(H490*0.35+J490*0.35+L490*0.3)</f>
        <v/>
      </c>
      <c r="T490" s="14">
        <f>(S490-$AJ$10)/$AK$10</f>
        <v/>
      </c>
      <c r="U490">
        <f>IF(T490&gt;0.7,"High",IF(T490&gt;0.3,"Moderate",IF(T490&gt;0.15,"Low","No Impact")))</f>
        <v/>
      </c>
      <c r="V490">
        <f>F490*(R490*1)*(H490*0.35+J490*0.35+L490*0.3)</f>
        <v/>
      </c>
      <c r="W490">
        <f>(V490-$AJ$13)/$AK$13</f>
        <v/>
      </c>
      <c r="X490">
        <f>IF(W490&gt;0.7,"High",IF(W490&gt;0.3,"Moderate",IF(W490&gt;0.15,"Low","No Impact")))</f>
        <v/>
      </c>
      <c r="Y490">
        <f>F490*(P490*1)*(H490*0.35+J490*0.35+L490*0.3)</f>
        <v/>
      </c>
      <c r="Z490">
        <f>(Y490-$AJ$14)/$AK$14</f>
        <v/>
      </c>
      <c r="AA490">
        <f>IF(Z490&gt;0.7,"High",IF(Z490&gt;0.3,"Moderate",IF(Z490&gt;0.15,"Low","No Impact")))</f>
        <v/>
      </c>
      <c r="AB490">
        <f>F490*(R490*0.35+P490*0.3+N490*0.35)*(H490*0.35+J490*0.35+L490*0.3)</f>
        <v/>
      </c>
      <c r="AC490">
        <f>(AB490-$AJ$15)/$AK$15</f>
        <v/>
      </c>
      <c r="AD490">
        <f>IF(AC490&gt;0.7,"High",IF(AC490&gt;0.3,"Moderate",IF(AC490&gt;0.15,"Low","No Impact")))</f>
        <v/>
      </c>
      <c r="AE490">
        <f>F490*(N490*1)*(H490*0.35+J490*0.35+L490*0.3)</f>
        <v/>
      </c>
      <c r="AF490">
        <f>(AE490-$AJ$16)/$AK$16</f>
        <v/>
      </c>
      <c r="AG490">
        <f>IF(AF490&gt;0.7,"High",IF(AF490&gt;0.3,"Moderate",IF(AF490&gt;0.15,"Low","No Impact")))</f>
        <v/>
      </c>
    </row>
    <row r="491">
      <c r="A491" t="n">
        <v>557725</v>
      </c>
      <c r="B491" t="inlineStr">
        <is>
          <t>BD557725</t>
        </is>
      </c>
      <c r="C491" t="inlineStr">
        <is>
          <t>Panchagarh</t>
        </is>
      </c>
      <c r="D491" t="inlineStr">
        <is>
          <t>Boda</t>
        </is>
      </c>
      <c r="E491" s="3" t="n">
        <v>5.3</v>
      </c>
      <c r="F491" s="4">
        <f>(E491-$AJ$5)/$AK$5</f>
        <v/>
      </c>
      <c r="G491" t="n">
        <v>41.2744284</v>
      </c>
      <c r="H491">
        <f>(G491-$AJ$6)/$AK$6</f>
        <v/>
      </c>
      <c r="I491" t="n">
        <v>0.1999999999999988</v>
      </c>
      <c r="J491" s="4">
        <f>(I491-$AJ$7)/$AK$7</f>
        <v/>
      </c>
      <c r="K491" t="n">
        <v>0</v>
      </c>
      <c r="L491" s="4">
        <f>(K491-$AJ$8)/$AK$8</f>
        <v/>
      </c>
      <c r="M491" t="n">
        <v>33064</v>
      </c>
      <c r="N491">
        <f>(M491-$AJ$9)/$AK$9</f>
        <v/>
      </c>
      <c r="O491" t="n">
        <v>0.424701867</v>
      </c>
      <c r="P491">
        <f>(O491-$AJ$11)/$AK$11</f>
        <v/>
      </c>
      <c r="Q491" t="n">
        <v>0.3097</v>
      </c>
      <c r="R491">
        <f>(Q491-$AJ$12)/$AK$12</f>
        <v/>
      </c>
      <c r="S491">
        <f>F491*(R491*0.5+P491*0.5)*(H491*0.35+J491*0.35+L491*0.3)</f>
        <v/>
      </c>
      <c r="T491" s="14">
        <f>(S491-$AJ$10)/$AK$10</f>
        <v/>
      </c>
      <c r="U491">
        <f>IF(T491&gt;0.7,"High",IF(T491&gt;0.3,"Moderate",IF(T491&gt;0.15,"Low","No Impact")))</f>
        <v/>
      </c>
      <c r="V491">
        <f>F491*(R491*1)*(H491*0.35+J491*0.35+L491*0.3)</f>
        <v/>
      </c>
      <c r="W491">
        <f>(V491-$AJ$13)/$AK$13</f>
        <v/>
      </c>
      <c r="X491">
        <f>IF(W491&gt;0.7,"High",IF(W491&gt;0.3,"Moderate",IF(W491&gt;0.15,"Low","No Impact")))</f>
        <v/>
      </c>
      <c r="Y491">
        <f>F491*(P491*1)*(H491*0.35+J491*0.35+L491*0.3)</f>
        <v/>
      </c>
      <c r="Z491">
        <f>(Y491-$AJ$14)/$AK$14</f>
        <v/>
      </c>
      <c r="AA491">
        <f>IF(Z491&gt;0.7,"High",IF(Z491&gt;0.3,"Moderate",IF(Z491&gt;0.15,"Low","No Impact")))</f>
        <v/>
      </c>
      <c r="AB491">
        <f>F491*(R491*0.35+P491*0.3+N491*0.35)*(H491*0.35+J491*0.35+L491*0.3)</f>
        <v/>
      </c>
      <c r="AC491">
        <f>(AB491-$AJ$15)/$AK$15</f>
        <v/>
      </c>
      <c r="AD491">
        <f>IF(AC491&gt;0.7,"High",IF(AC491&gt;0.3,"Moderate",IF(AC491&gt;0.15,"Low","No Impact")))</f>
        <v/>
      </c>
      <c r="AE491">
        <f>F491*(N491*1)*(H491*0.35+J491*0.35+L491*0.3)</f>
        <v/>
      </c>
      <c r="AF491">
        <f>(AE491-$AJ$16)/$AK$16</f>
        <v/>
      </c>
      <c r="AG491">
        <f>IF(AF491&gt;0.7,"High",IF(AF491&gt;0.3,"Moderate",IF(AF491&gt;0.15,"Low","No Impact")))</f>
        <v/>
      </c>
    </row>
    <row r="492">
      <c r="A492" t="n">
        <v>557734</v>
      </c>
      <c r="B492" t="inlineStr">
        <is>
          <t>BD557734</t>
        </is>
      </c>
      <c r="C492" t="inlineStr">
        <is>
          <t>Panchagarh</t>
        </is>
      </c>
      <c r="D492" t="inlineStr">
        <is>
          <t>Debiganj</t>
        </is>
      </c>
      <c r="E492" s="3" t="n">
        <v>5.3</v>
      </c>
      <c r="F492" s="4">
        <f>(E492-$AJ$5)/$AK$5</f>
        <v/>
      </c>
      <c r="G492" t="n">
        <v>41.2744284</v>
      </c>
      <c r="H492">
        <f>(G492-$AJ$6)/$AK$6</f>
        <v/>
      </c>
      <c r="I492" t="n">
        <v>0.1000000000000011</v>
      </c>
      <c r="J492" s="4">
        <f>(I492-$AJ$7)/$AK$7</f>
        <v/>
      </c>
      <c r="K492" t="n">
        <v>0</v>
      </c>
      <c r="L492" s="4">
        <f>(K492-$AJ$8)/$AK$8</f>
        <v/>
      </c>
      <c r="M492" t="n">
        <v>34418</v>
      </c>
      <c r="N492">
        <f>(M492-$AJ$9)/$AK$9</f>
        <v/>
      </c>
      <c r="O492" t="n">
        <v>0.478422764</v>
      </c>
      <c r="P492">
        <f>(O492-$AJ$11)/$AK$11</f>
        <v/>
      </c>
      <c r="Q492" t="n">
        <v>0.27</v>
      </c>
      <c r="R492">
        <f>(Q492-$AJ$12)/$AK$12</f>
        <v/>
      </c>
      <c r="S492">
        <f>F492*(R492*0.5+P492*0.5)*(H492*0.35+J492*0.35+L492*0.3)</f>
        <v/>
      </c>
      <c r="T492" s="14">
        <f>(S492-$AJ$10)/$AK$10</f>
        <v/>
      </c>
      <c r="U492">
        <f>IF(T492&gt;0.7,"High",IF(T492&gt;0.3,"Moderate",IF(T492&gt;0.15,"Low","No Impact")))</f>
        <v/>
      </c>
      <c r="V492">
        <f>F492*(R492*1)*(H492*0.35+J492*0.35+L492*0.3)</f>
        <v/>
      </c>
      <c r="W492">
        <f>(V492-$AJ$13)/$AK$13</f>
        <v/>
      </c>
      <c r="X492">
        <f>IF(W492&gt;0.7,"High",IF(W492&gt;0.3,"Moderate",IF(W492&gt;0.15,"Low","No Impact")))</f>
        <v/>
      </c>
      <c r="Y492">
        <f>F492*(P492*1)*(H492*0.35+J492*0.35+L492*0.3)</f>
        <v/>
      </c>
      <c r="Z492">
        <f>(Y492-$AJ$14)/$AK$14</f>
        <v/>
      </c>
      <c r="AA492">
        <f>IF(Z492&gt;0.7,"High",IF(Z492&gt;0.3,"Moderate",IF(Z492&gt;0.15,"Low","No Impact")))</f>
        <v/>
      </c>
      <c r="AB492">
        <f>F492*(R492*0.35+P492*0.3+N492*0.35)*(H492*0.35+J492*0.35+L492*0.3)</f>
        <v/>
      </c>
      <c r="AC492">
        <f>(AB492-$AJ$15)/$AK$15</f>
        <v/>
      </c>
      <c r="AD492">
        <f>IF(AC492&gt;0.7,"High",IF(AC492&gt;0.3,"Moderate",IF(AC492&gt;0.15,"Low","No Impact")))</f>
        <v/>
      </c>
      <c r="AE492">
        <f>F492*(N492*1)*(H492*0.35+J492*0.35+L492*0.3)</f>
        <v/>
      </c>
      <c r="AF492">
        <f>(AE492-$AJ$16)/$AK$16</f>
        <v/>
      </c>
      <c r="AG492">
        <f>IF(AF492&gt;0.7,"High",IF(AF492&gt;0.3,"Moderate",IF(AF492&gt;0.15,"Low","No Impact")))</f>
        <v/>
      </c>
    </row>
    <row r="493">
      <c r="A493" t="n">
        <v>557773</v>
      </c>
      <c r="B493" t="inlineStr">
        <is>
          <t>BD557773</t>
        </is>
      </c>
      <c r="C493" t="inlineStr">
        <is>
          <t>Panchagarh</t>
        </is>
      </c>
      <c r="D493" t="inlineStr">
        <is>
          <t>Panchagarh Sadar</t>
        </is>
      </c>
      <c r="E493" s="3" t="n">
        <v>5.5</v>
      </c>
      <c r="F493" s="4">
        <f>(E493-$AJ$5)/$AK$5</f>
        <v/>
      </c>
      <c r="G493" t="n">
        <v>41.2744284</v>
      </c>
      <c r="H493">
        <f>(G493-$AJ$6)/$AK$6</f>
        <v/>
      </c>
      <c r="I493" t="n">
        <v>2.000000000000002</v>
      </c>
      <c r="J493" s="4">
        <f>(I493-$AJ$7)/$AK$7</f>
        <v/>
      </c>
      <c r="K493" t="n">
        <v>0</v>
      </c>
      <c r="L493" s="4">
        <f>(K493-$AJ$8)/$AK$8</f>
        <v/>
      </c>
      <c r="M493" t="n">
        <v>44101</v>
      </c>
      <c r="N493">
        <f>(M493-$AJ$9)/$AK$9</f>
        <v/>
      </c>
      <c r="O493" t="n">
        <v>0.6129968649999999</v>
      </c>
      <c r="P493">
        <f>(O493-$AJ$11)/$AK$11</f>
        <v/>
      </c>
      <c r="Q493" t="n">
        <v>0.3017</v>
      </c>
      <c r="R493">
        <f>(Q493-$AJ$12)/$AK$12</f>
        <v/>
      </c>
      <c r="S493">
        <f>F493*(R493*0.5+P493*0.5)*(H493*0.35+J493*0.35+L493*0.3)</f>
        <v/>
      </c>
      <c r="T493" s="14">
        <f>(S493-$AJ$10)/$AK$10</f>
        <v/>
      </c>
      <c r="U493">
        <f>IF(T493&gt;0.7,"High",IF(T493&gt;0.3,"Moderate",IF(T493&gt;0.15,"Low","No Impact")))</f>
        <v/>
      </c>
      <c r="V493">
        <f>F493*(R493*1)*(H493*0.35+J493*0.35+L493*0.3)</f>
        <v/>
      </c>
      <c r="W493">
        <f>(V493-$AJ$13)/$AK$13</f>
        <v/>
      </c>
      <c r="X493">
        <f>IF(W493&gt;0.7,"High",IF(W493&gt;0.3,"Moderate",IF(W493&gt;0.15,"Low","No Impact")))</f>
        <v/>
      </c>
      <c r="Y493">
        <f>F493*(P493*1)*(H493*0.35+J493*0.35+L493*0.3)</f>
        <v/>
      </c>
      <c r="Z493">
        <f>(Y493-$AJ$14)/$AK$14</f>
        <v/>
      </c>
      <c r="AA493">
        <f>IF(Z493&gt;0.7,"High",IF(Z493&gt;0.3,"Moderate",IF(Z493&gt;0.15,"Low","No Impact")))</f>
        <v/>
      </c>
      <c r="AB493">
        <f>F493*(R493*0.35+P493*0.3+N493*0.35)*(H493*0.35+J493*0.35+L493*0.3)</f>
        <v/>
      </c>
      <c r="AC493">
        <f>(AB493-$AJ$15)/$AK$15</f>
        <v/>
      </c>
      <c r="AD493">
        <f>IF(AC493&gt;0.7,"High",IF(AC493&gt;0.3,"Moderate",IF(AC493&gt;0.15,"Low","No Impact")))</f>
        <v/>
      </c>
      <c r="AE493">
        <f>F493*(N493*1)*(H493*0.35+J493*0.35+L493*0.3)</f>
        <v/>
      </c>
      <c r="AF493">
        <f>(AE493-$AJ$16)/$AK$16</f>
        <v/>
      </c>
      <c r="AG493">
        <f>IF(AF493&gt;0.7,"High",IF(AF493&gt;0.3,"Moderate",IF(AF493&gt;0.15,"Low","No Impact")))</f>
        <v/>
      </c>
    </row>
    <row r="494">
      <c r="A494" t="n">
        <v>557790</v>
      </c>
      <c r="B494" t="inlineStr">
        <is>
          <t>BD557790</t>
        </is>
      </c>
      <c r="C494" t="inlineStr">
        <is>
          <t>Panchagarh</t>
        </is>
      </c>
      <c r="D494" t="inlineStr">
        <is>
          <t>Tentulia</t>
        </is>
      </c>
      <c r="E494" s="3" t="n">
        <v>5.4</v>
      </c>
      <c r="F494" s="4">
        <f>(E494-$AJ$5)/$AK$5</f>
        <v/>
      </c>
      <c r="G494" t="n">
        <v>37.84645440000001</v>
      </c>
      <c r="H494">
        <f>(G494-$AJ$6)/$AK$6</f>
        <v/>
      </c>
      <c r="I494" t="n">
        <v>8.499999999999996</v>
      </c>
      <c r="J494" s="4">
        <f>(I494-$AJ$7)/$AK$7</f>
        <v/>
      </c>
      <c r="K494" t="n">
        <v>0</v>
      </c>
      <c r="L494" s="4">
        <f>(K494-$AJ$8)/$AK$8</f>
        <v/>
      </c>
      <c r="M494" t="n">
        <v>24227</v>
      </c>
      <c r="N494">
        <f>(M494-$AJ$9)/$AK$9</f>
        <v/>
      </c>
      <c r="O494" t="n">
        <v>0.30467204</v>
      </c>
      <c r="P494">
        <f>(O494-$AJ$11)/$AK$11</f>
        <v/>
      </c>
      <c r="Q494" t="n">
        <v>0.2891</v>
      </c>
      <c r="R494">
        <f>(Q494-$AJ$12)/$AK$12</f>
        <v/>
      </c>
      <c r="S494">
        <f>F494*(R494*0.5+P494*0.5)*(H494*0.35+J494*0.35+L494*0.3)</f>
        <v/>
      </c>
      <c r="T494" s="14">
        <f>(S494-$AJ$10)/$AK$10</f>
        <v/>
      </c>
      <c r="U494">
        <f>IF(T494&gt;0.7,"High",IF(T494&gt;0.3,"Moderate",IF(T494&gt;0.15,"Low","No Impact")))</f>
        <v/>
      </c>
      <c r="V494">
        <f>F494*(R494*1)*(H494*0.35+J494*0.35+L494*0.3)</f>
        <v/>
      </c>
      <c r="W494">
        <f>(V494-$AJ$13)/$AK$13</f>
        <v/>
      </c>
      <c r="X494">
        <f>IF(W494&gt;0.7,"High",IF(W494&gt;0.3,"Moderate",IF(W494&gt;0.15,"Low","No Impact")))</f>
        <v/>
      </c>
      <c r="Y494">
        <f>F494*(P494*1)*(H494*0.35+J494*0.35+L494*0.3)</f>
        <v/>
      </c>
      <c r="Z494">
        <f>(Y494-$AJ$14)/$AK$14</f>
        <v/>
      </c>
      <c r="AA494">
        <f>IF(Z494&gt;0.7,"High",IF(Z494&gt;0.3,"Moderate",IF(Z494&gt;0.15,"Low","No Impact")))</f>
        <v/>
      </c>
      <c r="AB494">
        <f>F494*(R494*0.35+P494*0.3+N494*0.35)*(H494*0.35+J494*0.35+L494*0.3)</f>
        <v/>
      </c>
      <c r="AC494">
        <f>(AB494-$AJ$15)/$AK$15</f>
        <v/>
      </c>
      <c r="AD494">
        <f>IF(AC494&gt;0.7,"High",IF(AC494&gt;0.3,"Moderate",IF(AC494&gt;0.15,"Low","No Impact")))</f>
        <v/>
      </c>
      <c r="AE494">
        <f>F494*(N494*1)*(H494*0.35+J494*0.35+L494*0.3)</f>
        <v/>
      </c>
      <c r="AF494">
        <f>(AE494-$AJ$16)/$AK$16</f>
        <v/>
      </c>
      <c r="AG494">
        <f>IF(AF494&gt;0.7,"High",IF(AF494&gt;0.3,"Moderate",IF(AF494&gt;0.15,"Low","No Impact")))</f>
        <v/>
      </c>
    </row>
    <row r="495">
      <c r="A495" t="n">
        <v>558503</v>
      </c>
      <c r="B495" t="inlineStr">
        <is>
          <t>BD558503</t>
        </is>
      </c>
      <c r="C495" t="inlineStr">
        <is>
          <t>Rangpur</t>
        </is>
      </c>
      <c r="D495" t="inlineStr">
        <is>
          <t>Badarganj</t>
        </is>
      </c>
      <c r="E495" s="3" t="n">
        <v>6.3</v>
      </c>
      <c r="F495" s="4">
        <f>(E495-$AJ$5)/$AK$5</f>
        <v/>
      </c>
      <c r="G495" t="n">
        <v>45.0959148</v>
      </c>
      <c r="H495">
        <f>(G495-$AJ$6)/$AK$6</f>
        <v/>
      </c>
      <c r="I495" t="n">
        <v>0</v>
      </c>
      <c r="J495" s="4">
        <f>(I495-$AJ$7)/$AK$7</f>
        <v/>
      </c>
      <c r="K495" t="n">
        <v>0</v>
      </c>
      <c r="L495" s="4">
        <f>(K495-$AJ$8)/$AK$8</f>
        <v/>
      </c>
      <c r="M495" t="n">
        <v>34851</v>
      </c>
      <c r="N495">
        <f>(M495-$AJ$9)/$AK$9</f>
        <v/>
      </c>
      <c r="O495" t="n">
        <v>0.144702188</v>
      </c>
      <c r="P495">
        <f>(O495-$AJ$11)/$AK$11</f>
        <v/>
      </c>
      <c r="Q495" t="n">
        <v>0.2417</v>
      </c>
      <c r="R495">
        <f>(Q495-$AJ$12)/$AK$12</f>
        <v/>
      </c>
      <c r="S495">
        <f>F495*(R495*0.5+P495*0.5)*(H495*0.35+J495*0.35+L495*0.3)</f>
        <v/>
      </c>
      <c r="T495" s="14">
        <f>(S495-$AJ$10)/$AK$10</f>
        <v/>
      </c>
      <c r="U495">
        <f>IF(T495&gt;0.7,"High",IF(T495&gt;0.3,"Moderate",IF(T495&gt;0.15,"Low","No Impact")))</f>
        <v/>
      </c>
      <c r="V495">
        <f>F495*(R495*1)*(H495*0.35+J495*0.35+L495*0.3)</f>
        <v/>
      </c>
      <c r="W495">
        <f>(V495-$AJ$13)/$AK$13</f>
        <v/>
      </c>
      <c r="X495">
        <f>IF(W495&gt;0.7,"High",IF(W495&gt;0.3,"Moderate",IF(W495&gt;0.15,"Low","No Impact")))</f>
        <v/>
      </c>
      <c r="Y495">
        <f>F495*(P495*1)*(H495*0.35+J495*0.35+L495*0.3)</f>
        <v/>
      </c>
      <c r="Z495">
        <f>(Y495-$AJ$14)/$AK$14</f>
        <v/>
      </c>
      <c r="AA495">
        <f>IF(Z495&gt;0.7,"High",IF(Z495&gt;0.3,"Moderate",IF(Z495&gt;0.15,"Low","No Impact")))</f>
        <v/>
      </c>
      <c r="AB495">
        <f>F495*(R495*0.35+P495*0.3+N495*0.35)*(H495*0.35+J495*0.35+L495*0.3)</f>
        <v/>
      </c>
      <c r="AC495">
        <f>(AB495-$AJ$15)/$AK$15</f>
        <v/>
      </c>
      <c r="AD495">
        <f>IF(AC495&gt;0.7,"High",IF(AC495&gt;0.3,"Moderate",IF(AC495&gt;0.15,"Low","No Impact")))</f>
        <v/>
      </c>
      <c r="AE495">
        <f>F495*(N495*1)*(H495*0.35+J495*0.35+L495*0.3)</f>
        <v/>
      </c>
      <c r="AF495">
        <f>(AE495-$AJ$16)/$AK$16</f>
        <v/>
      </c>
      <c r="AG495">
        <f>IF(AF495&gt;0.7,"High",IF(AF495&gt;0.3,"Moderate",IF(AF495&gt;0.15,"Low","No Impact")))</f>
        <v/>
      </c>
    </row>
    <row r="496">
      <c r="A496" t="n">
        <v>558527</v>
      </c>
      <c r="B496" t="inlineStr">
        <is>
          <t>BD558527</t>
        </is>
      </c>
      <c r="C496" t="inlineStr">
        <is>
          <t>Rangpur</t>
        </is>
      </c>
      <c r="D496" t="inlineStr">
        <is>
          <t>Gangachara</t>
        </is>
      </c>
      <c r="E496" s="3" t="n">
        <v>6.3</v>
      </c>
      <c r="F496" s="4">
        <f>(E496-$AJ$5)/$AK$5</f>
        <v/>
      </c>
      <c r="G496" t="n">
        <v>45.0959148</v>
      </c>
      <c r="H496">
        <f>(G496-$AJ$6)/$AK$6</f>
        <v/>
      </c>
      <c r="I496" t="n">
        <v>0</v>
      </c>
      <c r="J496" s="4">
        <f>(I496-$AJ$7)/$AK$7</f>
        <v/>
      </c>
      <c r="K496" t="n">
        <v>0</v>
      </c>
      <c r="L496" s="4">
        <f>(K496-$AJ$8)/$AK$8</f>
        <v/>
      </c>
      <c r="M496" t="n">
        <v>23068</v>
      </c>
      <c r="N496">
        <f>(M496-$AJ$9)/$AK$9</f>
        <v/>
      </c>
      <c r="O496" t="n">
        <v>0.758806651</v>
      </c>
      <c r="P496">
        <f>(O496-$AJ$11)/$AK$11</f>
        <v/>
      </c>
      <c r="Q496" t="n">
        <v>0.2295</v>
      </c>
      <c r="R496">
        <f>(Q496-$AJ$12)/$AK$12</f>
        <v/>
      </c>
      <c r="S496">
        <f>F496*(R496*0.5+P496*0.5)*(H496*0.35+J496*0.35+L496*0.3)</f>
        <v/>
      </c>
      <c r="T496" s="14">
        <f>(S496-$AJ$10)/$AK$10</f>
        <v/>
      </c>
      <c r="U496">
        <f>IF(T496&gt;0.7,"High",IF(T496&gt;0.3,"Moderate",IF(T496&gt;0.15,"Low","No Impact")))</f>
        <v/>
      </c>
      <c r="V496">
        <f>F496*(R496*1)*(H496*0.35+J496*0.35+L496*0.3)</f>
        <v/>
      </c>
      <c r="W496">
        <f>(V496-$AJ$13)/$AK$13</f>
        <v/>
      </c>
      <c r="X496">
        <f>IF(W496&gt;0.7,"High",IF(W496&gt;0.3,"Moderate",IF(W496&gt;0.15,"Low","No Impact")))</f>
        <v/>
      </c>
      <c r="Y496">
        <f>F496*(P496*1)*(H496*0.35+J496*0.35+L496*0.3)</f>
        <v/>
      </c>
      <c r="Z496">
        <f>(Y496-$AJ$14)/$AK$14</f>
        <v/>
      </c>
      <c r="AA496">
        <f>IF(Z496&gt;0.7,"High",IF(Z496&gt;0.3,"Moderate",IF(Z496&gt;0.15,"Low","No Impact")))</f>
        <v/>
      </c>
      <c r="AB496">
        <f>F496*(R496*0.35+P496*0.3+N496*0.35)*(H496*0.35+J496*0.35+L496*0.3)</f>
        <v/>
      </c>
      <c r="AC496">
        <f>(AB496-$AJ$15)/$AK$15</f>
        <v/>
      </c>
      <c r="AD496">
        <f>IF(AC496&gt;0.7,"High",IF(AC496&gt;0.3,"Moderate",IF(AC496&gt;0.15,"Low","No Impact")))</f>
        <v/>
      </c>
      <c r="AE496">
        <f>F496*(N496*1)*(H496*0.35+J496*0.35+L496*0.3)</f>
        <v/>
      </c>
      <c r="AF496">
        <f>(AE496-$AJ$16)/$AK$16</f>
        <v/>
      </c>
      <c r="AG496">
        <f>IF(AF496&gt;0.7,"High",IF(AF496&gt;0.3,"Moderate",IF(AF496&gt;0.15,"Low","No Impact")))</f>
        <v/>
      </c>
    </row>
    <row r="497">
      <c r="A497" t="n">
        <v>558542</v>
      </c>
      <c r="B497" t="inlineStr">
        <is>
          <t>BD558542</t>
        </is>
      </c>
      <c r="C497" t="inlineStr">
        <is>
          <t>Rangpur</t>
        </is>
      </c>
      <c r="D497" t="inlineStr">
        <is>
          <t>Kaunia</t>
        </is>
      </c>
      <c r="E497" s="3" t="n">
        <v>6.4</v>
      </c>
      <c r="F497" s="4">
        <f>(E497-$AJ$5)/$AK$5</f>
        <v/>
      </c>
      <c r="G497" t="n">
        <v>40.7573928</v>
      </c>
      <c r="H497">
        <f>(G497-$AJ$6)/$AK$6</f>
        <v/>
      </c>
      <c r="I497" t="n">
        <v>0</v>
      </c>
      <c r="J497" s="4">
        <f>(I497-$AJ$7)/$AK$7</f>
        <v/>
      </c>
      <c r="K497" t="n">
        <v>0</v>
      </c>
      <c r="L497" s="4">
        <f>(K497-$AJ$8)/$AK$8</f>
        <v/>
      </c>
      <c r="M497" t="n">
        <v>14370</v>
      </c>
      <c r="N497">
        <f>(M497-$AJ$9)/$AK$9</f>
        <v/>
      </c>
      <c r="O497" t="n">
        <v>0.694386341</v>
      </c>
      <c r="P497">
        <f>(O497-$AJ$11)/$AK$11</f>
        <v/>
      </c>
      <c r="Q497" t="n">
        <v>0.2725</v>
      </c>
      <c r="R497">
        <f>(Q497-$AJ$12)/$AK$12</f>
        <v/>
      </c>
      <c r="S497">
        <f>F497*(R497*0.5+P497*0.5)*(H497*0.35+J497*0.35+L497*0.3)</f>
        <v/>
      </c>
      <c r="T497" s="14">
        <f>(S497-$AJ$10)/$AK$10</f>
        <v/>
      </c>
      <c r="U497">
        <f>IF(T497&gt;0.7,"High",IF(T497&gt;0.3,"Moderate",IF(T497&gt;0.15,"Low","No Impact")))</f>
        <v/>
      </c>
      <c r="V497">
        <f>F497*(R497*1)*(H497*0.35+J497*0.35+L497*0.3)</f>
        <v/>
      </c>
      <c r="W497">
        <f>(V497-$AJ$13)/$AK$13</f>
        <v/>
      </c>
      <c r="X497">
        <f>IF(W497&gt;0.7,"High",IF(W497&gt;0.3,"Moderate",IF(W497&gt;0.15,"Low","No Impact")))</f>
        <v/>
      </c>
      <c r="Y497">
        <f>F497*(P497*1)*(H497*0.35+J497*0.35+L497*0.3)</f>
        <v/>
      </c>
      <c r="Z497">
        <f>(Y497-$AJ$14)/$AK$14</f>
        <v/>
      </c>
      <c r="AA497">
        <f>IF(Z497&gt;0.7,"High",IF(Z497&gt;0.3,"Moderate",IF(Z497&gt;0.15,"Low","No Impact")))</f>
        <v/>
      </c>
      <c r="AB497">
        <f>F497*(R497*0.35+P497*0.3+N497*0.35)*(H497*0.35+J497*0.35+L497*0.3)</f>
        <v/>
      </c>
      <c r="AC497">
        <f>(AB497-$AJ$15)/$AK$15</f>
        <v/>
      </c>
      <c r="AD497">
        <f>IF(AC497&gt;0.7,"High",IF(AC497&gt;0.3,"Moderate",IF(AC497&gt;0.15,"Low","No Impact")))</f>
        <v/>
      </c>
      <c r="AE497">
        <f>F497*(N497*1)*(H497*0.35+J497*0.35+L497*0.3)</f>
        <v/>
      </c>
      <c r="AF497">
        <f>(AE497-$AJ$16)/$AK$16</f>
        <v/>
      </c>
      <c r="AG497">
        <f>IF(AF497&gt;0.7,"High",IF(AF497&gt;0.3,"Moderate",IF(AF497&gt;0.15,"Low","No Impact")))</f>
        <v/>
      </c>
    </row>
    <row r="498">
      <c r="A498" t="n">
        <v>558549</v>
      </c>
      <c r="B498" t="inlineStr">
        <is>
          <t>BD558549</t>
        </is>
      </c>
      <c r="C498" t="inlineStr">
        <is>
          <t>Rangpur</t>
        </is>
      </c>
      <c r="D498" t="inlineStr">
        <is>
          <t>Rangpur Sadar</t>
        </is>
      </c>
      <c r="E498" s="3" t="n">
        <v>6.3</v>
      </c>
      <c r="F498" s="4">
        <f>(E498-$AJ$5)/$AK$5</f>
        <v/>
      </c>
      <c r="G498" t="n">
        <v>45.0959148</v>
      </c>
      <c r="H498">
        <f>(G498-$AJ$6)/$AK$6</f>
        <v/>
      </c>
      <c r="I498" t="n">
        <v>0</v>
      </c>
      <c r="J498" s="4">
        <f>(I498-$AJ$7)/$AK$7</f>
        <v/>
      </c>
      <c r="K498" t="n">
        <v>0</v>
      </c>
      <c r="L498" s="4">
        <f>(K498-$AJ$8)/$AK$8</f>
        <v/>
      </c>
      <c r="M498" t="n">
        <v>70957</v>
      </c>
      <c r="N498">
        <f>(M498-$AJ$9)/$AK$9</f>
        <v/>
      </c>
      <c r="O498" t="n">
        <v>0.716555029</v>
      </c>
      <c r="P498">
        <f>(O498-$AJ$11)/$AK$11</f>
        <v/>
      </c>
      <c r="Q498" t="n">
        <v>0.2737</v>
      </c>
      <c r="R498">
        <f>(Q498-$AJ$12)/$AK$12</f>
        <v/>
      </c>
      <c r="S498">
        <f>F498*(R498*0.5+P498*0.5)*(H498*0.35+J498*0.35+L498*0.3)</f>
        <v/>
      </c>
      <c r="T498" s="14">
        <f>(S498-$AJ$10)/$AK$10</f>
        <v/>
      </c>
      <c r="U498">
        <f>IF(T498&gt;0.7,"High",IF(T498&gt;0.3,"Moderate",IF(T498&gt;0.15,"Low","No Impact")))</f>
        <v/>
      </c>
      <c r="V498">
        <f>F498*(R498*1)*(H498*0.35+J498*0.35+L498*0.3)</f>
        <v/>
      </c>
      <c r="W498">
        <f>(V498-$AJ$13)/$AK$13</f>
        <v/>
      </c>
      <c r="X498">
        <f>IF(W498&gt;0.7,"High",IF(W498&gt;0.3,"Moderate",IF(W498&gt;0.15,"Low","No Impact")))</f>
        <v/>
      </c>
      <c r="Y498">
        <f>F498*(P498*1)*(H498*0.35+J498*0.35+L498*0.3)</f>
        <v/>
      </c>
      <c r="Z498">
        <f>(Y498-$AJ$14)/$AK$14</f>
        <v/>
      </c>
      <c r="AA498">
        <f>IF(Z498&gt;0.7,"High",IF(Z498&gt;0.3,"Moderate",IF(Z498&gt;0.15,"Low","No Impact")))</f>
        <v/>
      </c>
      <c r="AB498">
        <f>F498*(R498*0.35+P498*0.3+N498*0.35)*(H498*0.35+J498*0.35+L498*0.3)</f>
        <v/>
      </c>
      <c r="AC498">
        <f>(AB498-$AJ$15)/$AK$15</f>
        <v/>
      </c>
      <c r="AD498">
        <f>IF(AC498&gt;0.7,"High",IF(AC498&gt;0.3,"Moderate",IF(AC498&gt;0.15,"Low","No Impact")))</f>
        <v/>
      </c>
      <c r="AE498">
        <f>F498*(N498*1)*(H498*0.35+J498*0.35+L498*0.3)</f>
        <v/>
      </c>
      <c r="AF498">
        <f>(AE498-$AJ$16)/$AK$16</f>
        <v/>
      </c>
      <c r="AG498">
        <f>IF(AF498&gt;0.7,"High",IF(AF498&gt;0.3,"Moderate",IF(AF498&gt;0.15,"Low","No Impact")))</f>
        <v/>
      </c>
    </row>
    <row r="499">
      <c r="A499" t="n">
        <v>558558</v>
      </c>
      <c r="B499" t="inlineStr">
        <is>
          <t>BD558558</t>
        </is>
      </c>
      <c r="C499" t="inlineStr">
        <is>
          <t>Rangpur</t>
        </is>
      </c>
      <c r="D499" t="inlineStr">
        <is>
          <t>Mitha Pukur</t>
        </is>
      </c>
      <c r="E499" s="3" t="n">
        <v>6.3</v>
      </c>
      <c r="F499" s="4">
        <f>(E499-$AJ$5)/$AK$5</f>
        <v/>
      </c>
      <c r="G499" t="n">
        <v>40.7573928</v>
      </c>
      <c r="H499">
        <f>(G499-$AJ$6)/$AK$6</f>
        <v/>
      </c>
      <c r="I499" t="n">
        <v>0</v>
      </c>
      <c r="J499" s="4">
        <f>(I499-$AJ$7)/$AK$7</f>
        <v/>
      </c>
      <c r="K499" t="n">
        <v>0</v>
      </c>
      <c r="L499" s="4">
        <f>(K499-$AJ$8)/$AK$8</f>
        <v/>
      </c>
      <c r="M499" t="n">
        <v>23688</v>
      </c>
      <c r="N499">
        <f>(M499-$AJ$9)/$AK$9</f>
        <v/>
      </c>
      <c r="O499" t="n">
        <v>0.657890674</v>
      </c>
      <c r="P499">
        <f>(O499-$AJ$11)/$AK$11</f>
        <v/>
      </c>
      <c r="Q499" t="n">
        <v>0.2653</v>
      </c>
      <c r="R499">
        <f>(Q499-$AJ$12)/$AK$12</f>
        <v/>
      </c>
      <c r="S499">
        <f>F499*(R499*0.5+P499*0.5)*(H499*0.35+J499*0.35+L499*0.3)</f>
        <v/>
      </c>
      <c r="T499" s="14">
        <f>(S499-$AJ$10)/$AK$10</f>
        <v/>
      </c>
      <c r="U499">
        <f>IF(T499&gt;0.7,"High",IF(T499&gt;0.3,"Moderate",IF(T499&gt;0.15,"Low","No Impact")))</f>
        <v/>
      </c>
      <c r="V499">
        <f>F499*(R499*1)*(H499*0.35+J499*0.35+L499*0.3)</f>
        <v/>
      </c>
      <c r="W499">
        <f>(V499-$AJ$13)/$AK$13</f>
        <v/>
      </c>
      <c r="X499">
        <f>IF(W499&gt;0.7,"High",IF(W499&gt;0.3,"Moderate",IF(W499&gt;0.15,"Low","No Impact")))</f>
        <v/>
      </c>
      <c r="Y499">
        <f>F499*(P499*1)*(H499*0.35+J499*0.35+L499*0.3)</f>
        <v/>
      </c>
      <c r="Z499">
        <f>(Y499-$AJ$14)/$AK$14</f>
        <v/>
      </c>
      <c r="AA499">
        <f>IF(Z499&gt;0.7,"High",IF(Z499&gt;0.3,"Moderate",IF(Z499&gt;0.15,"Low","No Impact")))</f>
        <v/>
      </c>
      <c r="AB499">
        <f>F499*(R499*0.35+P499*0.3+N499*0.35)*(H499*0.35+J499*0.35+L499*0.3)</f>
        <v/>
      </c>
      <c r="AC499">
        <f>(AB499-$AJ$15)/$AK$15</f>
        <v/>
      </c>
      <c r="AD499">
        <f>IF(AC499&gt;0.7,"High",IF(AC499&gt;0.3,"Moderate",IF(AC499&gt;0.15,"Low","No Impact")))</f>
        <v/>
      </c>
      <c r="AE499">
        <f>F499*(N499*1)*(H499*0.35+J499*0.35+L499*0.3)</f>
        <v/>
      </c>
      <c r="AF499">
        <f>(AE499-$AJ$16)/$AK$16</f>
        <v/>
      </c>
      <c r="AG499">
        <f>IF(AF499&gt;0.7,"High",IF(AF499&gt;0.3,"Moderate",IF(AF499&gt;0.15,"Low","No Impact")))</f>
        <v/>
      </c>
    </row>
    <row r="500">
      <c r="A500" t="n">
        <v>558573</v>
      </c>
      <c r="B500" t="inlineStr">
        <is>
          <t>BD558573</t>
        </is>
      </c>
      <c r="C500" t="inlineStr">
        <is>
          <t>Rangpur</t>
        </is>
      </c>
      <c r="D500" t="inlineStr">
        <is>
          <t>Pirgachha</t>
        </is>
      </c>
      <c r="E500" s="3" t="n">
        <v>6.3</v>
      </c>
      <c r="F500" s="4">
        <f>(E500-$AJ$5)/$AK$5</f>
        <v/>
      </c>
      <c r="G500" t="n">
        <v>40.7573928</v>
      </c>
      <c r="H500">
        <f>(G500-$AJ$6)/$AK$6</f>
        <v/>
      </c>
      <c r="I500" t="n">
        <v>0</v>
      </c>
      <c r="J500" s="4">
        <f>(I500-$AJ$7)/$AK$7</f>
        <v/>
      </c>
      <c r="K500" t="n">
        <v>0</v>
      </c>
      <c r="L500" s="4">
        <f>(K500-$AJ$8)/$AK$8</f>
        <v/>
      </c>
      <c r="M500" t="n">
        <v>13223</v>
      </c>
      <c r="N500">
        <f>(M500-$AJ$9)/$AK$9</f>
        <v/>
      </c>
      <c r="O500" t="n">
        <v>0.7563938529999999</v>
      </c>
      <c r="P500">
        <f>(O500-$AJ$11)/$AK$11</f>
        <v/>
      </c>
      <c r="Q500" t="n">
        <v>0.2734</v>
      </c>
      <c r="R500">
        <f>(Q500-$AJ$12)/$AK$12</f>
        <v/>
      </c>
      <c r="S500">
        <f>F500*(R500*0.5+P500*0.5)*(H500*0.35+J500*0.35+L500*0.3)</f>
        <v/>
      </c>
      <c r="T500" s="14">
        <f>(S500-$AJ$10)/$AK$10</f>
        <v/>
      </c>
      <c r="U500">
        <f>IF(T500&gt;0.7,"High",IF(T500&gt;0.3,"Moderate",IF(T500&gt;0.15,"Low","No Impact")))</f>
        <v/>
      </c>
      <c r="V500">
        <f>F500*(R500*1)*(H500*0.35+J500*0.35+L500*0.3)</f>
        <v/>
      </c>
      <c r="W500">
        <f>(V500-$AJ$13)/$AK$13</f>
        <v/>
      </c>
      <c r="X500">
        <f>IF(W500&gt;0.7,"High",IF(W500&gt;0.3,"Moderate",IF(W500&gt;0.15,"Low","No Impact")))</f>
        <v/>
      </c>
      <c r="Y500">
        <f>F500*(P500*1)*(H500*0.35+J500*0.35+L500*0.3)</f>
        <v/>
      </c>
      <c r="Z500">
        <f>(Y500-$AJ$14)/$AK$14</f>
        <v/>
      </c>
      <c r="AA500">
        <f>IF(Z500&gt;0.7,"High",IF(Z500&gt;0.3,"Moderate",IF(Z500&gt;0.15,"Low","No Impact")))</f>
        <v/>
      </c>
      <c r="AB500">
        <f>F500*(R500*0.35+P500*0.3+N500*0.35)*(H500*0.35+J500*0.35+L500*0.3)</f>
        <v/>
      </c>
      <c r="AC500">
        <f>(AB500-$AJ$15)/$AK$15</f>
        <v/>
      </c>
      <c r="AD500">
        <f>IF(AC500&gt;0.7,"High",IF(AC500&gt;0.3,"Moderate",IF(AC500&gt;0.15,"Low","No Impact")))</f>
        <v/>
      </c>
      <c r="AE500">
        <f>F500*(N500*1)*(H500*0.35+J500*0.35+L500*0.3)</f>
        <v/>
      </c>
      <c r="AF500">
        <f>(AE500-$AJ$16)/$AK$16</f>
        <v/>
      </c>
      <c r="AG500">
        <f>IF(AF500&gt;0.7,"High",IF(AF500&gt;0.3,"Moderate",IF(AF500&gt;0.15,"Low","No Impact")))</f>
        <v/>
      </c>
    </row>
    <row r="501">
      <c r="A501" t="n">
        <v>558576</v>
      </c>
      <c r="B501" t="inlineStr">
        <is>
          <t>BD558576</t>
        </is>
      </c>
      <c r="C501" t="inlineStr">
        <is>
          <t>Rangpur</t>
        </is>
      </c>
      <c r="D501" t="inlineStr">
        <is>
          <t>Pirganj</t>
        </is>
      </c>
      <c r="E501" s="3" t="n">
        <v>6.3</v>
      </c>
      <c r="F501" s="4">
        <f>(E501-$AJ$5)/$AK$5</f>
        <v/>
      </c>
      <c r="G501" t="n">
        <v>38.7410472</v>
      </c>
      <c r="H501">
        <f>(G501-$AJ$6)/$AK$6</f>
        <v/>
      </c>
      <c r="I501" t="n">
        <v>0</v>
      </c>
      <c r="J501" s="4">
        <f>(I501-$AJ$7)/$AK$7</f>
        <v/>
      </c>
      <c r="K501" t="n">
        <v>0</v>
      </c>
      <c r="L501" s="4">
        <f>(K501-$AJ$8)/$AK$8</f>
        <v/>
      </c>
      <c r="M501" t="n">
        <v>36763</v>
      </c>
      <c r="N501">
        <f>(M501-$AJ$9)/$AK$9</f>
        <v/>
      </c>
      <c r="O501" t="n">
        <v>0.776342364</v>
      </c>
      <c r="P501">
        <f>(O501-$AJ$11)/$AK$11</f>
        <v/>
      </c>
      <c r="Q501" t="n">
        <v>0.2681</v>
      </c>
      <c r="R501">
        <f>(Q501-$AJ$12)/$AK$12</f>
        <v/>
      </c>
      <c r="S501">
        <f>F501*(R501*0.5+P501*0.5)*(H501*0.35+J501*0.35+L501*0.3)</f>
        <v/>
      </c>
      <c r="T501" s="14">
        <f>(S501-$AJ$10)/$AK$10</f>
        <v/>
      </c>
      <c r="U501">
        <f>IF(T501&gt;0.7,"High",IF(T501&gt;0.3,"Moderate",IF(T501&gt;0.15,"Low","No Impact")))</f>
        <v/>
      </c>
      <c r="V501">
        <f>F501*(R501*1)*(H501*0.35+J501*0.35+L501*0.3)</f>
        <v/>
      </c>
      <c r="W501">
        <f>(V501-$AJ$13)/$AK$13</f>
        <v/>
      </c>
      <c r="X501">
        <f>IF(W501&gt;0.7,"High",IF(W501&gt;0.3,"Moderate",IF(W501&gt;0.15,"Low","No Impact")))</f>
        <v/>
      </c>
      <c r="Y501">
        <f>F501*(P501*1)*(H501*0.35+J501*0.35+L501*0.3)</f>
        <v/>
      </c>
      <c r="Z501">
        <f>(Y501-$AJ$14)/$AK$14</f>
        <v/>
      </c>
      <c r="AA501">
        <f>IF(Z501&gt;0.7,"High",IF(Z501&gt;0.3,"Moderate",IF(Z501&gt;0.15,"Low","No Impact")))</f>
        <v/>
      </c>
      <c r="AB501">
        <f>F501*(R501*0.35+P501*0.3+N501*0.35)*(H501*0.35+J501*0.35+L501*0.3)</f>
        <v/>
      </c>
      <c r="AC501">
        <f>(AB501-$AJ$15)/$AK$15</f>
        <v/>
      </c>
      <c r="AD501">
        <f>IF(AC501&gt;0.7,"High",IF(AC501&gt;0.3,"Moderate",IF(AC501&gt;0.15,"Low","No Impact")))</f>
        <v/>
      </c>
      <c r="AE501">
        <f>F501*(N501*1)*(H501*0.35+J501*0.35+L501*0.3)</f>
        <v/>
      </c>
      <c r="AF501">
        <f>(AE501-$AJ$16)/$AK$16</f>
        <v/>
      </c>
      <c r="AG501">
        <f>IF(AF501&gt;0.7,"High",IF(AF501&gt;0.3,"Moderate",IF(AF501&gt;0.15,"Low","No Impact")))</f>
        <v/>
      </c>
    </row>
    <row r="502">
      <c r="A502" t="n">
        <v>558592</v>
      </c>
      <c r="B502" t="inlineStr">
        <is>
          <t>BD558592</t>
        </is>
      </c>
      <c r="C502" t="inlineStr">
        <is>
          <t>Rangpur</t>
        </is>
      </c>
      <c r="D502" t="inlineStr">
        <is>
          <t>Taraganj</t>
        </is>
      </c>
      <c r="E502" s="3" t="n">
        <v>6</v>
      </c>
      <c r="F502" s="4">
        <f>(E502-$AJ$5)/$AK$5</f>
        <v/>
      </c>
      <c r="G502" t="n">
        <v>45.0959148</v>
      </c>
      <c r="H502">
        <f>(G502-$AJ$6)/$AK$6</f>
        <v/>
      </c>
      <c r="I502" t="n">
        <v>0</v>
      </c>
      <c r="J502" s="4">
        <f>(I502-$AJ$7)/$AK$7</f>
        <v/>
      </c>
      <c r="K502" t="n">
        <v>0</v>
      </c>
      <c r="L502" s="4">
        <f>(K502-$AJ$8)/$AK$8</f>
        <v/>
      </c>
      <c r="M502" t="n">
        <v>16160</v>
      </c>
      <c r="N502">
        <f>(M502-$AJ$9)/$AK$9</f>
        <v/>
      </c>
      <c r="O502" t="n">
        <v>0.799461177</v>
      </c>
      <c r="P502">
        <f>(O502-$AJ$11)/$AK$11</f>
        <v/>
      </c>
      <c r="Q502" t="n">
        <v>0.2752</v>
      </c>
      <c r="R502">
        <f>(Q502-$AJ$12)/$AK$12</f>
        <v/>
      </c>
      <c r="S502">
        <f>F502*(R502*0.5+P502*0.5)*(H502*0.35+J502*0.35+L502*0.3)</f>
        <v/>
      </c>
      <c r="T502" s="14">
        <f>(S502-$AJ$10)/$AK$10</f>
        <v/>
      </c>
      <c r="U502">
        <f>IF(T502&gt;0.7,"High",IF(T502&gt;0.3,"Moderate",IF(T502&gt;0.15,"Low","No Impact")))</f>
        <v/>
      </c>
      <c r="V502">
        <f>F502*(R502*1)*(H502*0.35+J502*0.35+L502*0.3)</f>
        <v/>
      </c>
      <c r="W502">
        <f>(V502-$AJ$13)/$AK$13</f>
        <v/>
      </c>
      <c r="X502">
        <f>IF(W502&gt;0.7,"High",IF(W502&gt;0.3,"Moderate",IF(W502&gt;0.15,"Low","No Impact")))</f>
        <v/>
      </c>
      <c r="Y502">
        <f>F502*(P502*1)*(H502*0.35+J502*0.35+L502*0.3)</f>
        <v/>
      </c>
      <c r="Z502">
        <f>(Y502-$AJ$14)/$AK$14</f>
        <v/>
      </c>
      <c r="AA502">
        <f>IF(Z502&gt;0.7,"High",IF(Z502&gt;0.3,"Moderate",IF(Z502&gt;0.15,"Low","No Impact")))</f>
        <v/>
      </c>
      <c r="AB502">
        <f>F502*(R502*0.35+P502*0.3+N502*0.35)*(H502*0.35+J502*0.35+L502*0.3)</f>
        <v/>
      </c>
      <c r="AC502">
        <f>(AB502-$AJ$15)/$AK$15</f>
        <v/>
      </c>
      <c r="AD502">
        <f>IF(AC502&gt;0.7,"High",IF(AC502&gt;0.3,"Moderate",IF(AC502&gt;0.15,"Low","No Impact")))</f>
        <v/>
      </c>
      <c r="AE502">
        <f>F502*(N502*1)*(H502*0.35+J502*0.35+L502*0.3)</f>
        <v/>
      </c>
      <c r="AF502">
        <f>(AE502-$AJ$16)/$AK$16</f>
        <v/>
      </c>
      <c r="AG502">
        <f>IF(AF502&gt;0.7,"High",IF(AF502&gt;0.3,"Moderate",IF(AF502&gt;0.15,"Low","No Impact")))</f>
        <v/>
      </c>
    </row>
    <row r="503">
      <c r="A503" t="n">
        <v>559408</v>
      </c>
      <c r="B503" t="inlineStr">
        <is>
          <t>BD559408</t>
        </is>
      </c>
      <c r="C503" t="inlineStr">
        <is>
          <t>Rajbari</t>
        </is>
      </c>
      <c r="D503" t="inlineStr">
        <is>
          <t>Balia Kandi</t>
        </is>
      </c>
      <c r="E503" s="3" t="n">
        <v>5.5</v>
      </c>
      <c r="F503" s="4">
        <f>(E503-$AJ$5)/$AK$5</f>
        <v/>
      </c>
      <c r="G503" t="n">
        <v>42.25505039999999</v>
      </c>
      <c r="H503">
        <f>(G503-$AJ$6)/$AK$6</f>
        <v/>
      </c>
      <c r="I503" t="n">
        <v>0.8000000000000004</v>
      </c>
      <c r="J503" s="4">
        <f>(I503-$AJ$7)/$AK$7</f>
        <v/>
      </c>
      <c r="K503" t="n">
        <v>0</v>
      </c>
      <c r="L503" s="4">
        <f>(K503-$AJ$8)/$AK$8</f>
        <v/>
      </c>
      <c r="M503" t="n">
        <v>24763</v>
      </c>
      <c r="N503">
        <f>(M503-$AJ$9)/$AK$9</f>
        <v/>
      </c>
      <c r="O503" t="n">
        <v>0.716863282</v>
      </c>
      <c r="P503">
        <f>(O503-$AJ$11)/$AK$11</f>
        <v/>
      </c>
      <c r="Q503" t="n">
        <v>0.2978</v>
      </c>
      <c r="R503">
        <f>(Q503-$AJ$12)/$AK$12</f>
        <v/>
      </c>
      <c r="S503">
        <f>F503*(R503*0.5+P503*0.5)*(H503*0.35+J503*0.35+L503*0.3)</f>
        <v/>
      </c>
      <c r="T503" s="14">
        <f>(S503-$AJ$10)/$AK$10</f>
        <v/>
      </c>
      <c r="U503">
        <f>IF(T503&gt;0.7,"High",IF(T503&gt;0.3,"Moderate",IF(T503&gt;0.15,"Low","No Impact")))</f>
        <v/>
      </c>
      <c r="V503">
        <f>F503*(R503*1)*(H503*0.35+J503*0.35+L503*0.3)</f>
        <v/>
      </c>
      <c r="W503">
        <f>(V503-$AJ$13)/$AK$13</f>
        <v/>
      </c>
      <c r="X503">
        <f>IF(W503&gt;0.7,"High",IF(W503&gt;0.3,"Moderate",IF(W503&gt;0.15,"Low","No Impact")))</f>
        <v/>
      </c>
      <c r="Y503">
        <f>F503*(P503*1)*(H503*0.35+J503*0.35+L503*0.3)</f>
        <v/>
      </c>
      <c r="Z503">
        <f>(Y503-$AJ$14)/$AK$14</f>
        <v/>
      </c>
      <c r="AA503">
        <f>IF(Z503&gt;0.7,"High",IF(Z503&gt;0.3,"Moderate",IF(Z503&gt;0.15,"Low","No Impact")))</f>
        <v/>
      </c>
      <c r="AB503">
        <f>F503*(R503*0.35+P503*0.3+N503*0.35)*(H503*0.35+J503*0.35+L503*0.3)</f>
        <v/>
      </c>
      <c r="AC503">
        <f>(AB503-$AJ$15)/$AK$15</f>
        <v/>
      </c>
      <c r="AD503">
        <f>IF(AC503&gt;0.7,"High",IF(AC503&gt;0.3,"Moderate",IF(AC503&gt;0.15,"Low","No Impact")))</f>
        <v/>
      </c>
      <c r="AE503">
        <f>F503*(N503*1)*(H503*0.35+J503*0.35+L503*0.3)</f>
        <v/>
      </c>
      <c r="AF503">
        <f>(AE503-$AJ$16)/$AK$16</f>
        <v/>
      </c>
      <c r="AG503">
        <f>IF(AF503&gt;0.7,"High",IF(AF503&gt;0.3,"Moderate",IF(AF503&gt;0.15,"Low","No Impact")))</f>
        <v/>
      </c>
    </row>
    <row r="504">
      <c r="A504" t="n">
        <v>559451</v>
      </c>
      <c r="B504" t="inlineStr">
        <is>
          <t>BD559451</t>
        </is>
      </c>
      <c r="C504" t="inlineStr">
        <is>
          <t>Thakurgaon</t>
        </is>
      </c>
      <c r="D504" t="inlineStr">
        <is>
          <t>Haripur</t>
        </is>
      </c>
      <c r="E504" s="3" t="n">
        <v>5.6</v>
      </c>
      <c r="F504" s="4">
        <f>(E504-$AJ$5)/$AK$5</f>
        <v/>
      </c>
      <c r="G504" t="n">
        <v>40.223016</v>
      </c>
      <c r="H504">
        <f>(G504-$AJ$6)/$AK$6</f>
        <v/>
      </c>
      <c r="I504" t="n">
        <v>0.09999999999999939</v>
      </c>
      <c r="J504" s="4">
        <f>(I504-$AJ$7)/$AK$7</f>
        <v/>
      </c>
      <c r="K504" t="n">
        <v>0</v>
      </c>
      <c r="L504" s="4">
        <f>(K504-$AJ$8)/$AK$8</f>
        <v/>
      </c>
      <c r="M504" t="n">
        <v>7570</v>
      </c>
      <c r="N504">
        <f>(M504-$AJ$9)/$AK$9</f>
        <v/>
      </c>
      <c r="O504" t="n">
        <v>0.451611052</v>
      </c>
      <c r="P504">
        <f>(O504-$AJ$11)/$AK$11</f>
        <v/>
      </c>
      <c r="Q504" t="n">
        <v>0.2415</v>
      </c>
      <c r="R504">
        <f>(Q504-$AJ$12)/$AK$12</f>
        <v/>
      </c>
      <c r="S504">
        <f>F504*(R504*0.5+P504*0.5)*(H504*0.35+J504*0.35+L504*0.3)</f>
        <v/>
      </c>
      <c r="T504" s="14">
        <f>(S504-$AJ$10)/$AK$10</f>
        <v/>
      </c>
      <c r="U504">
        <f>IF(T504&gt;0.7,"High",IF(T504&gt;0.3,"Moderate",IF(T504&gt;0.15,"Low","No Impact")))</f>
        <v/>
      </c>
      <c r="V504">
        <f>F504*(R504*1)*(H504*0.35+J504*0.35+L504*0.3)</f>
        <v/>
      </c>
      <c r="W504">
        <f>(V504-$AJ$13)/$AK$13</f>
        <v/>
      </c>
      <c r="X504">
        <f>IF(W504&gt;0.7,"High",IF(W504&gt;0.3,"Moderate",IF(W504&gt;0.15,"Low","No Impact")))</f>
        <v/>
      </c>
      <c r="Y504">
        <f>F504*(P504*1)*(H504*0.35+J504*0.35+L504*0.3)</f>
        <v/>
      </c>
      <c r="Z504">
        <f>(Y504-$AJ$14)/$AK$14</f>
        <v/>
      </c>
      <c r="AA504">
        <f>IF(Z504&gt;0.7,"High",IF(Z504&gt;0.3,"Moderate",IF(Z504&gt;0.15,"Low","No Impact")))</f>
        <v/>
      </c>
      <c r="AB504">
        <f>F504*(R504*0.35+P504*0.3+N504*0.35)*(H504*0.35+J504*0.35+L504*0.3)</f>
        <v/>
      </c>
      <c r="AC504">
        <f>(AB504-$AJ$15)/$AK$15</f>
        <v/>
      </c>
      <c r="AD504">
        <f>IF(AC504&gt;0.7,"High",IF(AC504&gt;0.3,"Moderate",IF(AC504&gt;0.15,"Low","No Impact")))</f>
        <v/>
      </c>
      <c r="AE504">
        <f>F504*(N504*1)*(H504*0.35+J504*0.35+L504*0.3)</f>
        <v/>
      </c>
      <c r="AF504">
        <f>(AE504-$AJ$16)/$AK$16</f>
        <v/>
      </c>
      <c r="AG504">
        <f>IF(AF504&gt;0.7,"High",IF(AF504&gt;0.3,"Moderate",IF(AF504&gt;0.15,"Low","No Impact")))</f>
        <v/>
      </c>
    </row>
    <row r="505">
      <c r="A505" t="n">
        <v>559482</v>
      </c>
      <c r="B505" t="inlineStr">
        <is>
          <t>BD559482</t>
        </is>
      </c>
      <c r="C505" t="inlineStr">
        <is>
          <t>Thakurgaon</t>
        </is>
      </c>
      <c r="D505" t="inlineStr">
        <is>
          <t>Pirganj</t>
        </is>
      </c>
      <c r="E505" s="3" t="n">
        <v>5.6</v>
      </c>
      <c r="F505" s="4">
        <f>(E505-$AJ$5)/$AK$5</f>
        <v/>
      </c>
      <c r="G505" t="n">
        <v>40.223016</v>
      </c>
      <c r="H505">
        <f>(G505-$AJ$6)/$AK$6</f>
        <v/>
      </c>
      <c r="I505" t="n">
        <v>0</v>
      </c>
      <c r="J505" s="4">
        <f>(I505-$AJ$7)/$AK$7</f>
        <v/>
      </c>
      <c r="K505" t="n">
        <v>0</v>
      </c>
      <c r="L505" s="4">
        <f>(K505-$AJ$8)/$AK$8</f>
        <v/>
      </c>
      <c r="M505" t="n">
        <v>41019</v>
      </c>
      <c r="N505">
        <f>(M505-$AJ$9)/$AK$9</f>
        <v/>
      </c>
      <c r="O505" t="n">
        <v>0.589794964</v>
      </c>
      <c r="P505">
        <f>(O505-$AJ$11)/$AK$11</f>
        <v/>
      </c>
      <c r="Q505" t="n">
        <v>0.2402</v>
      </c>
      <c r="R505">
        <f>(Q505-$AJ$12)/$AK$12</f>
        <v/>
      </c>
      <c r="S505">
        <f>F505*(R505*0.5+P505*0.5)*(H505*0.35+J505*0.35+L505*0.3)</f>
        <v/>
      </c>
      <c r="T505" s="14">
        <f>(S505-$AJ$10)/$AK$10</f>
        <v/>
      </c>
      <c r="U505">
        <f>IF(T505&gt;0.7,"High",IF(T505&gt;0.3,"Moderate",IF(T505&gt;0.15,"Low","No Impact")))</f>
        <v/>
      </c>
      <c r="V505">
        <f>F505*(R505*1)*(H505*0.35+J505*0.35+L505*0.3)</f>
        <v/>
      </c>
      <c r="W505">
        <f>(V505-$AJ$13)/$AK$13</f>
        <v/>
      </c>
      <c r="X505">
        <f>IF(W505&gt;0.7,"High",IF(W505&gt;0.3,"Moderate",IF(W505&gt;0.15,"Low","No Impact")))</f>
        <v/>
      </c>
      <c r="Y505">
        <f>F505*(P505*1)*(H505*0.35+J505*0.35+L505*0.3)</f>
        <v/>
      </c>
      <c r="Z505">
        <f>(Y505-$AJ$14)/$AK$14</f>
        <v/>
      </c>
      <c r="AA505">
        <f>IF(Z505&gt;0.7,"High",IF(Z505&gt;0.3,"Moderate",IF(Z505&gt;0.15,"Low","No Impact")))</f>
        <v/>
      </c>
      <c r="AB505">
        <f>F505*(R505*0.35+P505*0.3+N505*0.35)*(H505*0.35+J505*0.35+L505*0.3)</f>
        <v/>
      </c>
      <c r="AC505">
        <f>(AB505-$AJ$15)/$AK$15</f>
        <v/>
      </c>
      <c r="AD505">
        <f>IF(AC505&gt;0.7,"High",IF(AC505&gt;0.3,"Moderate",IF(AC505&gt;0.15,"Low","No Impact")))</f>
        <v/>
      </c>
      <c r="AE505">
        <f>F505*(N505*1)*(H505*0.35+J505*0.35+L505*0.3)</f>
        <v/>
      </c>
      <c r="AF505">
        <f>(AE505-$AJ$16)/$AK$16</f>
        <v/>
      </c>
      <c r="AG505">
        <f>IF(AF505&gt;0.7,"High",IF(AF505&gt;0.3,"Moderate",IF(AF505&gt;0.15,"Low","No Impact")))</f>
        <v/>
      </c>
    </row>
    <row r="506">
      <c r="A506" t="n">
        <v>559486</v>
      </c>
      <c r="B506" t="inlineStr">
        <is>
          <t>BD559486</t>
        </is>
      </c>
      <c r="C506" t="inlineStr">
        <is>
          <t>Thakurgaon</t>
        </is>
      </c>
      <c r="D506" t="inlineStr">
        <is>
          <t>Ranisankail</t>
        </is>
      </c>
      <c r="E506" s="3" t="n">
        <v>5.7</v>
      </c>
      <c r="F506" s="4">
        <f>(E506-$AJ$5)/$AK$5</f>
        <v/>
      </c>
      <c r="G506" t="n">
        <v>40.223016</v>
      </c>
      <c r="H506">
        <f>(G506-$AJ$6)/$AK$6</f>
        <v/>
      </c>
      <c r="I506" t="n">
        <v>0</v>
      </c>
      <c r="J506" s="4">
        <f>(I506-$AJ$7)/$AK$7</f>
        <v/>
      </c>
      <c r="K506" t="n">
        <v>0</v>
      </c>
      <c r="L506" s="4">
        <f>(K506-$AJ$8)/$AK$8</f>
        <v/>
      </c>
      <c r="M506" t="n">
        <v>19234</v>
      </c>
      <c r="N506">
        <f>(M506-$AJ$9)/$AK$9</f>
        <v/>
      </c>
      <c r="O506" t="n">
        <v>0.69294753</v>
      </c>
      <c r="P506">
        <f>(O506-$AJ$11)/$AK$11</f>
        <v/>
      </c>
      <c r="Q506" t="n">
        <v>0.2641</v>
      </c>
      <c r="R506">
        <f>(Q506-$AJ$12)/$AK$12</f>
        <v/>
      </c>
      <c r="S506">
        <f>F506*(R506*0.5+P506*0.5)*(H506*0.35+J506*0.35+L506*0.3)</f>
        <v/>
      </c>
      <c r="T506" s="14">
        <f>(S506-$AJ$10)/$AK$10</f>
        <v/>
      </c>
      <c r="U506">
        <f>IF(T506&gt;0.7,"High",IF(T506&gt;0.3,"Moderate",IF(T506&gt;0.15,"Low","No Impact")))</f>
        <v/>
      </c>
      <c r="V506">
        <f>F506*(R506*1)*(H506*0.35+J506*0.35+L506*0.3)</f>
        <v/>
      </c>
      <c r="W506">
        <f>(V506-$AJ$13)/$AK$13</f>
        <v/>
      </c>
      <c r="X506">
        <f>IF(W506&gt;0.7,"High",IF(W506&gt;0.3,"Moderate",IF(W506&gt;0.15,"Low","No Impact")))</f>
        <v/>
      </c>
      <c r="Y506">
        <f>F506*(P506*1)*(H506*0.35+J506*0.35+L506*0.3)</f>
        <v/>
      </c>
      <c r="Z506">
        <f>(Y506-$AJ$14)/$AK$14</f>
        <v/>
      </c>
      <c r="AA506">
        <f>IF(Z506&gt;0.7,"High",IF(Z506&gt;0.3,"Moderate",IF(Z506&gt;0.15,"Low","No Impact")))</f>
        <v/>
      </c>
      <c r="AB506">
        <f>F506*(R506*0.35+P506*0.3+N506*0.35)*(H506*0.35+J506*0.35+L506*0.3)</f>
        <v/>
      </c>
      <c r="AC506">
        <f>(AB506-$AJ$15)/$AK$15</f>
        <v/>
      </c>
      <c r="AD506">
        <f>IF(AC506&gt;0.7,"High",IF(AC506&gt;0.3,"Moderate",IF(AC506&gt;0.15,"Low","No Impact")))</f>
        <v/>
      </c>
      <c r="AE506">
        <f>F506*(N506*1)*(H506*0.35+J506*0.35+L506*0.3)</f>
        <v/>
      </c>
      <c r="AF506">
        <f>(AE506-$AJ$16)/$AK$16</f>
        <v/>
      </c>
      <c r="AG506">
        <f>IF(AF506&gt;0.7,"High",IF(AF506&gt;0.3,"Moderate",IF(AF506&gt;0.15,"Low","No Impact")))</f>
        <v/>
      </c>
    </row>
    <row r="507">
      <c r="A507" t="n">
        <v>559494</v>
      </c>
      <c r="B507" t="inlineStr">
        <is>
          <t>BD559494</t>
        </is>
      </c>
      <c r="C507" t="inlineStr">
        <is>
          <t>Thakurgaon</t>
        </is>
      </c>
      <c r="D507" t="inlineStr">
        <is>
          <t>Thakurgaon Sadar</t>
        </is>
      </c>
      <c r="E507" s="3" t="n">
        <v>5.7</v>
      </c>
      <c r="F507" s="4">
        <f>(E507-$AJ$5)/$AK$5</f>
        <v/>
      </c>
      <c r="G507" t="n">
        <v>42.25505039999999</v>
      </c>
      <c r="H507">
        <f>(G507-$AJ$6)/$AK$6</f>
        <v/>
      </c>
      <c r="I507" t="n">
        <v>0.400000000000001</v>
      </c>
      <c r="J507" s="4">
        <f>(I507-$AJ$7)/$AK$7</f>
        <v/>
      </c>
      <c r="K507" t="n">
        <v>0</v>
      </c>
      <c r="L507" s="4">
        <f>(K507-$AJ$8)/$AK$8</f>
        <v/>
      </c>
      <c r="M507" t="n">
        <v>95551</v>
      </c>
      <c r="N507">
        <f>(M507-$AJ$9)/$AK$9</f>
        <v/>
      </c>
      <c r="O507" t="n">
        <v>0.578791356</v>
      </c>
      <c r="P507">
        <f>(O507-$AJ$11)/$AK$11</f>
        <v/>
      </c>
      <c r="Q507" t="n">
        <v>0.2834</v>
      </c>
      <c r="R507">
        <f>(Q507-$AJ$12)/$AK$12</f>
        <v/>
      </c>
      <c r="S507">
        <f>F507*(R507*0.5+P507*0.5)*(H507*0.35+J507*0.35+L507*0.3)</f>
        <v/>
      </c>
      <c r="T507" s="14">
        <f>(S507-$AJ$10)/$AK$10</f>
        <v/>
      </c>
      <c r="U507">
        <f>IF(T507&gt;0.7,"High",IF(T507&gt;0.3,"Moderate",IF(T507&gt;0.15,"Low","No Impact")))</f>
        <v/>
      </c>
      <c r="V507">
        <f>F507*(R507*1)*(H507*0.35+J507*0.35+L507*0.3)</f>
        <v/>
      </c>
      <c r="W507">
        <f>(V507-$AJ$13)/$AK$13</f>
        <v/>
      </c>
      <c r="X507">
        <f>IF(W507&gt;0.7,"High",IF(W507&gt;0.3,"Moderate",IF(W507&gt;0.15,"Low","No Impact")))</f>
        <v/>
      </c>
      <c r="Y507">
        <f>F507*(P507*1)*(H507*0.35+J507*0.35+L507*0.3)</f>
        <v/>
      </c>
      <c r="Z507">
        <f>(Y507-$AJ$14)/$AK$14</f>
        <v/>
      </c>
      <c r="AA507">
        <f>IF(Z507&gt;0.7,"High",IF(Z507&gt;0.3,"Moderate",IF(Z507&gt;0.15,"Low","No Impact")))</f>
        <v/>
      </c>
      <c r="AB507">
        <f>F507*(R507*0.35+P507*0.3+N507*0.35)*(H507*0.35+J507*0.35+L507*0.3)</f>
        <v/>
      </c>
      <c r="AC507">
        <f>(AB507-$AJ$15)/$AK$15</f>
        <v/>
      </c>
      <c r="AD507">
        <f>IF(AC507&gt;0.7,"High",IF(AC507&gt;0.3,"Moderate",IF(AC507&gt;0.15,"Low","No Impact")))</f>
        <v/>
      </c>
      <c r="AE507">
        <f>F507*(N507*1)*(H507*0.35+J507*0.35+L507*0.3)</f>
        <v/>
      </c>
      <c r="AF507">
        <f>(AE507-$AJ$16)/$AK$16</f>
        <v/>
      </c>
      <c r="AG507">
        <f>IF(AF507&gt;0.7,"High",IF(AF507&gt;0.3,"Moderate",IF(AF507&gt;0.15,"Low","No Impact")))</f>
        <v/>
      </c>
    </row>
    <row r="508">
      <c r="A508" t="n">
        <v>603602</v>
      </c>
      <c r="B508" t="inlineStr">
        <is>
          <t>BD603602</t>
        </is>
      </c>
      <c r="C508" t="inlineStr">
        <is>
          <t>Habiganj</t>
        </is>
      </c>
      <c r="D508" t="inlineStr">
        <is>
          <t>Ajmiriganj</t>
        </is>
      </c>
      <c r="E508" s="3" t="n">
        <v>5.7</v>
      </c>
      <c r="F508" s="4">
        <f>(E508-$AJ$5)/$AK$5</f>
        <v/>
      </c>
      <c r="G508" t="n">
        <v>48.3035472</v>
      </c>
      <c r="H508">
        <f>(G508-$AJ$6)/$AK$6</f>
        <v/>
      </c>
      <c r="I508" t="n">
        <v>0.09999999999999939</v>
      </c>
      <c r="J508" s="4">
        <f>(I508-$AJ$7)/$AK$7</f>
        <v/>
      </c>
      <c r="K508" t="n">
        <v>0</v>
      </c>
      <c r="L508" s="4">
        <f>(K508-$AJ$8)/$AK$8</f>
        <v/>
      </c>
      <c r="M508" t="n">
        <v>7462</v>
      </c>
      <c r="N508">
        <f>(M508-$AJ$9)/$AK$9</f>
        <v/>
      </c>
      <c r="O508" t="n">
        <v>0.626558624</v>
      </c>
      <c r="P508">
        <f>(O508-$AJ$11)/$AK$11</f>
        <v/>
      </c>
      <c r="Q508" t="n">
        <v>0.1662</v>
      </c>
      <c r="R508">
        <f>(Q508-$AJ$12)/$AK$12</f>
        <v/>
      </c>
      <c r="S508">
        <f>F508*(R508*0.5+P508*0.5)*(H508*0.35+J508*0.35+L508*0.3)</f>
        <v/>
      </c>
      <c r="T508" s="14">
        <f>(S508-$AJ$10)/$AK$10</f>
        <v/>
      </c>
      <c r="U508">
        <f>IF(T508&gt;0.7,"High",IF(T508&gt;0.3,"Moderate",IF(T508&gt;0.15,"Low","No Impact")))</f>
        <v/>
      </c>
      <c r="V508">
        <f>F508*(R508*1)*(H508*0.35+J508*0.35+L508*0.3)</f>
        <v/>
      </c>
      <c r="W508">
        <f>(V508-$AJ$13)/$AK$13</f>
        <v/>
      </c>
      <c r="X508">
        <f>IF(W508&gt;0.7,"High",IF(W508&gt;0.3,"Moderate",IF(W508&gt;0.15,"Low","No Impact")))</f>
        <v/>
      </c>
      <c r="Y508">
        <f>F508*(P508*1)*(H508*0.35+J508*0.35+L508*0.3)</f>
        <v/>
      </c>
      <c r="Z508">
        <f>(Y508-$AJ$14)/$AK$14</f>
        <v/>
      </c>
      <c r="AA508">
        <f>IF(Z508&gt;0.7,"High",IF(Z508&gt;0.3,"Moderate",IF(Z508&gt;0.15,"Low","No Impact")))</f>
        <v/>
      </c>
      <c r="AB508">
        <f>F508*(R508*0.35+P508*0.3+N508*0.35)*(H508*0.35+J508*0.35+L508*0.3)</f>
        <v/>
      </c>
      <c r="AC508">
        <f>(AB508-$AJ$15)/$AK$15</f>
        <v/>
      </c>
      <c r="AD508">
        <f>IF(AC508&gt;0.7,"High",IF(AC508&gt;0.3,"Moderate",IF(AC508&gt;0.15,"Low","No Impact")))</f>
        <v/>
      </c>
      <c r="AE508">
        <f>F508*(N508*1)*(H508*0.35+J508*0.35+L508*0.3)</f>
        <v/>
      </c>
      <c r="AF508">
        <f>(AE508-$AJ$16)/$AK$16</f>
        <v/>
      </c>
      <c r="AG508">
        <f>IF(AF508&gt;0.7,"High",IF(AF508&gt;0.3,"Moderate",IF(AF508&gt;0.15,"Low","No Impact")))</f>
        <v/>
      </c>
    </row>
    <row r="509">
      <c r="A509" t="n">
        <v>603605</v>
      </c>
      <c r="B509" t="inlineStr">
        <is>
          <t>BD603605</t>
        </is>
      </c>
      <c r="C509" t="inlineStr">
        <is>
          <t>Habiganj</t>
        </is>
      </c>
      <c r="D509" t="inlineStr">
        <is>
          <t>Bahubal</t>
        </is>
      </c>
      <c r="E509" s="3" t="n">
        <v>5.6</v>
      </c>
      <c r="F509" s="4">
        <f>(E509-$AJ$5)/$AK$5</f>
        <v/>
      </c>
      <c r="G509" t="n">
        <v>44.4820644</v>
      </c>
      <c r="H509">
        <f>(G509-$AJ$6)/$AK$6</f>
        <v/>
      </c>
      <c r="I509" t="n">
        <v>0</v>
      </c>
      <c r="J509" s="4">
        <f>(I509-$AJ$7)/$AK$7</f>
        <v/>
      </c>
      <c r="K509" t="n">
        <v>0</v>
      </c>
      <c r="L509" s="4">
        <f>(K509-$AJ$8)/$AK$8</f>
        <v/>
      </c>
      <c r="M509" t="n">
        <v>12557</v>
      </c>
      <c r="N509">
        <f>(M509-$AJ$9)/$AK$9</f>
        <v/>
      </c>
      <c r="O509" t="n">
        <v>0.1401972</v>
      </c>
      <c r="P509">
        <f>(O509-$AJ$11)/$AK$11</f>
        <v/>
      </c>
      <c r="Q509" t="n">
        <v>0.2517</v>
      </c>
      <c r="R509">
        <f>(Q509-$AJ$12)/$AK$12</f>
        <v/>
      </c>
      <c r="S509">
        <f>F509*(R509*0.5+P509*0.5)*(H509*0.35+J509*0.35+L509*0.3)</f>
        <v/>
      </c>
      <c r="T509" s="14">
        <f>(S509-$AJ$10)/$AK$10</f>
        <v/>
      </c>
      <c r="U509">
        <f>IF(T509&gt;0.7,"High",IF(T509&gt;0.3,"Moderate",IF(T509&gt;0.15,"Low","No Impact")))</f>
        <v/>
      </c>
      <c r="V509">
        <f>F509*(R509*1)*(H509*0.35+J509*0.35+L509*0.3)</f>
        <v/>
      </c>
      <c r="W509">
        <f>(V509-$AJ$13)/$AK$13</f>
        <v/>
      </c>
      <c r="X509">
        <f>IF(W509&gt;0.7,"High",IF(W509&gt;0.3,"Moderate",IF(W509&gt;0.15,"Low","No Impact")))</f>
        <v/>
      </c>
      <c r="Y509">
        <f>F509*(P509*1)*(H509*0.35+J509*0.35+L509*0.3)</f>
        <v/>
      </c>
      <c r="Z509">
        <f>(Y509-$AJ$14)/$AK$14</f>
        <v/>
      </c>
      <c r="AA509">
        <f>IF(Z509&gt;0.7,"High",IF(Z509&gt;0.3,"Moderate",IF(Z509&gt;0.15,"Low","No Impact")))</f>
        <v/>
      </c>
      <c r="AB509">
        <f>F509*(R509*0.35+P509*0.3+N509*0.35)*(H509*0.35+J509*0.35+L509*0.3)</f>
        <v/>
      </c>
      <c r="AC509">
        <f>(AB509-$AJ$15)/$AK$15</f>
        <v/>
      </c>
      <c r="AD509">
        <f>IF(AC509&gt;0.7,"High",IF(AC509&gt;0.3,"Moderate",IF(AC509&gt;0.15,"Low","No Impact")))</f>
        <v/>
      </c>
      <c r="AE509">
        <f>F509*(N509*1)*(H509*0.35+J509*0.35+L509*0.3)</f>
        <v/>
      </c>
      <c r="AF509">
        <f>(AE509-$AJ$16)/$AK$16</f>
        <v/>
      </c>
      <c r="AG509">
        <f>IF(AF509&gt;0.7,"High",IF(AF509&gt;0.3,"Moderate",IF(AF509&gt;0.15,"Low","No Impact")))</f>
        <v/>
      </c>
    </row>
    <row r="510">
      <c r="A510" t="n">
        <v>603611</v>
      </c>
      <c r="B510" t="inlineStr">
        <is>
          <t>BD603611</t>
        </is>
      </c>
      <c r="C510" t="inlineStr">
        <is>
          <t>Habiganj</t>
        </is>
      </c>
      <c r="D510" t="inlineStr">
        <is>
          <t>Baniachong</t>
        </is>
      </c>
      <c r="E510" s="3" t="n">
        <v>5.7</v>
      </c>
      <c r="F510" s="4">
        <f>(E510-$AJ$5)/$AK$5</f>
        <v/>
      </c>
      <c r="G510" t="n">
        <v>48.3035472</v>
      </c>
      <c r="H510">
        <f>(G510-$AJ$6)/$AK$6</f>
        <v/>
      </c>
      <c r="I510" t="n">
        <v>0</v>
      </c>
      <c r="J510" s="4">
        <f>(I510-$AJ$7)/$AK$7</f>
        <v/>
      </c>
      <c r="K510" t="n">
        <v>0</v>
      </c>
      <c r="L510" s="4">
        <f>(K510-$AJ$8)/$AK$8</f>
        <v/>
      </c>
      <c r="M510" t="n">
        <v>22652</v>
      </c>
      <c r="N510">
        <f>(M510-$AJ$9)/$AK$9</f>
        <v/>
      </c>
      <c r="O510" t="n">
        <v>0.231613274</v>
      </c>
      <c r="P510">
        <f>(O510-$AJ$11)/$AK$11</f>
        <v/>
      </c>
      <c r="Q510" t="n">
        <v>0.1659</v>
      </c>
      <c r="R510">
        <f>(Q510-$AJ$12)/$AK$12</f>
        <v/>
      </c>
      <c r="S510">
        <f>F510*(R510*0.5+P510*0.5)*(H510*0.35+J510*0.35+L510*0.3)</f>
        <v/>
      </c>
      <c r="T510" s="14">
        <f>(S510-$AJ$10)/$AK$10</f>
        <v/>
      </c>
      <c r="U510">
        <f>IF(T510&gt;0.7,"High",IF(T510&gt;0.3,"Moderate",IF(T510&gt;0.15,"Low","No Impact")))</f>
        <v/>
      </c>
      <c r="V510">
        <f>F510*(R510*1)*(H510*0.35+J510*0.35+L510*0.3)</f>
        <v/>
      </c>
      <c r="W510">
        <f>(V510-$AJ$13)/$AK$13</f>
        <v/>
      </c>
      <c r="X510">
        <f>IF(W510&gt;0.7,"High",IF(W510&gt;0.3,"Moderate",IF(W510&gt;0.15,"Low","No Impact")))</f>
        <v/>
      </c>
      <c r="Y510">
        <f>F510*(P510*1)*(H510*0.35+J510*0.35+L510*0.3)</f>
        <v/>
      </c>
      <c r="Z510">
        <f>(Y510-$AJ$14)/$AK$14</f>
        <v/>
      </c>
      <c r="AA510">
        <f>IF(Z510&gt;0.7,"High",IF(Z510&gt;0.3,"Moderate",IF(Z510&gt;0.15,"Low","No Impact")))</f>
        <v/>
      </c>
      <c r="AB510">
        <f>F510*(R510*0.35+P510*0.3+N510*0.35)*(H510*0.35+J510*0.35+L510*0.3)</f>
        <v/>
      </c>
      <c r="AC510">
        <f>(AB510-$AJ$15)/$AK$15</f>
        <v/>
      </c>
      <c r="AD510">
        <f>IF(AC510&gt;0.7,"High",IF(AC510&gt;0.3,"Moderate",IF(AC510&gt;0.15,"Low","No Impact")))</f>
        <v/>
      </c>
      <c r="AE510">
        <f>F510*(N510*1)*(H510*0.35+J510*0.35+L510*0.3)</f>
        <v/>
      </c>
      <c r="AF510">
        <f>(AE510-$AJ$16)/$AK$16</f>
        <v/>
      </c>
      <c r="AG510">
        <f>IF(AF510&gt;0.7,"High",IF(AF510&gt;0.3,"Moderate",IF(AF510&gt;0.15,"Low","No Impact")))</f>
        <v/>
      </c>
    </row>
    <row r="511">
      <c r="A511" t="n">
        <v>603626</v>
      </c>
      <c r="B511" t="inlineStr">
        <is>
          <t>BD603626</t>
        </is>
      </c>
      <c r="C511" t="inlineStr">
        <is>
          <t>Habiganj</t>
        </is>
      </c>
      <c r="D511" t="inlineStr">
        <is>
          <t>Chunarughat</t>
        </is>
      </c>
      <c r="E511" s="3" t="n">
        <v>5.2</v>
      </c>
      <c r="F511" s="4">
        <f>(E511-$AJ$5)/$AK$5</f>
        <v/>
      </c>
      <c r="G511" t="n">
        <v>42.2039376</v>
      </c>
      <c r="H511">
        <f>(G511-$AJ$6)/$AK$6</f>
        <v/>
      </c>
      <c r="I511" t="n">
        <v>0.09999999999999939</v>
      </c>
      <c r="J511" s="4">
        <f>(I511-$AJ$7)/$AK$7</f>
        <v/>
      </c>
      <c r="K511" t="n">
        <v>0</v>
      </c>
      <c r="L511" s="4">
        <f>(K511-$AJ$8)/$AK$8</f>
        <v/>
      </c>
      <c r="M511" t="n">
        <v>8086</v>
      </c>
      <c r="N511">
        <f>(M511-$AJ$9)/$AK$9</f>
        <v/>
      </c>
      <c r="O511" t="n">
        <v>0.231252856</v>
      </c>
      <c r="P511">
        <f>(O511-$AJ$11)/$AK$11</f>
        <v/>
      </c>
      <c r="Q511" t="n">
        <v>0.3009</v>
      </c>
      <c r="R511">
        <f>(Q511-$AJ$12)/$AK$12</f>
        <v/>
      </c>
      <c r="S511">
        <f>F511*(R511*0.5+P511*0.5)*(H511*0.35+J511*0.35+L511*0.3)</f>
        <v/>
      </c>
      <c r="T511" s="14">
        <f>(S511-$AJ$10)/$AK$10</f>
        <v/>
      </c>
      <c r="U511">
        <f>IF(T511&gt;0.7,"High",IF(T511&gt;0.3,"Moderate",IF(T511&gt;0.15,"Low","No Impact")))</f>
        <v/>
      </c>
      <c r="V511">
        <f>F511*(R511*1)*(H511*0.35+J511*0.35+L511*0.3)</f>
        <v/>
      </c>
      <c r="W511">
        <f>(V511-$AJ$13)/$AK$13</f>
        <v/>
      </c>
      <c r="X511">
        <f>IF(W511&gt;0.7,"High",IF(W511&gt;0.3,"Moderate",IF(W511&gt;0.15,"Low","No Impact")))</f>
        <v/>
      </c>
      <c r="Y511">
        <f>F511*(P511*1)*(H511*0.35+J511*0.35+L511*0.3)</f>
        <v/>
      </c>
      <c r="Z511">
        <f>(Y511-$AJ$14)/$AK$14</f>
        <v/>
      </c>
      <c r="AA511">
        <f>IF(Z511&gt;0.7,"High",IF(Z511&gt;0.3,"Moderate",IF(Z511&gt;0.15,"Low","No Impact")))</f>
        <v/>
      </c>
      <c r="AB511">
        <f>F511*(R511*0.35+P511*0.3+N511*0.35)*(H511*0.35+J511*0.35+L511*0.3)</f>
        <v/>
      </c>
      <c r="AC511">
        <f>(AB511-$AJ$15)/$AK$15</f>
        <v/>
      </c>
      <c r="AD511">
        <f>IF(AC511&gt;0.7,"High",IF(AC511&gt;0.3,"Moderate",IF(AC511&gt;0.15,"Low","No Impact")))</f>
        <v/>
      </c>
      <c r="AE511">
        <f>F511*(N511*1)*(H511*0.35+J511*0.35+L511*0.3)</f>
        <v/>
      </c>
      <c r="AF511">
        <f>(AE511-$AJ$16)/$AK$16</f>
        <v/>
      </c>
      <c r="AG511">
        <f>IF(AF511&gt;0.7,"High",IF(AF511&gt;0.3,"Moderate",IF(AF511&gt;0.15,"Low","No Impact")))</f>
        <v/>
      </c>
    </row>
    <row r="512">
      <c r="A512" t="n">
        <v>603644</v>
      </c>
      <c r="B512" t="inlineStr">
        <is>
          <t>BD603644</t>
        </is>
      </c>
      <c r="C512" t="inlineStr">
        <is>
          <t>Habiganj</t>
        </is>
      </c>
      <c r="D512" t="inlineStr">
        <is>
          <t>Habiganj Sadar</t>
        </is>
      </c>
      <c r="E512" s="3" t="n">
        <v>5.7</v>
      </c>
      <c r="F512" s="4">
        <f>(E512-$AJ$5)/$AK$5</f>
        <v/>
      </c>
      <c r="G512" t="n">
        <v>48.3035472</v>
      </c>
      <c r="H512">
        <f>(G512-$AJ$6)/$AK$6</f>
        <v/>
      </c>
      <c r="I512" t="n">
        <v>0</v>
      </c>
      <c r="J512" s="4">
        <f>(I512-$AJ$7)/$AK$7</f>
        <v/>
      </c>
      <c r="K512" t="n">
        <v>0</v>
      </c>
      <c r="L512" s="4">
        <f>(K512-$AJ$8)/$AK$8</f>
        <v/>
      </c>
      <c r="M512" t="n">
        <v>33136</v>
      </c>
      <c r="N512">
        <f>(M512-$AJ$9)/$AK$9</f>
        <v/>
      </c>
      <c r="O512" t="n">
        <v>0.371047424</v>
      </c>
      <c r="P512">
        <f>(O512-$AJ$11)/$AK$11</f>
        <v/>
      </c>
      <c r="Q512" t="n">
        <v>0.2009</v>
      </c>
      <c r="R512">
        <f>(Q512-$AJ$12)/$AK$12</f>
        <v/>
      </c>
      <c r="S512">
        <f>F512*(R512*0.5+P512*0.5)*(H512*0.35+J512*0.35+L512*0.3)</f>
        <v/>
      </c>
      <c r="T512" s="14">
        <f>(S512-$AJ$10)/$AK$10</f>
        <v/>
      </c>
      <c r="U512">
        <f>IF(T512&gt;0.7,"High",IF(T512&gt;0.3,"Moderate",IF(T512&gt;0.15,"Low","No Impact")))</f>
        <v/>
      </c>
      <c r="V512">
        <f>F512*(R512*1)*(H512*0.35+J512*0.35+L512*0.3)</f>
        <v/>
      </c>
      <c r="W512">
        <f>(V512-$AJ$13)/$AK$13</f>
        <v/>
      </c>
      <c r="X512">
        <f>IF(W512&gt;0.7,"High",IF(W512&gt;0.3,"Moderate",IF(W512&gt;0.15,"Low","No Impact")))</f>
        <v/>
      </c>
      <c r="Y512">
        <f>F512*(P512*1)*(H512*0.35+J512*0.35+L512*0.3)</f>
        <v/>
      </c>
      <c r="Z512">
        <f>(Y512-$AJ$14)/$AK$14</f>
        <v/>
      </c>
      <c r="AA512">
        <f>IF(Z512&gt;0.7,"High",IF(Z512&gt;0.3,"Moderate",IF(Z512&gt;0.15,"Low","No Impact")))</f>
        <v/>
      </c>
      <c r="AB512">
        <f>F512*(R512*0.35+P512*0.3+N512*0.35)*(H512*0.35+J512*0.35+L512*0.3)</f>
        <v/>
      </c>
      <c r="AC512">
        <f>(AB512-$AJ$15)/$AK$15</f>
        <v/>
      </c>
      <c r="AD512">
        <f>IF(AC512&gt;0.7,"High",IF(AC512&gt;0.3,"Moderate",IF(AC512&gt;0.15,"Low","No Impact")))</f>
        <v/>
      </c>
      <c r="AE512">
        <f>F512*(N512*1)*(H512*0.35+J512*0.35+L512*0.3)</f>
        <v/>
      </c>
      <c r="AF512">
        <f>(AE512-$AJ$16)/$AK$16</f>
        <v/>
      </c>
      <c r="AG512">
        <f>IF(AF512&gt;0.7,"High",IF(AF512&gt;0.3,"Moderate",IF(AF512&gt;0.15,"Low","No Impact")))</f>
        <v/>
      </c>
    </row>
    <row r="513">
      <c r="A513" t="n">
        <v>603668</v>
      </c>
      <c r="B513" t="inlineStr">
        <is>
          <t>BD603668</t>
        </is>
      </c>
      <c r="C513" t="inlineStr">
        <is>
          <t>Habiganj</t>
        </is>
      </c>
      <c r="D513" t="inlineStr">
        <is>
          <t>Lakhai</t>
        </is>
      </c>
      <c r="E513" s="3" t="n">
        <v>5.6</v>
      </c>
      <c r="F513" s="4">
        <f>(E513-$AJ$5)/$AK$5</f>
        <v/>
      </c>
      <c r="G513" t="n">
        <v>48.3035472</v>
      </c>
      <c r="H513">
        <f>(G513-$AJ$6)/$AK$6</f>
        <v/>
      </c>
      <c r="I513" t="n">
        <v>0.09999999999999939</v>
      </c>
      <c r="J513" s="4">
        <f>(I513-$AJ$7)/$AK$7</f>
        <v/>
      </c>
      <c r="K513" t="n">
        <v>0</v>
      </c>
      <c r="L513" s="4">
        <f>(K513-$AJ$8)/$AK$8</f>
        <v/>
      </c>
      <c r="M513" t="n">
        <v>9664</v>
      </c>
      <c r="N513">
        <f>(M513-$AJ$9)/$AK$9</f>
        <v/>
      </c>
      <c r="O513" t="n">
        <v>0.421056253</v>
      </c>
      <c r="P513">
        <f>(O513-$AJ$11)/$AK$11</f>
        <v/>
      </c>
      <c r="Q513" t="n">
        <v>0.152</v>
      </c>
      <c r="R513">
        <f>(Q513-$AJ$12)/$AK$12</f>
        <v/>
      </c>
      <c r="S513">
        <f>F513*(R513*0.5+P513*0.5)*(H513*0.35+J513*0.35+L513*0.3)</f>
        <v/>
      </c>
      <c r="T513" s="14">
        <f>(S513-$AJ$10)/$AK$10</f>
        <v/>
      </c>
      <c r="U513">
        <f>IF(T513&gt;0.7,"High",IF(T513&gt;0.3,"Moderate",IF(T513&gt;0.15,"Low","No Impact")))</f>
        <v/>
      </c>
      <c r="V513">
        <f>F513*(R513*1)*(H513*0.35+J513*0.35+L513*0.3)</f>
        <v/>
      </c>
      <c r="W513">
        <f>(V513-$AJ$13)/$AK$13</f>
        <v/>
      </c>
      <c r="X513">
        <f>IF(W513&gt;0.7,"High",IF(W513&gt;0.3,"Moderate",IF(W513&gt;0.15,"Low","No Impact")))</f>
        <v/>
      </c>
      <c r="Y513">
        <f>F513*(P513*1)*(H513*0.35+J513*0.35+L513*0.3)</f>
        <v/>
      </c>
      <c r="Z513">
        <f>(Y513-$AJ$14)/$AK$14</f>
        <v/>
      </c>
      <c r="AA513">
        <f>IF(Z513&gt;0.7,"High",IF(Z513&gt;0.3,"Moderate",IF(Z513&gt;0.15,"Low","No Impact")))</f>
        <v/>
      </c>
      <c r="AB513">
        <f>F513*(R513*0.35+P513*0.3+N513*0.35)*(H513*0.35+J513*0.35+L513*0.3)</f>
        <v/>
      </c>
      <c r="AC513">
        <f>(AB513-$AJ$15)/$AK$15</f>
        <v/>
      </c>
      <c r="AD513">
        <f>IF(AC513&gt;0.7,"High",IF(AC513&gt;0.3,"Moderate",IF(AC513&gt;0.15,"Low","No Impact")))</f>
        <v/>
      </c>
      <c r="AE513">
        <f>F513*(N513*1)*(H513*0.35+J513*0.35+L513*0.3)</f>
        <v/>
      </c>
      <c r="AF513">
        <f>(AE513-$AJ$16)/$AK$16</f>
        <v/>
      </c>
      <c r="AG513">
        <f>IF(AF513&gt;0.7,"High",IF(AF513&gt;0.3,"Moderate",IF(AF513&gt;0.15,"Low","No Impact")))</f>
        <v/>
      </c>
    </row>
    <row r="514">
      <c r="A514" t="n">
        <v>603671</v>
      </c>
      <c r="B514" t="inlineStr">
        <is>
          <t>BD603671</t>
        </is>
      </c>
      <c r="C514" t="inlineStr">
        <is>
          <t>Habiganj</t>
        </is>
      </c>
      <c r="D514" t="inlineStr">
        <is>
          <t>Madhabpur</t>
        </is>
      </c>
      <c r="E514" s="3" t="n">
        <v>5.5</v>
      </c>
      <c r="F514" s="4">
        <f>(E514-$AJ$5)/$AK$5</f>
        <v/>
      </c>
      <c r="G514" t="n">
        <v>42.2039376</v>
      </c>
      <c r="H514">
        <f>(G514-$AJ$6)/$AK$6</f>
        <v/>
      </c>
      <c r="I514" t="n">
        <v>0.2000000000000005</v>
      </c>
      <c r="J514" s="4">
        <f>(I514-$AJ$7)/$AK$7</f>
        <v/>
      </c>
      <c r="K514" t="n">
        <v>0</v>
      </c>
      <c r="L514" s="4">
        <f>(K514-$AJ$8)/$AK$8</f>
        <v/>
      </c>
      <c r="M514" t="n">
        <v>31830</v>
      </c>
      <c r="N514">
        <f>(M514-$AJ$9)/$AK$9</f>
        <v/>
      </c>
      <c r="O514" t="n">
        <v>0.46997111</v>
      </c>
      <c r="P514">
        <f>(O514-$AJ$11)/$AK$11</f>
        <v/>
      </c>
      <c r="Q514" t="n">
        <v>0.2314</v>
      </c>
      <c r="R514">
        <f>(Q514-$AJ$12)/$AK$12</f>
        <v/>
      </c>
      <c r="S514">
        <f>F514*(R514*0.5+P514*0.5)*(H514*0.35+J514*0.35+L514*0.3)</f>
        <v/>
      </c>
      <c r="T514" s="14">
        <f>(S514-$AJ$10)/$AK$10</f>
        <v/>
      </c>
      <c r="U514">
        <f>IF(T514&gt;0.7,"High",IF(T514&gt;0.3,"Moderate",IF(T514&gt;0.15,"Low","No Impact")))</f>
        <v/>
      </c>
      <c r="V514">
        <f>F514*(R514*1)*(H514*0.35+J514*0.35+L514*0.3)</f>
        <v/>
      </c>
      <c r="W514">
        <f>(V514-$AJ$13)/$AK$13</f>
        <v/>
      </c>
      <c r="X514">
        <f>IF(W514&gt;0.7,"High",IF(W514&gt;0.3,"Moderate",IF(W514&gt;0.15,"Low","No Impact")))</f>
        <v/>
      </c>
      <c r="Y514">
        <f>F514*(P514*1)*(H514*0.35+J514*0.35+L514*0.3)</f>
        <v/>
      </c>
      <c r="Z514">
        <f>(Y514-$AJ$14)/$AK$14</f>
        <v/>
      </c>
      <c r="AA514">
        <f>IF(Z514&gt;0.7,"High",IF(Z514&gt;0.3,"Moderate",IF(Z514&gt;0.15,"Low","No Impact")))</f>
        <v/>
      </c>
      <c r="AB514">
        <f>F514*(R514*0.35+P514*0.3+N514*0.35)*(H514*0.35+J514*0.35+L514*0.3)</f>
        <v/>
      </c>
      <c r="AC514">
        <f>(AB514-$AJ$15)/$AK$15</f>
        <v/>
      </c>
      <c r="AD514">
        <f>IF(AC514&gt;0.7,"High",IF(AC514&gt;0.3,"Moderate",IF(AC514&gt;0.15,"Low","No Impact")))</f>
        <v/>
      </c>
      <c r="AE514">
        <f>F514*(N514*1)*(H514*0.35+J514*0.35+L514*0.3)</f>
        <v/>
      </c>
      <c r="AF514">
        <f>(AE514-$AJ$16)/$AK$16</f>
        <v/>
      </c>
      <c r="AG514">
        <f>IF(AF514&gt;0.7,"High",IF(AF514&gt;0.3,"Moderate",IF(AF514&gt;0.15,"Low","No Impact")))</f>
        <v/>
      </c>
    </row>
    <row r="515">
      <c r="A515" t="n">
        <v>603677</v>
      </c>
      <c r="B515" t="inlineStr">
        <is>
          <t>BD603677</t>
        </is>
      </c>
      <c r="C515" t="inlineStr">
        <is>
          <t>Habiganj</t>
        </is>
      </c>
      <c r="D515" t="inlineStr">
        <is>
          <t>Nabiganj</t>
        </is>
      </c>
      <c r="E515" s="3" t="n">
        <v>5.8</v>
      </c>
      <c r="F515" s="4">
        <f>(E515-$AJ$5)/$AK$5</f>
        <v/>
      </c>
      <c r="G515" t="n">
        <v>51.2672184</v>
      </c>
      <c r="H515">
        <f>(G515-$AJ$6)/$AK$6</f>
        <v/>
      </c>
      <c r="I515" t="n">
        <v>0</v>
      </c>
      <c r="J515" s="4">
        <f>(I515-$AJ$7)/$AK$7</f>
        <v/>
      </c>
      <c r="K515" t="n">
        <v>0</v>
      </c>
      <c r="L515" s="4">
        <f>(K515-$AJ$8)/$AK$8</f>
        <v/>
      </c>
      <c r="M515" t="n">
        <v>22206</v>
      </c>
      <c r="N515">
        <f>(M515-$AJ$9)/$AK$9</f>
        <v/>
      </c>
      <c r="O515" t="n">
        <v>0.412935183</v>
      </c>
      <c r="P515">
        <f>(O515-$AJ$11)/$AK$11</f>
        <v/>
      </c>
      <c r="Q515" t="n">
        <v>0.1952</v>
      </c>
      <c r="R515">
        <f>(Q515-$AJ$12)/$AK$12</f>
        <v/>
      </c>
      <c r="S515">
        <f>F515*(R515*0.5+P515*0.5)*(H515*0.35+J515*0.35+L515*0.3)</f>
        <v/>
      </c>
      <c r="T515" s="14">
        <f>(S515-$AJ$10)/$AK$10</f>
        <v/>
      </c>
      <c r="U515">
        <f>IF(T515&gt;0.7,"High",IF(T515&gt;0.3,"Moderate",IF(T515&gt;0.15,"Low","No Impact")))</f>
        <v/>
      </c>
      <c r="V515">
        <f>F515*(R515*1)*(H515*0.35+J515*0.35+L515*0.3)</f>
        <v/>
      </c>
      <c r="W515">
        <f>(V515-$AJ$13)/$AK$13</f>
        <v/>
      </c>
      <c r="X515">
        <f>IF(W515&gt;0.7,"High",IF(W515&gt;0.3,"Moderate",IF(W515&gt;0.15,"Low","No Impact")))</f>
        <v/>
      </c>
      <c r="Y515">
        <f>F515*(P515*1)*(H515*0.35+J515*0.35+L515*0.3)</f>
        <v/>
      </c>
      <c r="Z515">
        <f>(Y515-$AJ$14)/$AK$14</f>
        <v/>
      </c>
      <c r="AA515">
        <f>IF(Z515&gt;0.7,"High",IF(Z515&gt;0.3,"Moderate",IF(Z515&gt;0.15,"Low","No Impact")))</f>
        <v/>
      </c>
      <c r="AB515">
        <f>F515*(R515*0.35+P515*0.3+N515*0.35)*(H515*0.35+J515*0.35+L515*0.3)</f>
        <v/>
      </c>
      <c r="AC515">
        <f>(AB515-$AJ$15)/$AK$15</f>
        <v/>
      </c>
      <c r="AD515">
        <f>IF(AC515&gt;0.7,"High",IF(AC515&gt;0.3,"Moderate",IF(AC515&gt;0.15,"Low","No Impact")))</f>
        <v/>
      </c>
      <c r="AE515">
        <f>F515*(N515*1)*(H515*0.35+J515*0.35+L515*0.3)</f>
        <v/>
      </c>
      <c r="AF515">
        <f>(AE515-$AJ$16)/$AK$16</f>
        <v/>
      </c>
      <c r="AG515">
        <f>IF(AF515&gt;0.7,"High",IF(AF515&gt;0.3,"Moderate",IF(AF515&gt;0.15,"Low","No Impact")))</f>
        <v/>
      </c>
    </row>
    <row r="516">
      <c r="A516" t="n">
        <v>605814</v>
      </c>
      <c r="B516" t="inlineStr">
        <is>
          <t>BD605814</t>
        </is>
      </c>
      <c r="C516" t="inlineStr">
        <is>
          <t>Maulvibazar</t>
        </is>
      </c>
      <c r="D516" t="inlineStr">
        <is>
          <t>Barlekha</t>
        </is>
      </c>
      <c r="E516" s="3" t="n">
        <v>5.4</v>
      </c>
      <c r="F516" s="4">
        <f>(E516-$AJ$5)/$AK$5</f>
        <v/>
      </c>
      <c r="G516" t="n">
        <v>46.6090164</v>
      </c>
      <c r="H516">
        <f>(G516-$AJ$6)/$AK$6</f>
        <v/>
      </c>
      <c r="I516" t="n">
        <v>0</v>
      </c>
      <c r="J516" s="4">
        <f>(I516-$AJ$7)/$AK$7</f>
        <v/>
      </c>
      <c r="K516" t="n">
        <v>0</v>
      </c>
      <c r="L516" s="4">
        <f>(K516-$AJ$8)/$AK$8</f>
        <v/>
      </c>
      <c r="M516" t="n">
        <v>18472</v>
      </c>
      <c r="N516">
        <f>(M516-$AJ$9)/$AK$9</f>
        <v/>
      </c>
      <c r="O516" t="n">
        <v>0.094888317</v>
      </c>
      <c r="P516">
        <f>(O516-$AJ$11)/$AK$11</f>
        <v/>
      </c>
      <c r="Q516" t="n">
        <v>0.2905</v>
      </c>
      <c r="R516">
        <f>(Q516-$AJ$12)/$AK$12</f>
        <v/>
      </c>
      <c r="S516">
        <f>F516*(R516*0.5+P516*0.5)*(H516*0.35+J516*0.35+L516*0.3)</f>
        <v/>
      </c>
      <c r="T516" s="14">
        <f>(S516-$AJ$10)/$AK$10</f>
        <v/>
      </c>
      <c r="U516">
        <f>IF(T516&gt;0.7,"High",IF(T516&gt;0.3,"Moderate",IF(T516&gt;0.15,"Low","No Impact")))</f>
        <v/>
      </c>
      <c r="V516">
        <f>F516*(R516*1)*(H516*0.35+J516*0.35+L516*0.3)</f>
        <v/>
      </c>
      <c r="W516">
        <f>(V516-$AJ$13)/$AK$13</f>
        <v/>
      </c>
      <c r="X516">
        <f>IF(W516&gt;0.7,"High",IF(W516&gt;0.3,"Moderate",IF(W516&gt;0.15,"Low","No Impact")))</f>
        <v/>
      </c>
      <c r="Y516">
        <f>F516*(P516*1)*(H516*0.35+J516*0.35+L516*0.3)</f>
        <v/>
      </c>
      <c r="Z516">
        <f>(Y516-$AJ$14)/$AK$14</f>
        <v/>
      </c>
      <c r="AA516">
        <f>IF(Z516&gt;0.7,"High",IF(Z516&gt;0.3,"Moderate",IF(Z516&gt;0.15,"Low","No Impact")))</f>
        <v/>
      </c>
      <c r="AB516">
        <f>F516*(R516*0.35+P516*0.3+N516*0.35)*(H516*0.35+J516*0.35+L516*0.3)</f>
        <v/>
      </c>
      <c r="AC516">
        <f>(AB516-$AJ$15)/$AK$15</f>
        <v/>
      </c>
      <c r="AD516">
        <f>IF(AC516&gt;0.7,"High",IF(AC516&gt;0.3,"Moderate",IF(AC516&gt;0.15,"Low","No Impact")))</f>
        <v/>
      </c>
      <c r="AE516">
        <f>F516*(N516*1)*(H516*0.35+J516*0.35+L516*0.3)</f>
        <v/>
      </c>
      <c r="AF516">
        <f>(AE516-$AJ$16)/$AK$16</f>
        <v/>
      </c>
      <c r="AG516">
        <f>IF(AF516&gt;0.7,"High",IF(AF516&gt;0.3,"Moderate",IF(AF516&gt;0.15,"Low","No Impact")))</f>
        <v/>
      </c>
    </row>
    <row r="517">
      <c r="A517" t="n">
        <v>605835</v>
      </c>
      <c r="B517" t="inlineStr">
        <is>
          <t>BD605835</t>
        </is>
      </c>
      <c r="C517" t="inlineStr">
        <is>
          <t>Maulvibazar</t>
        </is>
      </c>
      <c r="D517" t="inlineStr">
        <is>
          <t>Juri</t>
        </is>
      </c>
      <c r="E517" s="3" t="n">
        <v>5.4</v>
      </c>
      <c r="F517" s="4">
        <f>(E517-$AJ$5)/$AK$5</f>
        <v/>
      </c>
      <c r="G517" t="n">
        <v>46.6090164</v>
      </c>
      <c r="H517">
        <f>(G517-$AJ$6)/$AK$6</f>
        <v/>
      </c>
      <c r="I517" t="n">
        <v>0</v>
      </c>
      <c r="J517" s="4">
        <f>(I517-$AJ$7)/$AK$7</f>
        <v/>
      </c>
      <c r="K517" t="n">
        <v>0</v>
      </c>
      <c r="L517" s="4">
        <f>(K517-$AJ$8)/$AK$8</f>
        <v/>
      </c>
      <c r="M517" t="n">
        <v>9958</v>
      </c>
      <c r="N517">
        <f>(M517-$AJ$9)/$AK$9</f>
        <v/>
      </c>
      <c r="O517" t="n">
        <v>0.562651479</v>
      </c>
      <c r="P517">
        <f>(O517-$AJ$11)/$AK$11</f>
        <v/>
      </c>
      <c r="Q517" t="n">
        <v>0.3128</v>
      </c>
      <c r="R517">
        <f>(Q517-$AJ$12)/$AK$12</f>
        <v/>
      </c>
      <c r="S517">
        <f>F517*(R517*0.5+P517*0.5)*(H517*0.35+J517*0.35+L517*0.3)</f>
        <v/>
      </c>
      <c r="T517" s="14">
        <f>(S517-$AJ$10)/$AK$10</f>
        <v/>
      </c>
      <c r="U517">
        <f>IF(T517&gt;0.7,"High",IF(T517&gt;0.3,"Moderate",IF(T517&gt;0.15,"Low","No Impact")))</f>
        <v/>
      </c>
      <c r="V517">
        <f>F517*(R517*1)*(H517*0.35+J517*0.35+L517*0.3)</f>
        <v/>
      </c>
      <c r="W517">
        <f>(V517-$AJ$13)/$AK$13</f>
        <v/>
      </c>
      <c r="X517">
        <f>IF(W517&gt;0.7,"High",IF(W517&gt;0.3,"Moderate",IF(W517&gt;0.15,"Low","No Impact")))</f>
        <v/>
      </c>
      <c r="Y517">
        <f>F517*(P517*1)*(H517*0.35+J517*0.35+L517*0.3)</f>
        <v/>
      </c>
      <c r="Z517">
        <f>(Y517-$AJ$14)/$AK$14</f>
        <v/>
      </c>
      <c r="AA517">
        <f>IF(Z517&gt;0.7,"High",IF(Z517&gt;0.3,"Moderate",IF(Z517&gt;0.15,"Low","No Impact")))</f>
        <v/>
      </c>
      <c r="AB517">
        <f>F517*(R517*0.35+P517*0.3+N517*0.35)*(H517*0.35+J517*0.35+L517*0.3)</f>
        <v/>
      </c>
      <c r="AC517">
        <f>(AB517-$AJ$15)/$AK$15</f>
        <v/>
      </c>
      <c r="AD517">
        <f>IF(AC517&gt;0.7,"High",IF(AC517&gt;0.3,"Moderate",IF(AC517&gt;0.15,"Low","No Impact")))</f>
        <v/>
      </c>
      <c r="AE517">
        <f>F517*(N517*1)*(H517*0.35+J517*0.35+L517*0.3)</f>
        <v/>
      </c>
      <c r="AF517">
        <f>(AE517-$AJ$16)/$AK$16</f>
        <v/>
      </c>
      <c r="AG517">
        <f>IF(AF517&gt;0.7,"High",IF(AF517&gt;0.3,"Moderate",IF(AF517&gt;0.15,"Low","No Impact")))</f>
        <v/>
      </c>
    </row>
    <row r="518">
      <c r="A518" t="n">
        <v>605856</v>
      </c>
      <c r="B518" t="inlineStr">
        <is>
          <t>BD605856</t>
        </is>
      </c>
      <c r="C518" t="inlineStr">
        <is>
          <t>Maulvibazar</t>
        </is>
      </c>
      <c r="D518" t="inlineStr">
        <is>
          <t>Kamalganj</t>
        </is>
      </c>
      <c r="E518" s="3" t="n">
        <v>5.4</v>
      </c>
      <c r="F518" s="4">
        <f>(E518-$AJ$5)/$AK$5</f>
        <v/>
      </c>
      <c r="G518" t="n">
        <v>51.2672184</v>
      </c>
      <c r="H518">
        <f>(G518-$AJ$6)/$AK$6</f>
        <v/>
      </c>
      <c r="I518" t="n">
        <v>0</v>
      </c>
      <c r="J518" s="4">
        <f>(I518-$AJ$7)/$AK$7</f>
        <v/>
      </c>
      <c r="K518" t="n">
        <v>0</v>
      </c>
      <c r="L518" s="4">
        <f>(K518-$AJ$8)/$AK$8</f>
        <v/>
      </c>
      <c r="M518" t="n">
        <v>24711</v>
      </c>
      <c r="N518">
        <f>(M518-$AJ$9)/$AK$9</f>
        <v/>
      </c>
      <c r="O518" t="n">
        <v>0.8706411509999999</v>
      </c>
      <c r="P518">
        <f>(O518-$AJ$11)/$AK$11</f>
        <v/>
      </c>
      <c r="Q518" t="n">
        <v>0.3179</v>
      </c>
      <c r="R518">
        <f>(Q518-$AJ$12)/$AK$12</f>
        <v/>
      </c>
      <c r="S518">
        <f>F518*(R518*0.5+P518*0.5)*(H518*0.35+J518*0.35+L518*0.3)</f>
        <v/>
      </c>
      <c r="T518" s="14">
        <f>(S518-$AJ$10)/$AK$10</f>
        <v/>
      </c>
      <c r="U518">
        <f>IF(T518&gt;0.7,"High",IF(T518&gt;0.3,"Moderate",IF(T518&gt;0.15,"Low","No Impact")))</f>
        <v/>
      </c>
      <c r="V518">
        <f>F518*(R518*1)*(H518*0.35+J518*0.35+L518*0.3)</f>
        <v/>
      </c>
      <c r="W518">
        <f>(V518-$AJ$13)/$AK$13</f>
        <v/>
      </c>
      <c r="X518">
        <f>IF(W518&gt;0.7,"High",IF(W518&gt;0.3,"Moderate",IF(W518&gt;0.15,"Low","No Impact")))</f>
        <v/>
      </c>
      <c r="Y518">
        <f>F518*(P518*1)*(H518*0.35+J518*0.35+L518*0.3)</f>
        <v/>
      </c>
      <c r="Z518">
        <f>(Y518-$AJ$14)/$AK$14</f>
        <v/>
      </c>
      <c r="AA518">
        <f>IF(Z518&gt;0.7,"High",IF(Z518&gt;0.3,"Moderate",IF(Z518&gt;0.15,"Low","No Impact")))</f>
        <v/>
      </c>
      <c r="AB518">
        <f>F518*(R518*0.35+P518*0.3+N518*0.35)*(H518*0.35+J518*0.35+L518*0.3)</f>
        <v/>
      </c>
      <c r="AC518">
        <f>(AB518-$AJ$15)/$AK$15</f>
        <v/>
      </c>
      <c r="AD518">
        <f>IF(AC518&gt;0.7,"High",IF(AC518&gt;0.3,"Moderate",IF(AC518&gt;0.15,"Low","No Impact")))</f>
        <v/>
      </c>
      <c r="AE518">
        <f>F518*(N518*1)*(H518*0.35+J518*0.35+L518*0.3)</f>
        <v/>
      </c>
      <c r="AF518">
        <f>(AE518-$AJ$16)/$AK$16</f>
        <v/>
      </c>
      <c r="AG518">
        <f>IF(AF518&gt;0.7,"High",IF(AF518&gt;0.3,"Moderate",IF(AF518&gt;0.15,"Low","No Impact")))</f>
        <v/>
      </c>
    </row>
    <row r="519">
      <c r="A519" t="n">
        <v>605865</v>
      </c>
      <c r="B519" t="inlineStr">
        <is>
          <t>BD605865</t>
        </is>
      </c>
      <c r="C519" t="inlineStr">
        <is>
          <t>Maulvibazar</t>
        </is>
      </c>
      <c r="D519" t="inlineStr">
        <is>
          <t>Kulaura</t>
        </is>
      </c>
      <c r="E519" s="3" t="n">
        <v>5.3</v>
      </c>
      <c r="F519" s="4">
        <f>(E519-$AJ$5)/$AK$5</f>
        <v/>
      </c>
      <c r="G519" t="n">
        <v>46.6090164</v>
      </c>
      <c r="H519">
        <f>(G519-$AJ$6)/$AK$6</f>
        <v/>
      </c>
      <c r="I519" t="n">
        <v>0</v>
      </c>
      <c r="J519" s="4">
        <f>(I519-$AJ$7)/$AK$7</f>
        <v/>
      </c>
      <c r="K519" t="n">
        <v>0</v>
      </c>
      <c r="L519" s="4">
        <f>(K519-$AJ$8)/$AK$8</f>
        <v/>
      </c>
      <c r="M519" t="n">
        <v>33224</v>
      </c>
      <c r="N519">
        <f>(M519-$AJ$9)/$AK$9</f>
        <v/>
      </c>
      <c r="O519" t="n">
        <v>0.244596706</v>
      </c>
      <c r="P519">
        <f>(O519-$AJ$11)/$AK$11</f>
        <v/>
      </c>
      <c r="Q519" t="n">
        <v>0.2935</v>
      </c>
      <c r="R519">
        <f>(Q519-$AJ$12)/$AK$12</f>
        <v/>
      </c>
      <c r="S519">
        <f>F519*(R519*0.5+P519*0.5)*(H519*0.35+J519*0.35+L519*0.3)</f>
        <v/>
      </c>
      <c r="T519" s="14">
        <f>(S519-$AJ$10)/$AK$10</f>
        <v/>
      </c>
      <c r="U519">
        <f>IF(T519&gt;0.7,"High",IF(T519&gt;0.3,"Moderate",IF(T519&gt;0.15,"Low","No Impact")))</f>
        <v/>
      </c>
      <c r="V519">
        <f>F519*(R519*1)*(H519*0.35+J519*0.35+L519*0.3)</f>
        <v/>
      </c>
      <c r="W519">
        <f>(V519-$AJ$13)/$AK$13</f>
        <v/>
      </c>
      <c r="X519">
        <f>IF(W519&gt;0.7,"High",IF(W519&gt;0.3,"Moderate",IF(W519&gt;0.15,"Low","No Impact")))</f>
        <v/>
      </c>
      <c r="Y519">
        <f>F519*(P519*1)*(H519*0.35+J519*0.35+L519*0.3)</f>
        <v/>
      </c>
      <c r="Z519">
        <f>(Y519-$AJ$14)/$AK$14</f>
        <v/>
      </c>
      <c r="AA519">
        <f>IF(Z519&gt;0.7,"High",IF(Z519&gt;0.3,"Moderate",IF(Z519&gt;0.15,"Low","No Impact")))</f>
        <v/>
      </c>
      <c r="AB519">
        <f>F519*(R519*0.35+P519*0.3+N519*0.35)*(H519*0.35+J519*0.35+L519*0.3)</f>
        <v/>
      </c>
      <c r="AC519">
        <f>(AB519-$AJ$15)/$AK$15</f>
        <v/>
      </c>
      <c r="AD519">
        <f>IF(AC519&gt;0.7,"High",IF(AC519&gt;0.3,"Moderate",IF(AC519&gt;0.15,"Low","No Impact")))</f>
        <v/>
      </c>
      <c r="AE519">
        <f>F519*(N519*1)*(H519*0.35+J519*0.35+L519*0.3)</f>
        <v/>
      </c>
      <c r="AF519">
        <f>(AE519-$AJ$16)/$AK$16</f>
        <v/>
      </c>
      <c r="AG519">
        <f>IF(AF519&gt;0.7,"High",IF(AF519&gt;0.3,"Moderate",IF(AF519&gt;0.15,"Low","No Impact")))</f>
        <v/>
      </c>
    </row>
    <row r="520">
      <c r="A520" t="n">
        <v>605874</v>
      </c>
      <c r="B520" t="inlineStr">
        <is>
          <t>BD605874</t>
        </is>
      </c>
      <c r="C520" t="inlineStr">
        <is>
          <t>Maulvibazar</t>
        </is>
      </c>
      <c r="D520" t="inlineStr">
        <is>
          <t>Maulvi Bazar Sadar</t>
        </is>
      </c>
      <c r="E520" s="3" t="n">
        <v>5.3</v>
      </c>
      <c r="F520" s="4">
        <f>(E520-$AJ$5)/$AK$5</f>
        <v/>
      </c>
      <c r="G520" t="n">
        <v>51.2672184</v>
      </c>
      <c r="H520">
        <f>(G520-$AJ$6)/$AK$6</f>
        <v/>
      </c>
      <c r="I520" t="n">
        <v>0</v>
      </c>
      <c r="J520" s="4">
        <f>(I520-$AJ$7)/$AK$7</f>
        <v/>
      </c>
      <c r="K520" t="n">
        <v>0</v>
      </c>
      <c r="L520" s="4">
        <f>(K520-$AJ$8)/$AK$8</f>
        <v/>
      </c>
      <c r="M520" t="n">
        <v>39868</v>
      </c>
      <c r="N520">
        <f>(M520-$AJ$9)/$AK$9</f>
        <v/>
      </c>
      <c r="O520" t="n">
        <v>0.485731761</v>
      </c>
      <c r="P520">
        <f>(O520-$AJ$11)/$AK$11</f>
        <v/>
      </c>
      <c r="Q520" t="n">
        <v>0.2225</v>
      </c>
      <c r="R520">
        <f>(Q520-$AJ$12)/$AK$12</f>
        <v/>
      </c>
      <c r="S520">
        <f>F520*(R520*0.5+P520*0.5)*(H520*0.35+J520*0.35+L520*0.3)</f>
        <v/>
      </c>
      <c r="T520" s="14">
        <f>(S520-$AJ$10)/$AK$10</f>
        <v/>
      </c>
      <c r="U520">
        <f>IF(T520&gt;0.7,"High",IF(T520&gt;0.3,"Moderate",IF(T520&gt;0.15,"Low","No Impact")))</f>
        <v/>
      </c>
      <c r="V520">
        <f>F520*(R520*1)*(H520*0.35+J520*0.35+L520*0.3)</f>
        <v/>
      </c>
      <c r="W520">
        <f>(V520-$AJ$13)/$AK$13</f>
        <v/>
      </c>
      <c r="X520">
        <f>IF(W520&gt;0.7,"High",IF(W520&gt;0.3,"Moderate",IF(W520&gt;0.15,"Low","No Impact")))</f>
        <v/>
      </c>
      <c r="Y520">
        <f>F520*(P520*1)*(H520*0.35+J520*0.35+L520*0.3)</f>
        <v/>
      </c>
      <c r="Z520">
        <f>(Y520-$AJ$14)/$AK$14</f>
        <v/>
      </c>
      <c r="AA520">
        <f>IF(Z520&gt;0.7,"High",IF(Z520&gt;0.3,"Moderate",IF(Z520&gt;0.15,"Low","No Impact")))</f>
        <v/>
      </c>
      <c r="AB520">
        <f>F520*(R520*0.35+P520*0.3+N520*0.35)*(H520*0.35+J520*0.35+L520*0.3)</f>
        <v/>
      </c>
      <c r="AC520">
        <f>(AB520-$AJ$15)/$AK$15</f>
        <v/>
      </c>
      <c r="AD520">
        <f>IF(AC520&gt;0.7,"High",IF(AC520&gt;0.3,"Moderate",IF(AC520&gt;0.15,"Low","No Impact")))</f>
        <v/>
      </c>
      <c r="AE520">
        <f>F520*(N520*1)*(H520*0.35+J520*0.35+L520*0.3)</f>
        <v/>
      </c>
      <c r="AF520">
        <f>(AE520-$AJ$16)/$AK$16</f>
        <v/>
      </c>
      <c r="AG520">
        <f>IF(AF520&gt;0.7,"High",IF(AF520&gt;0.3,"Moderate",IF(AF520&gt;0.15,"Low","No Impact")))</f>
        <v/>
      </c>
    </row>
    <row r="521">
      <c r="A521" t="n">
        <v>605880</v>
      </c>
      <c r="B521" t="inlineStr">
        <is>
          <t>BD605880</t>
        </is>
      </c>
      <c r="C521" t="inlineStr">
        <is>
          <t>Maulvibazar</t>
        </is>
      </c>
      <c r="D521" t="inlineStr">
        <is>
          <t>Rajnagar</t>
        </is>
      </c>
      <c r="E521" s="3" t="n">
        <v>5.2</v>
      </c>
      <c r="F521" s="4">
        <f>(E521-$AJ$5)/$AK$5</f>
        <v/>
      </c>
      <c r="G521" t="n">
        <v>51.2672184</v>
      </c>
      <c r="H521">
        <f>(G521-$AJ$6)/$AK$6</f>
        <v/>
      </c>
      <c r="I521" t="n">
        <v>0</v>
      </c>
      <c r="J521" s="4">
        <f>(I521-$AJ$7)/$AK$7</f>
        <v/>
      </c>
      <c r="K521" t="n">
        <v>0</v>
      </c>
      <c r="L521" s="4">
        <f>(K521-$AJ$8)/$AK$8</f>
        <v/>
      </c>
      <c r="M521" t="n">
        <v>16043</v>
      </c>
      <c r="N521">
        <f>(M521-$AJ$9)/$AK$9</f>
        <v/>
      </c>
      <c r="O521" t="n">
        <v>0.239395329</v>
      </c>
      <c r="P521">
        <f>(O521-$AJ$11)/$AK$11</f>
        <v/>
      </c>
      <c r="Q521" t="n">
        <v>0.258</v>
      </c>
      <c r="R521">
        <f>(Q521-$AJ$12)/$AK$12</f>
        <v/>
      </c>
      <c r="S521">
        <f>F521*(R521*0.5+P521*0.5)*(H521*0.35+J521*0.35+L521*0.3)</f>
        <v/>
      </c>
      <c r="T521" s="14">
        <f>(S521-$AJ$10)/$AK$10</f>
        <v/>
      </c>
      <c r="U521">
        <f>IF(T521&gt;0.7,"High",IF(T521&gt;0.3,"Moderate",IF(T521&gt;0.15,"Low","No Impact")))</f>
        <v/>
      </c>
      <c r="V521">
        <f>F521*(R521*1)*(H521*0.35+J521*0.35+L521*0.3)</f>
        <v/>
      </c>
      <c r="W521">
        <f>(V521-$AJ$13)/$AK$13</f>
        <v/>
      </c>
      <c r="X521">
        <f>IF(W521&gt;0.7,"High",IF(W521&gt;0.3,"Moderate",IF(W521&gt;0.15,"Low","No Impact")))</f>
        <v/>
      </c>
      <c r="Y521">
        <f>F521*(P521*1)*(H521*0.35+J521*0.35+L521*0.3)</f>
        <v/>
      </c>
      <c r="Z521">
        <f>(Y521-$AJ$14)/$AK$14</f>
        <v/>
      </c>
      <c r="AA521">
        <f>IF(Z521&gt;0.7,"High",IF(Z521&gt;0.3,"Moderate",IF(Z521&gt;0.15,"Low","No Impact")))</f>
        <v/>
      </c>
      <c r="AB521">
        <f>F521*(R521*0.35+P521*0.3+N521*0.35)*(H521*0.35+J521*0.35+L521*0.3)</f>
        <v/>
      </c>
      <c r="AC521">
        <f>(AB521-$AJ$15)/$AK$15</f>
        <v/>
      </c>
      <c r="AD521">
        <f>IF(AC521&gt;0.7,"High",IF(AC521&gt;0.3,"Moderate",IF(AC521&gt;0.15,"Low","No Impact")))</f>
        <v/>
      </c>
      <c r="AE521">
        <f>F521*(N521*1)*(H521*0.35+J521*0.35+L521*0.3)</f>
        <v/>
      </c>
      <c r="AF521">
        <f>(AE521-$AJ$16)/$AK$16</f>
        <v/>
      </c>
      <c r="AG521">
        <f>IF(AF521&gt;0.7,"High",IF(AF521&gt;0.3,"Moderate",IF(AF521&gt;0.15,"Low","No Impact")))</f>
        <v/>
      </c>
    </row>
    <row r="522">
      <c r="A522" t="n">
        <v>605883</v>
      </c>
      <c r="B522" t="inlineStr">
        <is>
          <t>BD605883</t>
        </is>
      </c>
      <c r="C522" t="inlineStr">
        <is>
          <t>Maulvibazar</t>
        </is>
      </c>
      <c r="D522" t="inlineStr">
        <is>
          <t>Sreemangal</t>
        </is>
      </c>
      <c r="E522" s="3" t="n">
        <v>5.4</v>
      </c>
      <c r="F522" s="4">
        <f>(E522-$AJ$5)/$AK$5</f>
        <v/>
      </c>
      <c r="G522" t="n">
        <v>51.2672184</v>
      </c>
      <c r="H522">
        <f>(G522-$AJ$6)/$AK$6</f>
        <v/>
      </c>
      <c r="I522" t="n">
        <v>0</v>
      </c>
      <c r="J522" s="4">
        <f>(I522-$AJ$7)/$AK$7</f>
        <v/>
      </c>
      <c r="K522" t="n">
        <v>0</v>
      </c>
      <c r="L522" s="4">
        <f>(K522-$AJ$8)/$AK$8</f>
        <v/>
      </c>
      <c r="M522" t="n">
        <v>37332</v>
      </c>
      <c r="N522">
        <f>(M522-$AJ$9)/$AK$9</f>
        <v/>
      </c>
      <c r="O522" t="n">
        <v>0.235167651</v>
      </c>
      <c r="P522">
        <f>(O522-$AJ$11)/$AK$11</f>
        <v/>
      </c>
      <c r="Q522" t="n">
        <v>0.2986</v>
      </c>
      <c r="R522">
        <f>(Q522-$AJ$12)/$AK$12</f>
        <v/>
      </c>
      <c r="S522">
        <f>F522*(R522*0.5+P522*0.5)*(H522*0.35+J522*0.35+L522*0.3)</f>
        <v/>
      </c>
      <c r="T522" s="14">
        <f>(S522-$AJ$10)/$AK$10</f>
        <v/>
      </c>
      <c r="U522">
        <f>IF(T522&gt;0.7,"High",IF(T522&gt;0.3,"Moderate",IF(T522&gt;0.15,"Low","No Impact")))</f>
        <v/>
      </c>
      <c r="V522">
        <f>F522*(R522*1)*(H522*0.35+J522*0.35+L522*0.3)</f>
        <v/>
      </c>
      <c r="W522">
        <f>(V522-$AJ$13)/$AK$13</f>
        <v/>
      </c>
      <c r="X522">
        <f>IF(W522&gt;0.7,"High",IF(W522&gt;0.3,"Moderate",IF(W522&gt;0.15,"Low","No Impact")))</f>
        <v/>
      </c>
      <c r="Y522">
        <f>F522*(P522*1)*(H522*0.35+J522*0.35+L522*0.3)</f>
        <v/>
      </c>
      <c r="Z522">
        <f>(Y522-$AJ$14)/$AK$14</f>
        <v/>
      </c>
      <c r="AA522">
        <f>IF(Z522&gt;0.7,"High",IF(Z522&gt;0.3,"Moderate",IF(Z522&gt;0.15,"Low","No Impact")))</f>
        <v/>
      </c>
      <c r="AB522">
        <f>F522*(R522*0.35+P522*0.3+N522*0.35)*(H522*0.35+J522*0.35+L522*0.3)</f>
        <v/>
      </c>
      <c r="AC522">
        <f>(AB522-$AJ$15)/$AK$15</f>
        <v/>
      </c>
      <c r="AD522">
        <f>IF(AC522&gt;0.7,"High",IF(AC522&gt;0.3,"Moderate",IF(AC522&gt;0.15,"Low","No Impact")))</f>
        <v/>
      </c>
      <c r="AE522">
        <f>F522*(N522*1)*(H522*0.35+J522*0.35+L522*0.3)</f>
        <v/>
      </c>
      <c r="AF522">
        <f>(AE522-$AJ$16)/$AK$16</f>
        <v/>
      </c>
      <c r="AG522">
        <f>IF(AF522&gt;0.7,"High",IF(AF522&gt;0.3,"Moderate",IF(AF522&gt;0.15,"Low","No Impact")))</f>
        <v/>
      </c>
    </row>
    <row r="523">
      <c r="A523" t="n">
        <v>609018</v>
      </c>
      <c r="B523" t="inlineStr">
        <is>
          <t>BD609018</t>
        </is>
      </c>
      <c r="C523" t="inlineStr">
        <is>
          <t>Sunamganj</t>
        </is>
      </c>
      <c r="D523" t="inlineStr">
        <is>
          <t>Bishwambarpur</t>
        </is>
      </c>
      <c r="E523" s="3" t="n">
        <v>6.2</v>
      </c>
      <c r="F523" s="4">
        <f>(E523-$AJ$5)/$AK$5</f>
        <v/>
      </c>
      <c r="G523" t="n">
        <v>40.7963052</v>
      </c>
      <c r="H523">
        <f>(G523-$AJ$6)/$AK$6</f>
        <v/>
      </c>
      <c r="I523" t="n">
        <v>0</v>
      </c>
      <c r="J523" s="4">
        <f>(I523-$AJ$7)/$AK$7</f>
        <v/>
      </c>
      <c r="K523" t="n">
        <v>0</v>
      </c>
      <c r="L523" s="4">
        <f>(K523-$AJ$8)/$AK$8</f>
        <v/>
      </c>
      <c r="M523" t="n">
        <v>14050</v>
      </c>
      <c r="N523">
        <f>(M523-$AJ$9)/$AK$9</f>
        <v/>
      </c>
      <c r="O523" t="n">
        <v>0.231232801</v>
      </c>
      <c r="P523">
        <f>(O523-$AJ$11)/$AK$11</f>
        <v/>
      </c>
      <c r="Q523" t="n">
        <v>0.2333</v>
      </c>
      <c r="R523">
        <f>(Q523-$AJ$12)/$AK$12</f>
        <v/>
      </c>
      <c r="S523">
        <f>F523*(R523*0.5+P523*0.5)*(H523*0.35+J523*0.35+L523*0.3)</f>
        <v/>
      </c>
      <c r="T523" s="14">
        <f>(S523-$AJ$10)/$AK$10</f>
        <v/>
      </c>
      <c r="U523">
        <f>IF(T523&gt;0.7,"High",IF(T523&gt;0.3,"Moderate",IF(T523&gt;0.15,"Low","No Impact")))</f>
        <v/>
      </c>
      <c r="V523">
        <f>F523*(R523*1)*(H523*0.35+J523*0.35+L523*0.3)</f>
        <v/>
      </c>
      <c r="W523">
        <f>(V523-$AJ$13)/$AK$13</f>
        <v/>
      </c>
      <c r="X523">
        <f>IF(W523&gt;0.7,"High",IF(W523&gt;0.3,"Moderate",IF(W523&gt;0.15,"Low","No Impact")))</f>
        <v/>
      </c>
      <c r="Y523">
        <f>F523*(P523*1)*(H523*0.35+J523*0.35+L523*0.3)</f>
        <v/>
      </c>
      <c r="Z523">
        <f>(Y523-$AJ$14)/$AK$14</f>
        <v/>
      </c>
      <c r="AA523">
        <f>IF(Z523&gt;0.7,"High",IF(Z523&gt;0.3,"Moderate",IF(Z523&gt;0.15,"Low","No Impact")))</f>
        <v/>
      </c>
      <c r="AB523">
        <f>F523*(R523*0.35+P523*0.3+N523*0.35)*(H523*0.35+J523*0.35+L523*0.3)</f>
        <v/>
      </c>
      <c r="AC523">
        <f>(AB523-$AJ$15)/$AK$15</f>
        <v/>
      </c>
      <c r="AD523">
        <f>IF(AC523&gt;0.7,"High",IF(AC523&gt;0.3,"Moderate",IF(AC523&gt;0.15,"Low","No Impact")))</f>
        <v/>
      </c>
      <c r="AE523">
        <f>F523*(N523*1)*(H523*0.35+J523*0.35+L523*0.3)</f>
        <v/>
      </c>
      <c r="AF523">
        <f>(AE523-$AJ$16)/$AK$16</f>
        <v/>
      </c>
      <c r="AG523">
        <f>IF(AF523&gt;0.7,"High",IF(AF523&gt;0.3,"Moderate",IF(AF523&gt;0.15,"Low","No Impact")))</f>
        <v/>
      </c>
    </row>
    <row r="524">
      <c r="A524" t="n">
        <v>609023</v>
      </c>
      <c r="B524" t="inlineStr">
        <is>
          <t>BD609023</t>
        </is>
      </c>
      <c r="C524" t="inlineStr">
        <is>
          <t>Sunamganj</t>
        </is>
      </c>
      <c r="D524" t="inlineStr">
        <is>
          <t>Chhatak</t>
        </is>
      </c>
      <c r="E524" s="3" t="n">
        <v>6.5</v>
      </c>
      <c r="F524" s="4">
        <f>(E524-$AJ$5)/$AK$5</f>
        <v/>
      </c>
      <c r="G524" t="n">
        <v>45.7863588</v>
      </c>
      <c r="H524">
        <f>(G524-$AJ$6)/$AK$6</f>
        <v/>
      </c>
      <c r="I524" t="n">
        <v>0</v>
      </c>
      <c r="J524" s="4">
        <f>(I524-$AJ$7)/$AK$7</f>
        <v/>
      </c>
      <c r="K524" t="n">
        <v>0</v>
      </c>
      <c r="L524" s="4">
        <f>(K524-$AJ$8)/$AK$8</f>
        <v/>
      </c>
      <c r="M524" t="n">
        <v>23393</v>
      </c>
      <c r="N524">
        <f>(M524-$AJ$9)/$AK$9</f>
        <v/>
      </c>
      <c r="O524" t="n">
        <v>0.508062039</v>
      </c>
      <c r="P524">
        <f>(O524-$AJ$11)/$AK$11</f>
        <v/>
      </c>
      <c r="Q524" t="n">
        <v>0.214</v>
      </c>
      <c r="R524">
        <f>(Q524-$AJ$12)/$AK$12</f>
        <v/>
      </c>
      <c r="S524">
        <f>F524*(R524*0.5+P524*0.5)*(H524*0.35+J524*0.35+L524*0.3)</f>
        <v/>
      </c>
      <c r="T524" s="14">
        <f>(S524-$AJ$10)/$AK$10</f>
        <v/>
      </c>
      <c r="U524">
        <f>IF(T524&gt;0.7,"High",IF(T524&gt;0.3,"Moderate",IF(T524&gt;0.15,"Low","No Impact")))</f>
        <v/>
      </c>
      <c r="V524">
        <f>F524*(R524*1)*(H524*0.35+J524*0.35+L524*0.3)</f>
        <v/>
      </c>
      <c r="W524">
        <f>(V524-$AJ$13)/$AK$13</f>
        <v/>
      </c>
      <c r="X524">
        <f>IF(W524&gt;0.7,"High",IF(W524&gt;0.3,"Moderate",IF(W524&gt;0.15,"Low","No Impact")))</f>
        <v/>
      </c>
      <c r="Y524">
        <f>F524*(P524*1)*(H524*0.35+J524*0.35+L524*0.3)</f>
        <v/>
      </c>
      <c r="Z524">
        <f>(Y524-$AJ$14)/$AK$14</f>
        <v/>
      </c>
      <c r="AA524">
        <f>IF(Z524&gt;0.7,"High",IF(Z524&gt;0.3,"Moderate",IF(Z524&gt;0.15,"Low","No Impact")))</f>
        <v/>
      </c>
      <c r="AB524">
        <f>F524*(R524*0.35+P524*0.3+N524*0.35)*(H524*0.35+J524*0.35+L524*0.3)</f>
        <v/>
      </c>
      <c r="AC524">
        <f>(AB524-$AJ$15)/$AK$15</f>
        <v/>
      </c>
      <c r="AD524">
        <f>IF(AC524&gt;0.7,"High",IF(AC524&gt;0.3,"Moderate",IF(AC524&gt;0.15,"Low","No Impact")))</f>
        <v/>
      </c>
      <c r="AE524">
        <f>F524*(N524*1)*(H524*0.35+J524*0.35+L524*0.3)</f>
        <v/>
      </c>
      <c r="AF524">
        <f>(AE524-$AJ$16)/$AK$16</f>
        <v/>
      </c>
      <c r="AG524">
        <f>IF(AF524&gt;0.7,"High",IF(AF524&gt;0.3,"Moderate",IF(AF524&gt;0.15,"Low","No Impact")))</f>
        <v/>
      </c>
    </row>
    <row r="525">
      <c r="A525" t="n">
        <v>609027</v>
      </c>
      <c r="B525" t="inlineStr">
        <is>
          <t>BD609027</t>
        </is>
      </c>
      <c r="C525" t="inlineStr">
        <is>
          <t>Sunamganj</t>
        </is>
      </c>
      <c r="D525" t="inlineStr">
        <is>
          <t>Dakshin Sunamganj</t>
        </is>
      </c>
      <c r="E525" s="3" t="n">
        <v>6.3</v>
      </c>
      <c r="F525" s="4">
        <f>(E525-$AJ$5)/$AK$5</f>
        <v/>
      </c>
      <c r="G525" t="n">
        <v>44.7176088</v>
      </c>
      <c r="H525">
        <f>(G525-$AJ$6)/$AK$6</f>
        <v/>
      </c>
      <c r="I525" t="n">
        <v>0</v>
      </c>
      <c r="J525" s="4">
        <f>(I525-$AJ$7)/$AK$7</f>
        <v/>
      </c>
      <c r="K525" t="n">
        <v>0</v>
      </c>
      <c r="L525" s="4">
        <f>(K525-$AJ$8)/$AK$8</f>
        <v/>
      </c>
      <c r="M525" t="n">
        <v>9097</v>
      </c>
      <c r="N525">
        <f>(M525-$AJ$9)/$AK$9</f>
        <v/>
      </c>
      <c r="O525" t="n">
        <v>0.219539719</v>
      </c>
      <c r="P525">
        <f>(O525-$AJ$11)/$AK$11</f>
        <v/>
      </c>
      <c r="Q525" t="n">
        <v>0.1629</v>
      </c>
      <c r="R525">
        <f>(Q525-$AJ$12)/$AK$12</f>
        <v/>
      </c>
      <c r="S525">
        <f>F525*(R525*0.5+P525*0.5)*(H525*0.35+J525*0.35+L525*0.3)</f>
        <v/>
      </c>
      <c r="T525" s="14">
        <f>(S525-$AJ$10)/$AK$10</f>
        <v/>
      </c>
      <c r="U525">
        <f>IF(T525&gt;0.7,"High",IF(T525&gt;0.3,"Moderate",IF(T525&gt;0.15,"Low","No Impact")))</f>
        <v/>
      </c>
      <c r="V525">
        <f>F525*(R525*1)*(H525*0.35+J525*0.35+L525*0.3)</f>
        <v/>
      </c>
      <c r="W525">
        <f>(V525-$AJ$13)/$AK$13</f>
        <v/>
      </c>
      <c r="X525">
        <f>IF(W525&gt;0.7,"High",IF(W525&gt;0.3,"Moderate",IF(W525&gt;0.15,"Low","No Impact")))</f>
        <v/>
      </c>
      <c r="Y525">
        <f>F525*(P525*1)*(H525*0.35+J525*0.35+L525*0.3)</f>
        <v/>
      </c>
      <c r="Z525">
        <f>(Y525-$AJ$14)/$AK$14</f>
        <v/>
      </c>
      <c r="AA525">
        <f>IF(Z525&gt;0.7,"High",IF(Z525&gt;0.3,"Moderate",IF(Z525&gt;0.15,"Low","No Impact")))</f>
        <v/>
      </c>
      <c r="AB525">
        <f>F525*(R525*0.35+P525*0.3+N525*0.35)*(H525*0.35+J525*0.35+L525*0.3)</f>
        <v/>
      </c>
      <c r="AC525">
        <f>(AB525-$AJ$15)/$AK$15</f>
        <v/>
      </c>
      <c r="AD525">
        <f>IF(AC525&gt;0.7,"High",IF(AC525&gt;0.3,"Moderate",IF(AC525&gt;0.15,"Low","No Impact")))</f>
        <v/>
      </c>
      <c r="AE525">
        <f>F525*(N525*1)*(H525*0.35+J525*0.35+L525*0.3)</f>
        <v/>
      </c>
      <c r="AF525">
        <f>(AE525-$AJ$16)/$AK$16</f>
        <v/>
      </c>
      <c r="AG525">
        <f>IF(AF525&gt;0.7,"High",IF(AF525&gt;0.3,"Moderate",IF(AF525&gt;0.15,"Low","No Impact")))</f>
        <v/>
      </c>
    </row>
    <row r="526">
      <c r="A526" t="n">
        <v>609029</v>
      </c>
      <c r="B526" t="inlineStr">
        <is>
          <t>BD609029</t>
        </is>
      </c>
      <c r="C526" t="inlineStr">
        <is>
          <t>Sunamganj</t>
        </is>
      </c>
      <c r="D526" t="inlineStr">
        <is>
          <t>Derai</t>
        </is>
      </c>
      <c r="E526" s="3" t="n">
        <v>6.5</v>
      </c>
      <c r="F526" s="4">
        <f>(E526-$AJ$5)/$AK$5</f>
        <v/>
      </c>
      <c r="G526" t="n">
        <v>44.7176088</v>
      </c>
      <c r="H526">
        <f>(G526-$AJ$6)/$AK$6</f>
        <v/>
      </c>
      <c r="I526" t="n">
        <v>0</v>
      </c>
      <c r="J526" s="4">
        <f>(I526-$AJ$7)/$AK$7</f>
        <v/>
      </c>
      <c r="K526" t="n">
        <v>0</v>
      </c>
      <c r="L526" s="4">
        <f>(K526-$AJ$8)/$AK$8</f>
        <v/>
      </c>
      <c r="M526" t="n">
        <v>10856</v>
      </c>
      <c r="N526">
        <f>(M526-$AJ$9)/$AK$9</f>
        <v/>
      </c>
      <c r="O526" t="n">
        <v>0.5518395780000001</v>
      </c>
      <c r="P526">
        <f>(O526-$AJ$11)/$AK$11</f>
        <v/>
      </c>
      <c r="Q526" t="n">
        <v>0.1677</v>
      </c>
      <c r="R526">
        <f>(Q526-$AJ$12)/$AK$12</f>
        <v/>
      </c>
      <c r="S526">
        <f>F526*(R526*0.5+P526*0.5)*(H526*0.35+J526*0.35+L526*0.3)</f>
        <v/>
      </c>
      <c r="T526" s="14">
        <f>(S526-$AJ$10)/$AK$10</f>
        <v/>
      </c>
      <c r="U526">
        <f>IF(T526&gt;0.7,"High",IF(T526&gt;0.3,"Moderate",IF(T526&gt;0.15,"Low","No Impact")))</f>
        <v/>
      </c>
      <c r="V526">
        <f>F526*(R526*1)*(H526*0.35+J526*0.35+L526*0.3)</f>
        <v/>
      </c>
      <c r="W526">
        <f>(V526-$AJ$13)/$AK$13</f>
        <v/>
      </c>
      <c r="X526">
        <f>IF(W526&gt;0.7,"High",IF(W526&gt;0.3,"Moderate",IF(W526&gt;0.15,"Low","No Impact")))</f>
        <v/>
      </c>
      <c r="Y526">
        <f>F526*(P526*1)*(H526*0.35+J526*0.35+L526*0.3)</f>
        <v/>
      </c>
      <c r="Z526">
        <f>(Y526-$AJ$14)/$AK$14</f>
        <v/>
      </c>
      <c r="AA526">
        <f>IF(Z526&gt;0.7,"High",IF(Z526&gt;0.3,"Moderate",IF(Z526&gt;0.15,"Low","No Impact")))</f>
        <v/>
      </c>
      <c r="AB526">
        <f>F526*(R526*0.35+P526*0.3+N526*0.35)*(H526*0.35+J526*0.35+L526*0.3)</f>
        <v/>
      </c>
      <c r="AC526">
        <f>(AB526-$AJ$15)/$AK$15</f>
        <v/>
      </c>
      <c r="AD526">
        <f>IF(AC526&gt;0.7,"High",IF(AC526&gt;0.3,"Moderate",IF(AC526&gt;0.15,"Low","No Impact")))</f>
        <v/>
      </c>
      <c r="AE526">
        <f>F526*(N526*1)*(H526*0.35+J526*0.35+L526*0.3)</f>
        <v/>
      </c>
      <c r="AF526">
        <f>(AE526-$AJ$16)/$AK$16</f>
        <v/>
      </c>
      <c r="AG526">
        <f>IF(AF526&gt;0.7,"High",IF(AF526&gt;0.3,"Moderate",IF(AF526&gt;0.15,"Low","No Impact")))</f>
        <v/>
      </c>
    </row>
    <row r="527">
      <c r="A527" t="n">
        <v>609032</v>
      </c>
      <c r="B527" t="inlineStr">
        <is>
          <t>BD609032</t>
        </is>
      </c>
      <c r="C527" t="inlineStr">
        <is>
          <t>Sunamganj</t>
        </is>
      </c>
      <c r="D527" t="inlineStr">
        <is>
          <t>Dharampasha</t>
        </is>
      </c>
      <c r="E527" s="3" t="n">
        <v>6.4</v>
      </c>
      <c r="F527" s="4">
        <f>(E527-$AJ$5)/$AK$5</f>
        <v/>
      </c>
      <c r="G527" t="n">
        <v>46.4437836</v>
      </c>
      <c r="H527">
        <f>(G527-$AJ$6)/$AK$6</f>
        <v/>
      </c>
      <c r="I527" t="n">
        <v>0</v>
      </c>
      <c r="J527" s="4">
        <f>(I527-$AJ$7)/$AK$7</f>
        <v/>
      </c>
      <c r="K527" t="n">
        <v>0</v>
      </c>
      <c r="L527" s="4">
        <f>(K527-$AJ$8)/$AK$8</f>
        <v/>
      </c>
      <c r="M527" t="n">
        <v>11765</v>
      </c>
      <c r="N527">
        <f>(M527-$AJ$9)/$AK$9</f>
        <v/>
      </c>
      <c r="O527" t="n">
        <v>0.373227383</v>
      </c>
      <c r="P527">
        <f>(O527-$AJ$11)/$AK$11</f>
        <v/>
      </c>
      <c r="Q527" t="n">
        <v>0.1655</v>
      </c>
      <c r="R527">
        <f>(Q527-$AJ$12)/$AK$12</f>
        <v/>
      </c>
      <c r="S527">
        <f>F527*(R527*0.5+P527*0.5)*(H527*0.35+J527*0.35+L527*0.3)</f>
        <v/>
      </c>
      <c r="T527" s="14">
        <f>(S527-$AJ$10)/$AK$10</f>
        <v/>
      </c>
      <c r="U527">
        <f>IF(T527&gt;0.7,"High",IF(T527&gt;0.3,"Moderate",IF(T527&gt;0.15,"Low","No Impact")))</f>
        <v/>
      </c>
      <c r="V527">
        <f>F527*(R527*1)*(H527*0.35+J527*0.35+L527*0.3)</f>
        <v/>
      </c>
      <c r="W527">
        <f>(V527-$AJ$13)/$AK$13</f>
        <v/>
      </c>
      <c r="X527">
        <f>IF(W527&gt;0.7,"High",IF(W527&gt;0.3,"Moderate",IF(W527&gt;0.15,"Low","No Impact")))</f>
        <v/>
      </c>
      <c r="Y527">
        <f>F527*(P527*1)*(H527*0.35+J527*0.35+L527*0.3)</f>
        <v/>
      </c>
      <c r="Z527">
        <f>(Y527-$AJ$14)/$AK$14</f>
        <v/>
      </c>
      <c r="AA527">
        <f>IF(Z527&gt;0.7,"High",IF(Z527&gt;0.3,"Moderate",IF(Z527&gt;0.15,"Low","No Impact")))</f>
        <v/>
      </c>
      <c r="AB527">
        <f>F527*(R527*0.35+P527*0.3+N527*0.35)*(H527*0.35+J527*0.35+L527*0.3)</f>
        <v/>
      </c>
      <c r="AC527">
        <f>(AB527-$AJ$15)/$AK$15</f>
        <v/>
      </c>
      <c r="AD527">
        <f>IF(AC527&gt;0.7,"High",IF(AC527&gt;0.3,"Moderate",IF(AC527&gt;0.15,"Low","No Impact")))</f>
        <v/>
      </c>
      <c r="AE527">
        <f>F527*(N527*1)*(H527*0.35+J527*0.35+L527*0.3)</f>
        <v/>
      </c>
      <c r="AF527">
        <f>(AE527-$AJ$16)/$AK$16</f>
        <v/>
      </c>
      <c r="AG527">
        <f>IF(AF527&gt;0.7,"High",IF(AF527&gt;0.3,"Moderate",IF(AF527&gt;0.15,"Low","No Impact")))</f>
        <v/>
      </c>
    </row>
    <row r="528">
      <c r="A528" t="n">
        <v>609033</v>
      </c>
      <c r="B528" t="inlineStr">
        <is>
          <t>BD609033</t>
        </is>
      </c>
      <c r="C528" t="inlineStr">
        <is>
          <t>Sunamganj</t>
        </is>
      </c>
      <c r="D528" t="inlineStr">
        <is>
          <t>Dowarabazar</t>
        </is>
      </c>
      <c r="E528" s="3" t="n">
        <v>5.9</v>
      </c>
      <c r="F528" s="4">
        <f>(E528-$AJ$5)/$AK$5</f>
        <v/>
      </c>
      <c r="G528" t="n">
        <v>40.7963052</v>
      </c>
      <c r="H528">
        <f>(G528-$AJ$6)/$AK$6</f>
        <v/>
      </c>
      <c r="I528" t="n">
        <v>0</v>
      </c>
      <c r="J528" s="4">
        <f>(I528-$AJ$7)/$AK$7</f>
        <v/>
      </c>
      <c r="K528" t="n">
        <v>0</v>
      </c>
      <c r="L528" s="4">
        <f>(K528-$AJ$8)/$AK$8</f>
        <v/>
      </c>
      <c r="M528" t="n">
        <v>20104</v>
      </c>
      <c r="N528">
        <f>(M528-$AJ$9)/$AK$9</f>
        <v/>
      </c>
      <c r="O528" t="n">
        <v>0.393606291</v>
      </c>
      <c r="P528">
        <f>(O528-$AJ$11)/$AK$11</f>
        <v/>
      </c>
      <c r="Q528" t="n">
        <v>0.2202</v>
      </c>
      <c r="R528">
        <f>(Q528-$AJ$12)/$AK$12</f>
        <v/>
      </c>
      <c r="S528">
        <f>F528*(R528*0.5+P528*0.5)*(H528*0.35+J528*0.35+L528*0.3)</f>
        <v/>
      </c>
      <c r="T528" s="14">
        <f>(S528-$AJ$10)/$AK$10</f>
        <v/>
      </c>
      <c r="U528">
        <f>IF(T528&gt;0.7,"High",IF(T528&gt;0.3,"Moderate",IF(T528&gt;0.15,"Low","No Impact")))</f>
        <v/>
      </c>
      <c r="V528">
        <f>F528*(R528*1)*(H528*0.35+J528*0.35+L528*0.3)</f>
        <v/>
      </c>
      <c r="W528">
        <f>(V528-$AJ$13)/$AK$13</f>
        <v/>
      </c>
      <c r="X528">
        <f>IF(W528&gt;0.7,"High",IF(W528&gt;0.3,"Moderate",IF(W528&gt;0.15,"Low","No Impact")))</f>
        <v/>
      </c>
      <c r="Y528">
        <f>F528*(P528*1)*(H528*0.35+J528*0.35+L528*0.3)</f>
        <v/>
      </c>
      <c r="Z528">
        <f>(Y528-$AJ$14)/$AK$14</f>
        <v/>
      </c>
      <c r="AA528">
        <f>IF(Z528&gt;0.7,"High",IF(Z528&gt;0.3,"Moderate",IF(Z528&gt;0.15,"Low","No Impact")))</f>
        <v/>
      </c>
      <c r="AB528">
        <f>F528*(R528*0.35+P528*0.3+N528*0.35)*(H528*0.35+J528*0.35+L528*0.3)</f>
        <v/>
      </c>
      <c r="AC528">
        <f>(AB528-$AJ$15)/$AK$15</f>
        <v/>
      </c>
      <c r="AD528">
        <f>IF(AC528&gt;0.7,"High",IF(AC528&gt;0.3,"Moderate",IF(AC528&gt;0.15,"Low","No Impact")))</f>
        <v/>
      </c>
      <c r="AE528">
        <f>F528*(N528*1)*(H528*0.35+J528*0.35+L528*0.3)</f>
        <v/>
      </c>
      <c r="AF528">
        <f>(AE528-$AJ$16)/$AK$16</f>
        <v/>
      </c>
      <c r="AG528">
        <f>IF(AF528&gt;0.7,"High",IF(AF528&gt;0.3,"Moderate",IF(AF528&gt;0.15,"Low","No Impact")))</f>
        <v/>
      </c>
    </row>
    <row r="529">
      <c r="A529" t="n">
        <v>609047</v>
      </c>
      <c r="B529" t="inlineStr">
        <is>
          <t>BD609047</t>
        </is>
      </c>
      <c r="C529" t="inlineStr">
        <is>
          <t>Sunamganj</t>
        </is>
      </c>
      <c r="D529" t="inlineStr">
        <is>
          <t>Jagannathpur</t>
        </is>
      </c>
      <c r="E529" s="3" t="n">
        <v>6.5</v>
      </c>
      <c r="F529" s="4">
        <f>(E529-$AJ$5)/$AK$5</f>
        <v/>
      </c>
      <c r="G529" t="n">
        <v>45.7863588</v>
      </c>
      <c r="H529">
        <f>(G529-$AJ$6)/$AK$6</f>
        <v/>
      </c>
      <c r="I529" t="n">
        <v>0</v>
      </c>
      <c r="J529" s="4">
        <f>(I529-$AJ$7)/$AK$7</f>
        <v/>
      </c>
      <c r="K529" t="n">
        <v>0</v>
      </c>
      <c r="L529" s="4">
        <f>(K529-$AJ$8)/$AK$8</f>
        <v/>
      </c>
      <c r="M529" t="n">
        <v>19694</v>
      </c>
      <c r="N529">
        <f>(M529-$AJ$9)/$AK$9</f>
        <v/>
      </c>
      <c r="O529" t="n">
        <v>0.368275004</v>
      </c>
      <c r="P529">
        <f>(O529-$AJ$11)/$AK$11</f>
        <v/>
      </c>
      <c r="Q529" t="n">
        <v>0.2094</v>
      </c>
      <c r="R529">
        <f>(Q529-$AJ$12)/$AK$12</f>
        <v/>
      </c>
      <c r="S529">
        <f>F529*(R529*0.5+P529*0.5)*(H529*0.35+J529*0.35+L529*0.3)</f>
        <v/>
      </c>
      <c r="T529" s="14">
        <f>(S529-$AJ$10)/$AK$10</f>
        <v/>
      </c>
      <c r="U529">
        <f>IF(T529&gt;0.7,"High",IF(T529&gt;0.3,"Moderate",IF(T529&gt;0.15,"Low","No Impact")))</f>
        <v/>
      </c>
      <c r="V529">
        <f>F529*(R529*1)*(H529*0.35+J529*0.35+L529*0.3)</f>
        <v/>
      </c>
      <c r="W529">
        <f>(V529-$AJ$13)/$AK$13</f>
        <v/>
      </c>
      <c r="X529">
        <f>IF(W529&gt;0.7,"High",IF(W529&gt;0.3,"Moderate",IF(W529&gt;0.15,"Low","No Impact")))</f>
        <v/>
      </c>
      <c r="Y529">
        <f>F529*(P529*1)*(H529*0.35+J529*0.35+L529*0.3)</f>
        <v/>
      </c>
      <c r="Z529">
        <f>(Y529-$AJ$14)/$AK$14</f>
        <v/>
      </c>
      <c r="AA529">
        <f>IF(Z529&gt;0.7,"High",IF(Z529&gt;0.3,"Moderate",IF(Z529&gt;0.15,"Low","No Impact")))</f>
        <v/>
      </c>
      <c r="AB529">
        <f>F529*(R529*0.35+P529*0.3+N529*0.35)*(H529*0.35+J529*0.35+L529*0.3)</f>
        <v/>
      </c>
      <c r="AC529">
        <f>(AB529-$AJ$15)/$AK$15</f>
        <v/>
      </c>
      <c r="AD529">
        <f>IF(AC529&gt;0.7,"High",IF(AC529&gt;0.3,"Moderate",IF(AC529&gt;0.15,"Low","No Impact")))</f>
        <v/>
      </c>
      <c r="AE529">
        <f>F529*(N529*1)*(H529*0.35+J529*0.35+L529*0.3)</f>
        <v/>
      </c>
      <c r="AF529">
        <f>(AE529-$AJ$16)/$AK$16</f>
        <v/>
      </c>
      <c r="AG529">
        <f>IF(AF529&gt;0.7,"High",IF(AF529&gt;0.3,"Moderate",IF(AF529&gt;0.15,"Low","No Impact")))</f>
        <v/>
      </c>
    </row>
    <row r="530">
      <c r="A530" t="n">
        <v>609050</v>
      </c>
      <c r="B530" t="inlineStr">
        <is>
          <t>BD609050</t>
        </is>
      </c>
      <c r="C530" t="inlineStr">
        <is>
          <t>Sunamganj</t>
        </is>
      </c>
      <c r="D530" t="inlineStr">
        <is>
          <t>Jamalganj</t>
        </is>
      </c>
      <c r="E530" s="3" t="n">
        <v>6.4</v>
      </c>
      <c r="F530" s="4">
        <f>(E530-$AJ$5)/$AK$5</f>
        <v/>
      </c>
      <c r="G530" t="n">
        <v>46.4437836</v>
      </c>
      <c r="H530">
        <f>(G530-$AJ$6)/$AK$6</f>
        <v/>
      </c>
      <c r="I530" t="n">
        <v>0</v>
      </c>
      <c r="J530" s="4">
        <f>(I530-$AJ$7)/$AK$7</f>
        <v/>
      </c>
      <c r="K530" t="n">
        <v>0</v>
      </c>
      <c r="L530" s="4">
        <f>(K530-$AJ$8)/$AK$8</f>
        <v/>
      </c>
      <c r="M530" t="n">
        <v>10210</v>
      </c>
      <c r="N530">
        <f>(M530-$AJ$9)/$AK$9</f>
        <v/>
      </c>
      <c r="O530" t="n">
        <v>0.218089564</v>
      </c>
      <c r="P530">
        <f>(O530-$AJ$11)/$AK$11</f>
        <v/>
      </c>
      <c r="Q530" t="n">
        <v>0.17</v>
      </c>
      <c r="R530">
        <f>(Q530-$AJ$12)/$AK$12</f>
        <v/>
      </c>
      <c r="S530">
        <f>F530*(R530*0.5+P530*0.5)*(H530*0.35+J530*0.35+L530*0.3)</f>
        <v/>
      </c>
      <c r="T530" s="14">
        <f>(S530-$AJ$10)/$AK$10</f>
        <v/>
      </c>
      <c r="U530">
        <f>IF(T530&gt;0.7,"High",IF(T530&gt;0.3,"Moderate",IF(T530&gt;0.15,"Low","No Impact")))</f>
        <v/>
      </c>
      <c r="V530">
        <f>F530*(R530*1)*(H530*0.35+J530*0.35+L530*0.3)</f>
        <v/>
      </c>
      <c r="W530">
        <f>(V530-$AJ$13)/$AK$13</f>
        <v/>
      </c>
      <c r="X530">
        <f>IF(W530&gt;0.7,"High",IF(W530&gt;0.3,"Moderate",IF(W530&gt;0.15,"Low","No Impact")))</f>
        <v/>
      </c>
      <c r="Y530">
        <f>F530*(P530*1)*(H530*0.35+J530*0.35+L530*0.3)</f>
        <v/>
      </c>
      <c r="Z530">
        <f>(Y530-$AJ$14)/$AK$14</f>
        <v/>
      </c>
      <c r="AA530">
        <f>IF(Z530&gt;0.7,"High",IF(Z530&gt;0.3,"Moderate",IF(Z530&gt;0.15,"Low","No Impact")))</f>
        <v/>
      </c>
      <c r="AB530">
        <f>F530*(R530*0.35+P530*0.3+N530*0.35)*(H530*0.35+J530*0.35+L530*0.3)</f>
        <v/>
      </c>
      <c r="AC530">
        <f>(AB530-$AJ$15)/$AK$15</f>
        <v/>
      </c>
      <c r="AD530">
        <f>IF(AC530&gt;0.7,"High",IF(AC530&gt;0.3,"Moderate",IF(AC530&gt;0.15,"Low","No Impact")))</f>
        <v/>
      </c>
      <c r="AE530">
        <f>F530*(N530*1)*(H530*0.35+J530*0.35+L530*0.3)</f>
        <v/>
      </c>
      <c r="AF530">
        <f>(AE530-$AJ$16)/$AK$16</f>
        <v/>
      </c>
      <c r="AG530">
        <f>IF(AF530&gt;0.7,"High",IF(AF530&gt;0.3,"Moderate",IF(AF530&gt;0.15,"Low","No Impact")))</f>
        <v/>
      </c>
    </row>
    <row r="531">
      <c r="A531" t="n">
        <v>609086</v>
      </c>
      <c r="B531" t="inlineStr">
        <is>
          <t>BD609086</t>
        </is>
      </c>
      <c r="C531" t="inlineStr">
        <is>
          <t>Sunamganj</t>
        </is>
      </c>
      <c r="D531" t="inlineStr">
        <is>
          <t>Sulla</t>
        </is>
      </c>
      <c r="E531" s="3" t="n">
        <v>6.5</v>
      </c>
      <c r="F531" s="4">
        <f>(E531-$AJ$5)/$AK$5</f>
        <v/>
      </c>
      <c r="G531" t="n">
        <v>48.3035472</v>
      </c>
      <c r="H531">
        <f>(G531-$AJ$6)/$AK$6</f>
        <v/>
      </c>
      <c r="I531" t="n">
        <v>0</v>
      </c>
      <c r="J531" s="4">
        <f>(I531-$AJ$7)/$AK$7</f>
        <v/>
      </c>
      <c r="K531" t="n">
        <v>0</v>
      </c>
      <c r="L531" s="4">
        <f>(K531-$AJ$8)/$AK$8</f>
        <v/>
      </c>
      <c r="M531" t="n">
        <v>7371</v>
      </c>
      <c r="N531">
        <f>(M531-$AJ$9)/$AK$9</f>
        <v/>
      </c>
      <c r="O531" t="n">
        <v>0.548802577</v>
      </c>
      <c r="P531">
        <f>(O531-$AJ$11)/$AK$11</f>
        <v/>
      </c>
      <c r="Q531" t="n">
        <v>0.1519</v>
      </c>
      <c r="R531">
        <f>(Q531-$AJ$12)/$AK$12</f>
        <v/>
      </c>
      <c r="S531">
        <f>F531*(R531*0.5+P531*0.5)*(H531*0.35+J531*0.35+L531*0.3)</f>
        <v/>
      </c>
      <c r="T531" s="14">
        <f>(S531-$AJ$10)/$AK$10</f>
        <v/>
      </c>
      <c r="U531">
        <f>IF(T531&gt;0.7,"High",IF(T531&gt;0.3,"Moderate",IF(T531&gt;0.15,"Low","No Impact")))</f>
        <v/>
      </c>
      <c r="V531">
        <f>F531*(R531*1)*(H531*0.35+J531*0.35+L531*0.3)</f>
        <v/>
      </c>
      <c r="W531">
        <f>(V531-$AJ$13)/$AK$13</f>
        <v/>
      </c>
      <c r="X531">
        <f>IF(W531&gt;0.7,"High",IF(W531&gt;0.3,"Moderate",IF(W531&gt;0.15,"Low","No Impact")))</f>
        <v/>
      </c>
      <c r="Y531">
        <f>F531*(P531*1)*(H531*0.35+J531*0.35+L531*0.3)</f>
        <v/>
      </c>
      <c r="Z531">
        <f>(Y531-$AJ$14)/$AK$14</f>
        <v/>
      </c>
      <c r="AA531">
        <f>IF(Z531&gt;0.7,"High",IF(Z531&gt;0.3,"Moderate",IF(Z531&gt;0.15,"Low","No Impact")))</f>
        <v/>
      </c>
      <c r="AB531">
        <f>F531*(R531*0.35+P531*0.3+N531*0.35)*(H531*0.35+J531*0.35+L531*0.3)</f>
        <v/>
      </c>
      <c r="AC531">
        <f>(AB531-$AJ$15)/$AK$15</f>
        <v/>
      </c>
      <c r="AD531">
        <f>IF(AC531&gt;0.7,"High",IF(AC531&gt;0.3,"Moderate",IF(AC531&gt;0.15,"Low","No Impact")))</f>
        <v/>
      </c>
      <c r="AE531">
        <f>F531*(N531*1)*(H531*0.35+J531*0.35+L531*0.3)</f>
        <v/>
      </c>
      <c r="AF531">
        <f>(AE531-$AJ$16)/$AK$16</f>
        <v/>
      </c>
      <c r="AG531">
        <f>IF(AF531&gt;0.7,"High",IF(AF531&gt;0.3,"Moderate",IF(AF531&gt;0.15,"Low","No Impact")))</f>
        <v/>
      </c>
    </row>
    <row r="532">
      <c r="A532" t="n">
        <v>609089</v>
      </c>
      <c r="B532" t="inlineStr">
        <is>
          <t>BD609089</t>
        </is>
      </c>
      <c r="C532" t="inlineStr">
        <is>
          <t>Sunamganj</t>
        </is>
      </c>
      <c r="D532" t="inlineStr">
        <is>
          <t>Sunamganj Sadar</t>
        </is>
      </c>
      <c r="E532" s="3" t="n">
        <v>6.5</v>
      </c>
      <c r="F532" s="4">
        <f>(E532-$AJ$5)/$AK$5</f>
        <v/>
      </c>
      <c r="G532" t="n">
        <v>40.7963052</v>
      </c>
      <c r="H532">
        <f>(G532-$AJ$6)/$AK$6</f>
        <v/>
      </c>
      <c r="I532" t="n">
        <v>0</v>
      </c>
      <c r="J532" s="4">
        <f>(I532-$AJ$7)/$AK$7</f>
        <v/>
      </c>
      <c r="K532" t="n">
        <v>0</v>
      </c>
      <c r="L532" s="4">
        <f>(K532-$AJ$8)/$AK$8</f>
        <v/>
      </c>
      <c r="M532" t="n">
        <v>23247</v>
      </c>
      <c r="N532">
        <f>(M532-$AJ$9)/$AK$9</f>
        <v/>
      </c>
      <c r="O532" t="n">
        <v>0.205712969</v>
      </c>
      <c r="P532">
        <f>(O532-$AJ$11)/$AK$11</f>
        <v/>
      </c>
      <c r="Q532" t="n">
        <v>0.184</v>
      </c>
      <c r="R532">
        <f>(Q532-$AJ$12)/$AK$12</f>
        <v/>
      </c>
      <c r="S532">
        <f>F532*(R532*0.5+P532*0.5)*(H532*0.35+J532*0.35+L532*0.3)</f>
        <v/>
      </c>
      <c r="T532" s="14">
        <f>(S532-$AJ$10)/$AK$10</f>
        <v/>
      </c>
      <c r="U532">
        <f>IF(T532&gt;0.7,"High",IF(T532&gt;0.3,"Moderate",IF(T532&gt;0.15,"Low","No Impact")))</f>
        <v/>
      </c>
      <c r="V532">
        <f>F532*(R532*1)*(H532*0.35+J532*0.35+L532*0.3)</f>
        <v/>
      </c>
      <c r="W532">
        <f>(V532-$AJ$13)/$AK$13</f>
        <v/>
      </c>
      <c r="X532">
        <f>IF(W532&gt;0.7,"High",IF(W532&gt;0.3,"Moderate",IF(W532&gt;0.15,"Low","No Impact")))</f>
        <v/>
      </c>
      <c r="Y532">
        <f>F532*(P532*1)*(H532*0.35+J532*0.35+L532*0.3)</f>
        <v/>
      </c>
      <c r="Z532">
        <f>(Y532-$AJ$14)/$AK$14</f>
        <v/>
      </c>
      <c r="AA532">
        <f>IF(Z532&gt;0.7,"High",IF(Z532&gt;0.3,"Moderate",IF(Z532&gt;0.15,"Low","No Impact")))</f>
        <v/>
      </c>
      <c r="AB532">
        <f>F532*(R532*0.35+P532*0.3+N532*0.35)*(H532*0.35+J532*0.35+L532*0.3)</f>
        <v/>
      </c>
      <c r="AC532">
        <f>(AB532-$AJ$15)/$AK$15</f>
        <v/>
      </c>
      <c r="AD532">
        <f>IF(AC532&gt;0.7,"High",IF(AC532&gt;0.3,"Moderate",IF(AC532&gt;0.15,"Low","No Impact")))</f>
        <v/>
      </c>
      <c r="AE532">
        <f>F532*(N532*1)*(H532*0.35+J532*0.35+L532*0.3)</f>
        <v/>
      </c>
      <c r="AF532">
        <f>(AE532-$AJ$16)/$AK$16</f>
        <v/>
      </c>
      <c r="AG532">
        <f>IF(AF532&gt;0.7,"High",IF(AF532&gt;0.3,"Moderate",IF(AF532&gt;0.15,"Low","No Impact")))</f>
        <v/>
      </c>
    </row>
    <row r="533">
      <c r="A533" t="n">
        <v>609092</v>
      </c>
      <c r="B533" t="inlineStr">
        <is>
          <t>BD609092</t>
        </is>
      </c>
      <c r="C533" t="inlineStr">
        <is>
          <t>Sunamganj</t>
        </is>
      </c>
      <c r="D533" t="inlineStr">
        <is>
          <t>Tahirpur</t>
        </is>
      </c>
      <c r="E533" s="3" t="n">
        <v>6.4</v>
      </c>
      <c r="F533" s="4">
        <f>(E533-$AJ$5)/$AK$5</f>
        <v/>
      </c>
      <c r="G533" t="n">
        <v>40.3884936</v>
      </c>
      <c r="H533">
        <f>(G533-$AJ$6)/$AK$6</f>
        <v/>
      </c>
      <c r="I533" t="n">
        <v>0</v>
      </c>
      <c r="J533" s="4">
        <f>(I533-$AJ$7)/$AK$7</f>
        <v/>
      </c>
      <c r="K533" t="n">
        <v>0</v>
      </c>
      <c r="L533" s="4">
        <f>(K533-$AJ$8)/$AK$8</f>
        <v/>
      </c>
      <c r="M533" t="n">
        <v>18280</v>
      </c>
      <c r="N533">
        <f>(M533-$AJ$9)/$AK$9</f>
        <v/>
      </c>
      <c r="O533" t="n">
        <v>0.385699355</v>
      </c>
      <c r="P533">
        <f>(O533-$AJ$11)/$AK$11</f>
        <v/>
      </c>
      <c r="Q533" t="n">
        <v>0.2128</v>
      </c>
      <c r="R533">
        <f>(Q533-$AJ$12)/$AK$12</f>
        <v/>
      </c>
      <c r="S533">
        <f>F533*(R533*0.5+P533*0.5)*(H533*0.35+J533*0.35+L533*0.3)</f>
        <v/>
      </c>
      <c r="T533" s="14">
        <f>(S533-$AJ$10)/$AK$10</f>
        <v/>
      </c>
      <c r="U533">
        <f>IF(T533&gt;0.7,"High",IF(T533&gt;0.3,"Moderate",IF(T533&gt;0.15,"Low","No Impact")))</f>
        <v/>
      </c>
      <c r="V533">
        <f>F533*(R533*1)*(H533*0.35+J533*0.35+L533*0.3)</f>
        <v/>
      </c>
      <c r="W533">
        <f>(V533-$AJ$13)/$AK$13</f>
        <v/>
      </c>
      <c r="X533">
        <f>IF(W533&gt;0.7,"High",IF(W533&gt;0.3,"Moderate",IF(W533&gt;0.15,"Low","No Impact")))</f>
        <v/>
      </c>
      <c r="Y533">
        <f>F533*(P533*1)*(H533*0.35+J533*0.35+L533*0.3)</f>
        <v/>
      </c>
      <c r="Z533">
        <f>(Y533-$AJ$14)/$AK$14</f>
        <v/>
      </c>
      <c r="AA533">
        <f>IF(Z533&gt;0.7,"High",IF(Z533&gt;0.3,"Moderate",IF(Z533&gt;0.15,"Low","No Impact")))</f>
        <v/>
      </c>
      <c r="AB533">
        <f>F533*(R533*0.35+P533*0.3+N533*0.35)*(H533*0.35+J533*0.35+L533*0.3)</f>
        <v/>
      </c>
      <c r="AC533">
        <f>(AB533-$AJ$15)/$AK$15</f>
        <v/>
      </c>
      <c r="AD533">
        <f>IF(AC533&gt;0.7,"High",IF(AC533&gt;0.3,"Moderate",IF(AC533&gt;0.15,"Low","No Impact")))</f>
        <v/>
      </c>
      <c r="AE533">
        <f>F533*(N533*1)*(H533*0.35+J533*0.35+L533*0.3)</f>
        <v/>
      </c>
      <c r="AF533">
        <f>(AE533-$AJ$16)/$AK$16</f>
        <v/>
      </c>
      <c r="AG533">
        <f>IF(AF533&gt;0.7,"High",IF(AF533&gt;0.3,"Moderate",IF(AF533&gt;0.15,"Low","No Impact")))</f>
        <v/>
      </c>
    </row>
    <row r="534">
      <c r="A534" t="n">
        <v>609108</v>
      </c>
      <c r="B534" t="inlineStr">
        <is>
          <t>BD609108</t>
        </is>
      </c>
      <c r="C534" t="inlineStr">
        <is>
          <t>Sylhet</t>
        </is>
      </c>
      <c r="D534" t="inlineStr">
        <is>
          <t>Balaganj</t>
        </is>
      </c>
      <c r="E534" s="3" t="n">
        <v>7</v>
      </c>
      <c r="F534" s="4">
        <f>(E534-$AJ$5)/$AK$5</f>
        <v/>
      </c>
      <c r="G534" t="n">
        <v>51.2672184</v>
      </c>
      <c r="H534">
        <f>(G534-$AJ$6)/$AK$6</f>
        <v/>
      </c>
      <c r="I534" t="n">
        <v>0</v>
      </c>
      <c r="J534" s="4">
        <f>(I534-$AJ$7)/$AK$7</f>
        <v/>
      </c>
      <c r="K534" t="n">
        <v>0</v>
      </c>
      <c r="L534" s="4">
        <f>(K534-$AJ$8)/$AK$8</f>
        <v/>
      </c>
      <c r="M534" t="n">
        <v>33148</v>
      </c>
      <c r="N534">
        <f>(M534-$AJ$9)/$AK$9</f>
        <v/>
      </c>
      <c r="O534" t="n">
        <v>0.423583721</v>
      </c>
      <c r="P534">
        <f>(O534-$AJ$11)/$AK$11</f>
        <v/>
      </c>
      <c r="Q534" t="n">
        <v>0.2142</v>
      </c>
      <c r="R534">
        <f>(Q534-$AJ$12)/$AK$12</f>
        <v/>
      </c>
      <c r="S534">
        <f>F534*(R534*0.5+P534*0.5)*(H534*0.35+J534*0.35+L534*0.3)</f>
        <v/>
      </c>
      <c r="T534" s="14">
        <f>(S534-$AJ$10)/$AK$10</f>
        <v/>
      </c>
      <c r="U534">
        <f>IF(T534&gt;0.7,"High",IF(T534&gt;0.3,"Moderate",IF(T534&gt;0.15,"Low","No Impact")))</f>
        <v/>
      </c>
      <c r="V534">
        <f>F534*(R534*1)*(H534*0.35+J534*0.35+L534*0.3)</f>
        <v/>
      </c>
      <c r="W534">
        <f>(V534-$AJ$13)/$AK$13</f>
        <v/>
      </c>
      <c r="X534">
        <f>IF(W534&gt;0.7,"High",IF(W534&gt;0.3,"Moderate",IF(W534&gt;0.15,"Low","No Impact")))</f>
        <v/>
      </c>
      <c r="Y534">
        <f>F534*(P534*1)*(H534*0.35+J534*0.35+L534*0.3)</f>
        <v/>
      </c>
      <c r="Z534">
        <f>(Y534-$AJ$14)/$AK$14</f>
        <v/>
      </c>
      <c r="AA534">
        <f>IF(Z534&gt;0.7,"High",IF(Z534&gt;0.3,"Moderate",IF(Z534&gt;0.15,"Low","No Impact")))</f>
        <v/>
      </c>
      <c r="AB534">
        <f>F534*(R534*0.35+P534*0.3+N534*0.35)*(H534*0.35+J534*0.35+L534*0.3)</f>
        <v/>
      </c>
      <c r="AC534">
        <f>(AB534-$AJ$15)/$AK$15</f>
        <v/>
      </c>
      <c r="AD534">
        <f>IF(AC534&gt;0.7,"High",IF(AC534&gt;0.3,"Moderate",IF(AC534&gt;0.15,"Low","No Impact")))</f>
        <v/>
      </c>
      <c r="AE534">
        <f>F534*(N534*1)*(H534*0.35+J534*0.35+L534*0.3)</f>
        <v/>
      </c>
      <c r="AF534">
        <f>(AE534-$AJ$16)/$AK$16</f>
        <v/>
      </c>
      <c r="AG534">
        <f>IF(AF534&gt;0.7,"High",IF(AF534&gt;0.3,"Moderate",IF(AF534&gt;0.15,"Low","No Impact")))</f>
        <v/>
      </c>
    </row>
    <row r="535">
      <c r="A535" t="n">
        <v>609117</v>
      </c>
      <c r="B535" t="inlineStr">
        <is>
          <t>BD609117</t>
        </is>
      </c>
      <c r="C535" t="inlineStr">
        <is>
          <t>Sylhet</t>
        </is>
      </c>
      <c r="D535" t="inlineStr">
        <is>
          <t>Beani Bazar</t>
        </is>
      </c>
      <c r="E535" s="3" t="n">
        <v>6.1</v>
      </c>
      <c r="F535" s="4">
        <f>(E535-$AJ$5)/$AK$5</f>
        <v/>
      </c>
      <c r="G535" t="n">
        <v>44.6508144</v>
      </c>
      <c r="H535">
        <f>(G535-$AJ$6)/$AK$6</f>
        <v/>
      </c>
      <c r="I535" t="n">
        <v>0</v>
      </c>
      <c r="J535" s="4">
        <f>(I535-$AJ$7)/$AK$7</f>
        <v/>
      </c>
      <c r="K535" t="n">
        <v>0</v>
      </c>
      <c r="L535" s="4">
        <f>(K535-$AJ$8)/$AK$8</f>
        <v/>
      </c>
      <c r="M535" t="n">
        <v>29012</v>
      </c>
      <c r="N535">
        <f>(M535-$AJ$9)/$AK$9</f>
        <v/>
      </c>
      <c r="O535" t="n">
        <v>0.168972219</v>
      </c>
      <c r="P535">
        <f>(O535-$AJ$11)/$AK$11</f>
        <v/>
      </c>
      <c r="Q535" t="n">
        <v>0.2448</v>
      </c>
      <c r="R535">
        <f>(Q535-$AJ$12)/$AK$12</f>
        <v/>
      </c>
      <c r="S535">
        <f>F535*(R535*0.5+P535*0.5)*(H535*0.35+J535*0.35+L535*0.3)</f>
        <v/>
      </c>
      <c r="T535" s="14">
        <f>(S535-$AJ$10)/$AK$10</f>
        <v/>
      </c>
      <c r="U535">
        <f>IF(T535&gt;0.7,"High",IF(T535&gt;0.3,"Moderate",IF(T535&gt;0.15,"Low","No Impact")))</f>
        <v/>
      </c>
      <c r="V535">
        <f>F535*(R535*1)*(H535*0.35+J535*0.35+L535*0.3)</f>
        <v/>
      </c>
      <c r="W535">
        <f>(V535-$AJ$13)/$AK$13</f>
        <v/>
      </c>
      <c r="X535">
        <f>IF(W535&gt;0.7,"High",IF(W535&gt;0.3,"Moderate",IF(W535&gt;0.15,"Low","No Impact")))</f>
        <v/>
      </c>
      <c r="Y535">
        <f>F535*(P535*1)*(H535*0.35+J535*0.35+L535*0.3)</f>
        <v/>
      </c>
      <c r="Z535">
        <f>(Y535-$AJ$14)/$AK$14</f>
        <v/>
      </c>
      <c r="AA535">
        <f>IF(Z535&gt;0.7,"High",IF(Z535&gt;0.3,"Moderate",IF(Z535&gt;0.15,"Low","No Impact")))</f>
        <v/>
      </c>
      <c r="AB535">
        <f>F535*(R535*0.35+P535*0.3+N535*0.35)*(H535*0.35+J535*0.35+L535*0.3)</f>
        <v/>
      </c>
      <c r="AC535">
        <f>(AB535-$AJ$15)/$AK$15</f>
        <v/>
      </c>
      <c r="AD535">
        <f>IF(AC535&gt;0.7,"High",IF(AC535&gt;0.3,"Moderate",IF(AC535&gt;0.15,"Low","No Impact")))</f>
        <v/>
      </c>
      <c r="AE535">
        <f>F535*(N535*1)*(H535*0.35+J535*0.35+L535*0.3)</f>
        <v/>
      </c>
      <c r="AF535">
        <f>(AE535-$AJ$16)/$AK$16</f>
        <v/>
      </c>
      <c r="AG535">
        <f>IF(AF535&gt;0.7,"High",IF(AF535&gt;0.3,"Moderate",IF(AF535&gt;0.15,"Low","No Impact")))</f>
        <v/>
      </c>
    </row>
    <row r="536">
      <c r="A536" t="n">
        <v>609120</v>
      </c>
      <c r="B536" t="inlineStr">
        <is>
          <t>BD609120</t>
        </is>
      </c>
      <c r="C536" t="inlineStr">
        <is>
          <t>Sylhet</t>
        </is>
      </c>
      <c r="D536" t="inlineStr">
        <is>
          <t>Bishwanath</t>
        </is>
      </c>
      <c r="E536" s="3" t="n">
        <v>7</v>
      </c>
      <c r="F536" s="4">
        <f>(E536-$AJ$5)/$AK$5</f>
        <v/>
      </c>
      <c r="G536" t="n">
        <v>45.7863588</v>
      </c>
      <c r="H536">
        <f>(G536-$AJ$6)/$AK$6</f>
        <v/>
      </c>
      <c r="I536" t="n">
        <v>0</v>
      </c>
      <c r="J536" s="4">
        <f>(I536-$AJ$7)/$AK$7</f>
        <v/>
      </c>
      <c r="K536" t="n">
        <v>0</v>
      </c>
      <c r="L536" s="4">
        <f>(K536-$AJ$8)/$AK$8</f>
        <v/>
      </c>
      <c r="M536" t="n">
        <v>16977</v>
      </c>
      <c r="N536">
        <f>(M536-$AJ$9)/$AK$9</f>
        <v/>
      </c>
      <c r="O536" t="n">
        <v>0.445028982</v>
      </c>
      <c r="P536">
        <f>(O536-$AJ$11)/$AK$11</f>
        <v/>
      </c>
      <c r="Q536" t="n">
        <v>0.2363</v>
      </c>
      <c r="R536">
        <f>(Q536-$AJ$12)/$AK$12</f>
        <v/>
      </c>
      <c r="S536">
        <f>F536*(R536*0.5+P536*0.5)*(H536*0.35+J536*0.35+L536*0.3)</f>
        <v/>
      </c>
      <c r="T536" s="14">
        <f>(S536-$AJ$10)/$AK$10</f>
        <v/>
      </c>
      <c r="U536">
        <f>IF(T536&gt;0.7,"High",IF(T536&gt;0.3,"Moderate",IF(T536&gt;0.15,"Low","No Impact")))</f>
        <v/>
      </c>
      <c r="V536">
        <f>F536*(R536*1)*(H536*0.35+J536*0.35+L536*0.3)</f>
        <v/>
      </c>
      <c r="W536">
        <f>(V536-$AJ$13)/$AK$13</f>
        <v/>
      </c>
      <c r="X536">
        <f>IF(W536&gt;0.7,"High",IF(W536&gt;0.3,"Moderate",IF(W536&gt;0.15,"Low","No Impact")))</f>
        <v/>
      </c>
      <c r="Y536">
        <f>F536*(P536*1)*(H536*0.35+J536*0.35+L536*0.3)</f>
        <v/>
      </c>
      <c r="Z536">
        <f>(Y536-$AJ$14)/$AK$14</f>
        <v/>
      </c>
      <c r="AA536">
        <f>IF(Z536&gt;0.7,"High",IF(Z536&gt;0.3,"Moderate",IF(Z536&gt;0.15,"Low","No Impact")))</f>
        <v/>
      </c>
      <c r="AB536">
        <f>F536*(R536*0.35+P536*0.3+N536*0.35)*(H536*0.35+J536*0.35+L536*0.3)</f>
        <v/>
      </c>
      <c r="AC536">
        <f>(AB536-$AJ$15)/$AK$15</f>
        <v/>
      </c>
      <c r="AD536">
        <f>IF(AC536&gt;0.7,"High",IF(AC536&gt;0.3,"Moderate",IF(AC536&gt;0.15,"Low","No Impact")))</f>
        <v/>
      </c>
      <c r="AE536">
        <f>F536*(N536*1)*(H536*0.35+J536*0.35+L536*0.3)</f>
        <v/>
      </c>
      <c r="AF536">
        <f>(AE536-$AJ$16)/$AK$16</f>
        <v/>
      </c>
      <c r="AG536">
        <f>IF(AF536&gt;0.7,"High",IF(AF536&gt;0.3,"Moderate",IF(AF536&gt;0.15,"Low","No Impact")))</f>
        <v/>
      </c>
    </row>
    <row r="537">
      <c r="A537" t="n">
        <v>609127</v>
      </c>
      <c r="B537" t="inlineStr">
        <is>
          <t>BD609127</t>
        </is>
      </c>
      <c r="C537" t="inlineStr">
        <is>
          <t>Sylhet</t>
        </is>
      </c>
      <c r="D537" t="inlineStr">
        <is>
          <t>Companiganj</t>
        </is>
      </c>
      <c r="E537" s="3" t="n">
        <v>6.9</v>
      </c>
      <c r="F537" s="4">
        <f>(E537-$AJ$5)/$AK$5</f>
        <v/>
      </c>
      <c r="G537" t="n">
        <v>40.1670072</v>
      </c>
      <c r="H537">
        <f>(G537-$AJ$6)/$AK$6</f>
        <v/>
      </c>
      <c r="I537" t="n">
        <v>0</v>
      </c>
      <c r="J537" s="4">
        <f>(I537-$AJ$7)/$AK$7</f>
        <v/>
      </c>
      <c r="K537" t="n">
        <v>0</v>
      </c>
      <c r="L537" s="4">
        <f>(K537-$AJ$8)/$AK$8</f>
        <v/>
      </c>
      <c r="M537" t="n">
        <v>8775</v>
      </c>
      <c r="N537">
        <f>(M537-$AJ$9)/$AK$9</f>
        <v/>
      </c>
      <c r="O537" t="n">
        <v>0.250346597</v>
      </c>
      <c r="P537">
        <f>(O537-$AJ$11)/$AK$11</f>
        <v/>
      </c>
      <c r="Q537" t="n">
        <v>0.2392</v>
      </c>
      <c r="R537">
        <f>(Q537-$AJ$12)/$AK$12</f>
        <v/>
      </c>
      <c r="S537">
        <f>F537*(R537*0.5+P537*0.5)*(H537*0.35+J537*0.35+L537*0.3)</f>
        <v/>
      </c>
      <c r="T537" s="14">
        <f>(S537-$AJ$10)/$AK$10</f>
        <v/>
      </c>
      <c r="U537">
        <f>IF(T537&gt;0.7,"High",IF(T537&gt;0.3,"Moderate",IF(T537&gt;0.15,"Low","No Impact")))</f>
        <v/>
      </c>
      <c r="V537">
        <f>F537*(R537*1)*(H537*0.35+J537*0.35+L537*0.3)</f>
        <v/>
      </c>
      <c r="W537">
        <f>(V537-$AJ$13)/$AK$13</f>
        <v/>
      </c>
      <c r="X537">
        <f>IF(W537&gt;0.7,"High",IF(W537&gt;0.3,"Moderate",IF(W537&gt;0.15,"Low","No Impact")))</f>
        <v/>
      </c>
      <c r="Y537">
        <f>F537*(P537*1)*(H537*0.35+J537*0.35+L537*0.3)</f>
        <v/>
      </c>
      <c r="Z537">
        <f>(Y537-$AJ$14)/$AK$14</f>
        <v/>
      </c>
      <c r="AA537">
        <f>IF(Z537&gt;0.7,"High",IF(Z537&gt;0.3,"Moderate",IF(Z537&gt;0.15,"Low","No Impact")))</f>
        <v/>
      </c>
      <c r="AB537">
        <f>F537*(R537*0.35+P537*0.3+N537*0.35)*(H537*0.35+J537*0.35+L537*0.3)</f>
        <v/>
      </c>
      <c r="AC537">
        <f>(AB537-$AJ$15)/$AK$15</f>
        <v/>
      </c>
      <c r="AD537">
        <f>IF(AC537&gt;0.7,"High",IF(AC537&gt;0.3,"Moderate",IF(AC537&gt;0.15,"Low","No Impact")))</f>
        <v/>
      </c>
      <c r="AE537">
        <f>F537*(N537*1)*(H537*0.35+J537*0.35+L537*0.3)</f>
        <v/>
      </c>
      <c r="AF537">
        <f>(AE537-$AJ$16)/$AK$16</f>
        <v/>
      </c>
      <c r="AG537">
        <f>IF(AF537&gt;0.7,"High",IF(AF537&gt;0.3,"Moderate",IF(AF537&gt;0.15,"Low","No Impact")))</f>
        <v/>
      </c>
    </row>
    <row r="538">
      <c r="A538" t="n">
        <v>609131</v>
      </c>
      <c r="B538" t="inlineStr">
        <is>
          <t>BD609131</t>
        </is>
      </c>
      <c r="C538" t="inlineStr">
        <is>
          <t>Sylhet</t>
        </is>
      </c>
      <c r="D538" t="inlineStr">
        <is>
          <t>Dakshin Surma</t>
        </is>
      </c>
      <c r="E538" s="3" t="n">
        <v>7</v>
      </c>
      <c r="F538" s="4">
        <f>(E538-$AJ$5)/$AK$5</f>
        <v/>
      </c>
      <c r="G538" t="n">
        <v>45.7863588</v>
      </c>
      <c r="H538">
        <f>(G538-$AJ$6)/$AK$6</f>
        <v/>
      </c>
      <c r="I538" t="n">
        <v>0</v>
      </c>
      <c r="J538" s="4">
        <f>(I538-$AJ$7)/$AK$7</f>
        <v/>
      </c>
      <c r="K538" t="n">
        <v>0</v>
      </c>
      <c r="L538" s="4">
        <f>(K538-$AJ$8)/$AK$8</f>
        <v/>
      </c>
      <c r="M538" t="n">
        <v>13160</v>
      </c>
      <c r="N538">
        <f>(M538-$AJ$9)/$AK$9</f>
        <v/>
      </c>
      <c r="O538" t="n">
        <v>0.206884839</v>
      </c>
      <c r="P538">
        <f>(O538-$AJ$11)/$AK$11</f>
        <v/>
      </c>
      <c r="Q538" t="n">
        <v>0.2535</v>
      </c>
      <c r="R538">
        <f>(Q538-$AJ$12)/$AK$12</f>
        <v/>
      </c>
      <c r="S538">
        <f>F538*(R538*0.5+P538*0.5)*(H538*0.35+J538*0.35+L538*0.3)</f>
        <v/>
      </c>
      <c r="T538" s="14">
        <f>(S538-$AJ$10)/$AK$10</f>
        <v/>
      </c>
      <c r="U538">
        <f>IF(T538&gt;0.7,"High",IF(T538&gt;0.3,"Moderate",IF(T538&gt;0.15,"Low","No Impact")))</f>
        <v/>
      </c>
      <c r="V538">
        <f>F538*(R538*1)*(H538*0.35+J538*0.35+L538*0.3)</f>
        <v/>
      </c>
      <c r="W538">
        <f>(V538-$AJ$13)/$AK$13</f>
        <v/>
      </c>
      <c r="X538">
        <f>IF(W538&gt;0.7,"High",IF(W538&gt;0.3,"Moderate",IF(W538&gt;0.15,"Low","No Impact")))</f>
        <v/>
      </c>
      <c r="Y538">
        <f>F538*(P538*1)*(H538*0.35+J538*0.35+L538*0.3)</f>
        <v/>
      </c>
      <c r="Z538">
        <f>(Y538-$AJ$14)/$AK$14</f>
        <v/>
      </c>
      <c r="AA538">
        <f>IF(Z538&gt;0.7,"High",IF(Z538&gt;0.3,"Moderate",IF(Z538&gt;0.15,"Low","No Impact")))</f>
        <v/>
      </c>
      <c r="AB538">
        <f>F538*(R538*0.35+P538*0.3+N538*0.35)*(H538*0.35+J538*0.35+L538*0.3)</f>
        <v/>
      </c>
      <c r="AC538">
        <f>(AB538-$AJ$15)/$AK$15</f>
        <v/>
      </c>
      <c r="AD538">
        <f>IF(AC538&gt;0.7,"High",IF(AC538&gt;0.3,"Moderate",IF(AC538&gt;0.15,"Low","No Impact")))</f>
        <v/>
      </c>
      <c r="AE538">
        <f>F538*(N538*1)*(H538*0.35+J538*0.35+L538*0.3)</f>
        <v/>
      </c>
      <c r="AF538">
        <f>(AE538-$AJ$16)/$AK$16</f>
        <v/>
      </c>
      <c r="AG538">
        <f>IF(AF538&gt;0.7,"High",IF(AF538&gt;0.3,"Moderate",IF(AF538&gt;0.15,"Low","No Impact")))</f>
        <v/>
      </c>
    </row>
    <row r="539">
      <c r="A539" t="n">
        <v>609135</v>
      </c>
      <c r="B539" t="inlineStr">
        <is>
          <t>BD609135</t>
        </is>
      </c>
      <c r="C539" t="inlineStr">
        <is>
          <t>Sylhet</t>
        </is>
      </c>
      <c r="D539" t="inlineStr">
        <is>
          <t>Fenchuganj</t>
        </is>
      </c>
      <c r="E539" s="3" t="n">
        <v>7</v>
      </c>
      <c r="F539" s="4">
        <f>(E539-$AJ$5)/$AK$5</f>
        <v/>
      </c>
      <c r="G539" t="n">
        <v>44.6508144</v>
      </c>
      <c r="H539">
        <f>(G539-$AJ$6)/$AK$6</f>
        <v/>
      </c>
      <c r="I539" t="n">
        <v>0</v>
      </c>
      <c r="J539" s="4">
        <f>(I539-$AJ$7)/$AK$7</f>
        <v/>
      </c>
      <c r="K539" t="n">
        <v>0</v>
      </c>
      <c r="L539" s="4">
        <f>(K539-$AJ$8)/$AK$8</f>
        <v/>
      </c>
      <c r="M539" t="n">
        <v>11651</v>
      </c>
      <c r="N539">
        <f>(M539-$AJ$9)/$AK$9</f>
        <v/>
      </c>
      <c r="O539" t="n">
        <v>0.169084431</v>
      </c>
      <c r="P539">
        <f>(O539-$AJ$11)/$AK$11</f>
        <v/>
      </c>
      <c r="Q539" t="n">
        <v>0.2371</v>
      </c>
      <c r="R539">
        <f>(Q539-$AJ$12)/$AK$12</f>
        <v/>
      </c>
      <c r="S539">
        <f>F539*(R539*0.5+P539*0.5)*(H539*0.35+J539*0.35+L539*0.3)</f>
        <v/>
      </c>
      <c r="T539" s="14">
        <f>(S539-$AJ$10)/$AK$10</f>
        <v/>
      </c>
      <c r="U539">
        <f>IF(T539&gt;0.7,"High",IF(T539&gt;0.3,"Moderate",IF(T539&gt;0.15,"Low","No Impact")))</f>
        <v/>
      </c>
      <c r="V539">
        <f>F539*(R539*1)*(H539*0.35+J539*0.35+L539*0.3)</f>
        <v/>
      </c>
      <c r="W539">
        <f>(V539-$AJ$13)/$AK$13</f>
        <v/>
      </c>
      <c r="X539">
        <f>IF(W539&gt;0.7,"High",IF(W539&gt;0.3,"Moderate",IF(W539&gt;0.15,"Low","No Impact")))</f>
        <v/>
      </c>
      <c r="Y539">
        <f>F539*(P539*1)*(H539*0.35+J539*0.35+L539*0.3)</f>
        <v/>
      </c>
      <c r="Z539">
        <f>(Y539-$AJ$14)/$AK$14</f>
        <v/>
      </c>
      <c r="AA539">
        <f>IF(Z539&gt;0.7,"High",IF(Z539&gt;0.3,"Moderate",IF(Z539&gt;0.15,"Low","No Impact")))</f>
        <v/>
      </c>
      <c r="AB539">
        <f>F539*(R539*0.35+P539*0.3+N539*0.35)*(H539*0.35+J539*0.35+L539*0.3)</f>
        <v/>
      </c>
      <c r="AC539">
        <f>(AB539-$AJ$15)/$AK$15</f>
        <v/>
      </c>
      <c r="AD539">
        <f>IF(AC539&gt;0.7,"High",IF(AC539&gt;0.3,"Moderate",IF(AC539&gt;0.15,"Low","No Impact")))</f>
        <v/>
      </c>
      <c r="AE539">
        <f>F539*(N539*1)*(H539*0.35+J539*0.35+L539*0.3)</f>
        <v/>
      </c>
      <c r="AF539">
        <f>(AE539-$AJ$16)/$AK$16</f>
        <v/>
      </c>
      <c r="AG539">
        <f>IF(AF539&gt;0.7,"High",IF(AF539&gt;0.3,"Moderate",IF(AF539&gt;0.15,"Low","No Impact")))</f>
        <v/>
      </c>
    </row>
    <row r="540">
      <c r="A540" t="n">
        <v>609138</v>
      </c>
      <c r="B540" t="inlineStr">
        <is>
          <t>BD609138</t>
        </is>
      </c>
      <c r="C540" t="inlineStr">
        <is>
          <t>Sylhet</t>
        </is>
      </c>
      <c r="D540" t="inlineStr">
        <is>
          <t>Golabganj</t>
        </is>
      </c>
      <c r="E540" s="3" t="n">
        <v>6.5</v>
      </c>
      <c r="F540" s="4">
        <f>(E540-$AJ$5)/$AK$5</f>
        <v/>
      </c>
      <c r="G540" t="n">
        <v>44.6508144</v>
      </c>
      <c r="H540">
        <f>(G540-$AJ$6)/$AK$6</f>
        <v/>
      </c>
      <c r="I540" t="n">
        <v>0</v>
      </c>
      <c r="J540" s="4">
        <f>(I540-$AJ$7)/$AK$7</f>
        <v/>
      </c>
      <c r="K540" t="n">
        <v>0</v>
      </c>
      <c r="L540" s="4">
        <f>(K540-$AJ$8)/$AK$8</f>
        <v/>
      </c>
      <c r="M540" t="n">
        <v>29178</v>
      </c>
      <c r="N540">
        <f>(M540-$AJ$9)/$AK$9</f>
        <v/>
      </c>
      <c r="O540" t="n">
        <v>0.243098629</v>
      </c>
      <c r="P540">
        <f>(O540-$AJ$11)/$AK$11</f>
        <v/>
      </c>
      <c r="Q540" t="n">
        <v>0.2531</v>
      </c>
      <c r="R540">
        <f>(Q540-$AJ$12)/$AK$12</f>
        <v/>
      </c>
      <c r="S540">
        <f>F540*(R540*0.5+P540*0.5)*(H540*0.35+J540*0.35+L540*0.3)</f>
        <v/>
      </c>
      <c r="T540" s="14">
        <f>(S540-$AJ$10)/$AK$10</f>
        <v/>
      </c>
      <c r="U540">
        <f>IF(T540&gt;0.7,"High",IF(T540&gt;0.3,"Moderate",IF(T540&gt;0.15,"Low","No Impact")))</f>
        <v/>
      </c>
      <c r="V540">
        <f>F540*(R540*1)*(H540*0.35+J540*0.35+L540*0.3)</f>
        <v/>
      </c>
      <c r="W540">
        <f>(V540-$AJ$13)/$AK$13</f>
        <v/>
      </c>
      <c r="X540">
        <f>IF(W540&gt;0.7,"High",IF(W540&gt;0.3,"Moderate",IF(W540&gt;0.15,"Low","No Impact")))</f>
        <v/>
      </c>
      <c r="Y540">
        <f>F540*(P540*1)*(H540*0.35+J540*0.35+L540*0.3)</f>
        <v/>
      </c>
      <c r="Z540">
        <f>(Y540-$AJ$14)/$AK$14</f>
        <v/>
      </c>
      <c r="AA540">
        <f>IF(Z540&gt;0.7,"High",IF(Z540&gt;0.3,"Moderate",IF(Z540&gt;0.15,"Low","No Impact")))</f>
        <v/>
      </c>
      <c r="AB540">
        <f>F540*(R540*0.35+P540*0.3+N540*0.35)*(H540*0.35+J540*0.35+L540*0.3)</f>
        <v/>
      </c>
      <c r="AC540">
        <f>(AB540-$AJ$15)/$AK$15</f>
        <v/>
      </c>
      <c r="AD540">
        <f>IF(AC540&gt;0.7,"High",IF(AC540&gt;0.3,"Moderate",IF(AC540&gt;0.15,"Low","No Impact")))</f>
        <v/>
      </c>
      <c r="AE540">
        <f>F540*(N540*1)*(H540*0.35+J540*0.35+L540*0.3)</f>
        <v/>
      </c>
      <c r="AF540">
        <f>(AE540-$AJ$16)/$AK$16</f>
        <v/>
      </c>
      <c r="AG540">
        <f>IF(AF540&gt;0.7,"High",IF(AF540&gt;0.3,"Moderate",IF(AF540&gt;0.15,"Low","No Impact")))</f>
        <v/>
      </c>
    </row>
    <row r="541">
      <c r="A541" t="n">
        <v>609141</v>
      </c>
      <c r="B541" t="inlineStr">
        <is>
          <t>BD609141</t>
        </is>
      </c>
      <c r="C541" t="inlineStr">
        <is>
          <t>Sylhet</t>
        </is>
      </c>
      <c r="D541" t="inlineStr">
        <is>
          <t>Gowainghat</t>
        </is>
      </c>
      <c r="E541" s="3" t="n">
        <v>6.9</v>
      </c>
      <c r="F541" s="4">
        <f>(E541-$AJ$5)/$AK$5</f>
        <v/>
      </c>
      <c r="G541" t="n">
        <v>40.1670072</v>
      </c>
      <c r="H541">
        <f>(G541-$AJ$6)/$AK$6</f>
        <v/>
      </c>
      <c r="I541" t="n">
        <v>0</v>
      </c>
      <c r="J541" s="4">
        <f>(I541-$AJ$7)/$AK$7</f>
        <v/>
      </c>
      <c r="K541" t="n">
        <v>0</v>
      </c>
      <c r="L541" s="4">
        <f>(K541-$AJ$8)/$AK$8</f>
        <v/>
      </c>
      <c r="M541" t="n">
        <v>28466</v>
      </c>
      <c r="N541">
        <f>(M541-$AJ$9)/$AK$9</f>
        <v/>
      </c>
      <c r="O541" t="n">
        <v>0.181088139</v>
      </c>
      <c r="P541">
        <f>(O541-$AJ$11)/$AK$11</f>
        <v/>
      </c>
      <c r="Q541" t="n">
        <v>0.2053</v>
      </c>
      <c r="R541">
        <f>(Q541-$AJ$12)/$AK$12</f>
        <v/>
      </c>
      <c r="S541">
        <f>F541*(R541*0.5+P541*0.5)*(H541*0.35+J541*0.35+L541*0.3)</f>
        <v/>
      </c>
      <c r="T541" s="14">
        <f>(S541-$AJ$10)/$AK$10</f>
        <v/>
      </c>
      <c r="U541">
        <f>IF(T541&gt;0.7,"High",IF(T541&gt;0.3,"Moderate",IF(T541&gt;0.15,"Low","No Impact")))</f>
        <v/>
      </c>
      <c r="V541">
        <f>F541*(R541*1)*(H541*0.35+J541*0.35+L541*0.3)</f>
        <v/>
      </c>
      <c r="W541">
        <f>(V541-$AJ$13)/$AK$13</f>
        <v/>
      </c>
      <c r="X541">
        <f>IF(W541&gt;0.7,"High",IF(W541&gt;0.3,"Moderate",IF(W541&gt;0.15,"Low","No Impact")))</f>
        <v/>
      </c>
      <c r="Y541">
        <f>F541*(P541*1)*(H541*0.35+J541*0.35+L541*0.3)</f>
        <v/>
      </c>
      <c r="Z541">
        <f>(Y541-$AJ$14)/$AK$14</f>
        <v/>
      </c>
      <c r="AA541">
        <f>IF(Z541&gt;0.7,"High",IF(Z541&gt;0.3,"Moderate",IF(Z541&gt;0.15,"Low","No Impact")))</f>
        <v/>
      </c>
      <c r="AB541">
        <f>F541*(R541*0.35+P541*0.3+N541*0.35)*(H541*0.35+J541*0.35+L541*0.3)</f>
        <v/>
      </c>
      <c r="AC541">
        <f>(AB541-$AJ$15)/$AK$15</f>
        <v/>
      </c>
      <c r="AD541">
        <f>IF(AC541&gt;0.7,"High",IF(AC541&gt;0.3,"Moderate",IF(AC541&gt;0.15,"Low","No Impact")))</f>
        <v/>
      </c>
      <c r="AE541">
        <f>F541*(N541*1)*(H541*0.35+J541*0.35+L541*0.3)</f>
        <v/>
      </c>
      <c r="AF541">
        <f>(AE541-$AJ$16)/$AK$16</f>
        <v/>
      </c>
      <c r="AG541">
        <f>IF(AF541&gt;0.7,"High",IF(AF541&gt;0.3,"Moderate",IF(AF541&gt;0.15,"Low","No Impact")))</f>
        <v/>
      </c>
    </row>
    <row r="542">
      <c r="A542" t="n">
        <v>609153</v>
      </c>
      <c r="B542" t="inlineStr">
        <is>
          <t>BD609153</t>
        </is>
      </c>
      <c r="C542" t="inlineStr">
        <is>
          <t>Sylhet</t>
        </is>
      </c>
      <c r="D542" t="inlineStr">
        <is>
          <t>Jaintiapur</t>
        </is>
      </c>
      <c r="E542" s="3" t="n">
        <v>7</v>
      </c>
      <c r="F542" s="4">
        <f>(E542-$AJ$5)/$AK$5</f>
        <v/>
      </c>
      <c r="G542" t="n">
        <v>38.5603668</v>
      </c>
      <c r="H542">
        <f>(G542-$AJ$6)/$AK$6</f>
        <v/>
      </c>
      <c r="I542" t="n">
        <v>0</v>
      </c>
      <c r="J542" s="4">
        <f>(I542-$AJ$7)/$AK$7</f>
        <v/>
      </c>
      <c r="K542" t="n">
        <v>0</v>
      </c>
      <c r="L542" s="4">
        <f>(K542-$AJ$8)/$AK$8</f>
        <v/>
      </c>
      <c r="M542" t="n">
        <v>17294</v>
      </c>
      <c r="N542">
        <f>(M542-$AJ$9)/$AK$9</f>
        <v/>
      </c>
      <c r="O542" t="n">
        <v>0.385521616</v>
      </c>
      <c r="P542">
        <f>(O542-$AJ$11)/$AK$11</f>
        <v/>
      </c>
      <c r="Q542" t="n">
        <v>0.2225</v>
      </c>
      <c r="R542">
        <f>(Q542-$AJ$12)/$AK$12</f>
        <v/>
      </c>
      <c r="S542">
        <f>F542*(R542*0.5+P542*0.5)*(H542*0.35+J542*0.35+L542*0.3)</f>
        <v/>
      </c>
      <c r="T542" s="14">
        <f>(S542-$AJ$10)/$AK$10</f>
        <v/>
      </c>
      <c r="U542">
        <f>IF(T542&gt;0.7,"High",IF(T542&gt;0.3,"Moderate",IF(T542&gt;0.15,"Low","No Impact")))</f>
        <v/>
      </c>
      <c r="V542">
        <f>F542*(R542*1)*(H542*0.35+J542*0.35+L542*0.3)</f>
        <v/>
      </c>
      <c r="W542">
        <f>(V542-$AJ$13)/$AK$13</f>
        <v/>
      </c>
      <c r="X542">
        <f>IF(W542&gt;0.7,"High",IF(W542&gt;0.3,"Moderate",IF(W542&gt;0.15,"Low","No Impact")))</f>
        <v/>
      </c>
      <c r="Y542">
        <f>F542*(P542*1)*(H542*0.35+J542*0.35+L542*0.3)</f>
        <v/>
      </c>
      <c r="Z542">
        <f>(Y542-$AJ$14)/$AK$14</f>
        <v/>
      </c>
      <c r="AA542">
        <f>IF(Z542&gt;0.7,"High",IF(Z542&gt;0.3,"Moderate",IF(Z542&gt;0.15,"Low","No Impact")))</f>
        <v/>
      </c>
      <c r="AB542">
        <f>F542*(R542*0.35+P542*0.3+N542*0.35)*(H542*0.35+J542*0.35+L542*0.3)</f>
        <v/>
      </c>
      <c r="AC542">
        <f>(AB542-$AJ$15)/$AK$15</f>
        <v/>
      </c>
      <c r="AD542">
        <f>IF(AC542&gt;0.7,"High",IF(AC542&gt;0.3,"Moderate",IF(AC542&gt;0.15,"Low","No Impact")))</f>
        <v/>
      </c>
      <c r="AE542">
        <f>F542*(N542*1)*(H542*0.35+J542*0.35+L542*0.3)</f>
        <v/>
      </c>
      <c r="AF542">
        <f>(AE542-$AJ$16)/$AK$16</f>
        <v/>
      </c>
      <c r="AG542">
        <f>IF(AF542&gt;0.7,"High",IF(AF542&gt;0.3,"Moderate",IF(AF542&gt;0.15,"Low","No Impact")))</f>
        <v/>
      </c>
    </row>
    <row r="543">
      <c r="A543" t="n">
        <v>609159</v>
      </c>
      <c r="B543" t="inlineStr">
        <is>
          <t>BD609159</t>
        </is>
      </c>
      <c r="C543" t="inlineStr">
        <is>
          <t>Sylhet</t>
        </is>
      </c>
      <c r="D543" t="inlineStr">
        <is>
          <t>Kanaighat</t>
        </is>
      </c>
      <c r="E543" s="3" t="n">
        <v>7</v>
      </c>
      <c r="F543" s="4">
        <f>(E543-$AJ$5)/$AK$5</f>
        <v/>
      </c>
      <c r="G543" t="n">
        <v>38.5603668</v>
      </c>
      <c r="H543">
        <f>(G543-$AJ$6)/$AK$6</f>
        <v/>
      </c>
      <c r="I543" t="n">
        <v>0</v>
      </c>
      <c r="J543" s="4">
        <f>(I543-$AJ$7)/$AK$7</f>
        <v/>
      </c>
      <c r="K543" t="n">
        <v>0</v>
      </c>
      <c r="L543" s="4">
        <f>(K543-$AJ$8)/$AK$8</f>
        <v/>
      </c>
      <c r="M543" t="n">
        <v>16637</v>
      </c>
      <c r="N543">
        <f>(M543-$AJ$9)/$AK$9</f>
        <v/>
      </c>
      <c r="O543" t="n">
        <v>0.405730873</v>
      </c>
      <c r="P543">
        <f>(O543-$AJ$11)/$AK$11</f>
        <v/>
      </c>
      <c r="Q543" t="n">
        <v>0.1827</v>
      </c>
      <c r="R543">
        <f>(Q543-$AJ$12)/$AK$12</f>
        <v/>
      </c>
      <c r="S543">
        <f>F543*(R543*0.5+P543*0.5)*(H543*0.35+J543*0.35+L543*0.3)</f>
        <v/>
      </c>
      <c r="T543" s="14">
        <f>(S543-$AJ$10)/$AK$10</f>
        <v/>
      </c>
      <c r="U543">
        <f>IF(T543&gt;0.7,"High",IF(T543&gt;0.3,"Moderate",IF(T543&gt;0.15,"Low","No Impact")))</f>
        <v/>
      </c>
      <c r="V543">
        <f>F543*(R543*1)*(H543*0.35+J543*0.35+L543*0.3)</f>
        <v/>
      </c>
      <c r="W543">
        <f>(V543-$AJ$13)/$AK$13</f>
        <v/>
      </c>
      <c r="X543">
        <f>IF(W543&gt;0.7,"High",IF(W543&gt;0.3,"Moderate",IF(W543&gt;0.15,"Low","No Impact")))</f>
        <v/>
      </c>
      <c r="Y543">
        <f>F543*(P543*1)*(H543*0.35+J543*0.35+L543*0.3)</f>
        <v/>
      </c>
      <c r="Z543">
        <f>(Y543-$AJ$14)/$AK$14</f>
        <v/>
      </c>
      <c r="AA543">
        <f>IF(Z543&gt;0.7,"High",IF(Z543&gt;0.3,"Moderate",IF(Z543&gt;0.15,"Low","No Impact")))</f>
        <v/>
      </c>
      <c r="AB543">
        <f>F543*(R543*0.35+P543*0.3+N543*0.35)*(H543*0.35+J543*0.35+L543*0.3)</f>
        <v/>
      </c>
      <c r="AC543">
        <f>(AB543-$AJ$15)/$AK$15</f>
        <v/>
      </c>
      <c r="AD543">
        <f>IF(AC543&gt;0.7,"High",IF(AC543&gt;0.3,"Moderate",IF(AC543&gt;0.15,"Low","No Impact")))</f>
        <v/>
      </c>
      <c r="AE543">
        <f>F543*(N543*1)*(H543*0.35+J543*0.35+L543*0.3)</f>
        <v/>
      </c>
      <c r="AF543">
        <f>(AE543-$AJ$16)/$AK$16</f>
        <v/>
      </c>
      <c r="AG543">
        <f>IF(AF543&gt;0.7,"High",IF(AF543&gt;0.3,"Moderate",IF(AF543&gt;0.15,"Low","No Impact")))</f>
        <v/>
      </c>
    </row>
    <row r="544">
      <c r="A544" t="n">
        <v>609162</v>
      </c>
      <c r="B544" t="inlineStr">
        <is>
          <t>BD609162</t>
        </is>
      </c>
      <c r="C544" t="inlineStr">
        <is>
          <t>Sylhet</t>
        </is>
      </c>
      <c r="D544" t="inlineStr">
        <is>
          <t>Sylhet Sadar</t>
        </is>
      </c>
      <c r="E544" s="3" t="n">
        <v>7</v>
      </c>
      <c r="F544" s="4">
        <f>(E544-$AJ$5)/$AK$5</f>
        <v/>
      </c>
      <c r="G544" t="n">
        <v>45.7863588</v>
      </c>
      <c r="H544">
        <f>(G544-$AJ$6)/$AK$6</f>
        <v/>
      </c>
      <c r="I544" t="n">
        <v>0</v>
      </c>
      <c r="J544" s="4">
        <f>(I544-$AJ$7)/$AK$7</f>
        <v/>
      </c>
      <c r="K544" t="n">
        <v>0</v>
      </c>
      <c r="L544" s="4">
        <f>(K544-$AJ$8)/$AK$8</f>
        <v/>
      </c>
      <c r="M544" t="n">
        <v>11227</v>
      </c>
      <c r="N544">
        <f>(M544-$AJ$9)/$AK$9</f>
        <v/>
      </c>
      <c r="O544" t="n">
        <v>0.5280508310000001</v>
      </c>
      <c r="P544">
        <f>(O544-$AJ$11)/$AK$11</f>
        <v/>
      </c>
      <c r="Q544" t="n">
        <v>0.2388</v>
      </c>
      <c r="R544">
        <f>(Q544-$AJ$12)/$AK$12</f>
        <v/>
      </c>
      <c r="S544">
        <f>F544*(R544*0.5+P544*0.5)*(H544*0.35+J544*0.35+L544*0.3)</f>
        <v/>
      </c>
      <c r="T544" s="14">
        <f>(S544-$AJ$10)/$AK$10</f>
        <v/>
      </c>
      <c r="U544">
        <f>IF(T544&gt;0.7,"High",IF(T544&gt;0.3,"Moderate",IF(T544&gt;0.15,"Low","No Impact")))</f>
        <v/>
      </c>
      <c r="V544">
        <f>F544*(R544*1)*(H544*0.35+J544*0.35+L544*0.3)</f>
        <v/>
      </c>
      <c r="W544">
        <f>(V544-$AJ$13)/$AK$13</f>
        <v/>
      </c>
      <c r="X544">
        <f>IF(W544&gt;0.7,"High",IF(W544&gt;0.3,"Moderate",IF(W544&gt;0.15,"Low","No Impact")))</f>
        <v/>
      </c>
      <c r="Y544">
        <f>F544*(P544*1)*(H544*0.35+J544*0.35+L544*0.3)</f>
        <v/>
      </c>
      <c r="Z544">
        <f>(Y544-$AJ$14)/$AK$14</f>
        <v/>
      </c>
      <c r="AA544">
        <f>IF(Z544&gt;0.7,"High",IF(Z544&gt;0.3,"Moderate",IF(Z544&gt;0.15,"Low","No Impact")))</f>
        <v/>
      </c>
      <c r="AB544">
        <f>F544*(R544*0.35+P544*0.3+N544*0.35)*(H544*0.35+J544*0.35+L544*0.3)</f>
        <v/>
      </c>
      <c r="AC544">
        <f>(AB544-$AJ$15)/$AK$15</f>
        <v/>
      </c>
      <c r="AD544">
        <f>IF(AC544&gt;0.7,"High",IF(AC544&gt;0.3,"Moderate",IF(AC544&gt;0.15,"Low","No Impact")))</f>
        <v/>
      </c>
      <c r="AE544">
        <f>F544*(N544*1)*(H544*0.35+J544*0.35+L544*0.3)</f>
        <v/>
      </c>
      <c r="AF544">
        <f>(AE544-$AJ$16)/$AK$16</f>
        <v/>
      </c>
      <c r="AG544">
        <f>IF(AF544&gt;0.7,"High",IF(AF544&gt;0.3,"Moderate",IF(AF544&gt;0.15,"Low","No Impact")))</f>
        <v/>
      </c>
    </row>
    <row r="545">
      <c r="A545" t="n">
        <v>609194</v>
      </c>
      <c r="B545" t="inlineStr">
        <is>
          <t>BD609194</t>
        </is>
      </c>
      <c r="C545" t="inlineStr">
        <is>
          <t>Sylhet</t>
        </is>
      </c>
      <c r="D545" t="inlineStr">
        <is>
          <t>Zakiganj</t>
        </is>
      </c>
      <c r="E545" s="3" t="n">
        <v>7</v>
      </c>
      <c r="F545" s="4">
        <f>(E545-$AJ$5)/$AK$5</f>
        <v/>
      </c>
      <c r="G545" t="n">
        <v>42.8367492</v>
      </c>
      <c r="H545">
        <f>(G545-$AJ$6)/$AK$6</f>
        <v/>
      </c>
      <c r="I545" t="n">
        <v>0</v>
      </c>
      <c r="J545" s="4">
        <f>(I545-$AJ$7)/$AK$7</f>
        <v/>
      </c>
      <c r="K545" t="n">
        <v>0</v>
      </c>
      <c r="L545" s="4">
        <f>(K545-$AJ$8)/$AK$8</f>
        <v/>
      </c>
      <c r="M545" t="n">
        <v>13447</v>
      </c>
      <c r="N545">
        <f>(M545-$AJ$9)/$AK$9</f>
        <v/>
      </c>
      <c r="O545" t="n">
        <v>0.225143143</v>
      </c>
      <c r="P545">
        <f>(O545-$AJ$11)/$AK$11</f>
        <v/>
      </c>
      <c r="Q545" t="n">
        <v>0.182</v>
      </c>
      <c r="R545">
        <f>(Q545-$AJ$12)/$AK$12</f>
        <v/>
      </c>
      <c r="S545">
        <f>F545*(R545*0.5+P545*0.5)*(H545*0.35+J545*0.35+L545*0.3)</f>
        <v/>
      </c>
      <c r="T545" s="14">
        <f>(S545-$AJ$10)/$AK$10</f>
        <v/>
      </c>
      <c r="U545">
        <f>IF(T545&gt;0.7,"High",IF(T545&gt;0.3,"Moderate",IF(T545&gt;0.15,"Low","No Impact")))</f>
        <v/>
      </c>
      <c r="V545">
        <f>F545*(R545*1)*(H545*0.35+J545*0.35+L545*0.3)</f>
        <v/>
      </c>
      <c r="W545">
        <f>(V545-$AJ$13)/$AK$13</f>
        <v/>
      </c>
      <c r="X545">
        <f>IF(W545&gt;0.7,"High",IF(W545&gt;0.3,"Moderate",IF(W545&gt;0.15,"Low","No Impact")))</f>
        <v/>
      </c>
      <c r="Y545">
        <f>F545*(P545*1)*(H545*0.35+J545*0.35+L545*0.3)</f>
        <v/>
      </c>
      <c r="Z545">
        <f>(Y545-$AJ$14)/$AK$14</f>
        <v/>
      </c>
      <c r="AA545">
        <f>IF(Z545&gt;0.7,"High",IF(Z545&gt;0.3,"Moderate",IF(Z545&gt;0.15,"Low","No Impact")))</f>
        <v/>
      </c>
      <c r="AB545">
        <f>F545*(R545*0.35+P545*0.3+N545*0.35)*(H545*0.35+J545*0.35+L545*0.3)</f>
        <v/>
      </c>
      <c r="AC545">
        <f>(AB545-$AJ$15)/$AK$15</f>
        <v/>
      </c>
      <c r="AD545">
        <f>IF(AC545&gt;0.7,"High",IF(AC545&gt;0.3,"Moderate",IF(AC545&gt;0.15,"Low","No Impact")))</f>
        <v/>
      </c>
      <c r="AE545">
        <f>F545*(N545*1)*(H545*0.35+J545*0.35+L545*0.3)</f>
        <v/>
      </c>
      <c r="AF545">
        <f>(AE545-$AJ$16)/$AK$16</f>
        <v/>
      </c>
      <c r="AG545">
        <f>IF(AF545&gt;0.7,"High",IF(AF545&gt;0.3,"Moderate",IF(AF545&gt;0.15,"Low","No Impact")))</f>
        <v/>
      </c>
    </row>
  </sheetData>
  <autoFilter ref="A1:AK545"/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Ibrahim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2026-08-24T23:00:25Z</dcterms:modified>
  <cp:lastModifiedBy>Ibrahim Abdullah</cp:lastModifiedBy>
</cp:coreProperties>
</file>